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vmlDrawing5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raciones" sheetId="1" state="visible" r:id="rId3"/>
    <sheet name="Acciones" sheetId="2" state="visible" r:id="rId4"/>
    <sheet name="Dividendos" sheetId="3" state="visible" r:id="rId5"/>
    <sheet name="Divisa" sheetId="4" state="visible" r:id="rId6"/>
    <sheet name="Resumen" sheetId="5" state="visible" r:id="rId7"/>
    <sheet name="Guía" sheetId="6" state="visible" r:id="rId8"/>
    <sheet name="Listas" sheetId="7" state="visible" r:id="rId9"/>
  </sheets>
  <definedNames>
    <definedName function="false" hidden="true" localSheetId="1" name="_xlnm._FilterDatabase" vbProcedure="false">Acciones!$A$1:$Y$201</definedName>
    <definedName function="false" hidden="true" localSheetId="0" name="_xlnm._FilterDatabase" vbProcedure="false">Operaciones!$A$1:$AN$1001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Número único de operación</t>
        </r>
      </text>
    </comment>
    <comment ref="C1" authorId="0">
      <text>
        <r>
          <rPr>
            <sz val="10"/>
            <rFont val="Arial"/>
            <family val="2"/>
          </rPr>
          <t xml:space="preserve">Ticker del subyacente. Si está vacío, la fila se ignora.</t>
        </r>
      </text>
    </comment>
    <comment ref="D1" authorId="0">
      <text>
        <r>
          <rPr>
            <sz val="10"/>
            <rFont val="Arial"/>
            <family val="2"/>
          </rPr>
          <t xml:space="preserve">Elige de la lista (pestaña Listas)</t>
        </r>
      </text>
    </comment>
    <comment ref="E1" authorId="0">
      <text>
        <r>
          <rPr>
            <sz val="10"/>
            <rFont val="Arial"/>
            <family val="2"/>
          </rPr>
          <t xml:space="preserve">Strike de la pata vendida. En compras simples, el strike comprado puede ir aquí o en 'Strike compra'.</t>
        </r>
      </text>
    </comment>
    <comment ref="F1" authorId="0">
      <text>
        <r>
          <rPr>
            <sz val="10"/>
            <rFont val="Arial"/>
            <family val="2"/>
          </rPr>
          <t xml:space="preserve">Strike de la pata comprada (spreads / protección). Vacío en CSP y CC.</t>
        </r>
      </text>
    </comment>
    <comment ref="I1" authorId="0">
      <text>
        <r>
          <rPr>
            <sz val="10"/>
            <rFont val="Arial"/>
            <family val="2"/>
          </rPr>
          <t xml:space="preserve">Acciones por contrato (100 en opciones USA)</t>
        </r>
      </text>
    </comment>
    <comment ref="J1" authorId="0">
      <text>
        <r>
          <rPr>
            <sz val="10"/>
            <rFont val="Arial"/>
            <family val="2"/>
          </rPr>
          <t xml:space="preserve">Precio del activo al abrir. Para colchón OTM y capital de la call cubierta.</t>
        </r>
      </text>
    </comment>
    <comment ref="K1" authorId="0">
      <text>
        <r>
          <rPr>
            <sz val="10"/>
            <rFont val="Arial"/>
            <family val="2"/>
          </rPr>
          <t xml:space="preserve">Prima NETA por acción tal como cotiza: cobrada si es crédito, pagada si es débito</t>
        </r>
      </text>
    </comment>
    <comment ref="M1" authorId="0">
      <text>
        <r>
          <rPr>
            <sz val="10"/>
            <rFont val="Arial"/>
            <family val="2"/>
          </rPr>
          <t xml:space="preserve">Abierta · Cerrada (recompra/venta) · Rolada (cerrada para abrir otra) · Vencida (sin valor) · Asignada (se ejecuta: entran o salen acciones → pestaña Acciones)</t>
        </r>
      </text>
    </comment>
    <comment ref="N1" authorId="0">
      <text>
        <r>
          <rPr>
            <sz val="10"/>
            <rFont val="Arial"/>
            <family val="2"/>
          </rPr>
          <t xml:space="preserve">Fecha de cierre, vencimiento o asignación. Vacío si está abierta.</t>
        </r>
      </text>
    </comment>
    <comment ref="O1" authorId="0">
      <text>
        <r>
          <rPr>
            <sz val="10"/>
            <rFont val="Arial"/>
            <family val="2"/>
          </rPr>
          <t xml:space="preserve">Solo si Cerrada o Rolada. En Vencida/Asignada se toma 0.</t>
        </r>
      </text>
    </comment>
    <comment ref="Q1" authorId="0">
      <text>
        <r>
          <rPr>
            <sz val="10"/>
            <rFont val="Arial"/>
            <family val="2"/>
          </rPr>
          <t xml:space="preserve">Opcional: sobrescribe el cálculo automático. Obligatorio en Strangle, Straddle y Otra.</t>
        </r>
      </text>
    </comment>
    <comment ref="R1" authorId="0">
      <text>
        <r>
          <rPr>
            <sz val="10"/>
            <rFont val="Arial"/>
            <family val="2"/>
          </rPr>
          <t xml:space="preserve">ID del lote de la pestaña Acciones al que pertenece la operación: la put que se asignó y las calls cubiertas vendidas sobre esas acciones. Obligatorio si el Estado es Asignada.</t>
        </r>
      </text>
    </comment>
    <comment ref="AE1" authorId="0">
      <text>
        <r>
          <rPr>
            <sz val="10"/>
            <rFont val="Arial"/>
            <family val="2"/>
          </rPr>
          <t xml:space="preserve">Resultado de la opción. Si se asigna, solo la prima: el resultado de las acciones va en la pestaña Acciones.</t>
        </r>
      </text>
    </comment>
    <comment ref="AG1" authorId="0">
      <text>
        <r>
          <rPr>
            <sz val="10"/>
            <rFont val="Arial"/>
            <family val="2"/>
          </rPr>
          <t xml:space="preserve">Resultado / Capital en riesgo × 365 / días en operación</t>
        </r>
      </text>
    </comment>
    <comment ref="AI1" authorId="0">
      <text>
        <r>
          <rPr>
            <sz val="10"/>
            <rFont val="Arial"/>
            <family val="2"/>
          </rPr>
          <t xml:space="preserve">(Prima neta − comisiones) / Capital en riesgo × 365 / DTE apertura: el máximo anualizado si vence sin valor.</t>
        </r>
      </text>
    </comment>
    <comment ref="AM1" authorId="0">
      <text>
        <r>
          <rPr>
            <sz val="10"/>
            <rFont val="Arial"/>
            <family val="2"/>
          </rPr>
          <t xml:space="preserve">Columna auxiliar para el ARORC ponderado del Resumen.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Identificador único del lote (L1, L2…). Es el que pones en 'ID lote acciones' de Operaciones y Dividendos.</t>
        </r>
      </text>
    </comment>
    <comment ref="B1" authorId="0">
      <text>
        <r>
          <rPr>
            <sz val="10"/>
            <rFont val="Arial"/>
            <family val="2"/>
          </rPr>
          <t xml:space="preserve">Ticker. Si está vacío, la fila se ignora.</t>
        </r>
      </text>
    </comment>
    <comment ref="C1" authorId="0">
      <text>
        <r>
          <rPr>
            <sz val="10"/>
            <rFont val="Arial"/>
            <family val="2"/>
          </rPr>
          <t xml:space="preserve">Asignación put (te asignan una put vendida) o Compra directa</t>
        </r>
      </text>
    </comment>
    <comment ref="D1" authorId="0">
      <text>
        <r>
          <rPr>
            <sz val="10"/>
            <rFont val="Arial"/>
            <family val="2"/>
          </rPr>
          <t xml:space="preserve">ID de la put asignada en Operaciones (si aplica)</t>
        </r>
      </text>
    </comment>
    <comment ref="E1" authorId="0">
      <text>
        <r>
          <rPr>
            <sz val="10"/>
            <rFont val="Arial"/>
            <family val="2"/>
          </rPr>
          <t xml:space="preserve">Fecha de asignación o compra</t>
        </r>
      </text>
    </comment>
    <comment ref="F1" authorId="0">
      <text>
        <r>
          <rPr>
            <sz val="10"/>
            <rFont val="Arial"/>
            <family val="2"/>
          </rPr>
          <t xml:space="preserve">Contratos × 100 si viene de asignación</t>
        </r>
      </text>
    </comment>
    <comment ref="G1" authorId="0">
      <text>
        <r>
          <rPr>
            <sz val="10"/>
            <rFont val="Arial"/>
            <family val="2"/>
          </rPr>
          <t xml:space="preserve">En una asignación, el STRIKE de la put (no restes la prima: ya cuenta en Operaciones)</t>
        </r>
      </text>
    </comment>
    <comment ref="I1" authorId="0">
      <text>
        <r>
          <rPr>
            <sz val="10"/>
            <rFont val="Arial"/>
            <family val="2"/>
          </rPr>
          <t xml:space="preserve">En cartera · Vendida (las vendes tú) · Llamada por call (te ejecutan la call cubierta)</t>
        </r>
      </text>
    </comment>
    <comment ref="K1" authorId="0">
      <text>
        <r>
          <rPr>
            <sz val="10"/>
            <rFont val="Arial"/>
            <family val="2"/>
          </rPr>
          <t xml:space="preserve">Si las llaman por una call cubierta: el STRIKE de la call</t>
        </r>
      </text>
    </comment>
    <comment ref="M1" authorId="0">
      <text>
        <r>
          <rPr>
            <sz val="10"/>
            <rFont val="Arial"/>
            <family val="2"/>
          </rPr>
          <t xml:space="preserve">Solo para lotes en cartera (plusvalía latente). En Google Sheets puedes poner =GOOGLEFINANCE("KO") para que se actualice solo.</t>
        </r>
      </text>
    </comment>
    <comment ref="T1" authorId="0">
      <text>
        <r>
          <rPr>
            <sz val="10"/>
            <rFont val="Arial"/>
            <family val="2"/>
          </rPr>
          <t xml:space="preserve">Suma del resultado de las opciones de Operaciones con este ID lote (la put asignada y las calls cubiertas). Informativo: ya cuenta en el resultado de opciones.</t>
        </r>
      </text>
    </comment>
    <comment ref="U1" authorId="0">
      <text>
        <r>
          <rPr>
            <sz val="10"/>
            <rFont val="Arial"/>
            <family val="2"/>
          </rPr>
          <t xml:space="preserve">Acciones (realizado) + dividendos + primas asociadas. Visión de la rueda completa del lote.</t>
        </r>
      </text>
    </comment>
    <comment ref="V1" authorId="0">
      <text>
        <r>
          <rPr>
            <sz val="10"/>
            <rFont val="Arial"/>
            <family val="2"/>
          </rPr>
          <t xml:space="preserve">(Coste − primas − dividendos) / acciones. Precio al que realmente te salen las acciones.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Fecha en la que se cobra (pago), no la ex-date</t>
        </r>
      </text>
    </comment>
    <comment ref="B1" authorId="0">
      <text>
        <r>
          <rPr>
            <sz val="10"/>
            <rFont val="Arial"/>
            <family val="2"/>
          </rPr>
          <t xml:space="preserve">Ticker. Si está vacío, la fila se ignora.</t>
        </r>
      </text>
    </comment>
    <comment ref="C1" authorId="0">
      <text>
        <r>
          <rPr>
            <sz val="10"/>
            <rFont val="Arial"/>
            <family val="2"/>
          </rPr>
          <t xml:space="preserve">Lote de la pestaña Acciones que cobra el dividendo</t>
        </r>
      </text>
    </comment>
    <comment ref="D1" authorId="0">
      <text>
        <r>
          <rPr>
            <sz val="10"/>
            <rFont val="Arial"/>
            <family val="2"/>
          </rPr>
          <t xml:space="preserve">Acciones con derecho al dividendo (las que tenías en la ex-date)</t>
        </r>
      </text>
    </comment>
    <comment ref="F1" authorId="0">
      <text>
        <r>
          <rPr>
            <sz val="10"/>
            <rFont val="Arial"/>
            <family val="2"/>
          </rPr>
          <t xml:space="preserve">Retención en origen (p. ej. 15 % en EE. UU. con W-8BEN)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Fecha del reseteo (conversión real o contable)</t>
        </r>
      </text>
    </comment>
    <comment ref="B1" authorId="0">
      <text>
        <r>
          <rPr>
            <sz val="10"/>
            <rFont val="Arial"/>
            <family val="2"/>
          </rPr>
          <t xml:space="preserve">Dólares que pasan de la cuenta USD a la EUR. Normalmente, el saldo de "Cuenta USD pendiente" del Resumen.</t>
        </r>
      </text>
    </comment>
    <comment ref="C1" authorId="0">
      <text>
        <r>
          <rPr>
            <sz val="10"/>
            <rFont val="Arial"/>
            <family val="2"/>
          </rPr>
          <t xml:space="preserve">Dólares por 1 euro ese día (p. ej. 1,1650)</t>
        </r>
      </text>
    </comment>
    <comment ref="D1" authorId="0">
      <text>
        <r>
          <rPr>
            <sz val="10"/>
            <rFont val="Arial"/>
            <family val="2"/>
          </rPr>
          <t xml:space="preserve">Coste de la conversión, si lo hay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Dólares por 1 euro el día en que empezó la cuenta (dato a rellenar por el gestor).</t>
        </r>
      </text>
    </comment>
    <comment ref="B8" authorId="0">
      <text>
        <r>
          <rPr>
            <sz val="10"/>
            <rFont val="Arial"/>
            <family val="2"/>
          </rPr>
          <t xml:space="preserve">En Google Sheets, actualizarHoja() pone aquí =GOOGLEFINANCE("CURRENCY:EURUSD") para que se actualice solo. En Excel, escríbelo a mano.</t>
        </r>
      </text>
    </comment>
    <comment ref="B12" authorId="0">
      <text>
        <r>
          <rPr>
            <sz val="10"/>
            <rFont val="Arial"/>
            <family val="2"/>
          </rPr>
          <t xml:space="preserve">Resultado realizado en $ que aún no se ha pasado a euros. En cada reseteo (pestaña Divisa) pon este importe.</t>
        </r>
      </text>
    </comment>
    <comment ref="B24" authorId="0">
      <text>
        <r>
          <rPr>
            <sz val="10"/>
            <rFont val="Arial"/>
            <family val="2"/>
          </rPr>
          <t xml:space="preserve">Rentabilidad total en € menos rentabilidad operativa en $: lo que suma o resta la evolución del EUR/USD.</t>
        </r>
      </text>
    </comment>
  </commentList>
</comments>
</file>

<file path=xl/sharedStrings.xml><?xml version="1.0" encoding="utf-8"?>
<sst xmlns="http://schemas.openxmlformats.org/spreadsheetml/2006/main" count="335" uniqueCount="245">
  <si>
    <t xml:space="preserve">ID</t>
  </si>
  <si>
    <t xml:space="preserve">Fecha apertura</t>
  </si>
  <si>
    <t xml:space="preserve">Activo</t>
  </si>
  <si>
    <t xml:space="preserve">Estrategia</t>
  </si>
  <si>
    <t xml:space="preserve">Strike venta</t>
  </si>
  <si>
    <t xml:space="preserve">Strike compra</t>
  </si>
  <si>
    <t xml:space="preserve">Vencimiento</t>
  </si>
  <si>
    <t xml:space="preserve">Contratos</t>
  </si>
  <si>
    <t xml:space="preserve">Multiplicador</t>
  </si>
  <si>
    <t xml:space="preserve">Precio subyacente apertura</t>
  </si>
  <si>
    <t xml:space="preserve">Prima apertura (por acción)</t>
  </si>
  <si>
    <t xml:space="preserve">Comisiones apertura $</t>
  </si>
  <si>
    <t xml:space="preserve">Estado</t>
  </si>
  <si>
    <t xml:space="preserve">Fecha cierre</t>
  </si>
  <si>
    <t xml:space="preserve">Prima cierre (por acción)</t>
  </si>
  <si>
    <t xml:space="preserve">Comisiones cierre $</t>
  </si>
  <si>
    <t xml:space="preserve">Capital en riesgo manual $</t>
  </si>
  <si>
    <t xml:space="preserve">ID lote acciones</t>
  </si>
  <si>
    <t xml:space="preserve">Notas</t>
  </si>
  <si>
    <t xml:space="preserve">Familia</t>
  </si>
  <si>
    <t xml:space="preserve">Crédito / Débito</t>
  </si>
  <si>
    <t xml:space="preserve">Método capital</t>
  </si>
  <si>
    <t xml:space="preserve">DTE apertura</t>
  </si>
  <si>
    <t xml:space="preserve">Días en operación</t>
  </si>
  <si>
    <t xml:space="preserve">DTE restantes</t>
  </si>
  <si>
    <t xml:space="preserve">Prima neta $</t>
  </si>
  <si>
    <t xml:space="preserve">Strike principal</t>
  </si>
  <si>
    <t xml:space="preserve">Break-even</t>
  </si>
  <si>
    <t xml:space="preserve">Colchón OTM % (apertura)</t>
  </si>
  <si>
    <t xml:space="preserve">Capital en riesgo $</t>
  </si>
  <si>
    <t xml:space="preserve">Resultado prima $</t>
  </si>
  <si>
    <t xml:space="preserve">Rentabilidad s/ capital %</t>
  </si>
  <si>
    <t xml:space="preserve">ARORC realizado %</t>
  </si>
  <si>
    <t xml:space="preserve">ROC máximo %</t>
  </si>
  <si>
    <t xml:space="preserve">ARORC esperado %</t>
  </si>
  <si>
    <t xml:space="preserve">% prima capturada</t>
  </si>
  <si>
    <t xml:space="preserve">Mes cierre</t>
  </si>
  <si>
    <t xml:space="preserve">Finalizada (1/0)</t>
  </si>
  <si>
    <t xml:space="preserve">Capital × días</t>
  </si>
  <si>
    <t xml:space="preserve">Control</t>
  </si>
  <si>
    <t xml:space="preserve">SOFI</t>
  </si>
  <si>
    <t xml:space="preserve">Put vendida (CSP)</t>
  </si>
  <si>
    <t xml:space="preserve">Vencida</t>
  </si>
  <si>
    <t xml:space="preserve">EJEMPLO · borrar esta fila</t>
  </si>
  <si>
    <t xml:space="preserve">AMD</t>
  </si>
  <si>
    <t xml:space="preserve">Put Credit Spread</t>
  </si>
  <si>
    <t xml:space="preserve">Cerrada</t>
  </si>
  <si>
    <t xml:space="preserve">INTC</t>
  </si>
  <si>
    <t xml:space="preserve">Abierta</t>
  </si>
  <si>
    <t xml:space="preserve">KO</t>
  </si>
  <si>
    <t xml:space="preserve">Asignada</t>
  </si>
  <si>
    <t xml:space="preserve">L1</t>
  </si>
  <si>
    <t xml:space="preserve">EJEMPLO · borrar esta fila · put asignada → lote L1</t>
  </si>
  <si>
    <t xml:space="preserve">Call cubierta (CC)</t>
  </si>
  <si>
    <t xml:space="preserve">EJEMPLO · borrar esta fila · call sobre el lote L1</t>
  </si>
  <si>
    <t xml:space="preserve">ID lote</t>
  </si>
  <si>
    <t xml:space="preserve">Origen</t>
  </si>
  <si>
    <t xml:space="preserve">ID operación origen</t>
  </si>
  <si>
    <t xml:space="preserve">Fecha entrada</t>
  </si>
  <si>
    <t xml:space="preserve">Nº acciones</t>
  </si>
  <si>
    <t xml:space="preserve">Precio entrada (por acción)</t>
  </si>
  <si>
    <t xml:space="preserve">Comisiones entrada $</t>
  </si>
  <si>
    <t xml:space="preserve">Fecha salida</t>
  </si>
  <si>
    <t xml:space="preserve">Precio salida (por acción)</t>
  </si>
  <si>
    <t xml:space="preserve">Comisiones salida $</t>
  </si>
  <si>
    <t xml:space="preserve">Precio actual</t>
  </si>
  <si>
    <t xml:space="preserve">Coste entrada $</t>
  </si>
  <si>
    <t xml:space="preserve">Días en cartera</t>
  </si>
  <si>
    <t xml:space="preserve">Resultado acciones realizado $</t>
  </si>
  <si>
    <t xml:space="preserve">Plusvalía latente $</t>
  </si>
  <si>
    <t xml:space="preserve">Dividendos netos $</t>
  </si>
  <si>
    <t xml:space="preserve">Primas asociadas $</t>
  </si>
  <si>
    <t xml:space="preserve">Resultado total ciclo $</t>
  </si>
  <si>
    <t xml:space="preserve">Coste base ajustado (por acción)</t>
  </si>
  <si>
    <t xml:space="preserve">Rentabilidad ciclo %</t>
  </si>
  <si>
    <t xml:space="preserve">ARORC ciclo %</t>
  </si>
  <si>
    <t xml:space="preserve">Asignación put</t>
  </si>
  <si>
    <t xml:space="preserve">En cartera</t>
  </si>
  <si>
    <t xml:space="preserve">Fecha cobro</t>
  </si>
  <si>
    <t xml:space="preserve">Dividendo por acción</t>
  </si>
  <si>
    <t xml:space="preserve">Retención $</t>
  </si>
  <si>
    <t xml:space="preserve">Bruto $</t>
  </si>
  <si>
    <t xml:space="preserve">Neto $</t>
  </si>
  <si>
    <t xml:space="preserve">Fecha</t>
  </si>
  <si>
    <t xml:space="preserve">USD consolidados</t>
  </si>
  <si>
    <t xml:space="preserve">Tipo de cambio EURUSD</t>
  </si>
  <si>
    <t xml:space="preserve">Comisión €</t>
  </si>
  <si>
    <t xml:space="preserve">EUR recibidos (neto) €</t>
  </si>
  <si>
    <t xml:space="preserve">EJEMPLO · borrar esta fila · reseteo de septiembre</t>
  </si>
  <si>
    <t xml:space="preserve">Resumen de la cartera de opciones</t>
  </si>
  <si>
    <t xml:space="preserve">Operativa en dólares (cuenta USD) y capital del cliente en euros (cuenta EUR). Celdas azules con fondo amarillo: datos a rellenar.</t>
  </si>
  <si>
    <t xml:space="preserve">Datos de la cuenta</t>
  </si>
  <si>
    <t xml:space="preserve">Mes</t>
  </si>
  <si>
    <t xml:space="preserve">Primas $</t>
  </si>
  <si>
    <t xml:space="preserve">Acciones $</t>
  </si>
  <si>
    <t xml:space="preserve">Dividendos $</t>
  </si>
  <si>
    <t xml:space="preserve">Total $</t>
  </si>
  <si>
    <t xml:space="preserve">Nº cierres</t>
  </si>
  <si>
    <t xml:space="preserve">Capital operativo fin de mes $</t>
  </si>
  <si>
    <t xml:space="preserve">Rentab. mes %</t>
  </si>
  <si>
    <t xml:space="preserve">Rentab. acumulada % ($)</t>
  </si>
  <si>
    <t xml:space="preserve">Win rate opciones %</t>
  </si>
  <si>
    <t xml:space="preserve">Cliente</t>
  </si>
  <si>
    <t xml:space="preserve">Capital inicial €</t>
  </si>
  <si>
    <t xml:space="preserve">Tipo de cambio EURUSD inicial</t>
  </si>
  <si>
    <t xml:space="preserve">Tipo de cambio EURUSD actual</t>
  </si>
  <si>
    <t xml:space="preserve">Fecha inicio</t>
  </si>
  <si>
    <t xml:space="preserve">Cuentas</t>
  </si>
  <si>
    <t xml:space="preserve">Cuenta EUR €</t>
  </si>
  <si>
    <t xml:space="preserve">Cuenta USD pendiente de consolidar $</t>
  </si>
  <si>
    <t xml:space="preserve">Cuenta USD en € (al cambio actual)</t>
  </si>
  <si>
    <t xml:space="preserve">Capital total €</t>
  </si>
  <si>
    <t xml:space="preserve">Rentabilidad total % (en €)</t>
  </si>
  <si>
    <t xml:space="preserve">Rentabilidad anualizada % (en €)</t>
  </si>
  <si>
    <t xml:space="preserve">Último reseteo de divisa</t>
  </si>
  <si>
    <t xml:space="preserve">Resultados en dólares (operativa)</t>
  </si>
  <si>
    <t xml:space="preserve">Resultado opciones (primas) $</t>
  </si>
  <si>
    <t xml:space="preserve">Resultado acciones (vendidas / llamadas) $</t>
  </si>
  <si>
    <t xml:space="preserve">Resultado realizado total $</t>
  </si>
  <si>
    <t xml:space="preserve">Rentabilidad operativa % (en $)</t>
  </si>
  <si>
    <t xml:space="preserve">Efecto divisa % (aprox.)</t>
  </si>
  <si>
    <t xml:space="preserve">ARORC medio ponderado opciones %</t>
  </si>
  <si>
    <t xml:space="preserve">Primas netas cobradas $ (créditos)</t>
  </si>
  <si>
    <t xml:space="preserve">Comisiones totales $</t>
  </si>
  <si>
    <t xml:space="preserve">Acciones en cartera (no realizado)</t>
  </si>
  <si>
    <t xml:space="preserve">Lotes en cartera</t>
  </si>
  <si>
    <t xml:space="preserve">Meses futuros vacíos. Primas: por fecha de cierre · Acciones: por fecha de salida · Dividendos: por fecha de cobro. Todo en $.</t>
  </si>
  <si>
    <t xml:space="preserve">Coste acciones en cartera $</t>
  </si>
  <si>
    <t xml:space="preserve">Patrimonio estimado € (capital + latente)</t>
  </si>
  <si>
    <t xml:space="preserve">Nº ops</t>
  </si>
  <si>
    <t xml:space="preserve">Finalizadas</t>
  </si>
  <si>
    <t xml:space="preserve">Asignadas</t>
  </si>
  <si>
    <t xml:space="preserve">Win rate %</t>
  </si>
  <si>
    <t xml:space="preserve">ARORC pond. %</t>
  </si>
  <si>
    <t xml:space="preserve">Operaciones de opciones</t>
  </si>
  <si>
    <t xml:space="preserve">Operaciones totales</t>
  </si>
  <si>
    <t xml:space="preserve">Abiertas</t>
  </si>
  <si>
    <t xml:space="preserve">Ganadoras</t>
  </si>
  <si>
    <t xml:space="preserve">Resultado medio por operación $</t>
  </si>
  <si>
    <t xml:space="preserve">Mejor operación $</t>
  </si>
  <si>
    <t xml:space="preserve">Peor operación $</t>
  </si>
  <si>
    <t xml:space="preserve">Días medios en operación</t>
  </si>
  <si>
    <t xml:space="preserve">% prima capturada medio</t>
  </si>
  <si>
    <t xml:space="preserve">Riesgo actual</t>
  </si>
  <si>
    <t xml:space="preserve">Capital comprometido en opciones abiertas $</t>
  </si>
  <si>
    <t xml:space="preserve">Capital en uso $</t>
  </si>
  <si>
    <t xml:space="preserve">% del capital en uso</t>
  </si>
  <si>
    <t xml:space="preserve">Prima neta en opciones abiertas $</t>
  </si>
  <si>
    <t xml:space="preserve">Avisos pendientes (columnas Control)</t>
  </si>
  <si>
    <t xml:space="preserve">Cómo usar esta plantilla</t>
  </si>
  <si>
    <t xml:space="preserve">Subir a Google Sheets</t>
  </si>
  <si>
    <t xml:space="preserve">1</t>
  </si>
  <si>
    <t xml:space="preserve">En Google Drive: Nuevo → Subir archivo → elige este .xlsx. Ábrelo y Archivo → Guardar como Hojas de cálculo de Google.</t>
  </si>
  <si>
    <t xml:space="preserve">2</t>
  </si>
  <si>
    <t xml:space="preserve">Trabaja siempre sobre la versión de Google Sheets (la que leerá el dashboard web).</t>
  </si>
  <si>
    <t xml:space="preserve">Pestañas</t>
  </si>
  <si>
    <t xml:space="preserve">Operaciones</t>
  </si>
  <si>
    <t xml:space="preserve">Una fila por operación de opciones. Rellena solo las columnas de cabecera AZUL OSCURO; las grises se calculan solas.</t>
  </si>
  <si>
    <t xml:space="preserve">Acciones</t>
  </si>
  <si>
    <t xml:space="preserve">Un lote por cada entrada de acciones (asignación de una put o compra directa) y su salida (venta o call ejecutada).</t>
  </si>
  <si>
    <t xml:space="preserve">Dividendos</t>
  </si>
  <si>
    <t xml:space="preserve">Un cobro por fila, enlazado al lote que lo genera.</t>
  </si>
  <si>
    <t xml:space="preserve">Resumen</t>
  </si>
  <si>
    <t xml:space="preserve">Capital inicial, resultados, mes a mes y por estrategia. Solo se rellenan las celdas amarillas.</t>
  </si>
  <si>
    <t xml:space="preserve">Registrar una opción</t>
  </si>
  <si>
    <t xml:space="preserve">Al abrir: ID, fecha, activo, estrategia, strikes, vencimiento, contratos, precio del subyacente, prima por acción, comisiones y Estado = Abierta.</t>
  </si>
  <si>
    <t xml:space="preserve">Al cerrar: cambia Estado y rellena Fecha cierre (+ Prima cierre si es Cerrada o Rolada, + comisiones de cierre).</t>
  </si>
  <si>
    <t xml:space="preserve">3</t>
  </si>
  <si>
    <t xml:space="preserve">Rolar: marca la original como Rolada con su prima de cierre y crea una fila nueva para la operación nueva.</t>
  </si>
  <si>
    <t xml:space="preserve">Si te asignan una PUT vendida (entran acciones)</t>
  </si>
  <si>
    <t xml:space="preserve">En Operaciones: Estado = Asignada, Fecha cierre = fecha de asignación. La prima se consolida entera (cierre = 0).</t>
  </si>
  <si>
    <t xml:space="preserve">En Acciones: crea un lote nuevo (p. ej. L1) con Origen = Asignación put, ID operación origen, fecha, nº de acciones (contratos × 100) y Precio entrada = STRIKE de la put. Estado = En cartera.</t>
  </si>
  <si>
    <t xml:space="preserve">Vuelve a Operaciones y pon ese ID en 'ID lote acciones' de la put asignada.</t>
  </si>
  <si>
    <t xml:space="preserve">4</t>
  </si>
  <si>
    <t xml:space="preserve">No restes la prima del precio de entrada: la prima ya cuenta en Operaciones. El coste base ajustado (strike − primas − dividendos) se calcula solo en Acciones.</t>
  </si>
  <si>
    <t xml:space="preserve">Calls cubiertas sobre esas acciones</t>
  </si>
  <si>
    <t xml:space="preserve">Regístralas en Operaciones como 'Call cubierta (CC)' con el mismo 'ID lote acciones'. Así se suman al ciclo del lote y su capital no se cuenta dos veces.</t>
  </si>
  <si>
    <t xml:space="preserve">Si la call vence o la cierras, como cualquier operación. Si te la EJECUTAN: en Operaciones Estado = Asignada; en Acciones el lote pasa a 'Llamada por call', con Fecha salida y Precio salida = STRIKE de la call.</t>
  </si>
  <si>
    <t xml:space="preserve">Vender las acciones tú mismo</t>
  </si>
  <si>
    <t xml:space="preserve">En Acciones: Estado = Vendida, Fecha salida, Precio salida y comisiones.</t>
  </si>
  <si>
    <t xml:space="preserve">Cada cobro en una fila: fecha de cobro, activo, ID lote, nº de acciones, dividendo por acción y retención en €. El neto suma al resultado en el mes de cobro.</t>
  </si>
  <si>
    <t xml:space="preserve">Solo cobras el dividendo si tenías las acciones antes de la ex-date. Si te llaman la call antes de la ex-date, no hay dividendo.</t>
  </si>
  <si>
    <t xml:space="preserve">Cómo cuenta cada cosa en el resultado</t>
  </si>
  <si>
    <t xml:space="preserve">Opciones</t>
  </si>
  <si>
    <t xml:space="preserve">Resultado prima €: crédito (prima apertura − prima cierre) × 100 × contratos − comisiones. Asignada = se queda toda la prima.</t>
  </si>
  <si>
    <t xml:space="preserve">Solo al salir: (precio salida − precio entrada) × acciones − comisiones. Mientras están en cartera es plusvalía latente: se muestra aparte, no suma al capital.</t>
  </si>
  <si>
    <t xml:space="preserve">Neto (bruto − retención) en la fecha de cobro.</t>
  </si>
  <si>
    <t xml:space="preserve">Capital actual</t>
  </si>
  <si>
    <t xml:space="preserve">Capital inicial + opciones + acciones realizadas + dividendos. 'Patrimonio estimado' añade la plusvalía latente.</t>
  </si>
  <si>
    <t xml:space="preserve">Ejemplo de rueda</t>
  </si>
  <si>
    <t xml:space="preserve">KO: put 65 vendida (op. 4) → asignada → lote L1 a 65 → dividendo 0,51 → call 68 vendida sobre L1 (op. 5). Mira la fila L1 en Acciones.</t>
  </si>
  <si>
    <t xml:space="preserve">Columnas calculadas</t>
  </si>
  <si>
    <t xml:space="preserve">Capital en riesgo €</t>
  </si>
  <si>
    <t xml:space="preserve">CSP: strike venta × 100 × contratos · CC: precio subyacente × 100 × contratos · Spreads e Iron Condor: ancho × 100 × contratos − prima · Compras: prima pagada · Strangle/Straddle/Otra: manual (columna Q). La columna Q siempre prevalece.</t>
  </si>
  <si>
    <t xml:space="preserve">Annualized Return On Risk Capital = resultado / capital en riesgo × 365 / días en operación.</t>
  </si>
  <si>
    <t xml:space="preserve">ROC máximo / ARORC esperado</t>
  </si>
  <si>
    <t xml:space="preserve">Lo que rendiría si vence sin valor, y anualizado con el DTE de apertura.</t>
  </si>
  <si>
    <t xml:space="preserve">Parte de la prima inicial que te has quedado al cerrar (100 % si vence o se asigna).</t>
  </si>
  <si>
    <t xml:space="preserve">Coste base ajustado</t>
  </si>
  <si>
    <t xml:space="preserve">(Coste de las acciones − primas asociadas − dividendos) / acciones. Precio real al que te salen.</t>
  </si>
  <si>
    <t xml:space="preserve">Iron Condor</t>
  </si>
  <si>
    <t xml:space="preserve">Pon en strikes la pata con más ancho (venta y compra del mismo lado).</t>
  </si>
  <si>
    <t xml:space="preserve">Normas</t>
  </si>
  <si>
    <t xml:space="preserve">Moneda</t>
  </si>
  <si>
    <t xml:space="preserve">La operativa va en USD (primas, strikes, acciones, dividendos y comisiones del bróker). El capital del cliente está en EUR. Cada mes (recomendado, a fin de mes) registra en la pestaña Divisa un reseteo: los USD acumulados que pasan a EUR y el tipo de cambio. El Resumen muestra la cuenta EUR, la cuenta USD pendiente y el capital total en € al cambio actual.</t>
  </si>
  <si>
    <t xml:space="preserve">Filas</t>
  </si>
  <si>
    <t xml:space="preserve">Fórmulas preparadas hasta la fila 1001 en Operaciones, 201 en Acciones y 301 en Dividendos. Para más, copia la última fila hacia abajo.</t>
  </si>
  <si>
    <t xml:space="preserve">Cada pestaña tiene una columna Control que debe decir OK. El Resumen cuenta los avisos pendientes.</t>
  </si>
  <si>
    <t xml:space="preserve">Ejemplos</t>
  </si>
  <si>
    <t xml:space="preserve">Las filas marcadas EJEMPLO usan valores ilustrativos. Bórralas antes de empezar (Operaciones, Acciones y Dividendos).</t>
  </si>
  <si>
    <t xml:space="preserve">Colores</t>
  </si>
  <si>
    <t xml:space="preserve">Azul: datos que introduces · Negro: fórmulas, no editar · Fondo amarillo: datos clave de la cuenta.</t>
  </si>
  <si>
    <t xml:space="preserve">Reseteo de divisa (pestaña Divisa)</t>
  </si>
  <si>
    <t xml:space="preserve">Recomendado: a fin de cada mes. Mira en Resumen la 'Cuenta USD pendiente de consolidar $'.</t>
  </si>
  <si>
    <t xml:space="preserve">Añade una fila en Divisa: fecha, esos USD, el tipo de cambio EURUSD del día (dólares por 1 €) y la comisión si la hay.</t>
  </si>
  <si>
    <t xml:space="preserve">La cuenta USD vuelve a 0 y los euros pasan a la cuenta EUR. Sirve igual si la conversión es real o solo contable.</t>
  </si>
  <si>
    <t xml:space="preserve">Tipo de cambio</t>
  </si>
  <si>
    <t xml:space="preserve">En Resumen: 'inicial' = el del día en que empezó la cuenta (fijo). 'Actual' = GOOGLEFINANCE en Google Sheets.</t>
  </si>
  <si>
    <t xml:space="preserve">Crédito/Débito</t>
  </si>
  <si>
    <t xml:space="preserve">Método capital en riesgo</t>
  </si>
  <si>
    <t xml:space="preserve">Estado lote acciones</t>
  </si>
  <si>
    <t xml:space="preserve">Origen lote</t>
  </si>
  <si>
    <t xml:space="preserve">Put</t>
  </si>
  <si>
    <t xml:space="preserve">Crédito</t>
  </si>
  <si>
    <t xml:space="preserve">Strike</t>
  </si>
  <si>
    <t xml:space="preserve">Call</t>
  </si>
  <si>
    <t xml:space="preserve">Subyacente</t>
  </si>
  <si>
    <t xml:space="preserve">Vendida</t>
  </si>
  <si>
    <t xml:space="preserve">Compra directa</t>
  </si>
  <si>
    <t xml:space="preserve">Ancho</t>
  </si>
  <si>
    <t xml:space="preserve">Rolada</t>
  </si>
  <si>
    <t xml:space="preserve">Llamada por call</t>
  </si>
  <si>
    <t xml:space="preserve">Call Credit Spread</t>
  </si>
  <si>
    <t xml:space="preserve">Mixta</t>
  </si>
  <si>
    <t xml:space="preserve">Strangle vendido</t>
  </si>
  <si>
    <t xml:space="preserve">Manual</t>
  </si>
  <si>
    <t xml:space="preserve">Straddle vendido</t>
  </si>
  <si>
    <t xml:space="preserve">Put comprada</t>
  </si>
  <si>
    <t xml:space="preserve">Débito</t>
  </si>
  <si>
    <t xml:space="preserve">Prima</t>
  </si>
  <si>
    <t xml:space="preserve">Call comprada</t>
  </si>
  <si>
    <t xml:space="preserve">Put Debit Spread</t>
  </si>
  <si>
    <t xml:space="preserve">Call Debit Spread</t>
  </si>
  <si>
    <t xml:space="preserve">Otra</t>
  </si>
  <si>
    <t xml:space="preserve">Puedes añadir estrategias en las filas libres hasta la 20 (con su familia, tipo y método). Métodos: Strike = strike venta × 100 × contratos · Subyacente = precio subyacente × 100 × contratos · Ancho = |strike venta − strike compra| × 100 × contratos − prima · Prima = prima pagada · Manual = rellena 'Capital en riesgo manual' en Operaciones.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</si>
</sst>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dd/mm/yyyy"/>
    <numFmt numFmtId="167" formatCode="#,##0.00;[RED]\-#,##0.00;\-"/>
    <numFmt numFmtId="168" formatCode="\$#,##0.00;[RED]&quot;-$&quot;#,##0.00;\-"/>
    <numFmt numFmtId="169" formatCode="0.0%;[RED]\-0.0%;\-"/>
    <numFmt numFmtId="170" formatCode="mmm\-yy"/>
    <numFmt numFmtId="171" formatCode="#,##0"/>
    <numFmt numFmtId="172" formatCode="#,##0.0000"/>
    <numFmt numFmtId="173" formatCode="0.0000"/>
    <numFmt numFmtId="174" formatCode="#,##0.00&quot; €&quot;;[RED]\-#,##0.00&quot; €&quot;;\-"/>
    <numFmt numFmtId="175" formatCode="0.0%;[RED]\-0.0%;\-"/>
    <numFmt numFmtId="17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808080"/>
        <bgColor rgb="FF969696"/>
      </patternFill>
    </fill>
    <fill>
      <patternFill patternType="solid">
        <fgColor rgb="FF404040"/>
        <bgColor rgb="FF333300"/>
      </patternFill>
    </fill>
    <fill>
      <patternFill patternType="solid">
        <fgColor rgb="FFD9E1F2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E2EFDA"/>
        </patternFill>
      </fill>
    </dxf>
    <dxf>
      <font>
        <name val="Arial"/>
        <charset val="1"/>
        <family val="0"/>
        <color rgb="FF9C0006"/>
      </font>
      <fill>
        <patternFill>
          <bgColor rgb="FFFCE4E4"/>
        </patternFill>
      </fill>
    </dxf>
    <dxf>
      <fill>
        <patternFill>
          <bgColor rgb="FFFFE699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20"/>
    <col collapsed="false" customWidth="true" hidden="false" outlineLevel="0" max="6" min="5" style="1" width="10"/>
    <col collapsed="false" customWidth="true" hidden="false" outlineLevel="0" max="7" min="7" style="1" width="12"/>
    <col collapsed="false" customWidth="true" hidden="false" outlineLevel="0" max="9" min="8" style="1" width="9"/>
    <col collapsed="false" customWidth="true" hidden="false" outlineLevel="0" max="12" min="10" style="1" width="11"/>
    <col collapsed="false" customWidth="true" hidden="false" outlineLevel="0" max="13" min="13" style="1" width="10"/>
    <col collapsed="false" customWidth="true" hidden="false" outlineLevel="0" max="14" min="14" style="1" width="12"/>
    <col collapsed="false" customWidth="true" hidden="false" outlineLevel="0" max="16" min="15" style="1" width="11"/>
    <col collapsed="false" customWidth="true" hidden="false" outlineLevel="0" max="17" min="17" style="1" width="12"/>
    <col collapsed="false" customWidth="true" hidden="false" outlineLevel="0" max="18" min="18" style="1" width="9"/>
    <col collapsed="false" customWidth="true" hidden="false" outlineLevel="0" max="19" min="19" style="1" width="24"/>
    <col collapsed="false" customWidth="true" hidden="false" outlineLevel="0" max="20" min="20" style="1" width="8"/>
    <col collapsed="false" customWidth="true" hidden="false" outlineLevel="0" max="21" min="21" style="1" width="9"/>
    <col collapsed="false" customWidth="true" hidden="false" outlineLevel="0" max="22" min="22" style="1" width="10"/>
    <col collapsed="false" customWidth="true" hidden="false" outlineLevel="0" max="23" min="23" style="1" width="8"/>
    <col collapsed="false" customWidth="true" hidden="false" outlineLevel="0" max="24" min="24" style="1" width="9"/>
    <col collapsed="false" customWidth="true" hidden="false" outlineLevel="0" max="25" min="25" style="1" width="8"/>
    <col collapsed="false" customWidth="true" hidden="false" outlineLevel="0" max="26" min="26" style="1" width="11"/>
    <col collapsed="false" customWidth="true" hidden="false" outlineLevel="0" max="27" min="27" style="1" width="9"/>
    <col collapsed="false" customWidth="true" hidden="false" outlineLevel="0" max="29" min="28" style="1" width="10"/>
    <col collapsed="false" customWidth="true" hidden="false" outlineLevel="0" max="31" min="30" style="1" width="12"/>
    <col collapsed="false" customWidth="true" hidden="false" outlineLevel="0" max="36" min="32" style="1" width="10"/>
    <col collapsed="false" customWidth="true" hidden="false" outlineLevel="0" max="37" min="37" style="1" width="9"/>
    <col collapsed="false" customWidth="true" hidden="false" outlineLevel="0" max="38" min="38" style="1" width="8"/>
    <col collapsed="false" customWidth="true" hidden="false" outlineLevel="0" max="39" min="39" style="1" width="12"/>
    <col collapsed="false" customWidth="true" hidden="false" outlineLevel="0" max="40" min="40" style="1" width="26"/>
  </cols>
  <sheetData>
    <row r="1" customFormat="false" ht="4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3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3" t="s">
        <v>36</v>
      </c>
      <c r="AL1" s="3" t="s">
        <v>37</v>
      </c>
      <c r="AM1" s="3" t="s">
        <v>38</v>
      </c>
      <c r="AN1" s="4" t="s">
        <v>39</v>
      </c>
    </row>
    <row r="2" customFormat="false" ht="15" hidden="false" customHeight="true" outlineLevel="0" collapsed="false">
      <c r="A2" s="5" t="n">
        <v>1</v>
      </c>
      <c r="B2" s="6" t="n">
        <v>46266</v>
      </c>
      <c r="C2" s="7" t="s">
        <v>40</v>
      </c>
      <c r="D2" s="7" t="s">
        <v>41</v>
      </c>
      <c r="E2" s="8" t="n">
        <v>15</v>
      </c>
      <c r="F2" s="8"/>
      <c r="G2" s="6" t="n">
        <v>46291</v>
      </c>
      <c r="H2" s="5" t="n">
        <v>2</v>
      </c>
      <c r="I2" s="5" t="n">
        <v>100</v>
      </c>
      <c r="J2" s="8" t="n">
        <v>16.4</v>
      </c>
      <c r="K2" s="8" t="n">
        <v>0.42</v>
      </c>
      <c r="L2" s="9" t="n">
        <v>2.1</v>
      </c>
      <c r="M2" s="7" t="s">
        <v>42</v>
      </c>
      <c r="N2" s="6" t="n">
        <v>46291</v>
      </c>
      <c r="O2" s="8"/>
      <c r="P2" s="9" t="n">
        <v>0</v>
      </c>
      <c r="Q2" s="9"/>
      <c r="R2" s="7"/>
      <c r="S2" s="7" t="s">
        <v>43</v>
      </c>
      <c r="T2" s="10" t="str">
        <f aca="false">IF($C2="","",IFERROR(INDEX(Listas!$B$2:$B$20,MATCH($D2,Listas!$A$2:$A$20,0)),""))</f>
        <v>Put</v>
      </c>
      <c r="U2" s="10" t="str">
        <f aca="false">IF($C2="","",IFERROR(INDEX(Listas!$C$2:$C$20,MATCH($D2,Listas!$A$2:$A$20,0)),""))</f>
        <v>Crédito</v>
      </c>
      <c r="V2" s="10" t="str">
        <f aca="false">IF($C2="","",IFERROR(INDEX(Listas!$D$2:$D$20,MATCH($D2,Listas!$A$2:$A$20,0)),""))</f>
        <v>Strike</v>
      </c>
      <c r="W2" s="11" t="n">
        <f aca="false">IF(OR($C2="",$B2="",$G2=""),"",$G2-$B2)</f>
        <v>25</v>
      </c>
      <c r="X2" s="11" t="n">
        <f aca="true">IF(OR($C2="",$B2=""),"",IF($N2&lt;&gt;"",$N2,TODAY())-$B2)</f>
        <v>25</v>
      </c>
      <c r="Y2" s="11" t="str">
        <f aca="true">IF(OR($C2="",$M2&lt;&gt;"Abierta",$G2=""),"",MAX($G2-TODAY(),0))</f>
        <v/>
      </c>
      <c r="Z2" s="12" t="n">
        <f aca="false">IF($C2="","",N($K2)*N($H2)*N($I2)*IF($U2="Débito",-1,1))</f>
        <v>84</v>
      </c>
      <c r="AA2" s="13" t="n">
        <f aca="false">IF($C2="","",IF(AND($U2="Débito",$F2&lt;&gt;""),$F2,$E2))</f>
        <v>15</v>
      </c>
      <c r="AB2" s="13" t="n">
        <f aca="false">IF(OR($C2="",$T2="Mixta",$AA2=""),"",IF($V2="Subyacente",IF($J2="","",$J2-$K2),IF($T2="Put",$AA2-$K2,$AA2+$K2)))</f>
        <v>14.58</v>
      </c>
      <c r="AC2" s="14" t="n">
        <f aca="false">IF(OR($C2="",$T2="Mixta",$J2="",$AA2=""),"",IF($T2="Put",($J2-$AA2)/$J2,($AA2-$J2)/$J2))</f>
        <v>0.0853658536585365</v>
      </c>
      <c r="AD2" s="12" t="n">
        <f aca="false">IF($C2="","",IF($Q2&lt;&gt;"",$Q2,IF($V2="Strike",N($E2)*$H2*$I2,IF($V2="Subyacente",IF($J2="","",$J2*$H2*$I2),IF($V2="Ancho",IF($F2="","",ABS($E2-$F2)*$H2*$I2-$K2*$H2*$I2),IF($V2="Prima",$K2*$H2*$I2,""))))))</f>
        <v>3000</v>
      </c>
      <c r="AE2" s="12" t="n">
        <f aca="false">IF(OR($C2="",$M2="Abierta",$M2=""),"",(N($K2)-IF(OR($M2="Cerrada",$M2="Rolada"),N($O2),0))*$H2*$I2*IF($U2="Débito",-1,1)-N($L2)-N($P2))</f>
        <v>81.9</v>
      </c>
      <c r="AF2" s="14" t="n">
        <f aca="false">IF(OR($AE2="",$AD2=""),"",IF($AD2&lt;=0,"",$AE2/$AD2))</f>
        <v>0.0273</v>
      </c>
      <c r="AG2" s="14" t="n">
        <f aca="false">IF($AF2="","",$AF2*365/MAX(N($X2),1))</f>
        <v>0.39858</v>
      </c>
      <c r="AH2" s="14" t="n">
        <f aca="false">IF(OR($C2="",$U2&lt;&gt;"Crédito",$AD2=""),"",IF($AD2&lt;=0,"",($Z2-N($L2))/$AD2))</f>
        <v>0.0273</v>
      </c>
      <c r="AI2" s="14" t="n">
        <f aca="false">IF(OR($AH2="",$W2=""),"",$AH2*365/MAX($W2,1))</f>
        <v>0.39858</v>
      </c>
      <c r="AJ2" s="14" t="n">
        <f aca="false">IF(OR($AE2="",$U2&lt;&gt;"Crédito",N($K2)=0),"",(N($K2)-IF(OR($M2="Cerrada",$M2="Rolada"),N($O2),0))/$K2)</f>
        <v>1</v>
      </c>
      <c r="AK2" s="15" t="n">
        <f aca="false">IF(OR($C2="",$N2=""),"",DATE(YEAR($N2),MONTH($N2),1))</f>
        <v>46266</v>
      </c>
      <c r="AL2" s="11" t="n">
        <f aca="false">IF($C2="","",IF($M2="Abierta",0,1))</f>
        <v>1</v>
      </c>
      <c r="AM2" s="16" t="n">
        <f aca="false">IF(OR($AE2="",$AD2=""),"",$AD2*MAX(N($X2),1))</f>
        <v>75000</v>
      </c>
      <c r="AN2" s="10" t="str">
        <f aca="false">IF($C2="","",IF(OR($B2="",$D2="",$H2="",$K2="",$M2=""),"Faltan datos obligatorios",IF($T2="","Estrategia no reconocida",IF(AND($M2&lt;&gt;"Abierta",$N2=""),"Falta fecha cierre",IF(AND(OR($M2="Cerrada",$M2="Rolada"),$O2=""),"Falta prima cierre",IF(AND($N2&lt;&gt;"",$N2&lt;$B2),"Cierre anterior a apertura",IF(AND($M2="Asignada",$R2=""),"Asignada: falta ID lote acciones",IF(AND($R2&lt;&gt;"",ISNA(MATCH($R2,Acciones!$A$2:$A$201,0))),"El ID lote no existe en Acciones",IF($AD2="","Revisa capital en riesgo","OK")))))))))</f>
        <v>OK</v>
      </c>
    </row>
    <row r="3" customFormat="false" ht="15" hidden="false" customHeight="true" outlineLevel="0" collapsed="false">
      <c r="A3" s="5" t="n">
        <v>2</v>
      </c>
      <c r="B3" s="6" t="n">
        <v>46273</v>
      </c>
      <c r="C3" s="7" t="s">
        <v>44</v>
      </c>
      <c r="D3" s="7" t="s">
        <v>45</v>
      </c>
      <c r="E3" s="8" t="n">
        <v>140</v>
      </c>
      <c r="F3" s="8" t="n">
        <v>135</v>
      </c>
      <c r="G3" s="6" t="n">
        <v>46312</v>
      </c>
      <c r="H3" s="5" t="n">
        <v>1</v>
      </c>
      <c r="I3" s="5" t="n">
        <v>100</v>
      </c>
      <c r="J3" s="8" t="n">
        <v>152.3</v>
      </c>
      <c r="K3" s="8" t="n">
        <v>1.15</v>
      </c>
      <c r="L3" s="9" t="n">
        <v>1.4</v>
      </c>
      <c r="M3" s="7" t="s">
        <v>46</v>
      </c>
      <c r="N3" s="6" t="n">
        <v>46296</v>
      </c>
      <c r="O3" s="8" t="n">
        <v>0.35</v>
      </c>
      <c r="P3" s="9" t="n">
        <v>1.4</v>
      </c>
      <c r="Q3" s="9"/>
      <c r="R3" s="7"/>
      <c r="S3" s="7" t="s">
        <v>43</v>
      </c>
      <c r="T3" s="10" t="str">
        <f aca="false">IF($C3="","",IFERROR(INDEX(Listas!$B$2:$B$20,MATCH($D3,Listas!$A$2:$A$20,0)),""))</f>
        <v>Put</v>
      </c>
      <c r="U3" s="10" t="str">
        <f aca="false">IF($C3="","",IFERROR(INDEX(Listas!$C$2:$C$20,MATCH($D3,Listas!$A$2:$A$20,0)),""))</f>
        <v>Crédito</v>
      </c>
      <c r="V3" s="10" t="str">
        <f aca="false">IF($C3="","",IFERROR(INDEX(Listas!$D$2:$D$20,MATCH($D3,Listas!$A$2:$A$20,0)),""))</f>
        <v>Ancho</v>
      </c>
      <c r="W3" s="11" t="n">
        <f aca="false">IF(OR($C3="",$B3="",$G3=""),"",$G3-$B3)</f>
        <v>39</v>
      </c>
      <c r="X3" s="11" t="n">
        <f aca="true">IF(OR($C3="",$B3=""),"",IF($N3&lt;&gt;"",$N3,TODAY())-$B3)</f>
        <v>23</v>
      </c>
      <c r="Y3" s="11" t="str">
        <f aca="true">IF(OR($C3="",$M3&lt;&gt;"Abierta",$G3=""),"",MAX($G3-TODAY(),0))</f>
        <v/>
      </c>
      <c r="Z3" s="12" t="n">
        <f aca="false">IF($C3="","",N($K3)*N($H3)*N($I3)*IF($U3="Débito",-1,1))</f>
        <v>115</v>
      </c>
      <c r="AA3" s="13" t="n">
        <f aca="false">IF($C3="","",IF(AND($U3="Débito",$F3&lt;&gt;""),$F3,$E3))</f>
        <v>140</v>
      </c>
      <c r="AB3" s="13" t="n">
        <f aca="false">IF(OR($C3="",$T3="Mixta",$AA3=""),"",IF($V3="Subyacente",IF($J3="","",$J3-$K3),IF($T3="Put",$AA3-$K3,$AA3+$K3)))</f>
        <v>138.85</v>
      </c>
      <c r="AC3" s="14" t="n">
        <f aca="false">IF(OR($C3="",$T3="Mixta",$J3="",$AA3=""),"",IF($T3="Put",($J3-$AA3)/$J3,($AA3-$J3)/$J3))</f>
        <v>0.0807616546290217</v>
      </c>
      <c r="AD3" s="12" t="n">
        <f aca="false">IF($C3="","",IF($Q3&lt;&gt;"",$Q3,IF($V3="Strike",N($E3)*$H3*$I3,IF($V3="Subyacente",IF($J3="","",$J3*$H3*$I3),IF($V3="Ancho",IF($F3="","",ABS($E3-$F3)*$H3*$I3-$K3*$H3*$I3),IF($V3="Prima",$K3*$H3*$I3,""))))))</f>
        <v>385</v>
      </c>
      <c r="AE3" s="12" t="n">
        <f aca="false">IF(OR($C3="",$M3="Abierta",$M3=""),"",(N($K3)-IF(OR($M3="Cerrada",$M3="Rolada"),N($O3),0))*$H3*$I3*IF($U3="Débito",-1,1)-N($L3)-N($P3))</f>
        <v>77.2</v>
      </c>
      <c r="AF3" s="14" t="n">
        <f aca="false">IF(OR($AE3="",$AD3=""),"",IF($AD3&lt;=0,"",$AE3/$AD3))</f>
        <v>0.200519480519481</v>
      </c>
      <c r="AG3" s="14" t="n">
        <f aca="false">IF($AF3="","",$AF3*365/MAX(N($X3),1))</f>
        <v>3.18215697346132</v>
      </c>
      <c r="AH3" s="14" t="n">
        <f aca="false">IF(OR($C3="",$U3&lt;&gt;"Crédito",$AD3=""),"",IF($AD3&lt;=0,"",($Z3-N($L3))/$AD3))</f>
        <v>0.295064935064935</v>
      </c>
      <c r="AI3" s="14" t="n">
        <f aca="false">IF(OR($AH3="",$W3=""),"",$AH3*365/MAX($W3,1))</f>
        <v>2.76150516150516</v>
      </c>
      <c r="AJ3" s="14" t="n">
        <f aca="false">IF(OR($AE3="",$U3&lt;&gt;"Crédito",N($K3)=0),"",(N($K3)-IF(OR($M3="Cerrada",$M3="Rolada"),N($O3),0))/$K3)</f>
        <v>0.695652173913044</v>
      </c>
      <c r="AK3" s="15" t="n">
        <f aca="false">IF(OR($C3="",$N3=""),"",DATE(YEAR($N3),MONTH($N3),1))</f>
        <v>46296</v>
      </c>
      <c r="AL3" s="11" t="n">
        <f aca="false">IF($C3="","",IF($M3="Abierta",0,1))</f>
        <v>1</v>
      </c>
      <c r="AM3" s="16" t="n">
        <f aca="false">IF(OR($AE3="",$AD3=""),"",$AD3*MAX(N($X3),1))</f>
        <v>8855</v>
      </c>
      <c r="AN3" s="10" t="str">
        <f aca="false">IF($C3="","",IF(OR($B3="",$D3="",$H3="",$K3="",$M3=""),"Faltan datos obligatorios",IF($T3="","Estrategia no reconocida",IF(AND($M3&lt;&gt;"Abierta",$N3=""),"Falta fecha cierre",IF(AND(OR($M3="Cerrada",$M3="Rolada"),$O3=""),"Falta prima cierre",IF(AND($N3&lt;&gt;"",$N3&lt;$B3),"Cierre anterior a apertura",IF(AND($M3="Asignada",$R3=""),"Asignada: falta ID lote acciones",IF(AND($R3&lt;&gt;"",ISNA(MATCH($R3,Acciones!$A$2:$A$201,0))),"El ID lote no existe en Acciones",IF($AD3="","Revisa capital en riesgo","OK")))))))))</f>
        <v>OK</v>
      </c>
    </row>
    <row r="4" customFormat="false" ht="15" hidden="false" customHeight="true" outlineLevel="0" collapsed="false">
      <c r="A4" s="5" t="n">
        <v>3</v>
      </c>
      <c r="B4" s="6" t="n">
        <v>46296</v>
      </c>
      <c r="C4" s="7" t="s">
        <v>47</v>
      </c>
      <c r="D4" s="7" t="s">
        <v>41</v>
      </c>
      <c r="E4" s="8" t="n">
        <v>22</v>
      </c>
      <c r="F4" s="8"/>
      <c r="G4" s="6" t="n">
        <v>46325</v>
      </c>
      <c r="H4" s="5" t="n">
        <v>2</v>
      </c>
      <c r="I4" s="5" t="n">
        <v>100</v>
      </c>
      <c r="J4" s="8" t="n">
        <v>23.8</v>
      </c>
      <c r="K4" s="8" t="n">
        <v>0.55</v>
      </c>
      <c r="L4" s="9" t="n">
        <v>2.1</v>
      </c>
      <c r="M4" s="7" t="s">
        <v>48</v>
      </c>
      <c r="N4" s="6"/>
      <c r="O4" s="8"/>
      <c r="P4" s="9"/>
      <c r="Q4" s="9"/>
      <c r="R4" s="7"/>
      <c r="S4" s="7" t="s">
        <v>43</v>
      </c>
      <c r="T4" s="10" t="str">
        <f aca="false">IF($C4="","",IFERROR(INDEX(Listas!$B$2:$B$20,MATCH($D4,Listas!$A$2:$A$20,0)),""))</f>
        <v>Put</v>
      </c>
      <c r="U4" s="10" t="str">
        <f aca="false">IF($C4="","",IFERROR(INDEX(Listas!$C$2:$C$20,MATCH($D4,Listas!$A$2:$A$20,0)),""))</f>
        <v>Crédito</v>
      </c>
      <c r="V4" s="10" t="str">
        <f aca="false">IF($C4="","",IFERROR(INDEX(Listas!$D$2:$D$20,MATCH($D4,Listas!$A$2:$A$20,0)),""))</f>
        <v>Strike</v>
      </c>
      <c r="W4" s="11" t="n">
        <f aca="false">IF(OR($C4="",$B4="",$G4=""),"",$G4-$B4)</f>
        <v>29</v>
      </c>
      <c r="X4" s="11" t="n">
        <f aca="true">IF(OR($C4="",$B4=""),"",IF($N4&lt;&gt;"",$N4,TODAY())-$B4)</f>
        <v>12</v>
      </c>
      <c r="Y4" s="11" t="n">
        <f aca="true">IF(OR($C4="",$M4&lt;&gt;"Abierta",$G4=""),"",MAX($G4-TODAY(),0))</f>
        <v>17</v>
      </c>
      <c r="Z4" s="12" t="n">
        <f aca="false">IF($C4="","",N($K4)*N($H4)*N($I4)*IF($U4="Débito",-1,1))</f>
        <v>110</v>
      </c>
      <c r="AA4" s="13" t="n">
        <f aca="false">IF($C4="","",IF(AND($U4="Débito",$F4&lt;&gt;""),$F4,$E4))</f>
        <v>22</v>
      </c>
      <c r="AB4" s="13" t="n">
        <f aca="false">IF(OR($C4="",$T4="Mixta",$AA4=""),"",IF($V4="Subyacente",IF($J4="","",$J4-$K4),IF($T4="Put",$AA4-$K4,$AA4+$K4)))</f>
        <v>21.45</v>
      </c>
      <c r="AC4" s="14" t="n">
        <f aca="false">IF(OR($C4="",$T4="Mixta",$J4="",$AA4=""),"",IF($T4="Put",($J4-$AA4)/$J4,($AA4-$J4)/$J4))</f>
        <v>0.0756302521008404</v>
      </c>
      <c r="AD4" s="12" t="n">
        <f aca="false">IF($C4="","",IF($Q4&lt;&gt;"",$Q4,IF($V4="Strike",N($E4)*$H4*$I4,IF($V4="Subyacente",IF($J4="","",$J4*$H4*$I4),IF($V4="Ancho",IF($F4="","",ABS($E4-$F4)*$H4*$I4-$K4*$H4*$I4),IF($V4="Prima",$K4*$H4*$I4,""))))))</f>
        <v>4400</v>
      </c>
      <c r="AE4" s="12" t="str">
        <f aca="false">IF(OR($C4="",$M4="Abierta",$M4=""),"",(N($K4)-IF(OR($M4="Cerrada",$M4="Rolada"),N($O4),0))*$H4*$I4*IF($U4="Débito",-1,1)-N($L4)-N($P4))</f>
        <v/>
      </c>
      <c r="AF4" s="14" t="str">
        <f aca="false">IF(OR($AE4="",$AD4=""),"",IF($AD4&lt;=0,"",$AE4/$AD4))</f>
        <v/>
      </c>
      <c r="AG4" s="14" t="str">
        <f aca="false">IF($AF4="","",$AF4*365/MAX(N($X4),1))</f>
        <v/>
      </c>
      <c r="AH4" s="14" t="n">
        <f aca="false">IF(OR($C4="",$U4&lt;&gt;"Crédito",$AD4=""),"",IF($AD4&lt;=0,"",($Z4-N($L4))/$AD4))</f>
        <v>0.0245227272727273</v>
      </c>
      <c r="AI4" s="14" t="n">
        <f aca="false">IF(OR($AH4="",$W4=""),"",$AH4*365/MAX($W4,1))</f>
        <v>0.308648119122257</v>
      </c>
      <c r="AJ4" s="14" t="str">
        <f aca="false">IF(OR($AE4="",$U4&lt;&gt;"Crédito",N($K4)=0),"",(N($K4)-IF(OR($M4="Cerrada",$M4="Rolada"),N($O4),0))/$K4)</f>
        <v/>
      </c>
      <c r="AK4" s="15" t="str">
        <f aca="false">IF(OR($C4="",$N4=""),"",DATE(YEAR($N4),MONTH($N4),1))</f>
        <v/>
      </c>
      <c r="AL4" s="11" t="n">
        <f aca="false">IF($C4="","",IF($M4="Abierta",0,1))</f>
        <v>0</v>
      </c>
      <c r="AM4" s="16" t="str">
        <f aca="false">IF(OR($AE4="",$AD4=""),"",$AD4*MAX(N($X4),1))</f>
        <v/>
      </c>
      <c r="AN4" s="10" t="str">
        <f aca="false">IF($C4="","",IF(OR($B4="",$D4="",$H4="",$K4="",$M4=""),"Faltan datos obligatorios",IF($T4="","Estrategia no reconocida",IF(AND($M4&lt;&gt;"Abierta",$N4=""),"Falta fecha cierre",IF(AND(OR($M4="Cerrada",$M4="Rolada"),$O4=""),"Falta prima cierre",IF(AND($N4&lt;&gt;"",$N4&lt;$B4),"Cierre anterior a apertura",IF(AND($M4="Asignada",$R4=""),"Asignada: falta ID lote acciones",IF(AND($R4&lt;&gt;"",ISNA(MATCH($R4,Acciones!$A$2:$A$201,0))),"El ID lote no existe en Acciones",IF($AD4="","Revisa capital en riesgo","OK")))))))))</f>
        <v>OK</v>
      </c>
    </row>
    <row r="5" customFormat="false" ht="15" hidden="false" customHeight="true" outlineLevel="0" collapsed="false">
      <c r="A5" s="5" t="n">
        <v>4</v>
      </c>
      <c r="B5" s="6" t="n">
        <v>46259</v>
      </c>
      <c r="C5" s="7" t="s">
        <v>49</v>
      </c>
      <c r="D5" s="7" t="s">
        <v>41</v>
      </c>
      <c r="E5" s="8" t="n">
        <v>65</v>
      </c>
      <c r="F5" s="8"/>
      <c r="G5" s="6" t="n">
        <v>46283</v>
      </c>
      <c r="H5" s="5" t="n">
        <v>1</v>
      </c>
      <c r="I5" s="5" t="n">
        <v>100</v>
      </c>
      <c r="J5" s="8" t="n">
        <v>66.1</v>
      </c>
      <c r="K5" s="8" t="n">
        <v>0.8</v>
      </c>
      <c r="L5" s="9" t="n">
        <v>1.05</v>
      </c>
      <c r="M5" s="7" t="s">
        <v>50</v>
      </c>
      <c r="N5" s="6" t="n">
        <v>46283</v>
      </c>
      <c r="O5" s="8"/>
      <c r="P5" s="9"/>
      <c r="Q5" s="9"/>
      <c r="R5" s="7" t="s">
        <v>51</v>
      </c>
      <c r="S5" s="7" t="s">
        <v>52</v>
      </c>
      <c r="T5" s="10" t="str">
        <f aca="false">IF($C5="","",IFERROR(INDEX(Listas!$B$2:$B$20,MATCH($D5,Listas!$A$2:$A$20,0)),""))</f>
        <v>Put</v>
      </c>
      <c r="U5" s="10" t="str">
        <f aca="false">IF($C5="","",IFERROR(INDEX(Listas!$C$2:$C$20,MATCH($D5,Listas!$A$2:$A$20,0)),""))</f>
        <v>Crédito</v>
      </c>
      <c r="V5" s="10" t="str">
        <f aca="false">IF($C5="","",IFERROR(INDEX(Listas!$D$2:$D$20,MATCH($D5,Listas!$A$2:$A$20,0)),""))</f>
        <v>Strike</v>
      </c>
      <c r="W5" s="11" t="n">
        <f aca="false">IF(OR($C5="",$B5="",$G5=""),"",$G5-$B5)</f>
        <v>24</v>
      </c>
      <c r="X5" s="11" t="n">
        <f aca="true">IF(OR($C5="",$B5=""),"",IF($N5&lt;&gt;"",$N5,TODAY())-$B5)</f>
        <v>24</v>
      </c>
      <c r="Y5" s="11" t="str">
        <f aca="true">IF(OR($C5="",$M5&lt;&gt;"Abierta",$G5=""),"",MAX($G5-TODAY(),0))</f>
        <v/>
      </c>
      <c r="Z5" s="12" t="n">
        <f aca="false">IF($C5="","",N($K5)*N($H5)*N($I5)*IF($U5="Débito",-1,1))</f>
        <v>80</v>
      </c>
      <c r="AA5" s="13" t="n">
        <f aca="false">IF($C5="","",IF(AND($U5="Débito",$F5&lt;&gt;""),$F5,$E5))</f>
        <v>65</v>
      </c>
      <c r="AB5" s="13" t="n">
        <f aca="false">IF(OR($C5="",$T5="Mixta",$AA5=""),"",IF($V5="Subyacente",IF($J5="","",$J5-$K5),IF($T5="Put",$AA5-$K5,$AA5+$K5)))</f>
        <v>64.2</v>
      </c>
      <c r="AC5" s="14" t="n">
        <f aca="false">IF(OR($C5="",$T5="Mixta",$J5="",$AA5=""),"",IF($T5="Put",($J5-$AA5)/$J5,($AA5-$J5)/$J5))</f>
        <v>0.0166414523449318</v>
      </c>
      <c r="AD5" s="12" t="n">
        <f aca="false">IF($C5="","",IF($Q5&lt;&gt;"",$Q5,IF($V5="Strike",N($E5)*$H5*$I5,IF($V5="Subyacente",IF($J5="","",$J5*$H5*$I5),IF($V5="Ancho",IF($F5="","",ABS($E5-$F5)*$H5*$I5-$K5*$H5*$I5),IF($V5="Prima",$K5*$H5*$I5,""))))))</f>
        <v>6500</v>
      </c>
      <c r="AE5" s="12" t="n">
        <f aca="false">IF(OR($C5="",$M5="Abierta",$M5=""),"",(N($K5)-IF(OR($M5="Cerrada",$M5="Rolada"),N($O5),0))*$H5*$I5*IF($U5="Débito",-1,1)-N($L5)-N($P5))</f>
        <v>78.95</v>
      </c>
      <c r="AF5" s="14" t="n">
        <f aca="false">IF(OR($AE5="",$AD5=""),"",IF($AD5&lt;=0,"",$AE5/$AD5))</f>
        <v>0.0121461538461538</v>
      </c>
      <c r="AG5" s="14" t="n">
        <f aca="false">IF($AF5="","",$AF5*365/MAX(N($X5),1))</f>
        <v>0.184722756410256</v>
      </c>
      <c r="AH5" s="14" t="n">
        <f aca="false">IF(OR($C5="",$U5&lt;&gt;"Crédito",$AD5=""),"",IF($AD5&lt;=0,"",($Z5-N($L5))/$AD5))</f>
        <v>0.0121461538461538</v>
      </c>
      <c r="AI5" s="14" t="n">
        <f aca="false">IF(OR($AH5="",$W5=""),"",$AH5*365/MAX($W5,1))</f>
        <v>0.184722756410256</v>
      </c>
      <c r="AJ5" s="14" t="n">
        <f aca="false">IF(OR($AE5="",$U5&lt;&gt;"Crédito",N($K5)=0),"",(N($K5)-IF(OR($M5="Cerrada",$M5="Rolada"),N($O5),0))/$K5)</f>
        <v>1</v>
      </c>
      <c r="AK5" s="15" t="n">
        <f aca="false">IF(OR($C5="",$N5=""),"",DATE(YEAR($N5),MONTH($N5),1))</f>
        <v>46266</v>
      </c>
      <c r="AL5" s="11" t="n">
        <f aca="false">IF($C5="","",IF($M5="Abierta",0,1))</f>
        <v>1</v>
      </c>
      <c r="AM5" s="16" t="n">
        <f aca="false">IF(OR($AE5="",$AD5=""),"",$AD5*MAX(N($X5),1))</f>
        <v>156000</v>
      </c>
      <c r="AN5" s="10" t="str">
        <f aca="false">IF($C5="","",IF(OR($B5="",$D5="",$H5="",$K5="",$M5=""),"Faltan datos obligatorios",IF($T5="","Estrategia no reconocida",IF(AND($M5&lt;&gt;"Abierta",$N5=""),"Falta fecha cierre",IF(AND(OR($M5="Cerrada",$M5="Rolada"),$O5=""),"Falta prima cierre",IF(AND($N5&lt;&gt;"",$N5&lt;$B5),"Cierre anterior a apertura",IF(AND($M5="Asignada",$R5=""),"Asignada: falta ID lote acciones",IF(AND($R5&lt;&gt;"",ISNA(MATCH($R5,Acciones!$A$2:$A$201,0))),"El ID lote no existe en Acciones",IF($AD5="","Revisa capital en riesgo","OK")))))))))</f>
        <v>OK</v>
      </c>
    </row>
    <row r="6" customFormat="false" ht="15" hidden="false" customHeight="true" outlineLevel="0" collapsed="false">
      <c r="A6" s="5" t="n">
        <v>5</v>
      </c>
      <c r="B6" s="6" t="n">
        <v>46287</v>
      </c>
      <c r="C6" s="7" t="s">
        <v>49</v>
      </c>
      <c r="D6" s="7" t="s">
        <v>53</v>
      </c>
      <c r="E6" s="8" t="n">
        <v>68</v>
      </c>
      <c r="F6" s="8"/>
      <c r="G6" s="6" t="n">
        <v>46312</v>
      </c>
      <c r="H6" s="5" t="n">
        <v>1</v>
      </c>
      <c r="I6" s="5" t="n">
        <v>100</v>
      </c>
      <c r="J6" s="8" t="n">
        <v>65.4</v>
      </c>
      <c r="K6" s="8" t="n">
        <v>0.45</v>
      </c>
      <c r="L6" s="9" t="n">
        <v>1.05</v>
      </c>
      <c r="M6" s="7" t="s">
        <v>48</v>
      </c>
      <c r="N6" s="6"/>
      <c r="O6" s="8"/>
      <c r="P6" s="9"/>
      <c r="Q6" s="9"/>
      <c r="R6" s="7" t="s">
        <v>51</v>
      </c>
      <c r="S6" s="7" t="s">
        <v>54</v>
      </c>
      <c r="T6" s="10" t="str">
        <f aca="false">IF($C6="","",IFERROR(INDEX(Listas!$B$2:$B$20,MATCH($D6,Listas!$A$2:$A$20,0)),""))</f>
        <v>Call</v>
      </c>
      <c r="U6" s="10" t="str">
        <f aca="false">IF($C6="","",IFERROR(INDEX(Listas!$C$2:$C$20,MATCH($D6,Listas!$A$2:$A$20,0)),""))</f>
        <v>Crédito</v>
      </c>
      <c r="V6" s="10" t="str">
        <f aca="false">IF($C6="","",IFERROR(INDEX(Listas!$D$2:$D$20,MATCH($D6,Listas!$A$2:$A$20,0)),""))</f>
        <v>Subyacente</v>
      </c>
      <c r="W6" s="11" t="n">
        <f aca="false">IF(OR($C6="",$B6="",$G6=""),"",$G6-$B6)</f>
        <v>25</v>
      </c>
      <c r="X6" s="11" t="n">
        <f aca="true">IF(OR($C6="",$B6=""),"",IF($N6&lt;&gt;"",$N6,TODAY())-$B6)</f>
        <v>21</v>
      </c>
      <c r="Y6" s="11" t="n">
        <f aca="true">IF(OR($C6="",$M6&lt;&gt;"Abierta",$G6=""),"",MAX($G6-TODAY(),0))</f>
        <v>4</v>
      </c>
      <c r="Z6" s="12" t="n">
        <f aca="false">IF($C6="","",N($K6)*N($H6)*N($I6)*IF($U6="Débito",-1,1))</f>
        <v>45</v>
      </c>
      <c r="AA6" s="13" t="n">
        <f aca="false">IF($C6="","",IF(AND($U6="Débito",$F6&lt;&gt;""),$F6,$E6))</f>
        <v>68</v>
      </c>
      <c r="AB6" s="13" t="n">
        <f aca="false">IF(OR($C6="",$T6="Mixta",$AA6=""),"",IF($V6="Subyacente",IF($J6="","",$J6-$K6),IF($T6="Put",$AA6-$K6,$AA6+$K6)))</f>
        <v>64.95</v>
      </c>
      <c r="AC6" s="14" t="n">
        <f aca="false">IF(OR($C6="",$T6="Mixta",$J6="",$AA6=""),"",IF($T6="Put",($J6-$AA6)/$J6,($AA6-$J6)/$J6))</f>
        <v>0.0397553516819571</v>
      </c>
      <c r="AD6" s="12" t="n">
        <f aca="false">IF($C6="","",IF($Q6&lt;&gt;"",$Q6,IF($V6="Strike",N($E6)*$H6*$I6,IF($V6="Subyacente",IF($J6="","",$J6*$H6*$I6),IF($V6="Ancho",IF($F6="","",ABS($E6-$F6)*$H6*$I6-$K6*$H6*$I6),IF($V6="Prima",$K6*$H6*$I6,""))))))</f>
        <v>6540</v>
      </c>
      <c r="AE6" s="12" t="str">
        <f aca="false">IF(OR($C6="",$M6="Abierta",$M6=""),"",(N($K6)-IF(OR($M6="Cerrada",$M6="Rolada"),N($O6),0))*$H6*$I6*IF($U6="Débito",-1,1)-N($L6)-N($P6))</f>
        <v/>
      </c>
      <c r="AF6" s="14" t="str">
        <f aca="false">IF(OR($AE6="",$AD6=""),"",IF($AD6&lt;=0,"",$AE6/$AD6))</f>
        <v/>
      </c>
      <c r="AG6" s="14" t="str">
        <f aca="false">IF($AF6="","",$AF6*365/MAX(N($X6),1))</f>
        <v/>
      </c>
      <c r="AH6" s="14" t="n">
        <f aca="false">IF(OR($C6="",$U6&lt;&gt;"Crédito",$AD6=""),"",IF($AD6&lt;=0,"",($Z6-N($L6))/$AD6))</f>
        <v>0.00672018348623853</v>
      </c>
      <c r="AI6" s="14" t="n">
        <f aca="false">IF(OR($AH6="",$W6=""),"",$AH6*365/MAX($W6,1))</f>
        <v>0.0981146788990826</v>
      </c>
      <c r="AJ6" s="14" t="str">
        <f aca="false">IF(OR($AE6="",$U6&lt;&gt;"Crédito",N($K6)=0),"",(N($K6)-IF(OR($M6="Cerrada",$M6="Rolada"),N($O6),0))/$K6)</f>
        <v/>
      </c>
      <c r="AK6" s="15" t="str">
        <f aca="false">IF(OR($C6="",$N6=""),"",DATE(YEAR($N6),MONTH($N6),1))</f>
        <v/>
      </c>
      <c r="AL6" s="11" t="n">
        <f aca="false">IF($C6="","",IF($M6="Abierta",0,1))</f>
        <v>0</v>
      </c>
      <c r="AM6" s="16" t="str">
        <f aca="false">IF(OR($AE6="",$AD6=""),"",$AD6*MAX(N($X6),1))</f>
        <v/>
      </c>
      <c r="AN6" s="10" t="str">
        <f aca="false">IF($C6="","",IF(OR($B6="",$D6="",$H6="",$K6="",$M6=""),"Faltan datos obligatorios",IF($T6="","Estrategia no reconocida",IF(AND($M6&lt;&gt;"Abierta",$N6=""),"Falta fecha cierre",IF(AND(OR($M6="Cerrada",$M6="Rolada"),$O6=""),"Falta prima cierre",IF(AND($N6&lt;&gt;"",$N6&lt;$B6),"Cierre anterior a apertura",IF(AND($M6="Asignada",$R6=""),"Asignada: falta ID lote acciones",IF(AND($R6&lt;&gt;"",ISNA(MATCH($R6,Acciones!$A$2:$A$201,0))),"El ID lote no existe en Acciones",IF($AD6="","Revisa capital en riesgo","OK")))))))))</f>
        <v>OK</v>
      </c>
    </row>
    <row r="7" customFormat="false" ht="15" hidden="false" customHeight="true" outlineLevel="0" collapsed="false">
      <c r="A7" s="5"/>
      <c r="B7" s="6"/>
      <c r="C7" s="7"/>
      <c r="D7" s="7"/>
      <c r="E7" s="8"/>
      <c r="F7" s="8"/>
      <c r="G7" s="6"/>
      <c r="H7" s="5"/>
      <c r="I7" s="5" t="n">
        <v>100</v>
      </c>
      <c r="J7" s="8"/>
      <c r="K7" s="8"/>
      <c r="L7" s="9"/>
      <c r="M7" s="7"/>
      <c r="N7" s="6"/>
      <c r="O7" s="8"/>
      <c r="P7" s="9"/>
      <c r="Q7" s="9"/>
      <c r="R7" s="7"/>
      <c r="S7" s="7"/>
      <c r="T7" s="10" t="str">
        <f aca="false">IF($C7="","",IFERROR(INDEX(Listas!$B$2:$B$20,MATCH($D7,Listas!$A$2:$A$20,0)),""))</f>
        <v/>
      </c>
      <c r="U7" s="10" t="str">
        <f aca="false">IF($C7="","",IFERROR(INDEX(Listas!$C$2:$C$20,MATCH($D7,Listas!$A$2:$A$20,0)),""))</f>
        <v/>
      </c>
      <c r="V7" s="10" t="str">
        <f aca="false">IF($C7="","",IFERROR(INDEX(Listas!$D$2:$D$20,MATCH($D7,Listas!$A$2:$A$20,0)),""))</f>
        <v/>
      </c>
      <c r="W7" s="11" t="str">
        <f aca="false">IF(OR($C7="",$B7="",$G7=""),"",$G7-$B7)</f>
        <v/>
      </c>
      <c r="X7" s="11" t="str">
        <f aca="true">IF(OR($C7="",$B7=""),"",IF($N7&lt;&gt;"",$N7,TODAY())-$B7)</f>
        <v/>
      </c>
      <c r="Y7" s="11" t="str">
        <f aca="true">IF(OR($C7="",$M7&lt;&gt;"Abierta",$G7=""),"",MAX($G7-TODAY(),0))</f>
        <v/>
      </c>
      <c r="Z7" s="12" t="str">
        <f aca="false">IF($C7="","",N($K7)*N($H7)*N($I7)*IF($U7="Débito",-1,1))</f>
        <v/>
      </c>
      <c r="AA7" s="13" t="str">
        <f aca="false">IF($C7="","",IF(AND($U7="Débito",$F7&lt;&gt;""),$F7,$E7))</f>
        <v/>
      </c>
      <c r="AB7" s="13" t="str">
        <f aca="false">IF(OR($C7="",$T7="Mixta",$AA7=""),"",IF($V7="Subyacente",IF($J7="","",$J7-$K7),IF($T7="Put",$AA7-$K7,$AA7+$K7)))</f>
        <v/>
      </c>
      <c r="AC7" s="14" t="str">
        <f aca="false">IF(OR($C7="",$T7="Mixta",$J7="",$AA7=""),"",IF($T7="Put",($J7-$AA7)/$J7,($AA7-$J7)/$J7))</f>
        <v/>
      </c>
      <c r="AD7" s="12" t="str">
        <f aca="false">IF($C7="","",IF($Q7&lt;&gt;"",$Q7,IF($V7="Strike",N($E7)*$H7*$I7,IF($V7="Subyacente",IF($J7="","",$J7*$H7*$I7),IF($V7="Ancho",IF($F7="","",ABS($E7-$F7)*$H7*$I7-$K7*$H7*$I7),IF($V7="Prima",$K7*$H7*$I7,""))))))</f>
        <v/>
      </c>
      <c r="AE7" s="12" t="str">
        <f aca="false">IF(OR($C7="",$M7="Abierta",$M7=""),"",(N($K7)-IF(OR($M7="Cerrada",$M7="Rolada"),N($O7),0))*$H7*$I7*IF($U7="Débito",-1,1)-N($L7)-N($P7))</f>
        <v/>
      </c>
      <c r="AF7" s="14" t="str">
        <f aca="false">IF(OR($AE7="",$AD7=""),"",IF($AD7&lt;=0,"",$AE7/$AD7))</f>
        <v/>
      </c>
      <c r="AG7" s="14" t="str">
        <f aca="false">IF($AF7="","",$AF7*365/MAX(N($X7),1))</f>
        <v/>
      </c>
      <c r="AH7" s="14" t="str">
        <f aca="false">IF(OR($C7="",$U7&lt;&gt;"Crédito",$AD7=""),"",IF($AD7&lt;=0,"",($Z7-N($L7))/$AD7))</f>
        <v/>
      </c>
      <c r="AI7" s="14" t="str">
        <f aca="false">IF(OR($AH7="",$W7=""),"",$AH7*365/MAX($W7,1))</f>
        <v/>
      </c>
      <c r="AJ7" s="14" t="str">
        <f aca="false">IF(OR($AE7="",$U7&lt;&gt;"Crédito",N($K7)=0),"",(N($K7)-IF(OR($M7="Cerrada",$M7="Rolada"),N($O7),0))/$K7)</f>
        <v/>
      </c>
      <c r="AK7" s="15" t="str">
        <f aca="false">IF(OR($C7="",$N7=""),"",DATE(YEAR($N7),MONTH($N7),1))</f>
        <v/>
      </c>
      <c r="AL7" s="11" t="str">
        <f aca="false">IF($C7="","",IF($M7="Abierta",0,1))</f>
        <v/>
      </c>
      <c r="AM7" s="16" t="str">
        <f aca="false">IF(OR($AE7="",$AD7=""),"",$AD7*MAX(N($X7),1))</f>
        <v/>
      </c>
      <c r="AN7" s="10" t="str">
        <f aca="false">IF($C7="","",IF(OR($B7="",$D7="",$H7="",$K7="",$M7=""),"Faltan datos obligatorios",IF($T7="","Estrategia no reconocida",IF(AND($M7&lt;&gt;"Abierta",$N7=""),"Falta fecha cierre",IF(AND(OR($M7="Cerrada",$M7="Rolada"),$O7=""),"Falta prima cierre",IF(AND($N7&lt;&gt;"",$N7&lt;$B7),"Cierre anterior a apertura",IF(AND($M7="Asignada",$R7=""),"Asignada: falta ID lote acciones",IF(AND($R7&lt;&gt;"",ISNA(MATCH($R7,Acciones!$A$2:$A$201,0))),"El ID lote no existe en Acciones",IF($AD7="","Revisa capital en riesgo","OK")))))))))</f>
        <v/>
      </c>
    </row>
    <row r="8" customFormat="false" ht="15" hidden="false" customHeight="true" outlineLevel="0" collapsed="false">
      <c r="A8" s="5"/>
      <c r="B8" s="6"/>
      <c r="C8" s="7"/>
      <c r="D8" s="7"/>
      <c r="E8" s="8"/>
      <c r="F8" s="8"/>
      <c r="G8" s="6"/>
      <c r="H8" s="5"/>
      <c r="I8" s="5" t="n">
        <v>100</v>
      </c>
      <c r="J8" s="8"/>
      <c r="K8" s="8"/>
      <c r="L8" s="9"/>
      <c r="M8" s="7"/>
      <c r="N8" s="6"/>
      <c r="O8" s="8"/>
      <c r="P8" s="9"/>
      <c r="Q8" s="9"/>
      <c r="R8" s="7"/>
      <c r="S8" s="7"/>
      <c r="T8" s="10" t="str">
        <f aca="false">IF($C8="","",IFERROR(INDEX(Listas!$B$2:$B$20,MATCH($D8,Listas!$A$2:$A$20,0)),""))</f>
        <v/>
      </c>
      <c r="U8" s="10" t="str">
        <f aca="false">IF($C8="","",IFERROR(INDEX(Listas!$C$2:$C$20,MATCH($D8,Listas!$A$2:$A$20,0)),""))</f>
        <v/>
      </c>
      <c r="V8" s="10" t="str">
        <f aca="false">IF($C8="","",IFERROR(INDEX(Listas!$D$2:$D$20,MATCH($D8,Listas!$A$2:$A$20,0)),""))</f>
        <v/>
      </c>
      <c r="W8" s="11" t="str">
        <f aca="false">IF(OR($C8="",$B8="",$G8=""),"",$G8-$B8)</f>
        <v/>
      </c>
      <c r="X8" s="11" t="str">
        <f aca="true">IF(OR($C8="",$B8=""),"",IF($N8&lt;&gt;"",$N8,TODAY())-$B8)</f>
        <v/>
      </c>
      <c r="Y8" s="11" t="str">
        <f aca="true">IF(OR($C8="",$M8&lt;&gt;"Abierta",$G8=""),"",MAX($G8-TODAY(),0))</f>
        <v/>
      </c>
      <c r="Z8" s="12" t="str">
        <f aca="false">IF($C8="","",N($K8)*N($H8)*N($I8)*IF($U8="Débito",-1,1))</f>
        <v/>
      </c>
      <c r="AA8" s="13" t="str">
        <f aca="false">IF($C8="","",IF(AND($U8="Débito",$F8&lt;&gt;""),$F8,$E8))</f>
        <v/>
      </c>
      <c r="AB8" s="13" t="str">
        <f aca="false">IF(OR($C8="",$T8="Mixta",$AA8=""),"",IF($V8="Subyacente",IF($J8="","",$J8-$K8),IF($T8="Put",$AA8-$K8,$AA8+$K8)))</f>
        <v/>
      </c>
      <c r="AC8" s="14" t="str">
        <f aca="false">IF(OR($C8="",$T8="Mixta",$J8="",$AA8=""),"",IF($T8="Put",($J8-$AA8)/$J8,($AA8-$J8)/$J8))</f>
        <v/>
      </c>
      <c r="AD8" s="12" t="str">
        <f aca="false">IF($C8="","",IF($Q8&lt;&gt;"",$Q8,IF($V8="Strike",N($E8)*$H8*$I8,IF($V8="Subyacente",IF($J8="","",$J8*$H8*$I8),IF($V8="Ancho",IF($F8="","",ABS($E8-$F8)*$H8*$I8-$K8*$H8*$I8),IF($V8="Prima",$K8*$H8*$I8,""))))))</f>
        <v/>
      </c>
      <c r="AE8" s="12" t="str">
        <f aca="false">IF(OR($C8="",$M8="Abierta",$M8=""),"",(N($K8)-IF(OR($M8="Cerrada",$M8="Rolada"),N($O8),0))*$H8*$I8*IF($U8="Débito",-1,1)-N($L8)-N($P8))</f>
        <v/>
      </c>
      <c r="AF8" s="14" t="str">
        <f aca="false">IF(OR($AE8="",$AD8=""),"",IF($AD8&lt;=0,"",$AE8/$AD8))</f>
        <v/>
      </c>
      <c r="AG8" s="14" t="str">
        <f aca="false">IF($AF8="","",$AF8*365/MAX(N($X8),1))</f>
        <v/>
      </c>
      <c r="AH8" s="14" t="str">
        <f aca="false">IF(OR($C8="",$U8&lt;&gt;"Crédito",$AD8=""),"",IF($AD8&lt;=0,"",($Z8-N($L8))/$AD8))</f>
        <v/>
      </c>
      <c r="AI8" s="14" t="str">
        <f aca="false">IF(OR($AH8="",$W8=""),"",$AH8*365/MAX($W8,1))</f>
        <v/>
      </c>
      <c r="AJ8" s="14" t="str">
        <f aca="false">IF(OR($AE8="",$U8&lt;&gt;"Crédito",N($K8)=0),"",(N($K8)-IF(OR($M8="Cerrada",$M8="Rolada"),N($O8),0))/$K8)</f>
        <v/>
      </c>
      <c r="AK8" s="15" t="str">
        <f aca="false">IF(OR($C8="",$N8=""),"",DATE(YEAR($N8),MONTH($N8),1))</f>
        <v/>
      </c>
      <c r="AL8" s="11" t="str">
        <f aca="false">IF($C8="","",IF($M8="Abierta",0,1))</f>
        <v/>
      </c>
      <c r="AM8" s="16" t="str">
        <f aca="false">IF(OR($AE8="",$AD8=""),"",$AD8*MAX(N($X8),1))</f>
        <v/>
      </c>
      <c r="AN8" s="10" t="str">
        <f aca="false">IF($C8="","",IF(OR($B8="",$D8="",$H8="",$K8="",$M8=""),"Faltan datos obligatorios",IF($T8="","Estrategia no reconocida",IF(AND($M8&lt;&gt;"Abierta",$N8=""),"Falta fecha cierre",IF(AND(OR($M8="Cerrada",$M8="Rolada"),$O8=""),"Falta prima cierre",IF(AND($N8&lt;&gt;"",$N8&lt;$B8),"Cierre anterior a apertura",IF(AND($M8="Asignada",$R8=""),"Asignada: falta ID lote acciones",IF(AND($R8&lt;&gt;"",ISNA(MATCH($R8,Acciones!$A$2:$A$201,0))),"El ID lote no existe en Acciones",IF($AD8="","Revisa capital en riesgo","OK")))))))))</f>
        <v/>
      </c>
    </row>
    <row r="9" customFormat="false" ht="15" hidden="false" customHeight="true" outlineLevel="0" collapsed="false">
      <c r="A9" s="5"/>
      <c r="B9" s="6"/>
      <c r="C9" s="7"/>
      <c r="D9" s="7"/>
      <c r="E9" s="8"/>
      <c r="F9" s="8"/>
      <c r="G9" s="6"/>
      <c r="H9" s="5"/>
      <c r="I9" s="5" t="n">
        <v>100</v>
      </c>
      <c r="J9" s="8"/>
      <c r="K9" s="8"/>
      <c r="L9" s="9"/>
      <c r="M9" s="7"/>
      <c r="N9" s="6"/>
      <c r="O9" s="8"/>
      <c r="P9" s="9"/>
      <c r="Q9" s="9"/>
      <c r="R9" s="7"/>
      <c r="S9" s="7"/>
      <c r="T9" s="10" t="str">
        <f aca="false">IF($C9="","",IFERROR(INDEX(Listas!$B$2:$B$20,MATCH($D9,Listas!$A$2:$A$20,0)),""))</f>
        <v/>
      </c>
      <c r="U9" s="10" t="str">
        <f aca="false">IF($C9="","",IFERROR(INDEX(Listas!$C$2:$C$20,MATCH($D9,Listas!$A$2:$A$20,0)),""))</f>
        <v/>
      </c>
      <c r="V9" s="10" t="str">
        <f aca="false">IF($C9="","",IFERROR(INDEX(Listas!$D$2:$D$20,MATCH($D9,Listas!$A$2:$A$20,0)),""))</f>
        <v/>
      </c>
      <c r="W9" s="11" t="str">
        <f aca="false">IF(OR($C9="",$B9="",$G9=""),"",$G9-$B9)</f>
        <v/>
      </c>
      <c r="X9" s="11" t="str">
        <f aca="true">IF(OR($C9="",$B9=""),"",IF($N9&lt;&gt;"",$N9,TODAY())-$B9)</f>
        <v/>
      </c>
      <c r="Y9" s="11" t="str">
        <f aca="true">IF(OR($C9="",$M9&lt;&gt;"Abierta",$G9=""),"",MAX($G9-TODAY(),0))</f>
        <v/>
      </c>
      <c r="Z9" s="12" t="str">
        <f aca="false">IF($C9="","",N($K9)*N($H9)*N($I9)*IF($U9="Débito",-1,1))</f>
        <v/>
      </c>
      <c r="AA9" s="13" t="str">
        <f aca="false">IF($C9="","",IF(AND($U9="Débito",$F9&lt;&gt;""),$F9,$E9))</f>
        <v/>
      </c>
      <c r="AB9" s="13" t="str">
        <f aca="false">IF(OR($C9="",$T9="Mixta",$AA9=""),"",IF($V9="Subyacente",IF($J9="","",$J9-$K9),IF($T9="Put",$AA9-$K9,$AA9+$K9)))</f>
        <v/>
      </c>
      <c r="AC9" s="14" t="str">
        <f aca="false">IF(OR($C9="",$T9="Mixta",$J9="",$AA9=""),"",IF($T9="Put",($J9-$AA9)/$J9,($AA9-$J9)/$J9))</f>
        <v/>
      </c>
      <c r="AD9" s="12" t="str">
        <f aca="false">IF($C9="","",IF($Q9&lt;&gt;"",$Q9,IF($V9="Strike",N($E9)*$H9*$I9,IF($V9="Subyacente",IF($J9="","",$J9*$H9*$I9),IF($V9="Ancho",IF($F9="","",ABS($E9-$F9)*$H9*$I9-$K9*$H9*$I9),IF($V9="Prima",$K9*$H9*$I9,""))))))</f>
        <v/>
      </c>
      <c r="AE9" s="12" t="str">
        <f aca="false">IF(OR($C9="",$M9="Abierta",$M9=""),"",(N($K9)-IF(OR($M9="Cerrada",$M9="Rolada"),N($O9),0))*$H9*$I9*IF($U9="Débito",-1,1)-N($L9)-N($P9))</f>
        <v/>
      </c>
      <c r="AF9" s="14" t="str">
        <f aca="false">IF(OR($AE9="",$AD9=""),"",IF($AD9&lt;=0,"",$AE9/$AD9))</f>
        <v/>
      </c>
      <c r="AG9" s="14" t="str">
        <f aca="false">IF($AF9="","",$AF9*365/MAX(N($X9),1))</f>
        <v/>
      </c>
      <c r="AH9" s="14" t="str">
        <f aca="false">IF(OR($C9="",$U9&lt;&gt;"Crédito",$AD9=""),"",IF($AD9&lt;=0,"",($Z9-N($L9))/$AD9))</f>
        <v/>
      </c>
      <c r="AI9" s="14" t="str">
        <f aca="false">IF(OR($AH9="",$W9=""),"",$AH9*365/MAX($W9,1))</f>
        <v/>
      </c>
      <c r="AJ9" s="14" t="str">
        <f aca="false">IF(OR($AE9="",$U9&lt;&gt;"Crédito",N($K9)=0),"",(N($K9)-IF(OR($M9="Cerrada",$M9="Rolada"),N($O9),0))/$K9)</f>
        <v/>
      </c>
      <c r="AK9" s="15" t="str">
        <f aca="false">IF(OR($C9="",$N9=""),"",DATE(YEAR($N9),MONTH($N9),1))</f>
        <v/>
      </c>
      <c r="AL9" s="11" t="str">
        <f aca="false">IF($C9="","",IF($M9="Abierta",0,1))</f>
        <v/>
      </c>
      <c r="AM9" s="16" t="str">
        <f aca="false">IF(OR($AE9="",$AD9=""),"",$AD9*MAX(N($X9),1))</f>
        <v/>
      </c>
      <c r="AN9" s="10" t="str">
        <f aca="false">IF($C9="","",IF(OR($B9="",$D9="",$H9="",$K9="",$M9=""),"Faltan datos obligatorios",IF($T9="","Estrategia no reconocida",IF(AND($M9&lt;&gt;"Abierta",$N9=""),"Falta fecha cierre",IF(AND(OR($M9="Cerrada",$M9="Rolada"),$O9=""),"Falta prima cierre",IF(AND($N9&lt;&gt;"",$N9&lt;$B9),"Cierre anterior a apertura",IF(AND($M9="Asignada",$R9=""),"Asignada: falta ID lote acciones",IF(AND($R9&lt;&gt;"",ISNA(MATCH($R9,Acciones!$A$2:$A$201,0))),"El ID lote no existe en Acciones",IF($AD9="","Revisa capital en riesgo","OK")))))))))</f>
        <v/>
      </c>
    </row>
    <row r="10" customFormat="false" ht="15" hidden="false" customHeight="true" outlineLevel="0" collapsed="false">
      <c r="A10" s="5"/>
      <c r="B10" s="6"/>
      <c r="C10" s="7"/>
      <c r="D10" s="7"/>
      <c r="E10" s="8"/>
      <c r="F10" s="8"/>
      <c r="G10" s="6"/>
      <c r="H10" s="5"/>
      <c r="I10" s="5" t="n">
        <v>100</v>
      </c>
      <c r="J10" s="8"/>
      <c r="K10" s="8"/>
      <c r="L10" s="9"/>
      <c r="M10" s="7"/>
      <c r="N10" s="6"/>
      <c r="O10" s="8"/>
      <c r="P10" s="9"/>
      <c r="Q10" s="9"/>
      <c r="R10" s="7"/>
      <c r="S10" s="7"/>
      <c r="T10" s="10" t="str">
        <f aca="false">IF($C10="","",IFERROR(INDEX(Listas!$B$2:$B$20,MATCH($D10,Listas!$A$2:$A$20,0)),""))</f>
        <v/>
      </c>
      <c r="U10" s="10" t="str">
        <f aca="false">IF($C10="","",IFERROR(INDEX(Listas!$C$2:$C$20,MATCH($D10,Listas!$A$2:$A$20,0)),""))</f>
        <v/>
      </c>
      <c r="V10" s="10" t="str">
        <f aca="false">IF($C10="","",IFERROR(INDEX(Listas!$D$2:$D$20,MATCH($D10,Listas!$A$2:$A$20,0)),""))</f>
        <v/>
      </c>
      <c r="W10" s="11" t="str">
        <f aca="false">IF(OR($C10="",$B10="",$G10=""),"",$G10-$B10)</f>
        <v/>
      </c>
      <c r="X10" s="11" t="str">
        <f aca="true">IF(OR($C10="",$B10=""),"",IF($N10&lt;&gt;"",$N10,TODAY())-$B10)</f>
        <v/>
      </c>
      <c r="Y10" s="11" t="str">
        <f aca="true">IF(OR($C10="",$M10&lt;&gt;"Abierta",$G10=""),"",MAX($G10-TODAY(),0))</f>
        <v/>
      </c>
      <c r="Z10" s="12" t="str">
        <f aca="false">IF($C10="","",N($K10)*N($H10)*N($I10)*IF($U10="Débito",-1,1))</f>
        <v/>
      </c>
      <c r="AA10" s="13" t="str">
        <f aca="false">IF($C10="","",IF(AND($U10="Débito",$F10&lt;&gt;""),$F10,$E10))</f>
        <v/>
      </c>
      <c r="AB10" s="13" t="str">
        <f aca="false">IF(OR($C10="",$T10="Mixta",$AA10=""),"",IF($V10="Subyacente",IF($J10="","",$J10-$K10),IF($T10="Put",$AA10-$K10,$AA10+$K10)))</f>
        <v/>
      </c>
      <c r="AC10" s="14" t="str">
        <f aca="false">IF(OR($C10="",$T10="Mixta",$J10="",$AA10=""),"",IF($T10="Put",($J10-$AA10)/$J10,($AA10-$J10)/$J10))</f>
        <v/>
      </c>
      <c r="AD10" s="12" t="str">
        <f aca="false">IF($C10="","",IF($Q10&lt;&gt;"",$Q10,IF($V10="Strike",N($E10)*$H10*$I10,IF($V10="Subyacente",IF($J10="","",$J10*$H10*$I10),IF($V10="Ancho",IF($F10="","",ABS($E10-$F10)*$H10*$I10-$K10*$H10*$I10),IF($V10="Prima",$K10*$H10*$I10,""))))))</f>
        <v/>
      </c>
      <c r="AE10" s="12" t="str">
        <f aca="false">IF(OR($C10="",$M10="Abierta",$M10=""),"",(N($K10)-IF(OR($M10="Cerrada",$M10="Rolada"),N($O10),0))*$H10*$I10*IF($U10="Débito",-1,1)-N($L10)-N($P10))</f>
        <v/>
      </c>
      <c r="AF10" s="14" t="str">
        <f aca="false">IF(OR($AE10="",$AD10=""),"",IF($AD10&lt;=0,"",$AE10/$AD10))</f>
        <v/>
      </c>
      <c r="AG10" s="14" t="str">
        <f aca="false">IF($AF10="","",$AF10*365/MAX(N($X10),1))</f>
        <v/>
      </c>
      <c r="AH10" s="14" t="str">
        <f aca="false">IF(OR($C10="",$U10&lt;&gt;"Crédito",$AD10=""),"",IF($AD10&lt;=0,"",($Z10-N($L10))/$AD10))</f>
        <v/>
      </c>
      <c r="AI10" s="14" t="str">
        <f aca="false">IF(OR($AH10="",$W10=""),"",$AH10*365/MAX($W10,1))</f>
        <v/>
      </c>
      <c r="AJ10" s="14" t="str">
        <f aca="false">IF(OR($AE10="",$U10&lt;&gt;"Crédito",N($K10)=0),"",(N($K10)-IF(OR($M10="Cerrada",$M10="Rolada"),N($O10),0))/$K10)</f>
        <v/>
      </c>
      <c r="AK10" s="15" t="str">
        <f aca="false">IF(OR($C10="",$N10=""),"",DATE(YEAR($N10),MONTH($N10),1))</f>
        <v/>
      </c>
      <c r="AL10" s="11" t="str">
        <f aca="false">IF($C10="","",IF($M10="Abierta",0,1))</f>
        <v/>
      </c>
      <c r="AM10" s="16" t="str">
        <f aca="false">IF(OR($AE10="",$AD10=""),"",$AD10*MAX(N($X10),1))</f>
        <v/>
      </c>
      <c r="AN10" s="10" t="str">
        <f aca="false">IF($C10="","",IF(OR($B10="",$D10="",$H10="",$K10="",$M10=""),"Faltan datos obligatorios",IF($T10="","Estrategia no reconocida",IF(AND($M10&lt;&gt;"Abierta",$N10=""),"Falta fecha cierre",IF(AND(OR($M10="Cerrada",$M10="Rolada"),$O10=""),"Falta prima cierre",IF(AND($N10&lt;&gt;"",$N10&lt;$B10),"Cierre anterior a apertura",IF(AND($M10="Asignada",$R10=""),"Asignada: falta ID lote acciones",IF(AND($R10&lt;&gt;"",ISNA(MATCH($R10,Acciones!$A$2:$A$201,0))),"El ID lote no existe en Acciones",IF($AD10="","Revisa capital en riesgo","OK")))))))))</f>
        <v/>
      </c>
    </row>
    <row r="11" customFormat="false" ht="15" hidden="false" customHeight="true" outlineLevel="0" collapsed="false">
      <c r="A11" s="5"/>
      <c r="B11" s="6"/>
      <c r="C11" s="7"/>
      <c r="D11" s="7"/>
      <c r="E11" s="8"/>
      <c r="F11" s="8"/>
      <c r="G11" s="6"/>
      <c r="H11" s="5"/>
      <c r="I11" s="5" t="n">
        <v>100</v>
      </c>
      <c r="J11" s="8"/>
      <c r="K11" s="8"/>
      <c r="L11" s="9"/>
      <c r="M11" s="7"/>
      <c r="N11" s="6"/>
      <c r="O11" s="8"/>
      <c r="P11" s="9"/>
      <c r="Q11" s="9"/>
      <c r="R11" s="7"/>
      <c r="S11" s="7"/>
      <c r="T11" s="10" t="str">
        <f aca="false">IF($C11="","",IFERROR(INDEX(Listas!$B$2:$B$20,MATCH($D11,Listas!$A$2:$A$20,0)),""))</f>
        <v/>
      </c>
      <c r="U11" s="10" t="str">
        <f aca="false">IF($C11="","",IFERROR(INDEX(Listas!$C$2:$C$20,MATCH($D11,Listas!$A$2:$A$20,0)),""))</f>
        <v/>
      </c>
      <c r="V11" s="10" t="str">
        <f aca="false">IF($C11="","",IFERROR(INDEX(Listas!$D$2:$D$20,MATCH($D11,Listas!$A$2:$A$20,0)),""))</f>
        <v/>
      </c>
      <c r="W11" s="11" t="str">
        <f aca="false">IF(OR($C11="",$B11="",$G11=""),"",$G11-$B11)</f>
        <v/>
      </c>
      <c r="X11" s="11" t="str">
        <f aca="true">IF(OR($C11="",$B11=""),"",IF($N11&lt;&gt;"",$N11,TODAY())-$B11)</f>
        <v/>
      </c>
      <c r="Y11" s="11" t="str">
        <f aca="true">IF(OR($C11="",$M11&lt;&gt;"Abierta",$G11=""),"",MAX($G11-TODAY(),0))</f>
        <v/>
      </c>
      <c r="Z11" s="12" t="str">
        <f aca="false">IF($C11="","",N($K11)*N($H11)*N($I11)*IF($U11="Débito",-1,1))</f>
        <v/>
      </c>
      <c r="AA11" s="13" t="str">
        <f aca="false">IF($C11="","",IF(AND($U11="Débito",$F11&lt;&gt;""),$F11,$E11))</f>
        <v/>
      </c>
      <c r="AB11" s="13" t="str">
        <f aca="false">IF(OR($C11="",$T11="Mixta",$AA11=""),"",IF($V11="Subyacente",IF($J11="","",$J11-$K11),IF($T11="Put",$AA11-$K11,$AA11+$K11)))</f>
        <v/>
      </c>
      <c r="AC11" s="14" t="str">
        <f aca="false">IF(OR($C11="",$T11="Mixta",$J11="",$AA11=""),"",IF($T11="Put",($J11-$AA11)/$J11,($AA11-$J11)/$J11))</f>
        <v/>
      </c>
      <c r="AD11" s="12" t="str">
        <f aca="false">IF($C11="","",IF($Q11&lt;&gt;"",$Q11,IF($V11="Strike",N($E11)*$H11*$I11,IF($V11="Subyacente",IF($J11="","",$J11*$H11*$I11),IF($V11="Ancho",IF($F11="","",ABS($E11-$F11)*$H11*$I11-$K11*$H11*$I11),IF($V11="Prima",$K11*$H11*$I11,""))))))</f>
        <v/>
      </c>
      <c r="AE11" s="12" t="str">
        <f aca="false">IF(OR($C11="",$M11="Abierta",$M11=""),"",(N($K11)-IF(OR($M11="Cerrada",$M11="Rolada"),N($O11),0))*$H11*$I11*IF($U11="Débito",-1,1)-N($L11)-N($P11))</f>
        <v/>
      </c>
      <c r="AF11" s="14" t="str">
        <f aca="false">IF(OR($AE11="",$AD11=""),"",IF($AD11&lt;=0,"",$AE11/$AD11))</f>
        <v/>
      </c>
      <c r="AG11" s="14" t="str">
        <f aca="false">IF($AF11="","",$AF11*365/MAX(N($X11),1))</f>
        <v/>
      </c>
      <c r="AH11" s="14" t="str">
        <f aca="false">IF(OR($C11="",$U11&lt;&gt;"Crédito",$AD11=""),"",IF($AD11&lt;=0,"",($Z11-N($L11))/$AD11))</f>
        <v/>
      </c>
      <c r="AI11" s="14" t="str">
        <f aca="false">IF(OR($AH11="",$W11=""),"",$AH11*365/MAX($W11,1))</f>
        <v/>
      </c>
      <c r="AJ11" s="14" t="str">
        <f aca="false">IF(OR($AE11="",$U11&lt;&gt;"Crédito",N($K11)=0),"",(N($K11)-IF(OR($M11="Cerrada",$M11="Rolada"),N($O11),0))/$K11)</f>
        <v/>
      </c>
      <c r="AK11" s="15" t="str">
        <f aca="false">IF(OR($C11="",$N11=""),"",DATE(YEAR($N11),MONTH($N11),1))</f>
        <v/>
      </c>
      <c r="AL11" s="11" t="str">
        <f aca="false">IF($C11="","",IF($M11="Abierta",0,1))</f>
        <v/>
      </c>
      <c r="AM11" s="16" t="str">
        <f aca="false">IF(OR($AE11="",$AD11=""),"",$AD11*MAX(N($X11),1))</f>
        <v/>
      </c>
      <c r="AN11" s="10" t="str">
        <f aca="false">IF($C11="","",IF(OR($B11="",$D11="",$H11="",$K11="",$M11=""),"Faltan datos obligatorios",IF($T11="","Estrategia no reconocida",IF(AND($M11&lt;&gt;"Abierta",$N11=""),"Falta fecha cierre",IF(AND(OR($M11="Cerrada",$M11="Rolada"),$O11=""),"Falta prima cierre",IF(AND($N11&lt;&gt;"",$N11&lt;$B11),"Cierre anterior a apertura",IF(AND($M11="Asignada",$R11=""),"Asignada: falta ID lote acciones",IF(AND($R11&lt;&gt;"",ISNA(MATCH($R11,Acciones!$A$2:$A$201,0))),"El ID lote no existe en Acciones",IF($AD11="","Revisa capital en riesgo","OK")))))))))</f>
        <v/>
      </c>
    </row>
    <row r="12" customFormat="false" ht="15" hidden="false" customHeight="true" outlineLevel="0" collapsed="false">
      <c r="A12" s="5"/>
      <c r="B12" s="6"/>
      <c r="C12" s="7"/>
      <c r="D12" s="7"/>
      <c r="E12" s="8"/>
      <c r="F12" s="8"/>
      <c r="G12" s="6"/>
      <c r="H12" s="5"/>
      <c r="I12" s="5" t="n">
        <v>100</v>
      </c>
      <c r="J12" s="8"/>
      <c r="K12" s="8"/>
      <c r="L12" s="9"/>
      <c r="M12" s="7"/>
      <c r="N12" s="6"/>
      <c r="O12" s="8"/>
      <c r="P12" s="9"/>
      <c r="Q12" s="9"/>
      <c r="R12" s="7"/>
      <c r="S12" s="7"/>
      <c r="T12" s="10" t="str">
        <f aca="false">IF($C12="","",IFERROR(INDEX(Listas!$B$2:$B$20,MATCH($D12,Listas!$A$2:$A$20,0)),""))</f>
        <v/>
      </c>
      <c r="U12" s="10" t="str">
        <f aca="false">IF($C12="","",IFERROR(INDEX(Listas!$C$2:$C$20,MATCH($D12,Listas!$A$2:$A$20,0)),""))</f>
        <v/>
      </c>
      <c r="V12" s="10" t="str">
        <f aca="false">IF($C12="","",IFERROR(INDEX(Listas!$D$2:$D$20,MATCH($D12,Listas!$A$2:$A$20,0)),""))</f>
        <v/>
      </c>
      <c r="W12" s="11" t="str">
        <f aca="false">IF(OR($C12="",$B12="",$G12=""),"",$G12-$B12)</f>
        <v/>
      </c>
      <c r="X12" s="11" t="str">
        <f aca="true">IF(OR($C12="",$B12=""),"",IF($N12&lt;&gt;"",$N12,TODAY())-$B12)</f>
        <v/>
      </c>
      <c r="Y12" s="11" t="str">
        <f aca="true">IF(OR($C12="",$M12&lt;&gt;"Abierta",$G12=""),"",MAX($G12-TODAY(),0))</f>
        <v/>
      </c>
      <c r="Z12" s="12" t="str">
        <f aca="false">IF($C12="","",N($K12)*N($H12)*N($I12)*IF($U12="Débito",-1,1))</f>
        <v/>
      </c>
      <c r="AA12" s="13" t="str">
        <f aca="false">IF($C12="","",IF(AND($U12="Débito",$F12&lt;&gt;""),$F12,$E12))</f>
        <v/>
      </c>
      <c r="AB12" s="13" t="str">
        <f aca="false">IF(OR($C12="",$T12="Mixta",$AA12=""),"",IF($V12="Subyacente",IF($J12="","",$J12-$K12),IF($T12="Put",$AA12-$K12,$AA12+$K12)))</f>
        <v/>
      </c>
      <c r="AC12" s="14" t="str">
        <f aca="false">IF(OR($C12="",$T12="Mixta",$J12="",$AA12=""),"",IF($T12="Put",($J12-$AA12)/$J12,($AA12-$J12)/$J12))</f>
        <v/>
      </c>
      <c r="AD12" s="12" t="str">
        <f aca="false">IF($C12="","",IF($Q12&lt;&gt;"",$Q12,IF($V12="Strike",N($E12)*$H12*$I12,IF($V12="Subyacente",IF($J12="","",$J12*$H12*$I12),IF($V12="Ancho",IF($F12="","",ABS($E12-$F12)*$H12*$I12-$K12*$H12*$I12),IF($V12="Prima",$K12*$H12*$I12,""))))))</f>
        <v/>
      </c>
      <c r="AE12" s="12" t="str">
        <f aca="false">IF(OR($C12="",$M12="Abierta",$M12=""),"",(N($K12)-IF(OR($M12="Cerrada",$M12="Rolada"),N($O12),0))*$H12*$I12*IF($U12="Débito",-1,1)-N($L12)-N($P12))</f>
        <v/>
      </c>
      <c r="AF12" s="14" t="str">
        <f aca="false">IF(OR($AE12="",$AD12=""),"",IF($AD12&lt;=0,"",$AE12/$AD12))</f>
        <v/>
      </c>
      <c r="AG12" s="14" t="str">
        <f aca="false">IF($AF12="","",$AF12*365/MAX(N($X12),1))</f>
        <v/>
      </c>
      <c r="AH12" s="14" t="str">
        <f aca="false">IF(OR($C12="",$U12&lt;&gt;"Crédito",$AD12=""),"",IF($AD12&lt;=0,"",($Z12-N($L12))/$AD12))</f>
        <v/>
      </c>
      <c r="AI12" s="14" t="str">
        <f aca="false">IF(OR($AH12="",$W12=""),"",$AH12*365/MAX($W12,1))</f>
        <v/>
      </c>
      <c r="AJ12" s="14" t="str">
        <f aca="false">IF(OR($AE12="",$U12&lt;&gt;"Crédito",N($K12)=0),"",(N($K12)-IF(OR($M12="Cerrada",$M12="Rolada"),N($O12),0))/$K12)</f>
        <v/>
      </c>
      <c r="AK12" s="15" t="str">
        <f aca="false">IF(OR($C12="",$N12=""),"",DATE(YEAR($N12),MONTH($N12),1))</f>
        <v/>
      </c>
      <c r="AL12" s="11" t="str">
        <f aca="false">IF($C12="","",IF($M12="Abierta",0,1))</f>
        <v/>
      </c>
      <c r="AM12" s="16" t="str">
        <f aca="false">IF(OR($AE12="",$AD12=""),"",$AD12*MAX(N($X12),1))</f>
        <v/>
      </c>
      <c r="AN12" s="10" t="str">
        <f aca="false">IF($C12="","",IF(OR($B12="",$D12="",$H12="",$K12="",$M12=""),"Faltan datos obligatorios",IF($T12="","Estrategia no reconocida",IF(AND($M12&lt;&gt;"Abierta",$N12=""),"Falta fecha cierre",IF(AND(OR($M12="Cerrada",$M12="Rolada"),$O12=""),"Falta prima cierre",IF(AND($N12&lt;&gt;"",$N12&lt;$B12),"Cierre anterior a apertura",IF(AND($M12="Asignada",$R12=""),"Asignada: falta ID lote acciones",IF(AND($R12&lt;&gt;"",ISNA(MATCH($R12,Acciones!$A$2:$A$201,0))),"El ID lote no existe en Acciones",IF($AD12="","Revisa capital en riesgo","OK")))))))))</f>
        <v/>
      </c>
    </row>
    <row r="13" customFormat="false" ht="15" hidden="false" customHeight="true" outlineLevel="0" collapsed="false">
      <c r="A13" s="5"/>
      <c r="B13" s="6"/>
      <c r="C13" s="7"/>
      <c r="D13" s="7"/>
      <c r="E13" s="8"/>
      <c r="F13" s="8"/>
      <c r="G13" s="6"/>
      <c r="H13" s="5"/>
      <c r="I13" s="5" t="n">
        <v>100</v>
      </c>
      <c r="J13" s="8"/>
      <c r="K13" s="8"/>
      <c r="L13" s="9"/>
      <c r="M13" s="7"/>
      <c r="N13" s="6"/>
      <c r="O13" s="8"/>
      <c r="P13" s="9"/>
      <c r="Q13" s="9"/>
      <c r="R13" s="7"/>
      <c r="S13" s="7"/>
      <c r="T13" s="10" t="str">
        <f aca="false">IF($C13="","",IFERROR(INDEX(Listas!$B$2:$B$20,MATCH($D13,Listas!$A$2:$A$20,0)),""))</f>
        <v/>
      </c>
      <c r="U13" s="10" t="str">
        <f aca="false">IF($C13="","",IFERROR(INDEX(Listas!$C$2:$C$20,MATCH($D13,Listas!$A$2:$A$20,0)),""))</f>
        <v/>
      </c>
      <c r="V13" s="10" t="str">
        <f aca="false">IF($C13="","",IFERROR(INDEX(Listas!$D$2:$D$20,MATCH($D13,Listas!$A$2:$A$20,0)),""))</f>
        <v/>
      </c>
      <c r="W13" s="11" t="str">
        <f aca="false">IF(OR($C13="",$B13="",$G13=""),"",$G13-$B13)</f>
        <v/>
      </c>
      <c r="X13" s="11" t="str">
        <f aca="true">IF(OR($C13="",$B13=""),"",IF($N13&lt;&gt;"",$N13,TODAY())-$B13)</f>
        <v/>
      </c>
      <c r="Y13" s="11" t="str">
        <f aca="true">IF(OR($C13="",$M13&lt;&gt;"Abierta",$G13=""),"",MAX($G13-TODAY(),0))</f>
        <v/>
      </c>
      <c r="Z13" s="12" t="str">
        <f aca="false">IF($C13="","",N($K13)*N($H13)*N($I13)*IF($U13="Débito",-1,1))</f>
        <v/>
      </c>
      <c r="AA13" s="13" t="str">
        <f aca="false">IF($C13="","",IF(AND($U13="Débito",$F13&lt;&gt;""),$F13,$E13))</f>
        <v/>
      </c>
      <c r="AB13" s="13" t="str">
        <f aca="false">IF(OR($C13="",$T13="Mixta",$AA13=""),"",IF($V13="Subyacente",IF($J13="","",$J13-$K13),IF($T13="Put",$AA13-$K13,$AA13+$K13)))</f>
        <v/>
      </c>
      <c r="AC13" s="14" t="str">
        <f aca="false">IF(OR($C13="",$T13="Mixta",$J13="",$AA13=""),"",IF($T13="Put",($J13-$AA13)/$J13,($AA13-$J13)/$J13))</f>
        <v/>
      </c>
      <c r="AD13" s="12" t="str">
        <f aca="false">IF($C13="","",IF($Q13&lt;&gt;"",$Q13,IF($V13="Strike",N($E13)*$H13*$I13,IF($V13="Subyacente",IF($J13="","",$J13*$H13*$I13),IF($V13="Ancho",IF($F13="","",ABS($E13-$F13)*$H13*$I13-$K13*$H13*$I13),IF($V13="Prima",$K13*$H13*$I13,""))))))</f>
        <v/>
      </c>
      <c r="AE13" s="12" t="str">
        <f aca="false">IF(OR($C13="",$M13="Abierta",$M13=""),"",(N($K13)-IF(OR($M13="Cerrada",$M13="Rolada"),N($O13),0))*$H13*$I13*IF($U13="Débito",-1,1)-N($L13)-N($P13))</f>
        <v/>
      </c>
      <c r="AF13" s="14" t="str">
        <f aca="false">IF(OR($AE13="",$AD13=""),"",IF($AD13&lt;=0,"",$AE13/$AD13))</f>
        <v/>
      </c>
      <c r="AG13" s="14" t="str">
        <f aca="false">IF($AF13="","",$AF13*365/MAX(N($X13),1))</f>
        <v/>
      </c>
      <c r="AH13" s="14" t="str">
        <f aca="false">IF(OR($C13="",$U13&lt;&gt;"Crédito",$AD13=""),"",IF($AD13&lt;=0,"",($Z13-N($L13))/$AD13))</f>
        <v/>
      </c>
      <c r="AI13" s="14" t="str">
        <f aca="false">IF(OR($AH13="",$W13=""),"",$AH13*365/MAX($W13,1))</f>
        <v/>
      </c>
      <c r="AJ13" s="14" t="str">
        <f aca="false">IF(OR($AE13="",$U13&lt;&gt;"Crédito",N($K13)=0),"",(N($K13)-IF(OR($M13="Cerrada",$M13="Rolada"),N($O13),0))/$K13)</f>
        <v/>
      </c>
      <c r="AK13" s="15" t="str">
        <f aca="false">IF(OR($C13="",$N13=""),"",DATE(YEAR($N13),MONTH($N13),1))</f>
        <v/>
      </c>
      <c r="AL13" s="11" t="str">
        <f aca="false">IF($C13="","",IF($M13="Abierta",0,1))</f>
        <v/>
      </c>
      <c r="AM13" s="16" t="str">
        <f aca="false">IF(OR($AE13="",$AD13=""),"",$AD13*MAX(N($X13),1))</f>
        <v/>
      </c>
      <c r="AN13" s="10" t="str">
        <f aca="false">IF($C13="","",IF(OR($B13="",$D13="",$H13="",$K13="",$M13=""),"Faltan datos obligatorios",IF($T13="","Estrategia no reconocida",IF(AND($M13&lt;&gt;"Abierta",$N13=""),"Falta fecha cierre",IF(AND(OR($M13="Cerrada",$M13="Rolada"),$O13=""),"Falta prima cierre",IF(AND($N13&lt;&gt;"",$N13&lt;$B13),"Cierre anterior a apertura",IF(AND($M13="Asignada",$R13=""),"Asignada: falta ID lote acciones",IF(AND($R13&lt;&gt;"",ISNA(MATCH($R13,Acciones!$A$2:$A$201,0))),"El ID lote no existe en Acciones",IF($AD13="","Revisa capital en riesgo","OK")))))))))</f>
        <v/>
      </c>
    </row>
    <row r="14" customFormat="false" ht="15" hidden="false" customHeight="true" outlineLevel="0" collapsed="false">
      <c r="A14" s="5"/>
      <c r="B14" s="6"/>
      <c r="C14" s="7"/>
      <c r="D14" s="7"/>
      <c r="E14" s="8"/>
      <c r="F14" s="8"/>
      <c r="G14" s="6"/>
      <c r="H14" s="5"/>
      <c r="I14" s="5" t="n">
        <v>100</v>
      </c>
      <c r="J14" s="8"/>
      <c r="K14" s="8"/>
      <c r="L14" s="9"/>
      <c r="M14" s="7"/>
      <c r="N14" s="6"/>
      <c r="O14" s="8"/>
      <c r="P14" s="9"/>
      <c r="Q14" s="9"/>
      <c r="R14" s="7"/>
      <c r="S14" s="7"/>
      <c r="T14" s="10" t="str">
        <f aca="false">IF($C14="","",IFERROR(INDEX(Listas!$B$2:$B$20,MATCH($D14,Listas!$A$2:$A$20,0)),""))</f>
        <v/>
      </c>
      <c r="U14" s="10" t="str">
        <f aca="false">IF($C14="","",IFERROR(INDEX(Listas!$C$2:$C$20,MATCH($D14,Listas!$A$2:$A$20,0)),""))</f>
        <v/>
      </c>
      <c r="V14" s="10" t="str">
        <f aca="false">IF($C14="","",IFERROR(INDEX(Listas!$D$2:$D$20,MATCH($D14,Listas!$A$2:$A$20,0)),""))</f>
        <v/>
      </c>
      <c r="W14" s="11" t="str">
        <f aca="false">IF(OR($C14="",$B14="",$G14=""),"",$G14-$B14)</f>
        <v/>
      </c>
      <c r="X14" s="11" t="str">
        <f aca="true">IF(OR($C14="",$B14=""),"",IF($N14&lt;&gt;"",$N14,TODAY())-$B14)</f>
        <v/>
      </c>
      <c r="Y14" s="11" t="str">
        <f aca="true">IF(OR($C14="",$M14&lt;&gt;"Abierta",$G14=""),"",MAX($G14-TODAY(),0))</f>
        <v/>
      </c>
      <c r="Z14" s="12" t="str">
        <f aca="false">IF($C14="","",N($K14)*N($H14)*N($I14)*IF($U14="Débito",-1,1))</f>
        <v/>
      </c>
      <c r="AA14" s="13" t="str">
        <f aca="false">IF($C14="","",IF(AND($U14="Débito",$F14&lt;&gt;""),$F14,$E14))</f>
        <v/>
      </c>
      <c r="AB14" s="13" t="str">
        <f aca="false">IF(OR($C14="",$T14="Mixta",$AA14=""),"",IF($V14="Subyacente",IF($J14="","",$J14-$K14),IF($T14="Put",$AA14-$K14,$AA14+$K14)))</f>
        <v/>
      </c>
      <c r="AC14" s="14" t="str">
        <f aca="false">IF(OR($C14="",$T14="Mixta",$J14="",$AA14=""),"",IF($T14="Put",($J14-$AA14)/$J14,($AA14-$J14)/$J14))</f>
        <v/>
      </c>
      <c r="AD14" s="12" t="str">
        <f aca="false">IF($C14="","",IF($Q14&lt;&gt;"",$Q14,IF($V14="Strike",N($E14)*$H14*$I14,IF($V14="Subyacente",IF($J14="","",$J14*$H14*$I14),IF($V14="Ancho",IF($F14="","",ABS($E14-$F14)*$H14*$I14-$K14*$H14*$I14),IF($V14="Prima",$K14*$H14*$I14,""))))))</f>
        <v/>
      </c>
      <c r="AE14" s="12" t="str">
        <f aca="false">IF(OR($C14="",$M14="Abierta",$M14=""),"",(N($K14)-IF(OR($M14="Cerrada",$M14="Rolada"),N($O14),0))*$H14*$I14*IF($U14="Débito",-1,1)-N($L14)-N($P14))</f>
        <v/>
      </c>
      <c r="AF14" s="14" t="str">
        <f aca="false">IF(OR($AE14="",$AD14=""),"",IF($AD14&lt;=0,"",$AE14/$AD14))</f>
        <v/>
      </c>
      <c r="AG14" s="14" t="str">
        <f aca="false">IF($AF14="","",$AF14*365/MAX(N($X14),1))</f>
        <v/>
      </c>
      <c r="AH14" s="14" t="str">
        <f aca="false">IF(OR($C14="",$U14&lt;&gt;"Crédito",$AD14=""),"",IF($AD14&lt;=0,"",($Z14-N($L14))/$AD14))</f>
        <v/>
      </c>
      <c r="AI14" s="14" t="str">
        <f aca="false">IF(OR($AH14="",$W14=""),"",$AH14*365/MAX($W14,1))</f>
        <v/>
      </c>
      <c r="AJ14" s="14" t="str">
        <f aca="false">IF(OR($AE14="",$U14&lt;&gt;"Crédito",N($K14)=0),"",(N($K14)-IF(OR($M14="Cerrada",$M14="Rolada"),N($O14),0))/$K14)</f>
        <v/>
      </c>
      <c r="AK14" s="15" t="str">
        <f aca="false">IF(OR($C14="",$N14=""),"",DATE(YEAR($N14),MONTH($N14),1))</f>
        <v/>
      </c>
      <c r="AL14" s="11" t="str">
        <f aca="false">IF($C14="","",IF($M14="Abierta",0,1))</f>
        <v/>
      </c>
      <c r="AM14" s="16" t="str">
        <f aca="false">IF(OR($AE14="",$AD14=""),"",$AD14*MAX(N($X14),1))</f>
        <v/>
      </c>
      <c r="AN14" s="10" t="str">
        <f aca="false">IF($C14="","",IF(OR($B14="",$D14="",$H14="",$K14="",$M14=""),"Faltan datos obligatorios",IF($T14="","Estrategia no reconocida",IF(AND($M14&lt;&gt;"Abierta",$N14=""),"Falta fecha cierre",IF(AND(OR($M14="Cerrada",$M14="Rolada"),$O14=""),"Falta prima cierre",IF(AND($N14&lt;&gt;"",$N14&lt;$B14),"Cierre anterior a apertura",IF(AND($M14="Asignada",$R14=""),"Asignada: falta ID lote acciones",IF(AND($R14&lt;&gt;"",ISNA(MATCH($R14,Acciones!$A$2:$A$201,0))),"El ID lote no existe en Acciones",IF($AD14="","Revisa capital en riesgo","OK")))))))))</f>
        <v/>
      </c>
    </row>
    <row r="15" customFormat="false" ht="15" hidden="false" customHeight="true" outlineLevel="0" collapsed="false">
      <c r="A15" s="5"/>
      <c r="B15" s="6"/>
      <c r="C15" s="7"/>
      <c r="D15" s="7"/>
      <c r="E15" s="8"/>
      <c r="F15" s="8"/>
      <c r="G15" s="6"/>
      <c r="H15" s="5"/>
      <c r="I15" s="5" t="n">
        <v>100</v>
      </c>
      <c r="J15" s="8"/>
      <c r="K15" s="8"/>
      <c r="L15" s="9"/>
      <c r="M15" s="7"/>
      <c r="N15" s="6"/>
      <c r="O15" s="8"/>
      <c r="P15" s="9"/>
      <c r="Q15" s="9"/>
      <c r="R15" s="7"/>
      <c r="S15" s="7"/>
      <c r="T15" s="10" t="str">
        <f aca="false">IF($C15="","",IFERROR(INDEX(Listas!$B$2:$B$20,MATCH($D15,Listas!$A$2:$A$20,0)),""))</f>
        <v/>
      </c>
      <c r="U15" s="10" t="str">
        <f aca="false">IF($C15="","",IFERROR(INDEX(Listas!$C$2:$C$20,MATCH($D15,Listas!$A$2:$A$20,0)),""))</f>
        <v/>
      </c>
      <c r="V15" s="10" t="str">
        <f aca="false">IF($C15="","",IFERROR(INDEX(Listas!$D$2:$D$20,MATCH($D15,Listas!$A$2:$A$20,0)),""))</f>
        <v/>
      </c>
      <c r="W15" s="11" t="str">
        <f aca="false">IF(OR($C15="",$B15="",$G15=""),"",$G15-$B15)</f>
        <v/>
      </c>
      <c r="X15" s="11" t="str">
        <f aca="true">IF(OR($C15="",$B15=""),"",IF($N15&lt;&gt;"",$N15,TODAY())-$B15)</f>
        <v/>
      </c>
      <c r="Y15" s="11" t="str">
        <f aca="true">IF(OR($C15="",$M15&lt;&gt;"Abierta",$G15=""),"",MAX($G15-TODAY(),0))</f>
        <v/>
      </c>
      <c r="Z15" s="12" t="str">
        <f aca="false">IF($C15="","",N($K15)*N($H15)*N($I15)*IF($U15="Débito",-1,1))</f>
        <v/>
      </c>
      <c r="AA15" s="13" t="str">
        <f aca="false">IF($C15="","",IF(AND($U15="Débito",$F15&lt;&gt;""),$F15,$E15))</f>
        <v/>
      </c>
      <c r="AB15" s="13" t="str">
        <f aca="false">IF(OR($C15="",$T15="Mixta",$AA15=""),"",IF($V15="Subyacente",IF($J15="","",$J15-$K15),IF($T15="Put",$AA15-$K15,$AA15+$K15)))</f>
        <v/>
      </c>
      <c r="AC15" s="14" t="str">
        <f aca="false">IF(OR($C15="",$T15="Mixta",$J15="",$AA15=""),"",IF($T15="Put",($J15-$AA15)/$J15,($AA15-$J15)/$J15))</f>
        <v/>
      </c>
      <c r="AD15" s="12" t="str">
        <f aca="false">IF($C15="","",IF($Q15&lt;&gt;"",$Q15,IF($V15="Strike",N($E15)*$H15*$I15,IF($V15="Subyacente",IF($J15="","",$J15*$H15*$I15),IF($V15="Ancho",IF($F15="","",ABS($E15-$F15)*$H15*$I15-$K15*$H15*$I15),IF($V15="Prima",$K15*$H15*$I15,""))))))</f>
        <v/>
      </c>
      <c r="AE15" s="12" t="str">
        <f aca="false">IF(OR($C15="",$M15="Abierta",$M15=""),"",(N($K15)-IF(OR($M15="Cerrada",$M15="Rolada"),N($O15),0))*$H15*$I15*IF($U15="Débito",-1,1)-N($L15)-N($P15))</f>
        <v/>
      </c>
      <c r="AF15" s="14" t="str">
        <f aca="false">IF(OR($AE15="",$AD15=""),"",IF($AD15&lt;=0,"",$AE15/$AD15))</f>
        <v/>
      </c>
      <c r="AG15" s="14" t="str">
        <f aca="false">IF($AF15="","",$AF15*365/MAX(N($X15),1))</f>
        <v/>
      </c>
      <c r="AH15" s="14" t="str">
        <f aca="false">IF(OR($C15="",$U15&lt;&gt;"Crédito",$AD15=""),"",IF($AD15&lt;=0,"",($Z15-N($L15))/$AD15))</f>
        <v/>
      </c>
      <c r="AI15" s="14" t="str">
        <f aca="false">IF(OR($AH15="",$W15=""),"",$AH15*365/MAX($W15,1))</f>
        <v/>
      </c>
      <c r="AJ15" s="14" t="str">
        <f aca="false">IF(OR($AE15="",$U15&lt;&gt;"Crédito",N($K15)=0),"",(N($K15)-IF(OR($M15="Cerrada",$M15="Rolada"),N($O15),0))/$K15)</f>
        <v/>
      </c>
      <c r="AK15" s="15" t="str">
        <f aca="false">IF(OR($C15="",$N15=""),"",DATE(YEAR($N15),MONTH($N15),1))</f>
        <v/>
      </c>
      <c r="AL15" s="11" t="str">
        <f aca="false">IF($C15="","",IF($M15="Abierta",0,1))</f>
        <v/>
      </c>
      <c r="AM15" s="16" t="str">
        <f aca="false">IF(OR($AE15="",$AD15=""),"",$AD15*MAX(N($X15),1))</f>
        <v/>
      </c>
      <c r="AN15" s="10" t="str">
        <f aca="false">IF($C15="","",IF(OR($B15="",$D15="",$H15="",$K15="",$M15=""),"Faltan datos obligatorios",IF($T15="","Estrategia no reconocida",IF(AND($M15&lt;&gt;"Abierta",$N15=""),"Falta fecha cierre",IF(AND(OR($M15="Cerrada",$M15="Rolada"),$O15=""),"Falta prima cierre",IF(AND($N15&lt;&gt;"",$N15&lt;$B15),"Cierre anterior a apertura",IF(AND($M15="Asignada",$R15=""),"Asignada: falta ID lote acciones",IF(AND($R15&lt;&gt;"",ISNA(MATCH($R15,Acciones!$A$2:$A$201,0))),"El ID lote no existe en Acciones",IF($AD15="","Revisa capital en riesgo","OK")))))))))</f>
        <v/>
      </c>
    </row>
    <row r="16" customFormat="false" ht="15" hidden="false" customHeight="true" outlineLevel="0" collapsed="false">
      <c r="A16" s="5"/>
      <c r="B16" s="6"/>
      <c r="C16" s="7"/>
      <c r="D16" s="7"/>
      <c r="E16" s="8"/>
      <c r="F16" s="8"/>
      <c r="G16" s="6"/>
      <c r="H16" s="5"/>
      <c r="I16" s="5" t="n">
        <v>100</v>
      </c>
      <c r="J16" s="8"/>
      <c r="K16" s="8"/>
      <c r="L16" s="9"/>
      <c r="M16" s="7"/>
      <c r="N16" s="6"/>
      <c r="O16" s="8"/>
      <c r="P16" s="9"/>
      <c r="Q16" s="9"/>
      <c r="R16" s="7"/>
      <c r="S16" s="7"/>
      <c r="T16" s="10" t="str">
        <f aca="false">IF($C16="","",IFERROR(INDEX(Listas!$B$2:$B$20,MATCH($D16,Listas!$A$2:$A$20,0)),""))</f>
        <v/>
      </c>
      <c r="U16" s="10" t="str">
        <f aca="false">IF($C16="","",IFERROR(INDEX(Listas!$C$2:$C$20,MATCH($D16,Listas!$A$2:$A$20,0)),""))</f>
        <v/>
      </c>
      <c r="V16" s="10" t="str">
        <f aca="false">IF($C16="","",IFERROR(INDEX(Listas!$D$2:$D$20,MATCH($D16,Listas!$A$2:$A$20,0)),""))</f>
        <v/>
      </c>
      <c r="W16" s="11" t="str">
        <f aca="false">IF(OR($C16="",$B16="",$G16=""),"",$G16-$B16)</f>
        <v/>
      </c>
      <c r="X16" s="11" t="str">
        <f aca="true">IF(OR($C16="",$B16=""),"",IF($N16&lt;&gt;"",$N16,TODAY())-$B16)</f>
        <v/>
      </c>
      <c r="Y16" s="11" t="str">
        <f aca="true">IF(OR($C16="",$M16&lt;&gt;"Abierta",$G16=""),"",MAX($G16-TODAY(),0))</f>
        <v/>
      </c>
      <c r="Z16" s="12" t="str">
        <f aca="false">IF($C16="","",N($K16)*N($H16)*N($I16)*IF($U16="Débito",-1,1))</f>
        <v/>
      </c>
      <c r="AA16" s="13" t="str">
        <f aca="false">IF($C16="","",IF(AND($U16="Débito",$F16&lt;&gt;""),$F16,$E16))</f>
        <v/>
      </c>
      <c r="AB16" s="13" t="str">
        <f aca="false">IF(OR($C16="",$T16="Mixta",$AA16=""),"",IF($V16="Subyacente",IF($J16="","",$J16-$K16),IF($T16="Put",$AA16-$K16,$AA16+$K16)))</f>
        <v/>
      </c>
      <c r="AC16" s="14" t="str">
        <f aca="false">IF(OR($C16="",$T16="Mixta",$J16="",$AA16=""),"",IF($T16="Put",($J16-$AA16)/$J16,($AA16-$J16)/$J16))</f>
        <v/>
      </c>
      <c r="AD16" s="12" t="str">
        <f aca="false">IF($C16="","",IF($Q16&lt;&gt;"",$Q16,IF($V16="Strike",N($E16)*$H16*$I16,IF($V16="Subyacente",IF($J16="","",$J16*$H16*$I16),IF($V16="Ancho",IF($F16="","",ABS($E16-$F16)*$H16*$I16-$K16*$H16*$I16),IF($V16="Prima",$K16*$H16*$I16,""))))))</f>
        <v/>
      </c>
      <c r="AE16" s="12" t="str">
        <f aca="false">IF(OR($C16="",$M16="Abierta",$M16=""),"",(N($K16)-IF(OR($M16="Cerrada",$M16="Rolada"),N($O16),0))*$H16*$I16*IF($U16="Débito",-1,1)-N($L16)-N($P16))</f>
        <v/>
      </c>
      <c r="AF16" s="14" t="str">
        <f aca="false">IF(OR($AE16="",$AD16=""),"",IF($AD16&lt;=0,"",$AE16/$AD16))</f>
        <v/>
      </c>
      <c r="AG16" s="14" t="str">
        <f aca="false">IF($AF16="","",$AF16*365/MAX(N($X16),1))</f>
        <v/>
      </c>
      <c r="AH16" s="14" t="str">
        <f aca="false">IF(OR($C16="",$U16&lt;&gt;"Crédito",$AD16=""),"",IF($AD16&lt;=0,"",($Z16-N($L16))/$AD16))</f>
        <v/>
      </c>
      <c r="AI16" s="14" t="str">
        <f aca="false">IF(OR($AH16="",$W16=""),"",$AH16*365/MAX($W16,1))</f>
        <v/>
      </c>
      <c r="AJ16" s="14" t="str">
        <f aca="false">IF(OR($AE16="",$U16&lt;&gt;"Crédito",N($K16)=0),"",(N($K16)-IF(OR($M16="Cerrada",$M16="Rolada"),N($O16),0))/$K16)</f>
        <v/>
      </c>
      <c r="AK16" s="15" t="str">
        <f aca="false">IF(OR($C16="",$N16=""),"",DATE(YEAR($N16),MONTH($N16),1))</f>
        <v/>
      </c>
      <c r="AL16" s="11" t="str">
        <f aca="false">IF($C16="","",IF($M16="Abierta",0,1))</f>
        <v/>
      </c>
      <c r="AM16" s="16" t="str">
        <f aca="false">IF(OR($AE16="",$AD16=""),"",$AD16*MAX(N($X16),1))</f>
        <v/>
      </c>
      <c r="AN16" s="10" t="str">
        <f aca="false">IF($C16="","",IF(OR($B16="",$D16="",$H16="",$K16="",$M16=""),"Faltan datos obligatorios",IF($T16="","Estrategia no reconocida",IF(AND($M16&lt;&gt;"Abierta",$N16=""),"Falta fecha cierre",IF(AND(OR($M16="Cerrada",$M16="Rolada"),$O16=""),"Falta prima cierre",IF(AND($N16&lt;&gt;"",$N16&lt;$B16),"Cierre anterior a apertura",IF(AND($M16="Asignada",$R16=""),"Asignada: falta ID lote acciones",IF(AND($R16&lt;&gt;"",ISNA(MATCH($R16,Acciones!$A$2:$A$201,0))),"El ID lote no existe en Acciones",IF($AD16="","Revisa capital en riesgo","OK")))))))))</f>
        <v/>
      </c>
    </row>
    <row r="17" customFormat="false" ht="15" hidden="false" customHeight="true" outlineLevel="0" collapsed="false">
      <c r="A17" s="5"/>
      <c r="B17" s="6"/>
      <c r="C17" s="7"/>
      <c r="D17" s="7"/>
      <c r="E17" s="8"/>
      <c r="F17" s="8"/>
      <c r="G17" s="6"/>
      <c r="H17" s="5"/>
      <c r="I17" s="5" t="n">
        <v>100</v>
      </c>
      <c r="J17" s="8"/>
      <c r="K17" s="8"/>
      <c r="L17" s="9"/>
      <c r="M17" s="7"/>
      <c r="N17" s="6"/>
      <c r="O17" s="8"/>
      <c r="P17" s="9"/>
      <c r="Q17" s="9"/>
      <c r="R17" s="7"/>
      <c r="S17" s="7"/>
      <c r="T17" s="10" t="str">
        <f aca="false">IF($C17="","",IFERROR(INDEX(Listas!$B$2:$B$20,MATCH($D17,Listas!$A$2:$A$20,0)),""))</f>
        <v/>
      </c>
      <c r="U17" s="10" t="str">
        <f aca="false">IF($C17="","",IFERROR(INDEX(Listas!$C$2:$C$20,MATCH($D17,Listas!$A$2:$A$20,0)),""))</f>
        <v/>
      </c>
      <c r="V17" s="10" t="str">
        <f aca="false">IF($C17="","",IFERROR(INDEX(Listas!$D$2:$D$20,MATCH($D17,Listas!$A$2:$A$20,0)),""))</f>
        <v/>
      </c>
      <c r="W17" s="11" t="str">
        <f aca="false">IF(OR($C17="",$B17="",$G17=""),"",$G17-$B17)</f>
        <v/>
      </c>
      <c r="X17" s="11" t="str">
        <f aca="true">IF(OR($C17="",$B17=""),"",IF($N17&lt;&gt;"",$N17,TODAY())-$B17)</f>
        <v/>
      </c>
      <c r="Y17" s="11" t="str">
        <f aca="true">IF(OR($C17="",$M17&lt;&gt;"Abierta",$G17=""),"",MAX($G17-TODAY(),0))</f>
        <v/>
      </c>
      <c r="Z17" s="12" t="str">
        <f aca="false">IF($C17="","",N($K17)*N($H17)*N($I17)*IF($U17="Débito",-1,1))</f>
        <v/>
      </c>
      <c r="AA17" s="13" t="str">
        <f aca="false">IF($C17="","",IF(AND($U17="Débito",$F17&lt;&gt;""),$F17,$E17))</f>
        <v/>
      </c>
      <c r="AB17" s="13" t="str">
        <f aca="false">IF(OR($C17="",$T17="Mixta",$AA17=""),"",IF($V17="Subyacente",IF($J17="","",$J17-$K17),IF($T17="Put",$AA17-$K17,$AA17+$K17)))</f>
        <v/>
      </c>
      <c r="AC17" s="14" t="str">
        <f aca="false">IF(OR($C17="",$T17="Mixta",$J17="",$AA17=""),"",IF($T17="Put",($J17-$AA17)/$J17,($AA17-$J17)/$J17))</f>
        <v/>
      </c>
      <c r="AD17" s="12" t="str">
        <f aca="false">IF($C17="","",IF($Q17&lt;&gt;"",$Q17,IF($V17="Strike",N($E17)*$H17*$I17,IF($V17="Subyacente",IF($J17="","",$J17*$H17*$I17),IF($V17="Ancho",IF($F17="","",ABS($E17-$F17)*$H17*$I17-$K17*$H17*$I17),IF($V17="Prima",$K17*$H17*$I17,""))))))</f>
        <v/>
      </c>
      <c r="AE17" s="12" t="str">
        <f aca="false">IF(OR($C17="",$M17="Abierta",$M17=""),"",(N($K17)-IF(OR($M17="Cerrada",$M17="Rolada"),N($O17),0))*$H17*$I17*IF($U17="Débito",-1,1)-N($L17)-N($P17))</f>
        <v/>
      </c>
      <c r="AF17" s="14" t="str">
        <f aca="false">IF(OR($AE17="",$AD17=""),"",IF($AD17&lt;=0,"",$AE17/$AD17))</f>
        <v/>
      </c>
      <c r="AG17" s="14" t="str">
        <f aca="false">IF($AF17="","",$AF17*365/MAX(N($X17),1))</f>
        <v/>
      </c>
      <c r="AH17" s="14" t="str">
        <f aca="false">IF(OR($C17="",$U17&lt;&gt;"Crédito",$AD17=""),"",IF($AD17&lt;=0,"",($Z17-N($L17))/$AD17))</f>
        <v/>
      </c>
      <c r="AI17" s="14" t="str">
        <f aca="false">IF(OR($AH17="",$W17=""),"",$AH17*365/MAX($W17,1))</f>
        <v/>
      </c>
      <c r="AJ17" s="14" t="str">
        <f aca="false">IF(OR($AE17="",$U17&lt;&gt;"Crédito",N($K17)=0),"",(N($K17)-IF(OR($M17="Cerrada",$M17="Rolada"),N($O17),0))/$K17)</f>
        <v/>
      </c>
      <c r="AK17" s="15" t="str">
        <f aca="false">IF(OR($C17="",$N17=""),"",DATE(YEAR($N17),MONTH($N17),1))</f>
        <v/>
      </c>
      <c r="AL17" s="11" t="str">
        <f aca="false">IF($C17="","",IF($M17="Abierta",0,1))</f>
        <v/>
      </c>
      <c r="AM17" s="16" t="str">
        <f aca="false">IF(OR($AE17="",$AD17=""),"",$AD17*MAX(N($X17),1))</f>
        <v/>
      </c>
      <c r="AN17" s="10" t="str">
        <f aca="false">IF($C17="","",IF(OR($B17="",$D17="",$H17="",$K17="",$M17=""),"Faltan datos obligatorios",IF($T17="","Estrategia no reconocida",IF(AND($M17&lt;&gt;"Abierta",$N17=""),"Falta fecha cierre",IF(AND(OR($M17="Cerrada",$M17="Rolada"),$O17=""),"Falta prima cierre",IF(AND($N17&lt;&gt;"",$N17&lt;$B17),"Cierre anterior a apertura",IF(AND($M17="Asignada",$R17=""),"Asignada: falta ID lote acciones",IF(AND($R17&lt;&gt;"",ISNA(MATCH($R17,Acciones!$A$2:$A$201,0))),"El ID lote no existe en Acciones",IF($AD17="","Revisa capital en riesgo","OK")))))))))</f>
        <v/>
      </c>
    </row>
    <row r="18" customFormat="false" ht="15" hidden="false" customHeight="true" outlineLevel="0" collapsed="false">
      <c r="A18" s="5"/>
      <c r="B18" s="6"/>
      <c r="C18" s="7"/>
      <c r="D18" s="7"/>
      <c r="E18" s="8"/>
      <c r="F18" s="8"/>
      <c r="G18" s="6"/>
      <c r="H18" s="5"/>
      <c r="I18" s="5" t="n">
        <v>100</v>
      </c>
      <c r="J18" s="8"/>
      <c r="K18" s="8"/>
      <c r="L18" s="9"/>
      <c r="M18" s="7"/>
      <c r="N18" s="6"/>
      <c r="O18" s="8"/>
      <c r="P18" s="9"/>
      <c r="Q18" s="9"/>
      <c r="R18" s="7"/>
      <c r="S18" s="7"/>
      <c r="T18" s="10" t="str">
        <f aca="false">IF($C18="","",IFERROR(INDEX(Listas!$B$2:$B$20,MATCH($D18,Listas!$A$2:$A$20,0)),""))</f>
        <v/>
      </c>
      <c r="U18" s="10" t="str">
        <f aca="false">IF($C18="","",IFERROR(INDEX(Listas!$C$2:$C$20,MATCH($D18,Listas!$A$2:$A$20,0)),""))</f>
        <v/>
      </c>
      <c r="V18" s="10" t="str">
        <f aca="false">IF($C18="","",IFERROR(INDEX(Listas!$D$2:$D$20,MATCH($D18,Listas!$A$2:$A$20,0)),""))</f>
        <v/>
      </c>
      <c r="W18" s="11" t="str">
        <f aca="false">IF(OR($C18="",$B18="",$G18=""),"",$G18-$B18)</f>
        <v/>
      </c>
      <c r="X18" s="11" t="str">
        <f aca="true">IF(OR($C18="",$B18=""),"",IF($N18&lt;&gt;"",$N18,TODAY())-$B18)</f>
        <v/>
      </c>
      <c r="Y18" s="11" t="str">
        <f aca="true">IF(OR($C18="",$M18&lt;&gt;"Abierta",$G18=""),"",MAX($G18-TODAY(),0))</f>
        <v/>
      </c>
      <c r="Z18" s="12" t="str">
        <f aca="false">IF($C18="","",N($K18)*N($H18)*N($I18)*IF($U18="Débito",-1,1))</f>
        <v/>
      </c>
      <c r="AA18" s="13" t="str">
        <f aca="false">IF($C18="","",IF(AND($U18="Débito",$F18&lt;&gt;""),$F18,$E18))</f>
        <v/>
      </c>
      <c r="AB18" s="13" t="str">
        <f aca="false">IF(OR($C18="",$T18="Mixta",$AA18=""),"",IF($V18="Subyacente",IF($J18="","",$J18-$K18),IF($T18="Put",$AA18-$K18,$AA18+$K18)))</f>
        <v/>
      </c>
      <c r="AC18" s="14" t="str">
        <f aca="false">IF(OR($C18="",$T18="Mixta",$J18="",$AA18=""),"",IF($T18="Put",($J18-$AA18)/$J18,($AA18-$J18)/$J18))</f>
        <v/>
      </c>
      <c r="AD18" s="12" t="str">
        <f aca="false">IF($C18="","",IF($Q18&lt;&gt;"",$Q18,IF($V18="Strike",N($E18)*$H18*$I18,IF($V18="Subyacente",IF($J18="","",$J18*$H18*$I18),IF($V18="Ancho",IF($F18="","",ABS($E18-$F18)*$H18*$I18-$K18*$H18*$I18),IF($V18="Prima",$K18*$H18*$I18,""))))))</f>
        <v/>
      </c>
      <c r="AE18" s="12" t="str">
        <f aca="false">IF(OR($C18="",$M18="Abierta",$M18=""),"",(N($K18)-IF(OR($M18="Cerrada",$M18="Rolada"),N($O18),0))*$H18*$I18*IF($U18="Débito",-1,1)-N($L18)-N($P18))</f>
        <v/>
      </c>
      <c r="AF18" s="14" t="str">
        <f aca="false">IF(OR($AE18="",$AD18=""),"",IF($AD18&lt;=0,"",$AE18/$AD18))</f>
        <v/>
      </c>
      <c r="AG18" s="14" t="str">
        <f aca="false">IF($AF18="","",$AF18*365/MAX(N($X18),1))</f>
        <v/>
      </c>
      <c r="AH18" s="14" t="str">
        <f aca="false">IF(OR($C18="",$U18&lt;&gt;"Crédito",$AD18=""),"",IF($AD18&lt;=0,"",($Z18-N($L18))/$AD18))</f>
        <v/>
      </c>
      <c r="AI18" s="14" t="str">
        <f aca="false">IF(OR($AH18="",$W18=""),"",$AH18*365/MAX($W18,1))</f>
        <v/>
      </c>
      <c r="AJ18" s="14" t="str">
        <f aca="false">IF(OR($AE18="",$U18&lt;&gt;"Crédito",N($K18)=0),"",(N($K18)-IF(OR($M18="Cerrada",$M18="Rolada"),N($O18),0))/$K18)</f>
        <v/>
      </c>
      <c r="AK18" s="15" t="str">
        <f aca="false">IF(OR($C18="",$N18=""),"",DATE(YEAR($N18),MONTH($N18),1))</f>
        <v/>
      </c>
      <c r="AL18" s="11" t="str">
        <f aca="false">IF($C18="","",IF($M18="Abierta",0,1))</f>
        <v/>
      </c>
      <c r="AM18" s="16" t="str">
        <f aca="false">IF(OR($AE18="",$AD18=""),"",$AD18*MAX(N($X18),1))</f>
        <v/>
      </c>
      <c r="AN18" s="10" t="str">
        <f aca="false">IF($C18="","",IF(OR($B18="",$D18="",$H18="",$K18="",$M18=""),"Faltan datos obligatorios",IF($T18="","Estrategia no reconocida",IF(AND($M18&lt;&gt;"Abierta",$N18=""),"Falta fecha cierre",IF(AND(OR($M18="Cerrada",$M18="Rolada"),$O18=""),"Falta prima cierre",IF(AND($N18&lt;&gt;"",$N18&lt;$B18),"Cierre anterior a apertura",IF(AND($M18="Asignada",$R18=""),"Asignada: falta ID lote acciones",IF(AND($R18&lt;&gt;"",ISNA(MATCH($R18,Acciones!$A$2:$A$201,0))),"El ID lote no existe en Acciones",IF($AD18="","Revisa capital en riesgo","OK")))))))))</f>
        <v/>
      </c>
    </row>
    <row r="19" customFormat="false" ht="15" hidden="false" customHeight="true" outlineLevel="0" collapsed="false">
      <c r="A19" s="5"/>
      <c r="B19" s="6"/>
      <c r="C19" s="7"/>
      <c r="D19" s="7"/>
      <c r="E19" s="8"/>
      <c r="F19" s="8"/>
      <c r="G19" s="6"/>
      <c r="H19" s="5"/>
      <c r="I19" s="5" t="n">
        <v>100</v>
      </c>
      <c r="J19" s="8"/>
      <c r="K19" s="8"/>
      <c r="L19" s="9"/>
      <c r="M19" s="7"/>
      <c r="N19" s="6"/>
      <c r="O19" s="8"/>
      <c r="P19" s="9"/>
      <c r="Q19" s="9"/>
      <c r="R19" s="7"/>
      <c r="S19" s="7"/>
      <c r="T19" s="10" t="str">
        <f aca="false">IF($C19="","",IFERROR(INDEX(Listas!$B$2:$B$20,MATCH($D19,Listas!$A$2:$A$20,0)),""))</f>
        <v/>
      </c>
      <c r="U19" s="10" t="str">
        <f aca="false">IF($C19="","",IFERROR(INDEX(Listas!$C$2:$C$20,MATCH($D19,Listas!$A$2:$A$20,0)),""))</f>
        <v/>
      </c>
      <c r="V19" s="10" t="str">
        <f aca="false">IF($C19="","",IFERROR(INDEX(Listas!$D$2:$D$20,MATCH($D19,Listas!$A$2:$A$20,0)),""))</f>
        <v/>
      </c>
      <c r="W19" s="11" t="str">
        <f aca="false">IF(OR($C19="",$B19="",$G19=""),"",$G19-$B19)</f>
        <v/>
      </c>
      <c r="X19" s="11" t="str">
        <f aca="true">IF(OR($C19="",$B19=""),"",IF($N19&lt;&gt;"",$N19,TODAY())-$B19)</f>
        <v/>
      </c>
      <c r="Y19" s="11" t="str">
        <f aca="true">IF(OR($C19="",$M19&lt;&gt;"Abierta",$G19=""),"",MAX($G19-TODAY(),0))</f>
        <v/>
      </c>
      <c r="Z19" s="12" t="str">
        <f aca="false">IF($C19="","",N($K19)*N($H19)*N($I19)*IF($U19="Débito",-1,1))</f>
        <v/>
      </c>
      <c r="AA19" s="13" t="str">
        <f aca="false">IF($C19="","",IF(AND($U19="Débito",$F19&lt;&gt;""),$F19,$E19))</f>
        <v/>
      </c>
      <c r="AB19" s="13" t="str">
        <f aca="false">IF(OR($C19="",$T19="Mixta",$AA19=""),"",IF($V19="Subyacente",IF($J19="","",$J19-$K19),IF($T19="Put",$AA19-$K19,$AA19+$K19)))</f>
        <v/>
      </c>
      <c r="AC19" s="14" t="str">
        <f aca="false">IF(OR($C19="",$T19="Mixta",$J19="",$AA19=""),"",IF($T19="Put",($J19-$AA19)/$J19,($AA19-$J19)/$J19))</f>
        <v/>
      </c>
      <c r="AD19" s="12" t="str">
        <f aca="false">IF($C19="","",IF($Q19&lt;&gt;"",$Q19,IF($V19="Strike",N($E19)*$H19*$I19,IF($V19="Subyacente",IF($J19="","",$J19*$H19*$I19),IF($V19="Ancho",IF($F19="","",ABS($E19-$F19)*$H19*$I19-$K19*$H19*$I19),IF($V19="Prima",$K19*$H19*$I19,""))))))</f>
        <v/>
      </c>
      <c r="AE19" s="12" t="str">
        <f aca="false">IF(OR($C19="",$M19="Abierta",$M19=""),"",(N($K19)-IF(OR($M19="Cerrada",$M19="Rolada"),N($O19),0))*$H19*$I19*IF($U19="Débito",-1,1)-N($L19)-N($P19))</f>
        <v/>
      </c>
      <c r="AF19" s="14" t="str">
        <f aca="false">IF(OR($AE19="",$AD19=""),"",IF($AD19&lt;=0,"",$AE19/$AD19))</f>
        <v/>
      </c>
      <c r="AG19" s="14" t="str">
        <f aca="false">IF($AF19="","",$AF19*365/MAX(N($X19),1))</f>
        <v/>
      </c>
      <c r="AH19" s="14" t="str">
        <f aca="false">IF(OR($C19="",$U19&lt;&gt;"Crédito",$AD19=""),"",IF($AD19&lt;=0,"",($Z19-N($L19))/$AD19))</f>
        <v/>
      </c>
      <c r="AI19" s="14" t="str">
        <f aca="false">IF(OR($AH19="",$W19=""),"",$AH19*365/MAX($W19,1))</f>
        <v/>
      </c>
      <c r="AJ19" s="14" t="str">
        <f aca="false">IF(OR($AE19="",$U19&lt;&gt;"Crédito",N($K19)=0),"",(N($K19)-IF(OR($M19="Cerrada",$M19="Rolada"),N($O19),0))/$K19)</f>
        <v/>
      </c>
      <c r="AK19" s="15" t="str">
        <f aca="false">IF(OR($C19="",$N19=""),"",DATE(YEAR($N19),MONTH($N19),1))</f>
        <v/>
      </c>
      <c r="AL19" s="11" t="str">
        <f aca="false">IF($C19="","",IF($M19="Abierta",0,1))</f>
        <v/>
      </c>
      <c r="AM19" s="16" t="str">
        <f aca="false">IF(OR($AE19="",$AD19=""),"",$AD19*MAX(N($X19),1))</f>
        <v/>
      </c>
      <c r="AN19" s="10" t="str">
        <f aca="false">IF($C19="","",IF(OR($B19="",$D19="",$H19="",$K19="",$M19=""),"Faltan datos obligatorios",IF($T19="","Estrategia no reconocida",IF(AND($M19&lt;&gt;"Abierta",$N19=""),"Falta fecha cierre",IF(AND(OR($M19="Cerrada",$M19="Rolada"),$O19=""),"Falta prima cierre",IF(AND($N19&lt;&gt;"",$N19&lt;$B19),"Cierre anterior a apertura",IF(AND($M19="Asignada",$R19=""),"Asignada: falta ID lote acciones",IF(AND($R19&lt;&gt;"",ISNA(MATCH($R19,Acciones!$A$2:$A$201,0))),"El ID lote no existe en Acciones",IF($AD19="","Revisa capital en riesgo","OK")))))))))</f>
        <v/>
      </c>
    </row>
    <row r="20" customFormat="false" ht="15" hidden="false" customHeight="true" outlineLevel="0" collapsed="false">
      <c r="A20" s="5"/>
      <c r="B20" s="6"/>
      <c r="C20" s="7"/>
      <c r="D20" s="7"/>
      <c r="E20" s="8"/>
      <c r="F20" s="8"/>
      <c r="G20" s="6"/>
      <c r="H20" s="5"/>
      <c r="I20" s="5" t="n">
        <v>100</v>
      </c>
      <c r="J20" s="8"/>
      <c r="K20" s="8"/>
      <c r="L20" s="9"/>
      <c r="M20" s="7"/>
      <c r="N20" s="6"/>
      <c r="O20" s="8"/>
      <c r="P20" s="9"/>
      <c r="Q20" s="9"/>
      <c r="R20" s="7"/>
      <c r="S20" s="7"/>
      <c r="T20" s="10" t="str">
        <f aca="false">IF($C20="","",IFERROR(INDEX(Listas!$B$2:$B$20,MATCH($D20,Listas!$A$2:$A$20,0)),""))</f>
        <v/>
      </c>
      <c r="U20" s="10" t="str">
        <f aca="false">IF($C20="","",IFERROR(INDEX(Listas!$C$2:$C$20,MATCH($D20,Listas!$A$2:$A$20,0)),""))</f>
        <v/>
      </c>
      <c r="V20" s="10" t="str">
        <f aca="false">IF($C20="","",IFERROR(INDEX(Listas!$D$2:$D$20,MATCH($D20,Listas!$A$2:$A$20,0)),""))</f>
        <v/>
      </c>
      <c r="W20" s="11" t="str">
        <f aca="false">IF(OR($C20="",$B20="",$G20=""),"",$G20-$B20)</f>
        <v/>
      </c>
      <c r="X20" s="11" t="str">
        <f aca="true">IF(OR($C20="",$B20=""),"",IF($N20&lt;&gt;"",$N20,TODAY())-$B20)</f>
        <v/>
      </c>
      <c r="Y20" s="11" t="str">
        <f aca="true">IF(OR($C20="",$M20&lt;&gt;"Abierta",$G20=""),"",MAX($G20-TODAY(),0))</f>
        <v/>
      </c>
      <c r="Z20" s="12" t="str">
        <f aca="false">IF($C20="","",N($K20)*N($H20)*N($I20)*IF($U20="Débito",-1,1))</f>
        <v/>
      </c>
      <c r="AA20" s="13" t="str">
        <f aca="false">IF($C20="","",IF(AND($U20="Débito",$F20&lt;&gt;""),$F20,$E20))</f>
        <v/>
      </c>
      <c r="AB20" s="13" t="str">
        <f aca="false">IF(OR($C20="",$T20="Mixta",$AA20=""),"",IF($V20="Subyacente",IF($J20="","",$J20-$K20),IF($T20="Put",$AA20-$K20,$AA20+$K20)))</f>
        <v/>
      </c>
      <c r="AC20" s="14" t="str">
        <f aca="false">IF(OR($C20="",$T20="Mixta",$J20="",$AA20=""),"",IF($T20="Put",($J20-$AA20)/$J20,($AA20-$J20)/$J20))</f>
        <v/>
      </c>
      <c r="AD20" s="12" t="str">
        <f aca="false">IF($C20="","",IF($Q20&lt;&gt;"",$Q20,IF($V20="Strike",N($E20)*$H20*$I20,IF($V20="Subyacente",IF($J20="","",$J20*$H20*$I20),IF($V20="Ancho",IF($F20="","",ABS($E20-$F20)*$H20*$I20-$K20*$H20*$I20),IF($V20="Prima",$K20*$H20*$I20,""))))))</f>
        <v/>
      </c>
      <c r="AE20" s="12" t="str">
        <f aca="false">IF(OR($C20="",$M20="Abierta",$M20=""),"",(N($K20)-IF(OR($M20="Cerrada",$M20="Rolada"),N($O20),0))*$H20*$I20*IF($U20="Débito",-1,1)-N($L20)-N($P20))</f>
        <v/>
      </c>
      <c r="AF20" s="14" t="str">
        <f aca="false">IF(OR($AE20="",$AD20=""),"",IF($AD20&lt;=0,"",$AE20/$AD20))</f>
        <v/>
      </c>
      <c r="AG20" s="14" t="str">
        <f aca="false">IF($AF20="","",$AF20*365/MAX(N($X20),1))</f>
        <v/>
      </c>
      <c r="AH20" s="14" t="str">
        <f aca="false">IF(OR($C20="",$U20&lt;&gt;"Crédito",$AD20=""),"",IF($AD20&lt;=0,"",($Z20-N($L20))/$AD20))</f>
        <v/>
      </c>
      <c r="AI20" s="14" t="str">
        <f aca="false">IF(OR($AH20="",$W20=""),"",$AH20*365/MAX($W20,1))</f>
        <v/>
      </c>
      <c r="AJ20" s="14" t="str">
        <f aca="false">IF(OR($AE20="",$U20&lt;&gt;"Crédito",N($K20)=0),"",(N($K20)-IF(OR($M20="Cerrada",$M20="Rolada"),N($O20),0))/$K20)</f>
        <v/>
      </c>
      <c r="AK20" s="15" t="str">
        <f aca="false">IF(OR($C20="",$N20=""),"",DATE(YEAR($N20),MONTH($N20),1))</f>
        <v/>
      </c>
      <c r="AL20" s="11" t="str">
        <f aca="false">IF($C20="","",IF($M20="Abierta",0,1))</f>
        <v/>
      </c>
      <c r="AM20" s="16" t="str">
        <f aca="false">IF(OR($AE20="",$AD20=""),"",$AD20*MAX(N($X20),1))</f>
        <v/>
      </c>
      <c r="AN20" s="10" t="str">
        <f aca="false">IF($C20="","",IF(OR($B20="",$D20="",$H20="",$K20="",$M20=""),"Faltan datos obligatorios",IF($T20="","Estrategia no reconocida",IF(AND($M20&lt;&gt;"Abierta",$N20=""),"Falta fecha cierre",IF(AND(OR($M20="Cerrada",$M20="Rolada"),$O20=""),"Falta prima cierre",IF(AND($N20&lt;&gt;"",$N20&lt;$B20),"Cierre anterior a apertura",IF(AND($M20="Asignada",$R20=""),"Asignada: falta ID lote acciones",IF(AND($R20&lt;&gt;"",ISNA(MATCH($R20,Acciones!$A$2:$A$201,0))),"El ID lote no existe en Acciones",IF($AD20="","Revisa capital en riesgo","OK")))))))))</f>
        <v/>
      </c>
    </row>
    <row r="21" customFormat="false" ht="15" hidden="false" customHeight="true" outlineLevel="0" collapsed="false">
      <c r="A21" s="5"/>
      <c r="B21" s="6"/>
      <c r="C21" s="7"/>
      <c r="D21" s="7"/>
      <c r="E21" s="8"/>
      <c r="F21" s="8"/>
      <c r="G21" s="6"/>
      <c r="H21" s="5"/>
      <c r="I21" s="5" t="n">
        <v>100</v>
      </c>
      <c r="J21" s="8"/>
      <c r="K21" s="8"/>
      <c r="L21" s="9"/>
      <c r="M21" s="7"/>
      <c r="N21" s="6"/>
      <c r="O21" s="8"/>
      <c r="P21" s="9"/>
      <c r="Q21" s="9"/>
      <c r="R21" s="7"/>
      <c r="S21" s="7"/>
      <c r="T21" s="10" t="str">
        <f aca="false">IF($C21="","",IFERROR(INDEX(Listas!$B$2:$B$20,MATCH($D21,Listas!$A$2:$A$20,0)),""))</f>
        <v/>
      </c>
      <c r="U21" s="10" t="str">
        <f aca="false">IF($C21="","",IFERROR(INDEX(Listas!$C$2:$C$20,MATCH($D21,Listas!$A$2:$A$20,0)),""))</f>
        <v/>
      </c>
      <c r="V21" s="10" t="str">
        <f aca="false">IF($C21="","",IFERROR(INDEX(Listas!$D$2:$D$20,MATCH($D21,Listas!$A$2:$A$20,0)),""))</f>
        <v/>
      </c>
      <c r="W21" s="11" t="str">
        <f aca="false">IF(OR($C21="",$B21="",$G21=""),"",$G21-$B21)</f>
        <v/>
      </c>
      <c r="X21" s="11" t="str">
        <f aca="true">IF(OR($C21="",$B21=""),"",IF($N21&lt;&gt;"",$N21,TODAY())-$B21)</f>
        <v/>
      </c>
      <c r="Y21" s="11" t="str">
        <f aca="true">IF(OR($C21="",$M21&lt;&gt;"Abierta",$G21=""),"",MAX($G21-TODAY(),0))</f>
        <v/>
      </c>
      <c r="Z21" s="12" t="str">
        <f aca="false">IF($C21="","",N($K21)*N($H21)*N($I21)*IF($U21="Débito",-1,1))</f>
        <v/>
      </c>
      <c r="AA21" s="13" t="str">
        <f aca="false">IF($C21="","",IF(AND($U21="Débito",$F21&lt;&gt;""),$F21,$E21))</f>
        <v/>
      </c>
      <c r="AB21" s="13" t="str">
        <f aca="false">IF(OR($C21="",$T21="Mixta",$AA21=""),"",IF($V21="Subyacente",IF($J21="","",$J21-$K21),IF($T21="Put",$AA21-$K21,$AA21+$K21)))</f>
        <v/>
      </c>
      <c r="AC21" s="14" t="str">
        <f aca="false">IF(OR($C21="",$T21="Mixta",$J21="",$AA21=""),"",IF($T21="Put",($J21-$AA21)/$J21,($AA21-$J21)/$J21))</f>
        <v/>
      </c>
      <c r="AD21" s="12" t="str">
        <f aca="false">IF($C21="","",IF($Q21&lt;&gt;"",$Q21,IF($V21="Strike",N($E21)*$H21*$I21,IF($V21="Subyacente",IF($J21="","",$J21*$H21*$I21),IF($V21="Ancho",IF($F21="","",ABS($E21-$F21)*$H21*$I21-$K21*$H21*$I21),IF($V21="Prima",$K21*$H21*$I21,""))))))</f>
        <v/>
      </c>
      <c r="AE21" s="12" t="str">
        <f aca="false">IF(OR($C21="",$M21="Abierta",$M21=""),"",(N($K21)-IF(OR($M21="Cerrada",$M21="Rolada"),N($O21),0))*$H21*$I21*IF($U21="Débito",-1,1)-N($L21)-N($P21))</f>
        <v/>
      </c>
      <c r="AF21" s="14" t="str">
        <f aca="false">IF(OR($AE21="",$AD21=""),"",IF($AD21&lt;=0,"",$AE21/$AD21))</f>
        <v/>
      </c>
      <c r="AG21" s="14" t="str">
        <f aca="false">IF($AF21="","",$AF21*365/MAX(N($X21),1))</f>
        <v/>
      </c>
      <c r="AH21" s="14" t="str">
        <f aca="false">IF(OR($C21="",$U21&lt;&gt;"Crédito",$AD21=""),"",IF($AD21&lt;=0,"",($Z21-N($L21))/$AD21))</f>
        <v/>
      </c>
      <c r="AI21" s="14" t="str">
        <f aca="false">IF(OR($AH21="",$W21=""),"",$AH21*365/MAX($W21,1))</f>
        <v/>
      </c>
      <c r="AJ21" s="14" t="str">
        <f aca="false">IF(OR($AE21="",$U21&lt;&gt;"Crédito",N($K21)=0),"",(N($K21)-IF(OR($M21="Cerrada",$M21="Rolada"),N($O21),0))/$K21)</f>
        <v/>
      </c>
      <c r="AK21" s="15" t="str">
        <f aca="false">IF(OR($C21="",$N21=""),"",DATE(YEAR($N21),MONTH($N21),1))</f>
        <v/>
      </c>
      <c r="AL21" s="11" t="str">
        <f aca="false">IF($C21="","",IF($M21="Abierta",0,1))</f>
        <v/>
      </c>
      <c r="AM21" s="16" t="str">
        <f aca="false">IF(OR($AE21="",$AD21=""),"",$AD21*MAX(N($X21),1))</f>
        <v/>
      </c>
      <c r="AN21" s="10" t="str">
        <f aca="false">IF($C21="","",IF(OR($B21="",$D21="",$H21="",$K21="",$M21=""),"Faltan datos obligatorios",IF($T21="","Estrategia no reconocida",IF(AND($M21&lt;&gt;"Abierta",$N21=""),"Falta fecha cierre",IF(AND(OR($M21="Cerrada",$M21="Rolada"),$O21=""),"Falta prima cierre",IF(AND($N21&lt;&gt;"",$N21&lt;$B21),"Cierre anterior a apertura",IF(AND($M21="Asignada",$R21=""),"Asignada: falta ID lote acciones",IF(AND($R21&lt;&gt;"",ISNA(MATCH($R21,Acciones!$A$2:$A$201,0))),"El ID lote no existe en Acciones",IF($AD21="","Revisa capital en riesgo","OK")))))))))</f>
        <v/>
      </c>
    </row>
    <row r="22" customFormat="false" ht="15" hidden="false" customHeight="true" outlineLevel="0" collapsed="false">
      <c r="A22" s="5"/>
      <c r="B22" s="6"/>
      <c r="C22" s="7"/>
      <c r="D22" s="7"/>
      <c r="E22" s="8"/>
      <c r="F22" s="8"/>
      <c r="G22" s="6"/>
      <c r="H22" s="5"/>
      <c r="I22" s="5" t="n">
        <v>100</v>
      </c>
      <c r="J22" s="8"/>
      <c r="K22" s="8"/>
      <c r="L22" s="9"/>
      <c r="M22" s="7"/>
      <c r="N22" s="6"/>
      <c r="O22" s="8"/>
      <c r="P22" s="9"/>
      <c r="Q22" s="9"/>
      <c r="R22" s="7"/>
      <c r="S22" s="7"/>
      <c r="T22" s="10" t="str">
        <f aca="false">IF($C22="","",IFERROR(INDEX(Listas!$B$2:$B$20,MATCH($D22,Listas!$A$2:$A$20,0)),""))</f>
        <v/>
      </c>
      <c r="U22" s="10" t="str">
        <f aca="false">IF($C22="","",IFERROR(INDEX(Listas!$C$2:$C$20,MATCH($D22,Listas!$A$2:$A$20,0)),""))</f>
        <v/>
      </c>
      <c r="V22" s="10" t="str">
        <f aca="false">IF($C22="","",IFERROR(INDEX(Listas!$D$2:$D$20,MATCH($D22,Listas!$A$2:$A$20,0)),""))</f>
        <v/>
      </c>
      <c r="W22" s="11" t="str">
        <f aca="false">IF(OR($C22="",$B22="",$G22=""),"",$G22-$B22)</f>
        <v/>
      </c>
      <c r="X22" s="11" t="str">
        <f aca="true">IF(OR($C22="",$B22=""),"",IF($N22&lt;&gt;"",$N22,TODAY())-$B22)</f>
        <v/>
      </c>
      <c r="Y22" s="11" t="str">
        <f aca="true">IF(OR($C22="",$M22&lt;&gt;"Abierta",$G22=""),"",MAX($G22-TODAY(),0))</f>
        <v/>
      </c>
      <c r="Z22" s="12" t="str">
        <f aca="false">IF($C22="","",N($K22)*N($H22)*N($I22)*IF($U22="Débito",-1,1))</f>
        <v/>
      </c>
      <c r="AA22" s="13" t="str">
        <f aca="false">IF($C22="","",IF(AND($U22="Débito",$F22&lt;&gt;""),$F22,$E22))</f>
        <v/>
      </c>
      <c r="AB22" s="13" t="str">
        <f aca="false">IF(OR($C22="",$T22="Mixta",$AA22=""),"",IF($V22="Subyacente",IF($J22="","",$J22-$K22),IF($T22="Put",$AA22-$K22,$AA22+$K22)))</f>
        <v/>
      </c>
      <c r="AC22" s="14" t="str">
        <f aca="false">IF(OR($C22="",$T22="Mixta",$J22="",$AA22=""),"",IF($T22="Put",($J22-$AA22)/$J22,($AA22-$J22)/$J22))</f>
        <v/>
      </c>
      <c r="AD22" s="12" t="str">
        <f aca="false">IF($C22="","",IF($Q22&lt;&gt;"",$Q22,IF($V22="Strike",N($E22)*$H22*$I22,IF($V22="Subyacente",IF($J22="","",$J22*$H22*$I22),IF($V22="Ancho",IF($F22="","",ABS($E22-$F22)*$H22*$I22-$K22*$H22*$I22),IF($V22="Prima",$K22*$H22*$I22,""))))))</f>
        <v/>
      </c>
      <c r="AE22" s="12" t="str">
        <f aca="false">IF(OR($C22="",$M22="Abierta",$M22=""),"",(N($K22)-IF(OR($M22="Cerrada",$M22="Rolada"),N($O22),0))*$H22*$I22*IF($U22="Débito",-1,1)-N($L22)-N($P22))</f>
        <v/>
      </c>
      <c r="AF22" s="14" t="str">
        <f aca="false">IF(OR($AE22="",$AD22=""),"",IF($AD22&lt;=0,"",$AE22/$AD22))</f>
        <v/>
      </c>
      <c r="AG22" s="14" t="str">
        <f aca="false">IF($AF22="","",$AF22*365/MAX(N($X22),1))</f>
        <v/>
      </c>
      <c r="AH22" s="14" t="str">
        <f aca="false">IF(OR($C22="",$U22&lt;&gt;"Crédito",$AD22=""),"",IF($AD22&lt;=0,"",($Z22-N($L22))/$AD22))</f>
        <v/>
      </c>
      <c r="AI22" s="14" t="str">
        <f aca="false">IF(OR($AH22="",$W22=""),"",$AH22*365/MAX($W22,1))</f>
        <v/>
      </c>
      <c r="AJ22" s="14" t="str">
        <f aca="false">IF(OR($AE22="",$U22&lt;&gt;"Crédito",N($K22)=0),"",(N($K22)-IF(OR($M22="Cerrada",$M22="Rolada"),N($O22),0))/$K22)</f>
        <v/>
      </c>
      <c r="AK22" s="15" t="str">
        <f aca="false">IF(OR($C22="",$N22=""),"",DATE(YEAR($N22),MONTH($N22),1))</f>
        <v/>
      </c>
      <c r="AL22" s="11" t="str">
        <f aca="false">IF($C22="","",IF($M22="Abierta",0,1))</f>
        <v/>
      </c>
      <c r="AM22" s="16" t="str">
        <f aca="false">IF(OR($AE22="",$AD22=""),"",$AD22*MAX(N($X22),1))</f>
        <v/>
      </c>
      <c r="AN22" s="10" t="str">
        <f aca="false">IF($C22="","",IF(OR($B22="",$D22="",$H22="",$K22="",$M22=""),"Faltan datos obligatorios",IF($T22="","Estrategia no reconocida",IF(AND($M22&lt;&gt;"Abierta",$N22=""),"Falta fecha cierre",IF(AND(OR($M22="Cerrada",$M22="Rolada"),$O22=""),"Falta prima cierre",IF(AND($N22&lt;&gt;"",$N22&lt;$B22),"Cierre anterior a apertura",IF(AND($M22="Asignada",$R22=""),"Asignada: falta ID lote acciones",IF(AND($R22&lt;&gt;"",ISNA(MATCH($R22,Acciones!$A$2:$A$201,0))),"El ID lote no existe en Acciones",IF($AD22="","Revisa capital en riesgo","OK")))))))))</f>
        <v/>
      </c>
    </row>
    <row r="23" customFormat="false" ht="15" hidden="false" customHeight="true" outlineLevel="0" collapsed="false">
      <c r="A23" s="5"/>
      <c r="B23" s="6"/>
      <c r="C23" s="7"/>
      <c r="D23" s="7"/>
      <c r="E23" s="8"/>
      <c r="F23" s="8"/>
      <c r="G23" s="6"/>
      <c r="H23" s="5"/>
      <c r="I23" s="5" t="n">
        <v>100</v>
      </c>
      <c r="J23" s="8"/>
      <c r="K23" s="8"/>
      <c r="L23" s="9"/>
      <c r="M23" s="7"/>
      <c r="N23" s="6"/>
      <c r="O23" s="8"/>
      <c r="P23" s="9"/>
      <c r="Q23" s="9"/>
      <c r="R23" s="7"/>
      <c r="S23" s="7"/>
      <c r="T23" s="10" t="str">
        <f aca="false">IF($C23="","",IFERROR(INDEX(Listas!$B$2:$B$20,MATCH($D23,Listas!$A$2:$A$20,0)),""))</f>
        <v/>
      </c>
      <c r="U23" s="10" t="str">
        <f aca="false">IF($C23="","",IFERROR(INDEX(Listas!$C$2:$C$20,MATCH($D23,Listas!$A$2:$A$20,0)),""))</f>
        <v/>
      </c>
      <c r="V23" s="10" t="str">
        <f aca="false">IF($C23="","",IFERROR(INDEX(Listas!$D$2:$D$20,MATCH($D23,Listas!$A$2:$A$20,0)),""))</f>
        <v/>
      </c>
      <c r="W23" s="11" t="str">
        <f aca="false">IF(OR($C23="",$B23="",$G23=""),"",$G23-$B23)</f>
        <v/>
      </c>
      <c r="X23" s="11" t="str">
        <f aca="true">IF(OR($C23="",$B23=""),"",IF($N23&lt;&gt;"",$N23,TODAY())-$B23)</f>
        <v/>
      </c>
      <c r="Y23" s="11" t="str">
        <f aca="true">IF(OR($C23="",$M23&lt;&gt;"Abierta",$G23=""),"",MAX($G23-TODAY(),0))</f>
        <v/>
      </c>
      <c r="Z23" s="12" t="str">
        <f aca="false">IF($C23="","",N($K23)*N($H23)*N($I23)*IF($U23="Débito",-1,1))</f>
        <v/>
      </c>
      <c r="AA23" s="13" t="str">
        <f aca="false">IF($C23="","",IF(AND($U23="Débito",$F23&lt;&gt;""),$F23,$E23))</f>
        <v/>
      </c>
      <c r="AB23" s="13" t="str">
        <f aca="false">IF(OR($C23="",$T23="Mixta",$AA23=""),"",IF($V23="Subyacente",IF($J23="","",$J23-$K23),IF($T23="Put",$AA23-$K23,$AA23+$K23)))</f>
        <v/>
      </c>
      <c r="AC23" s="14" t="str">
        <f aca="false">IF(OR($C23="",$T23="Mixta",$J23="",$AA23=""),"",IF($T23="Put",($J23-$AA23)/$J23,($AA23-$J23)/$J23))</f>
        <v/>
      </c>
      <c r="AD23" s="12" t="str">
        <f aca="false">IF($C23="","",IF($Q23&lt;&gt;"",$Q23,IF($V23="Strike",N($E23)*$H23*$I23,IF($V23="Subyacente",IF($J23="","",$J23*$H23*$I23),IF($V23="Ancho",IF($F23="","",ABS($E23-$F23)*$H23*$I23-$K23*$H23*$I23),IF($V23="Prima",$K23*$H23*$I23,""))))))</f>
        <v/>
      </c>
      <c r="AE23" s="12" t="str">
        <f aca="false">IF(OR($C23="",$M23="Abierta",$M23=""),"",(N($K23)-IF(OR($M23="Cerrada",$M23="Rolada"),N($O23),0))*$H23*$I23*IF($U23="Débito",-1,1)-N($L23)-N($P23))</f>
        <v/>
      </c>
      <c r="AF23" s="14" t="str">
        <f aca="false">IF(OR($AE23="",$AD23=""),"",IF($AD23&lt;=0,"",$AE23/$AD23))</f>
        <v/>
      </c>
      <c r="AG23" s="14" t="str">
        <f aca="false">IF($AF23="","",$AF23*365/MAX(N($X23),1))</f>
        <v/>
      </c>
      <c r="AH23" s="14" t="str">
        <f aca="false">IF(OR($C23="",$U23&lt;&gt;"Crédito",$AD23=""),"",IF($AD23&lt;=0,"",($Z23-N($L23))/$AD23))</f>
        <v/>
      </c>
      <c r="AI23" s="14" t="str">
        <f aca="false">IF(OR($AH23="",$W23=""),"",$AH23*365/MAX($W23,1))</f>
        <v/>
      </c>
      <c r="AJ23" s="14" t="str">
        <f aca="false">IF(OR($AE23="",$U23&lt;&gt;"Crédito",N($K23)=0),"",(N($K23)-IF(OR($M23="Cerrada",$M23="Rolada"),N($O23),0))/$K23)</f>
        <v/>
      </c>
      <c r="AK23" s="15" t="str">
        <f aca="false">IF(OR($C23="",$N23=""),"",DATE(YEAR($N23),MONTH($N23),1))</f>
        <v/>
      </c>
      <c r="AL23" s="11" t="str">
        <f aca="false">IF($C23="","",IF($M23="Abierta",0,1))</f>
        <v/>
      </c>
      <c r="AM23" s="16" t="str">
        <f aca="false">IF(OR($AE23="",$AD23=""),"",$AD23*MAX(N($X23),1))</f>
        <v/>
      </c>
      <c r="AN23" s="10" t="str">
        <f aca="false">IF($C23="","",IF(OR($B23="",$D23="",$H23="",$K23="",$M23=""),"Faltan datos obligatorios",IF($T23="","Estrategia no reconocida",IF(AND($M23&lt;&gt;"Abierta",$N23=""),"Falta fecha cierre",IF(AND(OR($M23="Cerrada",$M23="Rolada"),$O23=""),"Falta prima cierre",IF(AND($N23&lt;&gt;"",$N23&lt;$B23),"Cierre anterior a apertura",IF(AND($M23="Asignada",$R23=""),"Asignada: falta ID lote acciones",IF(AND($R23&lt;&gt;"",ISNA(MATCH($R23,Acciones!$A$2:$A$201,0))),"El ID lote no existe en Acciones",IF($AD23="","Revisa capital en riesgo","OK")))))))))</f>
        <v/>
      </c>
    </row>
    <row r="24" customFormat="false" ht="15" hidden="false" customHeight="true" outlineLevel="0" collapsed="false">
      <c r="A24" s="5"/>
      <c r="B24" s="6"/>
      <c r="C24" s="7"/>
      <c r="D24" s="7"/>
      <c r="E24" s="8"/>
      <c r="F24" s="8"/>
      <c r="G24" s="6"/>
      <c r="H24" s="5"/>
      <c r="I24" s="5" t="n">
        <v>100</v>
      </c>
      <c r="J24" s="8"/>
      <c r="K24" s="8"/>
      <c r="L24" s="9"/>
      <c r="M24" s="7"/>
      <c r="N24" s="6"/>
      <c r="O24" s="8"/>
      <c r="P24" s="9"/>
      <c r="Q24" s="9"/>
      <c r="R24" s="7"/>
      <c r="S24" s="7"/>
      <c r="T24" s="10" t="str">
        <f aca="false">IF($C24="","",IFERROR(INDEX(Listas!$B$2:$B$20,MATCH($D24,Listas!$A$2:$A$20,0)),""))</f>
        <v/>
      </c>
      <c r="U24" s="10" t="str">
        <f aca="false">IF($C24="","",IFERROR(INDEX(Listas!$C$2:$C$20,MATCH($D24,Listas!$A$2:$A$20,0)),""))</f>
        <v/>
      </c>
      <c r="V24" s="10" t="str">
        <f aca="false">IF($C24="","",IFERROR(INDEX(Listas!$D$2:$D$20,MATCH($D24,Listas!$A$2:$A$20,0)),""))</f>
        <v/>
      </c>
      <c r="W24" s="11" t="str">
        <f aca="false">IF(OR($C24="",$B24="",$G24=""),"",$G24-$B24)</f>
        <v/>
      </c>
      <c r="X24" s="11" t="str">
        <f aca="true">IF(OR($C24="",$B24=""),"",IF($N24&lt;&gt;"",$N24,TODAY())-$B24)</f>
        <v/>
      </c>
      <c r="Y24" s="11" t="str">
        <f aca="true">IF(OR($C24="",$M24&lt;&gt;"Abierta",$G24=""),"",MAX($G24-TODAY(),0))</f>
        <v/>
      </c>
      <c r="Z24" s="12" t="str">
        <f aca="false">IF($C24="","",N($K24)*N($H24)*N($I24)*IF($U24="Débito",-1,1))</f>
        <v/>
      </c>
      <c r="AA24" s="13" t="str">
        <f aca="false">IF($C24="","",IF(AND($U24="Débito",$F24&lt;&gt;""),$F24,$E24))</f>
        <v/>
      </c>
      <c r="AB24" s="13" t="str">
        <f aca="false">IF(OR($C24="",$T24="Mixta",$AA24=""),"",IF($V24="Subyacente",IF($J24="","",$J24-$K24),IF($T24="Put",$AA24-$K24,$AA24+$K24)))</f>
        <v/>
      </c>
      <c r="AC24" s="14" t="str">
        <f aca="false">IF(OR($C24="",$T24="Mixta",$J24="",$AA24=""),"",IF($T24="Put",($J24-$AA24)/$J24,($AA24-$J24)/$J24))</f>
        <v/>
      </c>
      <c r="AD24" s="12" t="str">
        <f aca="false">IF($C24="","",IF($Q24&lt;&gt;"",$Q24,IF($V24="Strike",N($E24)*$H24*$I24,IF($V24="Subyacente",IF($J24="","",$J24*$H24*$I24),IF($V24="Ancho",IF($F24="","",ABS($E24-$F24)*$H24*$I24-$K24*$H24*$I24),IF($V24="Prima",$K24*$H24*$I24,""))))))</f>
        <v/>
      </c>
      <c r="AE24" s="12" t="str">
        <f aca="false">IF(OR($C24="",$M24="Abierta",$M24=""),"",(N($K24)-IF(OR($M24="Cerrada",$M24="Rolada"),N($O24),0))*$H24*$I24*IF($U24="Débito",-1,1)-N($L24)-N($P24))</f>
        <v/>
      </c>
      <c r="AF24" s="14" t="str">
        <f aca="false">IF(OR($AE24="",$AD24=""),"",IF($AD24&lt;=0,"",$AE24/$AD24))</f>
        <v/>
      </c>
      <c r="AG24" s="14" t="str">
        <f aca="false">IF($AF24="","",$AF24*365/MAX(N($X24),1))</f>
        <v/>
      </c>
      <c r="AH24" s="14" t="str">
        <f aca="false">IF(OR($C24="",$U24&lt;&gt;"Crédito",$AD24=""),"",IF($AD24&lt;=0,"",($Z24-N($L24))/$AD24))</f>
        <v/>
      </c>
      <c r="AI24" s="14" t="str">
        <f aca="false">IF(OR($AH24="",$W24=""),"",$AH24*365/MAX($W24,1))</f>
        <v/>
      </c>
      <c r="AJ24" s="14" t="str">
        <f aca="false">IF(OR($AE24="",$U24&lt;&gt;"Crédito",N($K24)=0),"",(N($K24)-IF(OR($M24="Cerrada",$M24="Rolada"),N($O24),0))/$K24)</f>
        <v/>
      </c>
      <c r="AK24" s="15" t="str">
        <f aca="false">IF(OR($C24="",$N24=""),"",DATE(YEAR($N24),MONTH($N24),1))</f>
        <v/>
      </c>
      <c r="AL24" s="11" t="str">
        <f aca="false">IF($C24="","",IF($M24="Abierta",0,1))</f>
        <v/>
      </c>
      <c r="AM24" s="16" t="str">
        <f aca="false">IF(OR($AE24="",$AD24=""),"",$AD24*MAX(N($X24),1))</f>
        <v/>
      </c>
      <c r="AN24" s="10" t="str">
        <f aca="false">IF($C24="","",IF(OR($B24="",$D24="",$H24="",$K24="",$M24=""),"Faltan datos obligatorios",IF($T24="","Estrategia no reconocida",IF(AND($M24&lt;&gt;"Abierta",$N24=""),"Falta fecha cierre",IF(AND(OR($M24="Cerrada",$M24="Rolada"),$O24=""),"Falta prima cierre",IF(AND($N24&lt;&gt;"",$N24&lt;$B24),"Cierre anterior a apertura",IF(AND($M24="Asignada",$R24=""),"Asignada: falta ID lote acciones",IF(AND($R24&lt;&gt;"",ISNA(MATCH($R24,Acciones!$A$2:$A$201,0))),"El ID lote no existe en Acciones",IF($AD24="","Revisa capital en riesgo","OK")))))))))</f>
        <v/>
      </c>
    </row>
    <row r="25" customFormat="false" ht="15" hidden="false" customHeight="true" outlineLevel="0" collapsed="false">
      <c r="A25" s="5"/>
      <c r="B25" s="6"/>
      <c r="C25" s="7"/>
      <c r="D25" s="7"/>
      <c r="E25" s="8"/>
      <c r="F25" s="8"/>
      <c r="G25" s="6"/>
      <c r="H25" s="5"/>
      <c r="I25" s="5" t="n">
        <v>100</v>
      </c>
      <c r="J25" s="8"/>
      <c r="K25" s="8"/>
      <c r="L25" s="9"/>
      <c r="M25" s="7"/>
      <c r="N25" s="6"/>
      <c r="O25" s="8"/>
      <c r="P25" s="9"/>
      <c r="Q25" s="9"/>
      <c r="R25" s="7"/>
      <c r="S25" s="7"/>
      <c r="T25" s="10" t="str">
        <f aca="false">IF($C25="","",IFERROR(INDEX(Listas!$B$2:$B$20,MATCH($D25,Listas!$A$2:$A$20,0)),""))</f>
        <v/>
      </c>
      <c r="U25" s="10" t="str">
        <f aca="false">IF($C25="","",IFERROR(INDEX(Listas!$C$2:$C$20,MATCH($D25,Listas!$A$2:$A$20,0)),""))</f>
        <v/>
      </c>
      <c r="V25" s="10" t="str">
        <f aca="false">IF($C25="","",IFERROR(INDEX(Listas!$D$2:$D$20,MATCH($D25,Listas!$A$2:$A$20,0)),""))</f>
        <v/>
      </c>
      <c r="W25" s="11" t="str">
        <f aca="false">IF(OR($C25="",$B25="",$G25=""),"",$G25-$B25)</f>
        <v/>
      </c>
      <c r="X25" s="11" t="str">
        <f aca="true">IF(OR($C25="",$B25=""),"",IF($N25&lt;&gt;"",$N25,TODAY())-$B25)</f>
        <v/>
      </c>
      <c r="Y25" s="11" t="str">
        <f aca="true">IF(OR($C25="",$M25&lt;&gt;"Abierta",$G25=""),"",MAX($G25-TODAY(),0))</f>
        <v/>
      </c>
      <c r="Z25" s="12" t="str">
        <f aca="false">IF($C25="","",N($K25)*N($H25)*N($I25)*IF($U25="Débito",-1,1))</f>
        <v/>
      </c>
      <c r="AA25" s="13" t="str">
        <f aca="false">IF($C25="","",IF(AND($U25="Débito",$F25&lt;&gt;""),$F25,$E25))</f>
        <v/>
      </c>
      <c r="AB25" s="13" t="str">
        <f aca="false">IF(OR($C25="",$T25="Mixta",$AA25=""),"",IF($V25="Subyacente",IF($J25="","",$J25-$K25),IF($T25="Put",$AA25-$K25,$AA25+$K25)))</f>
        <v/>
      </c>
      <c r="AC25" s="14" t="str">
        <f aca="false">IF(OR($C25="",$T25="Mixta",$J25="",$AA25=""),"",IF($T25="Put",($J25-$AA25)/$J25,($AA25-$J25)/$J25))</f>
        <v/>
      </c>
      <c r="AD25" s="12" t="str">
        <f aca="false">IF($C25="","",IF($Q25&lt;&gt;"",$Q25,IF($V25="Strike",N($E25)*$H25*$I25,IF($V25="Subyacente",IF($J25="","",$J25*$H25*$I25),IF($V25="Ancho",IF($F25="","",ABS($E25-$F25)*$H25*$I25-$K25*$H25*$I25),IF($V25="Prima",$K25*$H25*$I25,""))))))</f>
        <v/>
      </c>
      <c r="AE25" s="12" t="str">
        <f aca="false">IF(OR($C25="",$M25="Abierta",$M25=""),"",(N($K25)-IF(OR($M25="Cerrada",$M25="Rolada"),N($O25),0))*$H25*$I25*IF($U25="Débito",-1,1)-N($L25)-N($P25))</f>
        <v/>
      </c>
      <c r="AF25" s="14" t="str">
        <f aca="false">IF(OR($AE25="",$AD25=""),"",IF($AD25&lt;=0,"",$AE25/$AD25))</f>
        <v/>
      </c>
      <c r="AG25" s="14" t="str">
        <f aca="false">IF($AF25="","",$AF25*365/MAX(N($X25),1))</f>
        <v/>
      </c>
      <c r="AH25" s="14" t="str">
        <f aca="false">IF(OR($C25="",$U25&lt;&gt;"Crédito",$AD25=""),"",IF($AD25&lt;=0,"",($Z25-N($L25))/$AD25))</f>
        <v/>
      </c>
      <c r="AI25" s="14" t="str">
        <f aca="false">IF(OR($AH25="",$W25=""),"",$AH25*365/MAX($W25,1))</f>
        <v/>
      </c>
      <c r="AJ25" s="14" t="str">
        <f aca="false">IF(OR($AE25="",$U25&lt;&gt;"Crédito",N($K25)=0),"",(N($K25)-IF(OR($M25="Cerrada",$M25="Rolada"),N($O25),0))/$K25)</f>
        <v/>
      </c>
      <c r="AK25" s="15" t="str">
        <f aca="false">IF(OR($C25="",$N25=""),"",DATE(YEAR($N25),MONTH($N25),1))</f>
        <v/>
      </c>
      <c r="AL25" s="11" t="str">
        <f aca="false">IF($C25="","",IF($M25="Abierta",0,1))</f>
        <v/>
      </c>
      <c r="AM25" s="16" t="str">
        <f aca="false">IF(OR($AE25="",$AD25=""),"",$AD25*MAX(N($X25),1))</f>
        <v/>
      </c>
      <c r="AN25" s="10" t="str">
        <f aca="false">IF($C25="","",IF(OR($B25="",$D25="",$H25="",$K25="",$M25=""),"Faltan datos obligatorios",IF($T25="","Estrategia no reconocida",IF(AND($M25&lt;&gt;"Abierta",$N25=""),"Falta fecha cierre",IF(AND(OR($M25="Cerrada",$M25="Rolada"),$O25=""),"Falta prima cierre",IF(AND($N25&lt;&gt;"",$N25&lt;$B25),"Cierre anterior a apertura",IF(AND($M25="Asignada",$R25=""),"Asignada: falta ID lote acciones",IF(AND($R25&lt;&gt;"",ISNA(MATCH($R25,Acciones!$A$2:$A$201,0))),"El ID lote no existe en Acciones",IF($AD25="","Revisa capital en riesgo","OK")))))))))</f>
        <v/>
      </c>
    </row>
    <row r="26" customFormat="false" ht="15" hidden="false" customHeight="true" outlineLevel="0" collapsed="false">
      <c r="A26" s="5"/>
      <c r="B26" s="6"/>
      <c r="C26" s="7"/>
      <c r="D26" s="7"/>
      <c r="E26" s="8"/>
      <c r="F26" s="8"/>
      <c r="G26" s="6"/>
      <c r="H26" s="5"/>
      <c r="I26" s="5" t="n">
        <v>100</v>
      </c>
      <c r="J26" s="8"/>
      <c r="K26" s="8"/>
      <c r="L26" s="9"/>
      <c r="M26" s="7"/>
      <c r="N26" s="6"/>
      <c r="O26" s="8"/>
      <c r="P26" s="9"/>
      <c r="Q26" s="9"/>
      <c r="R26" s="7"/>
      <c r="S26" s="7"/>
      <c r="T26" s="10" t="str">
        <f aca="false">IF($C26="","",IFERROR(INDEX(Listas!$B$2:$B$20,MATCH($D26,Listas!$A$2:$A$20,0)),""))</f>
        <v/>
      </c>
      <c r="U26" s="10" t="str">
        <f aca="false">IF($C26="","",IFERROR(INDEX(Listas!$C$2:$C$20,MATCH($D26,Listas!$A$2:$A$20,0)),""))</f>
        <v/>
      </c>
      <c r="V26" s="10" t="str">
        <f aca="false">IF($C26="","",IFERROR(INDEX(Listas!$D$2:$D$20,MATCH($D26,Listas!$A$2:$A$20,0)),""))</f>
        <v/>
      </c>
      <c r="W26" s="11" t="str">
        <f aca="false">IF(OR($C26="",$B26="",$G26=""),"",$G26-$B26)</f>
        <v/>
      </c>
      <c r="X26" s="11" t="str">
        <f aca="true">IF(OR($C26="",$B26=""),"",IF($N26&lt;&gt;"",$N26,TODAY())-$B26)</f>
        <v/>
      </c>
      <c r="Y26" s="11" t="str">
        <f aca="true">IF(OR($C26="",$M26&lt;&gt;"Abierta",$G26=""),"",MAX($G26-TODAY(),0))</f>
        <v/>
      </c>
      <c r="Z26" s="12" t="str">
        <f aca="false">IF($C26="","",N($K26)*N($H26)*N($I26)*IF($U26="Débito",-1,1))</f>
        <v/>
      </c>
      <c r="AA26" s="13" t="str">
        <f aca="false">IF($C26="","",IF(AND($U26="Débito",$F26&lt;&gt;""),$F26,$E26))</f>
        <v/>
      </c>
      <c r="AB26" s="13" t="str">
        <f aca="false">IF(OR($C26="",$T26="Mixta",$AA26=""),"",IF($V26="Subyacente",IF($J26="","",$J26-$K26),IF($T26="Put",$AA26-$K26,$AA26+$K26)))</f>
        <v/>
      </c>
      <c r="AC26" s="14" t="str">
        <f aca="false">IF(OR($C26="",$T26="Mixta",$J26="",$AA26=""),"",IF($T26="Put",($J26-$AA26)/$J26,($AA26-$J26)/$J26))</f>
        <v/>
      </c>
      <c r="AD26" s="12" t="str">
        <f aca="false">IF($C26="","",IF($Q26&lt;&gt;"",$Q26,IF($V26="Strike",N($E26)*$H26*$I26,IF($V26="Subyacente",IF($J26="","",$J26*$H26*$I26),IF($V26="Ancho",IF($F26="","",ABS($E26-$F26)*$H26*$I26-$K26*$H26*$I26),IF($V26="Prima",$K26*$H26*$I26,""))))))</f>
        <v/>
      </c>
      <c r="AE26" s="12" t="str">
        <f aca="false">IF(OR($C26="",$M26="Abierta",$M26=""),"",(N($K26)-IF(OR($M26="Cerrada",$M26="Rolada"),N($O26),0))*$H26*$I26*IF($U26="Débito",-1,1)-N($L26)-N($P26))</f>
        <v/>
      </c>
      <c r="AF26" s="14" t="str">
        <f aca="false">IF(OR($AE26="",$AD26=""),"",IF($AD26&lt;=0,"",$AE26/$AD26))</f>
        <v/>
      </c>
      <c r="AG26" s="14" t="str">
        <f aca="false">IF($AF26="","",$AF26*365/MAX(N($X26),1))</f>
        <v/>
      </c>
      <c r="AH26" s="14" t="str">
        <f aca="false">IF(OR($C26="",$U26&lt;&gt;"Crédito",$AD26=""),"",IF($AD26&lt;=0,"",($Z26-N($L26))/$AD26))</f>
        <v/>
      </c>
      <c r="AI26" s="14" t="str">
        <f aca="false">IF(OR($AH26="",$W26=""),"",$AH26*365/MAX($W26,1))</f>
        <v/>
      </c>
      <c r="AJ26" s="14" t="str">
        <f aca="false">IF(OR($AE26="",$U26&lt;&gt;"Crédito",N($K26)=0),"",(N($K26)-IF(OR($M26="Cerrada",$M26="Rolada"),N($O26),0))/$K26)</f>
        <v/>
      </c>
      <c r="AK26" s="15" t="str">
        <f aca="false">IF(OR($C26="",$N26=""),"",DATE(YEAR($N26),MONTH($N26),1))</f>
        <v/>
      </c>
      <c r="AL26" s="11" t="str">
        <f aca="false">IF($C26="","",IF($M26="Abierta",0,1))</f>
        <v/>
      </c>
      <c r="AM26" s="16" t="str">
        <f aca="false">IF(OR($AE26="",$AD26=""),"",$AD26*MAX(N($X26),1))</f>
        <v/>
      </c>
      <c r="AN26" s="10" t="str">
        <f aca="false">IF($C26="","",IF(OR($B26="",$D26="",$H26="",$K26="",$M26=""),"Faltan datos obligatorios",IF($T26="","Estrategia no reconocida",IF(AND($M26&lt;&gt;"Abierta",$N26=""),"Falta fecha cierre",IF(AND(OR($M26="Cerrada",$M26="Rolada"),$O26=""),"Falta prima cierre",IF(AND($N26&lt;&gt;"",$N26&lt;$B26),"Cierre anterior a apertura",IF(AND($M26="Asignada",$R26=""),"Asignada: falta ID lote acciones",IF(AND($R26&lt;&gt;"",ISNA(MATCH($R26,Acciones!$A$2:$A$201,0))),"El ID lote no existe en Acciones",IF($AD26="","Revisa capital en riesgo","OK")))))))))</f>
        <v/>
      </c>
    </row>
    <row r="27" customFormat="false" ht="15" hidden="false" customHeight="true" outlineLevel="0" collapsed="false">
      <c r="A27" s="5"/>
      <c r="B27" s="6"/>
      <c r="C27" s="7"/>
      <c r="D27" s="7"/>
      <c r="E27" s="8"/>
      <c r="F27" s="8"/>
      <c r="G27" s="6"/>
      <c r="H27" s="5"/>
      <c r="I27" s="5" t="n">
        <v>100</v>
      </c>
      <c r="J27" s="8"/>
      <c r="K27" s="8"/>
      <c r="L27" s="9"/>
      <c r="M27" s="7"/>
      <c r="N27" s="6"/>
      <c r="O27" s="8"/>
      <c r="P27" s="9"/>
      <c r="Q27" s="9"/>
      <c r="R27" s="7"/>
      <c r="S27" s="7"/>
      <c r="T27" s="10" t="str">
        <f aca="false">IF($C27="","",IFERROR(INDEX(Listas!$B$2:$B$20,MATCH($D27,Listas!$A$2:$A$20,0)),""))</f>
        <v/>
      </c>
      <c r="U27" s="10" t="str">
        <f aca="false">IF($C27="","",IFERROR(INDEX(Listas!$C$2:$C$20,MATCH($D27,Listas!$A$2:$A$20,0)),""))</f>
        <v/>
      </c>
      <c r="V27" s="10" t="str">
        <f aca="false">IF($C27="","",IFERROR(INDEX(Listas!$D$2:$D$20,MATCH($D27,Listas!$A$2:$A$20,0)),""))</f>
        <v/>
      </c>
      <c r="W27" s="11" t="str">
        <f aca="false">IF(OR($C27="",$B27="",$G27=""),"",$G27-$B27)</f>
        <v/>
      </c>
      <c r="X27" s="11" t="str">
        <f aca="true">IF(OR($C27="",$B27=""),"",IF($N27&lt;&gt;"",$N27,TODAY())-$B27)</f>
        <v/>
      </c>
      <c r="Y27" s="11" t="str">
        <f aca="true">IF(OR($C27="",$M27&lt;&gt;"Abierta",$G27=""),"",MAX($G27-TODAY(),0))</f>
        <v/>
      </c>
      <c r="Z27" s="12" t="str">
        <f aca="false">IF($C27="","",N($K27)*N($H27)*N($I27)*IF($U27="Débito",-1,1))</f>
        <v/>
      </c>
      <c r="AA27" s="13" t="str">
        <f aca="false">IF($C27="","",IF(AND($U27="Débito",$F27&lt;&gt;""),$F27,$E27))</f>
        <v/>
      </c>
      <c r="AB27" s="13" t="str">
        <f aca="false">IF(OR($C27="",$T27="Mixta",$AA27=""),"",IF($V27="Subyacente",IF($J27="","",$J27-$K27),IF($T27="Put",$AA27-$K27,$AA27+$K27)))</f>
        <v/>
      </c>
      <c r="AC27" s="14" t="str">
        <f aca="false">IF(OR($C27="",$T27="Mixta",$J27="",$AA27=""),"",IF($T27="Put",($J27-$AA27)/$J27,($AA27-$J27)/$J27))</f>
        <v/>
      </c>
      <c r="AD27" s="12" t="str">
        <f aca="false">IF($C27="","",IF($Q27&lt;&gt;"",$Q27,IF($V27="Strike",N($E27)*$H27*$I27,IF($V27="Subyacente",IF($J27="","",$J27*$H27*$I27),IF($V27="Ancho",IF($F27="","",ABS($E27-$F27)*$H27*$I27-$K27*$H27*$I27),IF($V27="Prima",$K27*$H27*$I27,""))))))</f>
        <v/>
      </c>
      <c r="AE27" s="12" t="str">
        <f aca="false">IF(OR($C27="",$M27="Abierta",$M27=""),"",(N($K27)-IF(OR($M27="Cerrada",$M27="Rolada"),N($O27),0))*$H27*$I27*IF($U27="Débito",-1,1)-N($L27)-N($P27))</f>
        <v/>
      </c>
      <c r="AF27" s="14" t="str">
        <f aca="false">IF(OR($AE27="",$AD27=""),"",IF($AD27&lt;=0,"",$AE27/$AD27))</f>
        <v/>
      </c>
      <c r="AG27" s="14" t="str">
        <f aca="false">IF($AF27="","",$AF27*365/MAX(N($X27),1))</f>
        <v/>
      </c>
      <c r="AH27" s="14" t="str">
        <f aca="false">IF(OR($C27="",$U27&lt;&gt;"Crédito",$AD27=""),"",IF($AD27&lt;=0,"",($Z27-N($L27))/$AD27))</f>
        <v/>
      </c>
      <c r="AI27" s="14" t="str">
        <f aca="false">IF(OR($AH27="",$W27=""),"",$AH27*365/MAX($W27,1))</f>
        <v/>
      </c>
      <c r="AJ27" s="14" t="str">
        <f aca="false">IF(OR($AE27="",$U27&lt;&gt;"Crédito",N($K27)=0),"",(N($K27)-IF(OR($M27="Cerrada",$M27="Rolada"),N($O27),0))/$K27)</f>
        <v/>
      </c>
      <c r="AK27" s="15" t="str">
        <f aca="false">IF(OR($C27="",$N27=""),"",DATE(YEAR($N27),MONTH($N27),1))</f>
        <v/>
      </c>
      <c r="AL27" s="11" t="str">
        <f aca="false">IF($C27="","",IF($M27="Abierta",0,1))</f>
        <v/>
      </c>
      <c r="AM27" s="16" t="str">
        <f aca="false">IF(OR($AE27="",$AD27=""),"",$AD27*MAX(N($X27),1))</f>
        <v/>
      </c>
      <c r="AN27" s="10" t="str">
        <f aca="false">IF($C27="","",IF(OR($B27="",$D27="",$H27="",$K27="",$M27=""),"Faltan datos obligatorios",IF($T27="","Estrategia no reconocida",IF(AND($M27&lt;&gt;"Abierta",$N27=""),"Falta fecha cierre",IF(AND(OR($M27="Cerrada",$M27="Rolada"),$O27=""),"Falta prima cierre",IF(AND($N27&lt;&gt;"",$N27&lt;$B27),"Cierre anterior a apertura",IF(AND($M27="Asignada",$R27=""),"Asignada: falta ID lote acciones",IF(AND($R27&lt;&gt;"",ISNA(MATCH($R27,Acciones!$A$2:$A$201,0))),"El ID lote no existe en Acciones",IF($AD27="","Revisa capital en riesgo","OK")))))))))</f>
        <v/>
      </c>
    </row>
    <row r="28" customFormat="false" ht="15" hidden="false" customHeight="true" outlineLevel="0" collapsed="false">
      <c r="A28" s="5"/>
      <c r="B28" s="6"/>
      <c r="C28" s="7"/>
      <c r="D28" s="7"/>
      <c r="E28" s="8"/>
      <c r="F28" s="8"/>
      <c r="G28" s="6"/>
      <c r="H28" s="5"/>
      <c r="I28" s="5" t="n">
        <v>100</v>
      </c>
      <c r="J28" s="8"/>
      <c r="K28" s="8"/>
      <c r="L28" s="9"/>
      <c r="M28" s="7"/>
      <c r="N28" s="6"/>
      <c r="O28" s="8"/>
      <c r="P28" s="9"/>
      <c r="Q28" s="9"/>
      <c r="R28" s="7"/>
      <c r="S28" s="7"/>
      <c r="T28" s="10" t="str">
        <f aca="false">IF($C28="","",IFERROR(INDEX(Listas!$B$2:$B$20,MATCH($D28,Listas!$A$2:$A$20,0)),""))</f>
        <v/>
      </c>
      <c r="U28" s="10" t="str">
        <f aca="false">IF($C28="","",IFERROR(INDEX(Listas!$C$2:$C$20,MATCH($D28,Listas!$A$2:$A$20,0)),""))</f>
        <v/>
      </c>
      <c r="V28" s="10" t="str">
        <f aca="false">IF($C28="","",IFERROR(INDEX(Listas!$D$2:$D$20,MATCH($D28,Listas!$A$2:$A$20,0)),""))</f>
        <v/>
      </c>
      <c r="W28" s="11" t="str">
        <f aca="false">IF(OR($C28="",$B28="",$G28=""),"",$G28-$B28)</f>
        <v/>
      </c>
      <c r="X28" s="11" t="str">
        <f aca="true">IF(OR($C28="",$B28=""),"",IF($N28&lt;&gt;"",$N28,TODAY())-$B28)</f>
        <v/>
      </c>
      <c r="Y28" s="11" t="str">
        <f aca="true">IF(OR($C28="",$M28&lt;&gt;"Abierta",$G28=""),"",MAX($G28-TODAY(),0))</f>
        <v/>
      </c>
      <c r="Z28" s="12" t="str">
        <f aca="false">IF($C28="","",N($K28)*N($H28)*N($I28)*IF($U28="Débito",-1,1))</f>
        <v/>
      </c>
      <c r="AA28" s="13" t="str">
        <f aca="false">IF($C28="","",IF(AND($U28="Débito",$F28&lt;&gt;""),$F28,$E28))</f>
        <v/>
      </c>
      <c r="AB28" s="13" t="str">
        <f aca="false">IF(OR($C28="",$T28="Mixta",$AA28=""),"",IF($V28="Subyacente",IF($J28="","",$J28-$K28),IF($T28="Put",$AA28-$K28,$AA28+$K28)))</f>
        <v/>
      </c>
      <c r="AC28" s="14" t="str">
        <f aca="false">IF(OR($C28="",$T28="Mixta",$J28="",$AA28=""),"",IF($T28="Put",($J28-$AA28)/$J28,($AA28-$J28)/$J28))</f>
        <v/>
      </c>
      <c r="AD28" s="12" t="str">
        <f aca="false">IF($C28="","",IF($Q28&lt;&gt;"",$Q28,IF($V28="Strike",N($E28)*$H28*$I28,IF($V28="Subyacente",IF($J28="","",$J28*$H28*$I28),IF($V28="Ancho",IF($F28="","",ABS($E28-$F28)*$H28*$I28-$K28*$H28*$I28),IF($V28="Prima",$K28*$H28*$I28,""))))))</f>
        <v/>
      </c>
      <c r="AE28" s="12" t="str">
        <f aca="false">IF(OR($C28="",$M28="Abierta",$M28=""),"",(N($K28)-IF(OR($M28="Cerrada",$M28="Rolada"),N($O28),0))*$H28*$I28*IF($U28="Débito",-1,1)-N($L28)-N($P28))</f>
        <v/>
      </c>
      <c r="AF28" s="14" t="str">
        <f aca="false">IF(OR($AE28="",$AD28=""),"",IF($AD28&lt;=0,"",$AE28/$AD28))</f>
        <v/>
      </c>
      <c r="AG28" s="14" t="str">
        <f aca="false">IF($AF28="","",$AF28*365/MAX(N($X28),1))</f>
        <v/>
      </c>
      <c r="AH28" s="14" t="str">
        <f aca="false">IF(OR($C28="",$U28&lt;&gt;"Crédito",$AD28=""),"",IF($AD28&lt;=0,"",($Z28-N($L28))/$AD28))</f>
        <v/>
      </c>
      <c r="AI28" s="14" t="str">
        <f aca="false">IF(OR($AH28="",$W28=""),"",$AH28*365/MAX($W28,1))</f>
        <v/>
      </c>
      <c r="AJ28" s="14" t="str">
        <f aca="false">IF(OR($AE28="",$U28&lt;&gt;"Crédito",N($K28)=0),"",(N($K28)-IF(OR($M28="Cerrada",$M28="Rolada"),N($O28),0))/$K28)</f>
        <v/>
      </c>
      <c r="AK28" s="15" t="str">
        <f aca="false">IF(OR($C28="",$N28=""),"",DATE(YEAR($N28),MONTH($N28),1))</f>
        <v/>
      </c>
      <c r="AL28" s="11" t="str">
        <f aca="false">IF($C28="","",IF($M28="Abierta",0,1))</f>
        <v/>
      </c>
      <c r="AM28" s="16" t="str">
        <f aca="false">IF(OR($AE28="",$AD28=""),"",$AD28*MAX(N($X28),1))</f>
        <v/>
      </c>
      <c r="AN28" s="10" t="str">
        <f aca="false">IF($C28="","",IF(OR($B28="",$D28="",$H28="",$K28="",$M28=""),"Faltan datos obligatorios",IF($T28="","Estrategia no reconocida",IF(AND($M28&lt;&gt;"Abierta",$N28=""),"Falta fecha cierre",IF(AND(OR($M28="Cerrada",$M28="Rolada"),$O28=""),"Falta prima cierre",IF(AND($N28&lt;&gt;"",$N28&lt;$B28),"Cierre anterior a apertura",IF(AND($M28="Asignada",$R28=""),"Asignada: falta ID lote acciones",IF(AND($R28&lt;&gt;"",ISNA(MATCH($R28,Acciones!$A$2:$A$201,0))),"El ID lote no existe en Acciones",IF($AD28="","Revisa capital en riesgo","OK")))))))))</f>
        <v/>
      </c>
    </row>
    <row r="29" customFormat="false" ht="15" hidden="false" customHeight="true" outlineLevel="0" collapsed="false">
      <c r="A29" s="5"/>
      <c r="B29" s="6"/>
      <c r="C29" s="7"/>
      <c r="D29" s="7"/>
      <c r="E29" s="8"/>
      <c r="F29" s="8"/>
      <c r="G29" s="6"/>
      <c r="H29" s="5"/>
      <c r="I29" s="5" t="n">
        <v>100</v>
      </c>
      <c r="J29" s="8"/>
      <c r="K29" s="8"/>
      <c r="L29" s="9"/>
      <c r="M29" s="7"/>
      <c r="N29" s="6"/>
      <c r="O29" s="8"/>
      <c r="P29" s="9"/>
      <c r="Q29" s="9"/>
      <c r="R29" s="7"/>
      <c r="S29" s="7"/>
      <c r="T29" s="10" t="str">
        <f aca="false">IF($C29="","",IFERROR(INDEX(Listas!$B$2:$B$20,MATCH($D29,Listas!$A$2:$A$20,0)),""))</f>
        <v/>
      </c>
      <c r="U29" s="10" t="str">
        <f aca="false">IF($C29="","",IFERROR(INDEX(Listas!$C$2:$C$20,MATCH($D29,Listas!$A$2:$A$20,0)),""))</f>
        <v/>
      </c>
      <c r="V29" s="10" t="str">
        <f aca="false">IF($C29="","",IFERROR(INDEX(Listas!$D$2:$D$20,MATCH($D29,Listas!$A$2:$A$20,0)),""))</f>
        <v/>
      </c>
      <c r="W29" s="11" t="str">
        <f aca="false">IF(OR($C29="",$B29="",$G29=""),"",$G29-$B29)</f>
        <v/>
      </c>
      <c r="X29" s="11" t="str">
        <f aca="true">IF(OR($C29="",$B29=""),"",IF($N29&lt;&gt;"",$N29,TODAY())-$B29)</f>
        <v/>
      </c>
      <c r="Y29" s="11" t="str">
        <f aca="true">IF(OR($C29="",$M29&lt;&gt;"Abierta",$G29=""),"",MAX($G29-TODAY(),0))</f>
        <v/>
      </c>
      <c r="Z29" s="12" t="str">
        <f aca="false">IF($C29="","",N($K29)*N($H29)*N($I29)*IF($U29="Débito",-1,1))</f>
        <v/>
      </c>
      <c r="AA29" s="13" t="str">
        <f aca="false">IF($C29="","",IF(AND($U29="Débito",$F29&lt;&gt;""),$F29,$E29))</f>
        <v/>
      </c>
      <c r="AB29" s="13" t="str">
        <f aca="false">IF(OR($C29="",$T29="Mixta",$AA29=""),"",IF($V29="Subyacente",IF($J29="","",$J29-$K29),IF($T29="Put",$AA29-$K29,$AA29+$K29)))</f>
        <v/>
      </c>
      <c r="AC29" s="14" t="str">
        <f aca="false">IF(OR($C29="",$T29="Mixta",$J29="",$AA29=""),"",IF($T29="Put",($J29-$AA29)/$J29,($AA29-$J29)/$J29))</f>
        <v/>
      </c>
      <c r="AD29" s="12" t="str">
        <f aca="false">IF($C29="","",IF($Q29&lt;&gt;"",$Q29,IF($V29="Strike",N($E29)*$H29*$I29,IF($V29="Subyacente",IF($J29="","",$J29*$H29*$I29),IF($V29="Ancho",IF($F29="","",ABS($E29-$F29)*$H29*$I29-$K29*$H29*$I29),IF($V29="Prima",$K29*$H29*$I29,""))))))</f>
        <v/>
      </c>
      <c r="AE29" s="12" t="str">
        <f aca="false">IF(OR($C29="",$M29="Abierta",$M29=""),"",(N($K29)-IF(OR($M29="Cerrada",$M29="Rolada"),N($O29),0))*$H29*$I29*IF($U29="Débito",-1,1)-N($L29)-N($P29))</f>
        <v/>
      </c>
      <c r="AF29" s="14" t="str">
        <f aca="false">IF(OR($AE29="",$AD29=""),"",IF($AD29&lt;=0,"",$AE29/$AD29))</f>
        <v/>
      </c>
      <c r="AG29" s="14" t="str">
        <f aca="false">IF($AF29="","",$AF29*365/MAX(N($X29),1))</f>
        <v/>
      </c>
      <c r="AH29" s="14" t="str">
        <f aca="false">IF(OR($C29="",$U29&lt;&gt;"Crédito",$AD29=""),"",IF($AD29&lt;=0,"",($Z29-N($L29))/$AD29))</f>
        <v/>
      </c>
      <c r="AI29" s="14" t="str">
        <f aca="false">IF(OR($AH29="",$W29=""),"",$AH29*365/MAX($W29,1))</f>
        <v/>
      </c>
      <c r="AJ29" s="14" t="str">
        <f aca="false">IF(OR($AE29="",$U29&lt;&gt;"Crédito",N($K29)=0),"",(N($K29)-IF(OR($M29="Cerrada",$M29="Rolada"),N($O29),0))/$K29)</f>
        <v/>
      </c>
      <c r="AK29" s="15" t="str">
        <f aca="false">IF(OR($C29="",$N29=""),"",DATE(YEAR($N29),MONTH($N29),1))</f>
        <v/>
      </c>
      <c r="AL29" s="11" t="str">
        <f aca="false">IF($C29="","",IF($M29="Abierta",0,1))</f>
        <v/>
      </c>
      <c r="AM29" s="16" t="str">
        <f aca="false">IF(OR($AE29="",$AD29=""),"",$AD29*MAX(N($X29),1))</f>
        <v/>
      </c>
      <c r="AN29" s="10" t="str">
        <f aca="false">IF($C29="","",IF(OR($B29="",$D29="",$H29="",$K29="",$M29=""),"Faltan datos obligatorios",IF($T29="","Estrategia no reconocida",IF(AND($M29&lt;&gt;"Abierta",$N29=""),"Falta fecha cierre",IF(AND(OR($M29="Cerrada",$M29="Rolada"),$O29=""),"Falta prima cierre",IF(AND($N29&lt;&gt;"",$N29&lt;$B29),"Cierre anterior a apertura",IF(AND($M29="Asignada",$R29=""),"Asignada: falta ID lote acciones",IF(AND($R29&lt;&gt;"",ISNA(MATCH($R29,Acciones!$A$2:$A$201,0))),"El ID lote no existe en Acciones",IF($AD29="","Revisa capital en riesgo","OK")))))))))</f>
        <v/>
      </c>
    </row>
    <row r="30" customFormat="false" ht="15" hidden="false" customHeight="true" outlineLevel="0" collapsed="false">
      <c r="A30" s="5"/>
      <c r="B30" s="6"/>
      <c r="C30" s="7"/>
      <c r="D30" s="7"/>
      <c r="E30" s="8"/>
      <c r="F30" s="8"/>
      <c r="G30" s="6"/>
      <c r="H30" s="5"/>
      <c r="I30" s="5" t="n">
        <v>100</v>
      </c>
      <c r="J30" s="8"/>
      <c r="K30" s="8"/>
      <c r="L30" s="9"/>
      <c r="M30" s="7"/>
      <c r="N30" s="6"/>
      <c r="O30" s="8"/>
      <c r="P30" s="9"/>
      <c r="Q30" s="9"/>
      <c r="R30" s="7"/>
      <c r="S30" s="7"/>
      <c r="T30" s="10" t="str">
        <f aca="false">IF($C30="","",IFERROR(INDEX(Listas!$B$2:$B$20,MATCH($D30,Listas!$A$2:$A$20,0)),""))</f>
        <v/>
      </c>
      <c r="U30" s="10" t="str">
        <f aca="false">IF($C30="","",IFERROR(INDEX(Listas!$C$2:$C$20,MATCH($D30,Listas!$A$2:$A$20,0)),""))</f>
        <v/>
      </c>
      <c r="V30" s="10" t="str">
        <f aca="false">IF($C30="","",IFERROR(INDEX(Listas!$D$2:$D$20,MATCH($D30,Listas!$A$2:$A$20,0)),""))</f>
        <v/>
      </c>
      <c r="W30" s="11" t="str">
        <f aca="false">IF(OR($C30="",$B30="",$G30=""),"",$G30-$B30)</f>
        <v/>
      </c>
      <c r="X30" s="11" t="str">
        <f aca="true">IF(OR($C30="",$B30=""),"",IF($N30&lt;&gt;"",$N30,TODAY())-$B30)</f>
        <v/>
      </c>
      <c r="Y30" s="11" t="str">
        <f aca="true">IF(OR($C30="",$M30&lt;&gt;"Abierta",$G30=""),"",MAX($G30-TODAY(),0))</f>
        <v/>
      </c>
      <c r="Z30" s="12" t="str">
        <f aca="false">IF($C30="","",N($K30)*N($H30)*N($I30)*IF($U30="Débito",-1,1))</f>
        <v/>
      </c>
      <c r="AA30" s="13" t="str">
        <f aca="false">IF($C30="","",IF(AND($U30="Débito",$F30&lt;&gt;""),$F30,$E30))</f>
        <v/>
      </c>
      <c r="AB30" s="13" t="str">
        <f aca="false">IF(OR($C30="",$T30="Mixta",$AA30=""),"",IF($V30="Subyacente",IF($J30="","",$J30-$K30),IF($T30="Put",$AA30-$K30,$AA30+$K30)))</f>
        <v/>
      </c>
      <c r="AC30" s="14" t="str">
        <f aca="false">IF(OR($C30="",$T30="Mixta",$J30="",$AA30=""),"",IF($T30="Put",($J30-$AA30)/$J30,($AA30-$J30)/$J30))</f>
        <v/>
      </c>
      <c r="AD30" s="12" t="str">
        <f aca="false">IF($C30="","",IF($Q30&lt;&gt;"",$Q30,IF($V30="Strike",N($E30)*$H30*$I30,IF($V30="Subyacente",IF($J30="","",$J30*$H30*$I30),IF($V30="Ancho",IF($F30="","",ABS($E30-$F30)*$H30*$I30-$K30*$H30*$I30),IF($V30="Prima",$K30*$H30*$I30,""))))))</f>
        <v/>
      </c>
      <c r="AE30" s="12" t="str">
        <f aca="false">IF(OR($C30="",$M30="Abierta",$M30=""),"",(N($K30)-IF(OR($M30="Cerrada",$M30="Rolada"),N($O30),0))*$H30*$I30*IF($U30="Débito",-1,1)-N($L30)-N($P30))</f>
        <v/>
      </c>
      <c r="AF30" s="14" t="str">
        <f aca="false">IF(OR($AE30="",$AD30=""),"",IF($AD30&lt;=0,"",$AE30/$AD30))</f>
        <v/>
      </c>
      <c r="AG30" s="14" t="str">
        <f aca="false">IF($AF30="","",$AF30*365/MAX(N($X30),1))</f>
        <v/>
      </c>
      <c r="AH30" s="14" t="str">
        <f aca="false">IF(OR($C30="",$U30&lt;&gt;"Crédito",$AD30=""),"",IF($AD30&lt;=0,"",($Z30-N($L30))/$AD30))</f>
        <v/>
      </c>
      <c r="AI30" s="14" t="str">
        <f aca="false">IF(OR($AH30="",$W30=""),"",$AH30*365/MAX($W30,1))</f>
        <v/>
      </c>
      <c r="AJ30" s="14" t="str">
        <f aca="false">IF(OR($AE30="",$U30&lt;&gt;"Crédito",N($K30)=0),"",(N($K30)-IF(OR($M30="Cerrada",$M30="Rolada"),N($O30),0))/$K30)</f>
        <v/>
      </c>
      <c r="AK30" s="15" t="str">
        <f aca="false">IF(OR($C30="",$N30=""),"",DATE(YEAR($N30),MONTH($N30),1))</f>
        <v/>
      </c>
      <c r="AL30" s="11" t="str">
        <f aca="false">IF($C30="","",IF($M30="Abierta",0,1))</f>
        <v/>
      </c>
      <c r="AM30" s="16" t="str">
        <f aca="false">IF(OR($AE30="",$AD30=""),"",$AD30*MAX(N($X30),1))</f>
        <v/>
      </c>
      <c r="AN30" s="10" t="str">
        <f aca="false">IF($C30="","",IF(OR($B30="",$D30="",$H30="",$K30="",$M30=""),"Faltan datos obligatorios",IF($T30="","Estrategia no reconocida",IF(AND($M30&lt;&gt;"Abierta",$N30=""),"Falta fecha cierre",IF(AND(OR($M30="Cerrada",$M30="Rolada"),$O30=""),"Falta prima cierre",IF(AND($N30&lt;&gt;"",$N30&lt;$B30),"Cierre anterior a apertura",IF(AND($M30="Asignada",$R30=""),"Asignada: falta ID lote acciones",IF(AND($R30&lt;&gt;"",ISNA(MATCH($R30,Acciones!$A$2:$A$201,0))),"El ID lote no existe en Acciones",IF($AD30="","Revisa capital en riesgo","OK")))))))))</f>
        <v/>
      </c>
    </row>
    <row r="31" customFormat="false" ht="15" hidden="false" customHeight="true" outlineLevel="0" collapsed="false">
      <c r="A31" s="5"/>
      <c r="B31" s="6"/>
      <c r="C31" s="7"/>
      <c r="D31" s="7"/>
      <c r="E31" s="8"/>
      <c r="F31" s="8"/>
      <c r="G31" s="6"/>
      <c r="H31" s="5"/>
      <c r="I31" s="5" t="n">
        <v>100</v>
      </c>
      <c r="J31" s="8"/>
      <c r="K31" s="8"/>
      <c r="L31" s="9"/>
      <c r="M31" s="7"/>
      <c r="N31" s="6"/>
      <c r="O31" s="8"/>
      <c r="P31" s="9"/>
      <c r="Q31" s="9"/>
      <c r="R31" s="7"/>
      <c r="S31" s="7"/>
      <c r="T31" s="10" t="str">
        <f aca="false">IF($C31="","",IFERROR(INDEX(Listas!$B$2:$B$20,MATCH($D31,Listas!$A$2:$A$20,0)),""))</f>
        <v/>
      </c>
      <c r="U31" s="10" t="str">
        <f aca="false">IF($C31="","",IFERROR(INDEX(Listas!$C$2:$C$20,MATCH($D31,Listas!$A$2:$A$20,0)),""))</f>
        <v/>
      </c>
      <c r="V31" s="10" t="str">
        <f aca="false">IF($C31="","",IFERROR(INDEX(Listas!$D$2:$D$20,MATCH($D31,Listas!$A$2:$A$20,0)),""))</f>
        <v/>
      </c>
      <c r="W31" s="11" t="str">
        <f aca="false">IF(OR($C31="",$B31="",$G31=""),"",$G31-$B31)</f>
        <v/>
      </c>
      <c r="X31" s="11" t="str">
        <f aca="true">IF(OR($C31="",$B31=""),"",IF($N31&lt;&gt;"",$N31,TODAY())-$B31)</f>
        <v/>
      </c>
      <c r="Y31" s="11" t="str">
        <f aca="true">IF(OR($C31="",$M31&lt;&gt;"Abierta",$G31=""),"",MAX($G31-TODAY(),0))</f>
        <v/>
      </c>
      <c r="Z31" s="12" t="str">
        <f aca="false">IF($C31="","",N($K31)*N($H31)*N($I31)*IF($U31="Débito",-1,1))</f>
        <v/>
      </c>
      <c r="AA31" s="13" t="str">
        <f aca="false">IF($C31="","",IF(AND($U31="Débito",$F31&lt;&gt;""),$F31,$E31))</f>
        <v/>
      </c>
      <c r="AB31" s="13" t="str">
        <f aca="false">IF(OR($C31="",$T31="Mixta",$AA31=""),"",IF($V31="Subyacente",IF($J31="","",$J31-$K31),IF($T31="Put",$AA31-$K31,$AA31+$K31)))</f>
        <v/>
      </c>
      <c r="AC31" s="14" t="str">
        <f aca="false">IF(OR($C31="",$T31="Mixta",$J31="",$AA31=""),"",IF($T31="Put",($J31-$AA31)/$J31,($AA31-$J31)/$J31))</f>
        <v/>
      </c>
      <c r="AD31" s="12" t="str">
        <f aca="false">IF($C31="","",IF($Q31&lt;&gt;"",$Q31,IF($V31="Strike",N($E31)*$H31*$I31,IF($V31="Subyacente",IF($J31="","",$J31*$H31*$I31),IF($V31="Ancho",IF($F31="","",ABS($E31-$F31)*$H31*$I31-$K31*$H31*$I31),IF($V31="Prima",$K31*$H31*$I31,""))))))</f>
        <v/>
      </c>
      <c r="AE31" s="12" t="str">
        <f aca="false">IF(OR($C31="",$M31="Abierta",$M31=""),"",(N($K31)-IF(OR($M31="Cerrada",$M31="Rolada"),N($O31),0))*$H31*$I31*IF($U31="Débito",-1,1)-N($L31)-N($P31))</f>
        <v/>
      </c>
      <c r="AF31" s="14" t="str">
        <f aca="false">IF(OR($AE31="",$AD31=""),"",IF($AD31&lt;=0,"",$AE31/$AD31))</f>
        <v/>
      </c>
      <c r="AG31" s="14" t="str">
        <f aca="false">IF($AF31="","",$AF31*365/MAX(N($X31),1))</f>
        <v/>
      </c>
      <c r="AH31" s="14" t="str">
        <f aca="false">IF(OR($C31="",$U31&lt;&gt;"Crédito",$AD31=""),"",IF($AD31&lt;=0,"",($Z31-N($L31))/$AD31))</f>
        <v/>
      </c>
      <c r="AI31" s="14" t="str">
        <f aca="false">IF(OR($AH31="",$W31=""),"",$AH31*365/MAX($W31,1))</f>
        <v/>
      </c>
      <c r="AJ31" s="14" t="str">
        <f aca="false">IF(OR($AE31="",$U31&lt;&gt;"Crédito",N($K31)=0),"",(N($K31)-IF(OR($M31="Cerrada",$M31="Rolada"),N($O31),0))/$K31)</f>
        <v/>
      </c>
      <c r="AK31" s="15" t="str">
        <f aca="false">IF(OR($C31="",$N31=""),"",DATE(YEAR($N31),MONTH($N31),1))</f>
        <v/>
      </c>
      <c r="AL31" s="11" t="str">
        <f aca="false">IF($C31="","",IF($M31="Abierta",0,1))</f>
        <v/>
      </c>
      <c r="AM31" s="16" t="str">
        <f aca="false">IF(OR($AE31="",$AD31=""),"",$AD31*MAX(N($X31),1))</f>
        <v/>
      </c>
      <c r="AN31" s="10" t="str">
        <f aca="false">IF($C31="","",IF(OR($B31="",$D31="",$H31="",$K31="",$M31=""),"Faltan datos obligatorios",IF($T31="","Estrategia no reconocida",IF(AND($M31&lt;&gt;"Abierta",$N31=""),"Falta fecha cierre",IF(AND(OR($M31="Cerrada",$M31="Rolada"),$O31=""),"Falta prima cierre",IF(AND($N31&lt;&gt;"",$N31&lt;$B31),"Cierre anterior a apertura",IF(AND($M31="Asignada",$R31=""),"Asignada: falta ID lote acciones",IF(AND($R31&lt;&gt;"",ISNA(MATCH($R31,Acciones!$A$2:$A$201,0))),"El ID lote no existe en Acciones",IF($AD31="","Revisa capital en riesgo","OK")))))))))</f>
        <v/>
      </c>
    </row>
    <row r="32" customFormat="false" ht="15" hidden="false" customHeight="true" outlineLevel="0" collapsed="false">
      <c r="A32" s="5"/>
      <c r="B32" s="6"/>
      <c r="C32" s="7"/>
      <c r="D32" s="7"/>
      <c r="E32" s="8"/>
      <c r="F32" s="8"/>
      <c r="G32" s="6"/>
      <c r="H32" s="5"/>
      <c r="I32" s="5" t="n">
        <v>100</v>
      </c>
      <c r="J32" s="8"/>
      <c r="K32" s="8"/>
      <c r="L32" s="9"/>
      <c r="M32" s="7"/>
      <c r="N32" s="6"/>
      <c r="O32" s="8"/>
      <c r="P32" s="9"/>
      <c r="Q32" s="9"/>
      <c r="R32" s="7"/>
      <c r="S32" s="7"/>
      <c r="T32" s="10" t="str">
        <f aca="false">IF($C32="","",IFERROR(INDEX(Listas!$B$2:$B$20,MATCH($D32,Listas!$A$2:$A$20,0)),""))</f>
        <v/>
      </c>
      <c r="U32" s="10" t="str">
        <f aca="false">IF($C32="","",IFERROR(INDEX(Listas!$C$2:$C$20,MATCH($D32,Listas!$A$2:$A$20,0)),""))</f>
        <v/>
      </c>
      <c r="V32" s="10" t="str">
        <f aca="false">IF($C32="","",IFERROR(INDEX(Listas!$D$2:$D$20,MATCH($D32,Listas!$A$2:$A$20,0)),""))</f>
        <v/>
      </c>
      <c r="W32" s="11" t="str">
        <f aca="false">IF(OR($C32="",$B32="",$G32=""),"",$G32-$B32)</f>
        <v/>
      </c>
      <c r="X32" s="11" t="str">
        <f aca="true">IF(OR($C32="",$B32=""),"",IF($N32&lt;&gt;"",$N32,TODAY())-$B32)</f>
        <v/>
      </c>
      <c r="Y32" s="11" t="str">
        <f aca="true">IF(OR($C32="",$M32&lt;&gt;"Abierta",$G32=""),"",MAX($G32-TODAY(),0))</f>
        <v/>
      </c>
      <c r="Z32" s="12" t="str">
        <f aca="false">IF($C32="","",N($K32)*N($H32)*N($I32)*IF($U32="Débito",-1,1))</f>
        <v/>
      </c>
      <c r="AA32" s="13" t="str">
        <f aca="false">IF($C32="","",IF(AND($U32="Débito",$F32&lt;&gt;""),$F32,$E32))</f>
        <v/>
      </c>
      <c r="AB32" s="13" t="str">
        <f aca="false">IF(OR($C32="",$T32="Mixta",$AA32=""),"",IF($V32="Subyacente",IF($J32="","",$J32-$K32),IF($T32="Put",$AA32-$K32,$AA32+$K32)))</f>
        <v/>
      </c>
      <c r="AC32" s="14" t="str">
        <f aca="false">IF(OR($C32="",$T32="Mixta",$J32="",$AA32=""),"",IF($T32="Put",($J32-$AA32)/$J32,($AA32-$J32)/$J32))</f>
        <v/>
      </c>
      <c r="AD32" s="12" t="str">
        <f aca="false">IF($C32="","",IF($Q32&lt;&gt;"",$Q32,IF($V32="Strike",N($E32)*$H32*$I32,IF($V32="Subyacente",IF($J32="","",$J32*$H32*$I32),IF($V32="Ancho",IF($F32="","",ABS($E32-$F32)*$H32*$I32-$K32*$H32*$I32),IF($V32="Prima",$K32*$H32*$I32,""))))))</f>
        <v/>
      </c>
      <c r="AE32" s="12" t="str">
        <f aca="false">IF(OR($C32="",$M32="Abierta",$M32=""),"",(N($K32)-IF(OR($M32="Cerrada",$M32="Rolada"),N($O32),0))*$H32*$I32*IF($U32="Débito",-1,1)-N($L32)-N($P32))</f>
        <v/>
      </c>
      <c r="AF32" s="14" t="str">
        <f aca="false">IF(OR($AE32="",$AD32=""),"",IF($AD32&lt;=0,"",$AE32/$AD32))</f>
        <v/>
      </c>
      <c r="AG32" s="14" t="str">
        <f aca="false">IF($AF32="","",$AF32*365/MAX(N($X32),1))</f>
        <v/>
      </c>
      <c r="AH32" s="14" t="str">
        <f aca="false">IF(OR($C32="",$U32&lt;&gt;"Crédito",$AD32=""),"",IF($AD32&lt;=0,"",($Z32-N($L32))/$AD32))</f>
        <v/>
      </c>
      <c r="AI32" s="14" t="str">
        <f aca="false">IF(OR($AH32="",$W32=""),"",$AH32*365/MAX($W32,1))</f>
        <v/>
      </c>
      <c r="AJ32" s="14" t="str">
        <f aca="false">IF(OR($AE32="",$U32&lt;&gt;"Crédito",N($K32)=0),"",(N($K32)-IF(OR($M32="Cerrada",$M32="Rolada"),N($O32),0))/$K32)</f>
        <v/>
      </c>
      <c r="AK32" s="15" t="str">
        <f aca="false">IF(OR($C32="",$N32=""),"",DATE(YEAR($N32),MONTH($N32),1))</f>
        <v/>
      </c>
      <c r="AL32" s="11" t="str">
        <f aca="false">IF($C32="","",IF($M32="Abierta",0,1))</f>
        <v/>
      </c>
      <c r="AM32" s="16" t="str">
        <f aca="false">IF(OR($AE32="",$AD32=""),"",$AD32*MAX(N($X32),1))</f>
        <v/>
      </c>
      <c r="AN32" s="10" t="str">
        <f aca="false">IF($C32="","",IF(OR($B32="",$D32="",$H32="",$K32="",$M32=""),"Faltan datos obligatorios",IF($T32="","Estrategia no reconocida",IF(AND($M32&lt;&gt;"Abierta",$N32=""),"Falta fecha cierre",IF(AND(OR($M32="Cerrada",$M32="Rolada"),$O32=""),"Falta prima cierre",IF(AND($N32&lt;&gt;"",$N32&lt;$B32),"Cierre anterior a apertura",IF(AND($M32="Asignada",$R32=""),"Asignada: falta ID lote acciones",IF(AND($R32&lt;&gt;"",ISNA(MATCH($R32,Acciones!$A$2:$A$201,0))),"El ID lote no existe en Acciones",IF($AD32="","Revisa capital en riesgo","OK")))))))))</f>
        <v/>
      </c>
    </row>
    <row r="33" customFormat="false" ht="15" hidden="false" customHeight="true" outlineLevel="0" collapsed="false">
      <c r="A33" s="5"/>
      <c r="B33" s="6"/>
      <c r="C33" s="7"/>
      <c r="D33" s="7"/>
      <c r="E33" s="8"/>
      <c r="F33" s="8"/>
      <c r="G33" s="6"/>
      <c r="H33" s="5"/>
      <c r="I33" s="5" t="n">
        <v>100</v>
      </c>
      <c r="J33" s="8"/>
      <c r="K33" s="8"/>
      <c r="L33" s="9"/>
      <c r="M33" s="7"/>
      <c r="N33" s="6"/>
      <c r="O33" s="8"/>
      <c r="P33" s="9"/>
      <c r="Q33" s="9"/>
      <c r="R33" s="7"/>
      <c r="S33" s="7"/>
      <c r="T33" s="10" t="str">
        <f aca="false">IF($C33="","",IFERROR(INDEX(Listas!$B$2:$B$20,MATCH($D33,Listas!$A$2:$A$20,0)),""))</f>
        <v/>
      </c>
      <c r="U33" s="10" t="str">
        <f aca="false">IF($C33="","",IFERROR(INDEX(Listas!$C$2:$C$20,MATCH($D33,Listas!$A$2:$A$20,0)),""))</f>
        <v/>
      </c>
      <c r="V33" s="10" t="str">
        <f aca="false">IF($C33="","",IFERROR(INDEX(Listas!$D$2:$D$20,MATCH($D33,Listas!$A$2:$A$20,0)),""))</f>
        <v/>
      </c>
      <c r="W33" s="11" t="str">
        <f aca="false">IF(OR($C33="",$B33="",$G33=""),"",$G33-$B33)</f>
        <v/>
      </c>
      <c r="X33" s="11" t="str">
        <f aca="true">IF(OR($C33="",$B33=""),"",IF($N33&lt;&gt;"",$N33,TODAY())-$B33)</f>
        <v/>
      </c>
      <c r="Y33" s="11" t="str">
        <f aca="true">IF(OR($C33="",$M33&lt;&gt;"Abierta",$G33=""),"",MAX($G33-TODAY(),0))</f>
        <v/>
      </c>
      <c r="Z33" s="12" t="str">
        <f aca="false">IF($C33="","",N($K33)*N($H33)*N($I33)*IF($U33="Débito",-1,1))</f>
        <v/>
      </c>
      <c r="AA33" s="13" t="str">
        <f aca="false">IF($C33="","",IF(AND($U33="Débito",$F33&lt;&gt;""),$F33,$E33))</f>
        <v/>
      </c>
      <c r="AB33" s="13" t="str">
        <f aca="false">IF(OR($C33="",$T33="Mixta",$AA33=""),"",IF($V33="Subyacente",IF($J33="","",$J33-$K33),IF($T33="Put",$AA33-$K33,$AA33+$K33)))</f>
        <v/>
      </c>
      <c r="AC33" s="14" t="str">
        <f aca="false">IF(OR($C33="",$T33="Mixta",$J33="",$AA33=""),"",IF($T33="Put",($J33-$AA33)/$J33,($AA33-$J33)/$J33))</f>
        <v/>
      </c>
      <c r="AD33" s="12" t="str">
        <f aca="false">IF($C33="","",IF($Q33&lt;&gt;"",$Q33,IF($V33="Strike",N($E33)*$H33*$I33,IF($V33="Subyacente",IF($J33="","",$J33*$H33*$I33),IF($V33="Ancho",IF($F33="","",ABS($E33-$F33)*$H33*$I33-$K33*$H33*$I33),IF($V33="Prima",$K33*$H33*$I33,""))))))</f>
        <v/>
      </c>
      <c r="AE33" s="12" t="str">
        <f aca="false">IF(OR($C33="",$M33="Abierta",$M33=""),"",(N($K33)-IF(OR($M33="Cerrada",$M33="Rolada"),N($O33),0))*$H33*$I33*IF($U33="Débito",-1,1)-N($L33)-N($P33))</f>
        <v/>
      </c>
      <c r="AF33" s="14" t="str">
        <f aca="false">IF(OR($AE33="",$AD33=""),"",IF($AD33&lt;=0,"",$AE33/$AD33))</f>
        <v/>
      </c>
      <c r="AG33" s="14" t="str">
        <f aca="false">IF($AF33="","",$AF33*365/MAX(N($X33),1))</f>
        <v/>
      </c>
      <c r="AH33" s="14" t="str">
        <f aca="false">IF(OR($C33="",$U33&lt;&gt;"Crédito",$AD33=""),"",IF($AD33&lt;=0,"",($Z33-N($L33))/$AD33))</f>
        <v/>
      </c>
      <c r="AI33" s="14" t="str">
        <f aca="false">IF(OR($AH33="",$W33=""),"",$AH33*365/MAX($W33,1))</f>
        <v/>
      </c>
      <c r="AJ33" s="14" t="str">
        <f aca="false">IF(OR($AE33="",$U33&lt;&gt;"Crédito",N($K33)=0),"",(N($K33)-IF(OR($M33="Cerrada",$M33="Rolada"),N($O33),0))/$K33)</f>
        <v/>
      </c>
      <c r="AK33" s="15" t="str">
        <f aca="false">IF(OR($C33="",$N33=""),"",DATE(YEAR($N33),MONTH($N33),1))</f>
        <v/>
      </c>
      <c r="AL33" s="11" t="str">
        <f aca="false">IF($C33="","",IF($M33="Abierta",0,1))</f>
        <v/>
      </c>
      <c r="AM33" s="16" t="str">
        <f aca="false">IF(OR($AE33="",$AD33=""),"",$AD33*MAX(N($X33),1))</f>
        <v/>
      </c>
      <c r="AN33" s="10" t="str">
        <f aca="false">IF($C33="","",IF(OR($B33="",$D33="",$H33="",$K33="",$M33=""),"Faltan datos obligatorios",IF($T33="","Estrategia no reconocida",IF(AND($M33&lt;&gt;"Abierta",$N33=""),"Falta fecha cierre",IF(AND(OR($M33="Cerrada",$M33="Rolada"),$O33=""),"Falta prima cierre",IF(AND($N33&lt;&gt;"",$N33&lt;$B33),"Cierre anterior a apertura",IF(AND($M33="Asignada",$R33=""),"Asignada: falta ID lote acciones",IF(AND($R33&lt;&gt;"",ISNA(MATCH($R33,Acciones!$A$2:$A$201,0))),"El ID lote no existe en Acciones",IF($AD33="","Revisa capital en riesgo","OK")))))))))</f>
        <v/>
      </c>
    </row>
    <row r="34" customFormat="false" ht="15" hidden="false" customHeight="true" outlineLevel="0" collapsed="false">
      <c r="A34" s="5"/>
      <c r="B34" s="6"/>
      <c r="C34" s="7"/>
      <c r="D34" s="7"/>
      <c r="E34" s="8"/>
      <c r="F34" s="8"/>
      <c r="G34" s="6"/>
      <c r="H34" s="5"/>
      <c r="I34" s="5" t="n">
        <v>100</v>
      </c>
      <c r="J34" s="8"/>
      <c r="K34" s="8"/>
      <c r="L34" s="9"/>
      <c r="M34" s="7"/>
      <c r="N34" s="6"/>
      <c r="O34" s="8"/>
      <c r="P34" s="9"/>
      <c r="Q34" s="9"/>
      <c r="R34" s="7"/>
      <c r="S34" s="7"/>
      <c r="T34" s="10" t="str">
        <f aca="false">IF($C34="","",IFERROR(INDEX(Listas!$B$2:$B$20,MATCH($D34,Listas!$A$2:$A$20,0)),""))</f>
        <v/>
      </c>
      <c r="U34" s="10" t="str">
        <f aca="false">IF($C34="","",IFERROR(INDEX(Listas!$C$2:$C$20,MATCH($D34,Listas!$A$2:$A$20,0)),""))</f>
        <v/>
      </c>
      <c r="V34" s="10" t="str">
        <f aca="false">IF($C34="","",IFERROR(INDEX(Listas!$D$2:$D$20,MATCH($D34,Listas!$A$2:$A$20,0)),""))</f>
        <v/>
      </c>
      <c r="W34" s="11" t="str">
        <f aca="false">IF(OR($C34="",$B34="",$G34=""),"",$G34-$B34)</f>
        <v/>
      </c>
      <c r="X34" s="11" t="str">
        <f aca="true">IF(OR($C34="",$B34=""),"",IF($N34&lt;&gt;"",$N34,TODAY())-$B34)</f>
        <v/>
      </c>
      <c r="Y34" s="11" t="str">
        <f aca="true">IF(OR($C34="",$M34&lt;&gt;"Abierta",$G34=""),"",MAX($G34-TODAY(),0))</f>
        <v/>
      </c>
      <c r="Z34" s="12" t="str">
        <f aca="false">IF($C34="","",N($K34)*N($H34)*N($I34)*IF($U34="Débito",-1,1))</f>
        <v/>
      </c>
      <c r="AA34" s="13" t="str">
        <f aca="false">IF($C34="","",IF(AND($U34="Débito",$F34&lt;&gt;""),$F34,$E34))</f>
        <v/>
      </c>
      <c r="AB34" s="13" t="str">
        <f aca="false">IF(OR($C34="",$T34="Mixta",$AA34=""),"",IF($V34="Subyacente",IF($J34="","",$J34-$K34),IF($T34="Put",$AA34-$K34,$AA34+$K34)))</f>
        <v/>
      </c>
      <c r="AC34" s="14" t="str">
        <f aca="false">IF(OR($C34="",$T34="Mixta",$J34="",$AA34=""),"",IF($T34="Put",($J34-$AA34)/$J34,($AA34-$J34)/$J34))</f>
        <v/>
      </c>
      <c r="AD34" s="12" t="str">
        <f aca="false">IF($C34="","",IF($Q34&lt;&gt;"",$Q34,IF($V34="Strike",N($E34)*$H34*$I34,IF($V34="Subyacente",IF($J34="","",$J34*$H34*$I34),IF($V34="Ancho",IF($F34="","",ABS($E34-$F34)*$H34*$I34-$K34*$H34*$I34),IF($V34="Prima",$K34*$H34*$I34,""))))))</f>
        <v/>
      </c>
      <c r="AE34" s="12" t="str">
        <f aca="false">IF(OR($C34="",$M34="Abierta",$M34=""),"",(N($K34)-IF(OR($M34="Cerrada",$M34="Rolada"),N($O34),0))*$H34*$I34*IF($U34="Débito",-1,1)-N($L34)-N($P34))</f>
        <v/>
      </c>
      <c r="AF34" s="14" t="str">
        <f aca="false">IF(OR($AE34="",$AD34=""),"",IF($AD34&lt;=0,"",$AE34/$AD34))</f>
        <v/>
      </c>
      <c r="AG34" s="14" t="str">
        <f aca="false">IF($AF34="","",$AF34*365/MAX(N($X34),1))</f>
        <v/>
      </c>
      <c r="AH34" s="14" t="str">
        <f aca="false">IF(OR($C34="",$U34&lt;&gt;"Crédito",$AD34=""),"",IF($AD34&lt;=0,"",($Z34-N($L34))/$AD34))</f>
        <v/>
      </c>
      <c r="AI34" s="14" t="str">
        <f aca="false">IF(OR($AH34="",$W34=""),"",$AH34*365/MAX($W34,1))</f>
        <v/>
      </c>
      <c r="AJ34" s="14" t="str">
        <f aca="false">IF(OR($AE34="",$U34&lt;&gt;"Crédito",N($K34)=0),"",(N($K34)-IF(OR($M34="Cerrada",$M34="Rolada"),N($O34),0))/$K34)</f>
        <v/>
      </c>
      <c r="AK34" s="15" t="str">
        <f aca="false">IF(OR($C34="",$N34=""),"",DATE(YEAR($N34),MONTH($N34),1))</f>
        <v/>
      </c>
      <c r="AL34" s="11" t="str">
        <f aca="false">IF($C34="","",IF($M34="Abierta",0,1))</f>
        <v/>
      </c>
      <c r="AM34" s="16" t="str">
        <f aca="false">IF(OR($AE34="",$AD34=""),"",$AD34*MAX(N($X34),1))</f>
        <v/>
      </c>
      <c r="AN34" s="10" t="str">
        <f aca="false">IF($C34="","",IF(OR($B34="",$D34="",$H34="",$K34="",$M34=""),"Faltan datos obligatorios",IF($T34="","Estrategia no reconocida",IF(AND($M34&lt;&gt;"Abierta",$N34=""),"Falta fecha cierre",IF(AND(OR($M34="Cerrada",$M34="Rolada"),$O34=""),"Falta prima cierre",IF(AND($N34&lt;&gt;"",$N34&lt;$B34),"Cierre anterior a apertura",IF(AND($M34="Asignada",$R34=""),"Asignada: falta ID lote acciones",IF(AND($R34&lt;&gt;"",ISNA(MATCH($R34,Acciones!$A$2:$A$201,0))),"El ID lote no existe en Acciones",IF($AD34="","Revisa capital en riesgo","OK")))))))))</f>
        <v/>
      </c>
    </row>
    <row r="35" customFormat="false" ht="15" hidden="false" customHeight="true" outlineLevel="0" collapsed="false">
      <c r="A35" s="5"/>
      <c r="B35" s="6"/>
      <c r="C35" s="7"/>
      <c r="D35" s="7"/>
      <c r="E35" s="8"/>
      <c r="F35" s="8"/>
      <c r="G35" s="6"/>
      <c r="H35" s="5"/>
      <c r="I35" s="5" t="n">
        <v>100</v>
      </c>
      <c r="J35" s="8"/>
      <c r="K35" s="8"/>
      <c r="L35" s="9"/>
      <c r="M35" s="7"/>
      <c r="N35" s="6"/>
      <c r="O35" s="8"/>
      <c r="P35" s="9"/>
      <c r="Q35" s="9"/>
      <c r="R35" s="7"/>
      <c r="S35" s="7"/>
      <c r="T35" s="10" t="str">
        <f aca="false">IF($C35="","",IFERROR(INDEX(Listas!$B$2:$B$20,MATCH($D35,Listas!$A$2:$A$20,0)),""))</f>
        <v/>
      </c>
      <c r="U35" s="10" t="str">
        <f aca="false">IF($C35="","",IFERROR(INDEX(Listas!$C$2:$C$20,MATCH($D35,Listas!$A$2:$A$20,0)),""))</f>
        <v/>
      </c>
      <c r="V35" s="10" t="str">
        <f aca="false">IF($C35="","",IFERROR(INDEX(Listas!$D$2:$D$20,MATCH($D35,Listas!$A$2:$A$20,0)),""))</f>
        <v/>
      </c>
      <c r="W35" s="11" t="str">
        <f aca="false">IF(OR($C35="",$B35="",$G35=""),"",$G35-$B35)</f>
        <v/>
      </c>
      <c r="X35" s="11" t="str">
        <f aca="true">IF(OR($C35="",$B35=""),"",IF($N35&lt;&gt;"",$N35,TODAY())-$B35)</f>
        <v/>
      </c>
      <c r="Y35" s="11" t="str">
        <f aca="true">IF(OR($C35="",$M35&lt;&gt;"Abierta",$G35=""),"",MAX($G35-TODAY(),0))</f>
        <v/>
      </c>
      <c r="Z35" s="12" t="str">
        <f aca="false">IF($C35="","",N($K35)*N($H35)*N($I35)*IF($U35="Débito",-1,1))</f>
        <v/>
      </c>
      <c r="AA35" s="13" t="str">
        <f aca="false">IF($C35="","",IF(AND($U35="Débito",$F35&lt;&gt;""),$F35,$E35))</f>
        <v/>
      </c>
      <c r="AB35" s="13" t="str">
        <f aca="false">IF(OR($C35="",$T35="Mixta",$AA35=""),"",IF($V35="Subyacente",IF($J35="","",$J35-$K35),IF($T35="Put",$AA35-$K35,$AA35+$K35)))</f>
        <v/>
      </c>
      <c r="AC35" s="14" t="str">
        <f aca="false">IF(OR($C35="",$T35="Mixta",$J35="",$AA35=""),"",IF($T35="Put",($J35-$AA35)/$J35,($AA35-$J35)/$J35))</f>
        <v/>
      </c>
      <c r="AD35" s="12" t="str">
        <f aca="false">IF($C35="","",IF($Q35&lt;&gt;"",$Q35,IF($V35="Strike",N($E35)*$H35*$I35,IF($V35="Subyacente",IF($J35="","",$J35*$H35*$I35),IF($V35="Ancho",IF($F35="","",ABS($E35-$F35)*$H35*$I35-$K35*$H35*$I35),IF($V35="Prima",$K35*$H35*$I35,""))))))</f>
        <v/>
      </c>
      <c r="AE35" s="12" t="str">
        <f aca="false">IF(OR($C35="",$M35="Abierta",$M35=""),"",(N($K35)-IF(OR($M35="Cerrada",$M35="Rolada"),N($O35),0))*$H35*$I35*IF($U35="Débito",-1,1)-N($L35)-N($P35))</f>
        <v/>
      </c>
      <c r="AF35" s="14" t="str">
        <f aca="false">IF(OR($AE35="",$AD35=""),"",IF($AD35&lt;=0,"",$AE35/$AD35))</f>
        <v/>
      </c>
      <c r="AG35" s="14" t="str">
        <f aca="false">IF($AF35="","",$AF35*365/MAX(N($X35),1))</f>
        <v/>
      </c>
      <c r="AH35" s="14" t="str">
        <f aca="false">IF(OR($C35="",$U35&lt;&gt;"Crédito",$AD35=""),"",IF($AD35&lt;=0,"",($Z35-N($L35))/$AD35))</f>
        <v/>
      </c>
      <c r="AI35" s="14" t="str">
        <f aca="false">IF(OR($AH35="",$W35=""),"",$AH35*365/MAX($W35,1))</f>
        <v/>
      </c>
      <c r="AJ35" s="14" t="str">
        <f aca="false">IF(OR($AE35="",$U35&lt;&gt;"Crédito",N($K35)=0),"",(N($K35)-IF(OR($M35="Cerrada",$M35="Rolada"),N($O35),0))/$K35)</f>
        <v/>
      </c>
      <c r="AK35" s="15" t="str">
        <f aca="false">IF(OR($C35="",$N35=""),"",DATE(YEAR($N35),MONTH($N35),1))</f>
        <v/>
      </c>
      <c r="AL35" s="11" t="str">
        <f aca="false">IF($C35="","",IF($M35="Abierta",0,1))</f>
        <v/>
      </c>
      <c r="AM35" s="16" t="str">
        <f aca="false">IF(OR($AE35="",$AD35=""),"",$AD35*MAX(N($X35),1))</f>
        <v/>
      </c>
      <c r="AN35" s="10" t="str">
        <f aca="false">IF($C35="","",IF(OR($B35="",$D35="",$H35="",$K35="",$M35=""),"Faltan datos obligatorios",IF($T35="","Estrategia no reconocida",IF(AND($M35&lt;&gt;"Abierta",$N35=""),"Falta fecha cierre",IF(AND(OR($M35="Cerrada",$M35="Rolada"),$O35=""),"Falta prima cierre",IF(AND($N35&lt;&gt;"",$N35&lt;$B35),"Cierre anterior a apertura",IF(AND($M35="Asignada",$R35=""),"Asignada: falta ID lote acciones",IF(AND($R35&lt;&gt;"",ISNA(MATCH($R35,Acciones!$A$2:$A$201,0))),"El ID lote no existe en Acciones",IF($AD35="","Revisa capital en riesgo","OK")))))))))</f>
        <v/>
      </c>
    </row>
    <row r="36" customFormat="false" ht="15" hidden="false" customHeight="true" outlineLevel="0" collapsed="false">
      <c r="A36" s="5"/>
      <c r="B36" s="6"/>
      <c r="C36" s="7"/>
      <c r="D36" s="7"/>
      <c r="E36" s="8"/>
      <c r="F36" s="8"/>
      <c r="G36" s="6"/>
      <c r="H36" s="5"/>
      <c r="I36" s="5" t="n">
        <v>100</v>
      </c>
      <c r="J36" s="8"/>
      <c r="K36" s="8"/>
      <c r="L36" s="9"/>
      <c r="M36" s="7"/>
      <c r="N36" s="6"/>
      <c r="O36" s="8"/>
      <c r="P36" s="9"/>
      <c r="Q36" s="9"/>
      <c r="R36" s="7"/>
      <c r="S36" s="7"/>
      <c r="T36" s="10" t="str">
        <f aca="false">IF($C36="","",IFERROR(INDEX(Listas!$B$2:$B$20,MATCH($D36,Listas!$A$2:$A$20,0)),""))</f>
        <v/>
      </c>
      <c r="U36" s="10" t="str">
        <f aca="false">IF($C36="","",IFERROR(INDEX(Listas!$C$2:$C$20,MATCH($D36,Listas!$A$2:$A$20,0)),""))</f>
        <v/>
      </c>
      <c r="V36" s="10" t="str">
        <f aca="false">IF($C36="","",IFERROR(INDEX(Listas!$D$2:$D$20,MATCH($D36,Listas!$A$2:$A$20,0)),""))</f>
        <v/>
      </c>
      <c r="W36" s="11" t="str">
        <f aca="false">IF(OR($C36="",$B36="",$G36=""),"",$G36-$B36)</f>
        <v/>
      </c>
      <c r="X36" s="11" t="str">
        <f aca="true">IF(OR($C36="",$B36=""),"",IF($N36&lt;&gt;"",$N36,TODAY())-$B36)</f>
        <v/>
      </c>
      <c r="Y36" s="11" t="str">
        <f aca="true">IF(OR($C36="",$M36&lt;&gt;"Abierta",$G36=""),"",MAX($G36-TODAY(),0))</f>
        <v/>
      </c>
      <c r="Z36" s="12" t="str">
        <f aca="false">IF($C36="","",N($K36)*N($H36)*N($I36)*IF($U36="Débito",-1,1))</f>
        <v/>
      </c>
      <c r="AA36" s="13" t="str">
        <f aca="false">IF($C36="","",IF(AND($U36="Débito",$F36&lt;&gt;""),$F36,$E36))</f>
        <v/>
      </c>
      <c r="AB36" s="13" t="str">
        <f aca="false">IF(OR($C36="",$T36="Mixta",$AA36=""),"",IF($V36="Subyacente",IF($J36="","",$J36-$K36),IF($T36="Put",$AA36-$K36,$AA36+$K36)))</f>
        <v/>
      </c>
      <c r="AC36" s="14" t="str">
        <f aca="false">IF(OR($C36="",$T36="Mixta",$J36="",$AA36=""),"",IF($T36="Put",($J36-$AA36)/$J36,($AA36-$J36)/$J36))</f>
        <v/>
      </c>
      <c r="AD36" s="12" t="str">
        <f aca="false">IF($C36="","",IF($Q36&lt;&gt;"",$Q36,IF($V36="Strike",N($E36)*$H36*$I36,IF($V36="Subyacente",IF($J36="","",$J36*$H36*$I36),IF($V36="Ancho",IF($F36="","",ABS($E36-$F36)*$H36*$I36-$K36*$H36*$I36),IF($V36="Prima",$K36*$H36*$I36,""))))))</f>
        <v/>
      </c>
      <c r="AE36" s="12" t="str">
        <f aca="false">IF(OR($C36="",$M36="Abierta",$M36=""),"",(N($K36)-IF(OR($M36="Cerrada",$M36="Rolada"),N($O36),0))*$H36*$I36*IF($U36="Débito",-1,1)-N($L36)-N($P36))</f>
        <v/>
      </c>
      <c r="AF36" s="14" t="str">
        <f aca="false">IF(OR($AE36="",$AD36=""),"",IF($AD36&lt;=0,"",$AE36/$AD36))</f>
        <v/>
      </c>
      <c r="AG36" s="14" t="str">
        <f aca="false">IF($AF36="","",$AF36*365/MAX(N($X36),1))</f>
        <v/>
      </c>
      <c r="AH36" s="14" t="str">
        <f aca="false">IF(OR($C36="",$U36&lt;&gt;"Crédito",$AD36=""),"",IF($AD36&lt;=0,"",($Z36-N($L36))/$AD36))</f>
        <v/>
      </c>
      <c r="AI36" s="14" t="str">
        <f aca="false">IF(OR($AH36="",$W36=""),"",$AH36*365/MAX($W36,1))</f>
        <v/>
      </c>
      <c r="AJ36" s="14" t="str">
        <f aca="false">IF(OR($AE36="",$U36&lt;&gt;"Crédito",N($K36)=0),"",(N($K36)-IF(OR($M36="Cerrada",$M36="Rolada"),N($O36),0))/$K36)</f>
        <v/>
      </c>
      <c r="AK36" s="15" t="str">
        <f aca="false">IF(OR($C36="",$N36=""),"",DATE(YEAR($N36),MONTH($N36),1))</f>
        <v/>
      </c>
      <c r="AL36" s="11" t="str">
        <f aca="false">IF($C36="","",IF($M36="Abierta",0,1))</f>
        <v/>
      </c>
      <c r="AM36" s="16" t="str">
        <f aca="false">IF(OR($AE36="",$AD36=""),"",$AD36*MAX(N($X36),1))</f>
        <v/>
      </c>
      <c r="AN36" s="10" t="str">
        <f aca="false">IF($C36="","",IF(OR($B36="",$D36="",$H36="",$K36="",$M36=""),"Faltan datos obligatorios",IF($T36="","Estrategia no reconocida",IF(AND($M36&lt;&gt;"Abierta",$N36=""),"Falta fecha cierre",IF(AND(OR($M36="Cerrada",$M36="Rolada"),$O36=""),"Falta prima cierre",IF(AND($N36&lt;&gt;"",$N36&lt;$B36),"Cierre anterior a apertura",IF(AND($M36="Asignada",$R36=""),"Asignada: falta ID lote acciones",IF(AND($R36&lt;&gt;"",ISNA(MATCH($R36,Acciones!$A$2:$A$201,0))),"El ID lote no existe en Acciones",IF($AD36="","Revisa capital en riesgo","OK")))))))))</f>
        <v/>
      </c>
    </row>
    <row r="37" customFormat="false" ht="15" hidden="false" customHeight="true" outlineLevel="0" collapsed="false">
      <c r="A37" s="5"/>
      <c r="B37" s="6"/>
      <c r="C37" s="7"/>
      <c r="D37" s="7"/>
      <c r="E37" s="8"/>
      <c r="F37" s="8"/>
      <c r="G37" s="6"/>
      <c r="H37" s="5"/>
      <c r="I37" s="5" t="n">
        <v>100</v>
      </c>
      <c r="J37" s="8"/>
      <c r="K37" s="8"/>
      <c r="L37" s="9"/>
      <c r="M37" s="7"/>
      <c r="N37" s="6"/>
      <c r="O37" s="8"/>
      <c r="P37" s="9"/>
      <c r="Q37" s="9"/>
      <c r="R37" s="7"/>
      <c r="S37" s="7"/>
      <c r="T37" s="10" t="str">
        <f aca="false">IF($C37="","",IFERROR(INDEX(Listas!$B$2:$B$20,MATCH($D37,Listas!$A$2:$A$20,0)),""))</f>
        <v/>
      </c>
      <c r="U37" s="10" t="str">
        <f aca="false">IF($C37="","",IFERROR(INDEX(Listas!$C$2:$C$20,MATCH($D37,Listas!$A$2:$A$20,0)),""))</f>
        <v/>
      </c>
      <c r="V37" s="10" t="str">
        <f aca="false">IF($C37="","",IFERROR(INDEX(Listas!$D$2:$D$20,MATCH($D37,Listas!$A$2:$A$20,0)),""))</f>
        <v/>
      </c>
      <c r="W37" s="11" t="str">
        <f aca="false">IF(OR($C37="",$B37="",$G37=""),"",$G37-$B37)</f>
        <v/>
      </c>
      <c r="X37" s="11" t="str">
        <f aca="true">IF(OR($C37="",$B37=""),"",IF($N37&lt;&gt;"",$N37,TODAY())-$B37)</f>
        <v/>
      </c>
      <c r="Y37" s="11" t="str">
        <f aca="true">IF(OR($C37="",$M37&lt;&gt;"Abierta",$G37=""),"",MAX($G37-TODAY(),0))</f>
        <v/>
      </c>
      <c r="Z37" s="12" t="str">
        <f aca="false">IF($C37="","",N($K37)*N($H37)*N($I37)*IF($U37="Débito",-1,1))</f>
        <v/>
      </c>
      <c r="AA37" s="13" t="str">
        <f aca="false">IF($C37="","",IF(AND($U37="Débito",$F37&lt;&gt;""),$F37,$E37))</f>
        <v/>
      </c>
      <c r="AB37" s="13" t="str">
        <f aca="false">IF(OR($C37="",$T37="Mixta",$AA37=""),"",IF($V37="Subyacente",IF($J37="","",$J37-$K37),IF($T37="Put",$AA37-$K37,$AA37+$K37)))</f>
        <v/>
      </c>
      <c r="AC37" s="14" t="str">
        <f aca="false">IF(OR($C37="",$T37="Mixta",$J37="",$AA37=""),"",IF($T37="Put",($J37-$AA37)/$J37,($AA37-$J37)/$J37))</f>
        <v/>
      </c>
      <c r="AD37" s="12" t="str">
        <f aca="false">IF($C37="","",IF($Q37&lt;&gt;"",$Q37,IF($V37="Strike",N($E37)*$H37*$I37,IF($V37="Subyacente",IF($J37="","",$J37*$H37*$I37),IF($V37="Ancho",IF($F37="","",ABS($E37-$F37)*$H37*$I37-$K37*$H37*$I37),IF($V37="Prima",$K37*$H37*$I37,""))))))</f>
        <v/>
      </c>
      <c r="AE37" s="12" t="str">
        <f aca="false">IF(OR($C37="",$M37="Abierta",$M37=""),"",(N($K37)-IF(OR($M37="Cerrada",$M37="Rolada"),N($O37),0))*$H37*$I37*IF($U37="Débito",-1,1)-N($L37)-N($P37))</f>
        <v/>
      </c>
      <c r="AF37" s="14" t="str">
        <f aca="false">IF(OR($AE37="",$AD37=""),"",IF($AD37&lt;=0,"",$AE37/$AD37))</f>
        <v/>
      </c>
      <c r="AG37" s="14" t="str">
        <f aca="false">IF($AF37="","",$AF37*365/MAX(N($X37),1))</f>
        <v/>
      </c>
      <c r="AH37" s="14" t="str">
        <f aca="false">IF(OR($C37="",$U37&lt;&gt;"Crédito",$AD37=""),"",IF($AD37&lt;=0,"",($Z37-N($L37))/$AD37))</f>
        <v/>
      </c>
      <c r="AI37" s="14" t="str">
        <f aca="false">IF(OR($AH37="",$W37=""),"",$AH37*365/MAX($W37,1))</f>
        <v/>
      </c>
      <c r="AJ37" s="14" t="str">
        <f aca="false">IF(OR($AE37="",$U37&lt;&gt;"Crédito",N($K37)=0),"",(N($K37)-IF(OR($M37="Cerrada",$M37="Rolada"),N($O37),0))/$K37)</f>
        <v/>
      </c>
      <c r="AK37" s="15" t="str">
        <f aca="false">IF(OR($C37="",$N37=""),"",DATE(YEAR($N37),MONTH($N37),1))</f>
        <v/>
      </c>
      <c r="AL37" s="11" t="str">
        <f aca="false">IF($C37="","",IF($M37="Abierta",0,1))</f>
        <v/>
      </c>
      <c r="AM37" s="16" t="str">
        <f aca="false">IF(OR($AE37="",$AD37=""),"",$AD37*MAX(N($X37),1))</f>
        <v/>
      </c>
      <c r="AN37" s="10" t="str">
        <f aca="false">IF($C37="","",IF(OR($B37="",$D37="",$H37="",$K37="",$M37=""),"Faltan datos obligatorios",IF($T37="","Estrategia no reconocida",IF(AND($M37&lt;&gt;"Abierta",$N37=""),"Falta fecha cierre",IF(AND(OR($M37="Cerrada",$M37="Rolada"),$O37=""),"Falta prima cierre",IF(AND($N37&lt;&gt;"",$N37&lt;$B37),"Cierre anterior a apertura",IF(AND($M37="Asignada",$R37=""),"Asignada: falta ID lote acciones",IF(AND($R37&lt;&gt;"",ISNA(MATCH($R37,Acciones!$A$2:$A$201,0))),"El ID lote no existe en Acciones",IF($AD37="","Revisa capital en riesgo","OK")))))))))</f>
        <v/>
      </c>
    </row>
    <row r="38" customFormat="false" ht="15" hidden="false" customHeight="true" outlineLevel="0" collapsed="false">
      <c r="A38" s="5"/>
      <c r="B38" s="6"/>
      <c r="C38" s="7"/>
      <c r="D38" s="7"/>
      <c r="E38" s="8"/>
      <c r="F38" s="8"/>
      <c r="G38" s="6"/>
      <c r="H38" s="5"/>
      <c r="I38" s="5" t="n">
        <v>100</v>
      </c>
      <c r="J38" s="8"/>
      <c r="K38" s="8"/>
      <c r="L38" s="9"/>
      <c r="M38" s="7"/>
      <c r="N38" s="6"/>
      <c r="O38" s="8"/>
      <c r="P38" s="9"/>
      <c r="Q38" s="9"/>
      <c r="R38" s="7"/>
      <c r="S38" s="7"/>
      <c r="T38" s="10" t="str">
        <f aca="false">IF($C38="","",IFERROR(INDEX(Listas!$B$2:$B$20,MATCH($D38,Listas!$A$2:$A$20,0)),""))</f>
        <v/>
      </c>
      <c r="U38" s="10" t="str">
        <f aca="false">IF($C38="","",IFERROR(INDEX(Listas!$C$2:$C$20,MATCH($D38,Listas!$A$2:$A$20,0)),""))</f>
        <v/>
      </c>
      <c r="V38" s="10" t="str">
        <f aca="false">IF($C38="","",IFERROR(INDEX(Listas!$D$2:$D$20,MATCH($D38,Listas!$A$2:$A$20,0)),""))</f>
        <v/>
      </c>
      <c r="W38" s="11" t="str">
        <f aca="false">IF(OR($C38="",$B38="",$G38=""),"",$G38-$B38)</f>
        <v/>
      </c>
      <c r="X38" s="11" t="str">
        <f aca="true">IF(OR($C38="",$B38=""),"",IF($N38&lt;&gt;"",$N38,TODAY())-$B38)</f>
        <v/>
      </c>
      <c r="Y38" s="11" t="str">
        <f aca="true">IF(OR($C38="",$M38&lt;&gt;"Abierta",$G38=""),"",MAX($G38-TODAY(),0))</f>
        <v/>
      </c>
      <c r="Z38" s="12" t="str">
        <f aca="false">IF($C38="","",N($K38)*N($H38)*N($I38)*IF($U38="Débito",-1,1))</f>
        <v/>
      </c>
      <c r="AA38" s="13" t="str">
        <f aca="false">IF($C38="","",IF(AND($U38="Débito",$F38&lt;&gt;""),$F38,$E38))</f>
        <v/>
      </c>
      <c r="AB38" s="13" t="str">
        <f aca="false">IF(OR($C38="",$T38="Mixta",$AA38=""),"",IF($V38="Subyacente",IF($J38="","",$J38-$K38),IF($T38="Put",$AA38-$K38,$AA38+$K38)))</f>
        <v/>
      </c>
      <c r="AC38" s="14" t="str">
        <f aca="false">IF(OR($C38="",$T38="Mixta",$J38="",$AA38=""),"",IF($T38="Put",($J38-$AA38)/$J38,($AA38-$J38)/$J38))</f>
        <v/>
      </c>
      <c r="AD38" s="12" t="str">
        <f aca="false">IF($C38="","",IF($Q38&lt;&gt;"",$Q38,IF($V38="Strike",N($E38)*$H38*$I38,IF($V38="Subyacente",IF($J38="","",$J38*$H38*$I38),IF($V38="Ancho",IF($F38="","",ABS($E38-$F38)*$H38*$I38-$K38*$H38*$I38),IF($V38="Prima",$K38*$H38*$I38,""))))))</f>
        <v/>
      </c>
      <c r="AE38" s="12" t="str">
        <f aca="false">IF(OR($C38="",$M38="Abierta",$M38=""),"",(N($K38)-IF(OR($M38="Cerrada",$M38="Rolada"),N($O38),0))*$H38*$I38*IF($U38="Débito",-1,1)-N($L38)-N($P38))</f>
        <v/>
      </c>
      <c r="AF38" s="14" t="str">
        <f aca="false">IF(OR($AE38="",$AD38=""),"",IF($AD38&lt;=0,"",$AE38/$AD38))</f>
        <v/>
      </c>
      <c r="AG38" s="14" t="str">
        <f aca="false">IF($AF38="","",$AF38*365/MAX(N($X38),1))</f>
        <v/>
      </c>
      <c r="AH38" s="14" t="str">
        <f aca="false">IF(OR($C38="",$U38&lt;&gt;"Crédito",$AD38=""),"",IF($AD38&lt;=0,"",($Z38-N($L38))/$AD38))</f>
        <v/>
      </c>
      <c r="AI38" s="14" t="str">
        <f aca="false">IF(OR($AH38="",$W38=""),"",$AH38*365/MAX($W38,1))</f>
        <v/>
      </c>
      <c r="AJ38" s="14" t="str">
        <f aca="false">IF(OR($AE38="",$U38&lt;&gt;"Crédito",N($K38)=0),"",(N($K38)-IF(OR($M38="Cerrada",$M38="Rolada"),N($O38),0))/$K38)</f>
        <v/>
      </c>
      <c r="AK38" s="15" t="str">
        <f aca="false">IF(OR($C38="",$N38=""),"",DATE(YEAR($N38),MONTH($N38),1))</f>
        <v/>
      </c>
      <c r="AL38" s="11" t="str">
        <f aca="false">IF($C38="","",IF($M38="Abierta",0,1))</f>
        <v/>
      </c>
      <c r="AM38" s="16" t="str">
        <f aca="false">IF(OR($AE38="",$AD38=""),"",$AD38*MAX(N($X38),1))</f>
        <v/>
      </c>
      <c r="AN38" s="10" t="str">
        <f aca="false">IF($C38="","",IF(OR($B38="",$D38="",$H38="",$K38="",$M38=""),"Faltan datos obligatorios",IF($T38="","Estrategia no reconocida",IF(AND($M38&lt;&gt;"Abierta",$N38=""),"Falta fecha cierre",IF(AND(OR($M38="Cerrada",$M38="Rolada"),$O38=""),"Falta prima cierre",IF(AND($N38&lt;&gt;"",$N38&lt;$B38),"Cierre anterior a apertura",IF(AND($M38="Asignada",$R38=""),"Asignada: falta ID lote acciones",IF(AND($R38&lt;&gt;"",ISNA(MATCH($R38,Acciones!$A$2:$A$201,0))),"El ID lote no existe en Acciones",IF($AD38="","Revisa capital en riesgo","OK")))))))))</f>
        <v/>
      </c>
    </row>
    <row r="39" customFormat="false" ht="15" hidden="false" customHeight="true" outlineLevel="0" collapsed="false">
      <c r="A39" s="5"/>
      <c r="B39" s="6"/>
      <c r="C39" s="7"/>
      <c r="D39" s="7"/>
      <c r="E39" s="8"/>
      <c r="F39" s="8"/>
      <c r="G39" s="6"/>
      <c r="H39" s="5"/>
      <c r="I39" s="5" t="n">
        <v>100</v>
      </c>
      <c r="J39" s="8"/>
      <c r="K39" s="8"/>
      <c r="L39" s="9"/>
      <c r="M39" s="7"/>
      <c r="N39" s="6"/>
      <c r="O39" s="8"/>
      <c r="P39" s="9"/>
      <c r="Q39" s="9"/>
      <c r="R39" s="7"/>
      <c r="S39" s="7"/>
      <c r="T39" s="10" t="str">
        <f aca="false">IF($C39="","",IFERROR(INDEX(Listas!$B$2:$B$20,MATCH($D39,Listas!$A$2:$A$20,0)),""))</f>
        <v/>
      </c>
      <c r="U39" s="10" t="str">
        <f aca="false">IF($C39="","",IFERROR(INDEX(Listas!$C$2:$C$20,MATCH($D39,Listas!$A$2:$A$20,0)),""))</f>
        <v/>
      </c>
      <c r="V39" s="10" t="str">
        <f aca="false">IF($C39="","",IFERROR(INDEX(Listas!$D$2:$D$20,MATCH($D39,Listas!$A$2:$A$20,0)),""))</f>
        <v/>
      </c>
      <c r="W39" s="11" t="str">
        <f aca="false">IF(OR($C39="",$B39="",$G39=""),"",$G39-$B39)</f>
        <v/>
      </c>
      <c r="X39" s="11" t="str">
        <f aca="true">IF(OR($C39="",$B39=""),"",IF($N39&lt;&gt;"",$N39,TODAY())-$B39)</f>
        <v/>
      </c>
      <c r="Y39" s="11" t="str">
        <f aca="true">IF(OR($C39="",$M39&lt;&gt;"Abierta",$G39=""),"",MAX($G39-TODAY(),0))</f>
        <v/>
      </c>
      <c r="Z39" s="12" t="str">
        <f aca="false">IF($C39="","",N($K39)*N($H39)*N($I39)*IF($U39="Débito",-1,1))</f>
        <v/>
      </c>
      <c r="AA39" s="13" t="str">
        <f aca="false">IF($C39="","",IF(AND($U39="Débito",$F39&lt;&gt;""),$F39,$E39))</f>
        <v/>
      </c>
      <c r="AB39" s="13" t="str">
        <f aca="false">IF(OR($C39="",$T39="Mixta",$AA39=""),"",IF($V39="Subyacente",IF($J39="","",$J39-$K39),IF($T39="Put",$AA39-$K39,$AA39+$K39)))</f>
        <v/>
      </c>
      <c r="AC39" s="14" t="str">
        <f aca="false">IF(OR($C39="",$T39="Mixta",$J39="",$AA39=""),"",IF($T39="Put",($J39-$AA39)/$J39,($AA39-$J39)/$J39))</f>
        <v/>
      </c>
      <c r="AD39" s="12" t="str">
        <f aca="false">IF($C39="","",IF($Q39&lt;&gt;"",$Q39,IF($V39="Strike",N($E39)*$H39*$I39,IF($V39="Subyacente",IF($J39="","",$J39*$H39*$I39),IF($V39="Ancho",IF($F39="","",ABS($E39-$F39)*$H39*$I39-$K39*$H39*$I39),IF($V39="Prima",$K39*$H39*$I39,""))))))</f>
        <v/>
      </c>
      <c r="AE39" s="12" t="str">
        <f aca="false">IF(OR($C39="",$M39="Abierta",$M39=""),"",(N($K39)-IF(OR($M39="Cerrada",$M39="Rolada"),N($O39),0))*$H39*$I39*IF($U39="Débito",-1,1)-N($L39)-N($P39))</f>
        <v/>
      </c>
      <c r="AF39" s="14" t="str">
        <f aca="false">IF(OR($AE39="",$AD39=""),"",IF($AD39&lt;=0,"",$AE39/$AD39))</f>
        <v/>
      </c>
      <c r="AG39" s="14" t="str">
        <f aca="false">IF($AF39="","",$AF39*365/MAX(N($X39),1))</f>
        <v/>
      </c>
      <c r="AH39" s="14" t="str">
        <f aca="false">IF(OR($C39="",$U39&lt;&gt;"Crédito",$AD39=""),"",IF($AD39&lt;=0,"",($Z39-N($L39))/$AD39))</f>
        <v/>
      </c>
      <c r="AI39" s="14" t="str">
        <f aca="false">IF(OR($AH39="",$W39=""),"",$AH39*365/MAX($W39,1))</f>
        <v/>
      </c>
      <c r="AJ39" s="14" t="str">
        <f aca="false">IF(OR($AE39="",$U39&lt;&gt;"Crédito",N($K39)=0),"",(N($K39)-IF(OR($M39="Cerrada",$M39="Rolada"),N($O39),0))/$K39)</f>
        <v/>
      </c>
      <c r="AK39" s="15" t="str">
        <f aca="false">IF(OR($C39="",$N39=""),"",DATE(YEAR($N39),MONTH($N39),1))</f>
        <v/>
      </c>
      <c r="AL39" s="11" t="str">
        <f aca="false">IF($C39="","",IF($M39="Abierta",0,1))</f>
        <v/>
      </c>
      <c r="AM39" s="16" t="str">
        <f aca="false">IF(OR($AE39="",$AD39=""),"",$AD39*MAX(N($X39),1))</f>
        <v/>
      </c>
      <c r="AN39" s="10" t="str">
        <f aca="false">IF($C39="","",IF(OR($B39="",$D39="",$H39="",$K39="",$M39=""),"Faltan datos obligatorios",IF($T39="","Estrategia no reconocida",IF(AND($M39&lt;&gt;"Abierta",$N39=""),"Falta fecha cierre",IF(AND(OR($M39="Cerrada",$M39="Rolada"),$O39=""),"Falta prima cierre",IF(AND($N39&lt;&gt;"",$N39&lt;$B39),"Cierre anterior a apertura",IF(AND($M39="Asignada",$R39=""),"Asignada: falta ID lote acciones",IF(AND($R39&lt;&gt;"",ISNA(MATCH($R39,Acciones!$A$2:$A$201,0))),"El ID lote no existe en Acciones",IF($AD39="","Revisa capital en riesgo","OK")))))))))</f>
        <v/>
      </c>
    </row>
    <row r="40" customFormat="false" ht="15" hidden="false" customHeight="true" outlineLevel="0" collapsed="false">
      <c r="A40" s="5"/>
      <c r="B40" s="6"/>
      <c r="C40" s="7"/>
      <c r="D40" s="7"/>
      <c r="E40" s="8"/>
      <c r="F40" s="8"/>
      <c r="G40" s="6"/>
      <c r="H40" s="5"/>
      <c r="I40" s="5" t="n">
        <v>100</v>
      </c>
      <c r="J40" s="8"/>
      <c r="K40" s="8"/>
      <c r="L40" s="9"/>
      <c r="M40" s="7"/>
      <c r="N40" s="6"/>
      <c r="O40" s="8"/>
      <c r="P40" s="9"/>
      <c r="Q40" s="9"/>
      <c r="R40" s="7"/>
      <c r="S40" s="7"/>
      <c r="T40" s="10" t="str">
        <f aca="false">IF($C40="","",IFERROR(INDEX(Listas!$B$2:$B$20,MATCH($D40,Listas!$A$2:$A$20,0)),""))</f>
        <v/>
      </c>
      <c r="U40" s="10" t="str">
        <f aca="false">IF($C40="","",IFERROR(INDEX(Listas!$C$2:$C$20,MATCH($D40,Listas!$A$2:$A$20,0)),""))</f>
        <v/>
      </c>
      <c r="V40" s="10" t="str">
        <f aca="false">IF($C40="","",IFERROR(INDEX(Listas!$D$2:$D$20,MATCH($D40,Listas!$A$2:$A$20,0)),""))</f>
        <v/>
      </c>
      <c r="W40" s="11" t="str">
        <f aca="false">IF(OR($C40="",$B40="",$G40=""),"",$G40-$B40)</f>
        <v/>
      </c>
      <c r="X40" s="11" t="str">
        <f aca="true">IF(OR($C40="",$B40=""),"",IF($N40&lt;&gt;"",$N40,TODAY())-$B40)</f>
        <v/>
      </c>
      <c r="Y40" s="11" t="str">
        <f aca="true">IF(OR($C40="",$M40&lt;&gt;"Abierta",$G40=""),"",MAX($G40-TODAY(),0))</f>
        <v/>
      </c>
      <c r="Z40" s="12" t="str">
        <f aca="false">IF($C40="","",N($K40)*N($H40)*N($I40)*IF($U40="Débito",-1,1))</f>
        <v/>
      </c>
      <c r="AA40" s="13" t="str">
        <f aca="false">IF($C40="","",IF(AND($U40="Débito",$F40&lt;&gt;""),$F40,$E40))</f>
        <v/>
      </c>
      <c r="AB40" s="13" t="str">
        <f aca="false">IF(OR($C40="",$T40="Mixta",$AA40=""),"",IF($V40="Subyacente",IF($J40="","",$J40-$K40),IF($T40="Put",$AA40-$K40,$AA40+$K40)))</f>
        <v/>
      </c>
      <c r="AC40" s="14" t="str">
        <f aca="false">IF(OR($C40="",$T40="Mixta",$J40="",$AA40=""),"",IF($T40="Put",($J40-$AA40)/$J40,($AA40-$J40)/$J40))</f>
        <v/>
      </c>
      <c r="AD40" s="12" t="str">
        <f aca="false">IF($C40="","",IF($Q40&lt;&gt;"",$Q40,IF($V40="Strike",N($E40)*$H40*$I40,IF($V40="Subyacente",IF($J40="","",$J40*$H40*$I40),IF($V40="Ancho",IF($F40="","",ABS($E40-$F40)*$H40*$I40-$K40*$H40*$I40),IF($V40="Prima",$K40*$H40*$I40,""))))))</f>
        <v/>
      </c>
      <c r="AE40" s="12" t="str">
        <f aca="false">IF(OR($C40="",$M40="Abierta",$M40=""),"",(N($K40)-IF(OR($M40="Cerrada",$M40="Rolada"),N($O40),0))*$H40*$I40*IF($U40="Débito",-1,1)-N($L40)-N($P40))</f>
        <v/>
      </c>
      <c r="AF40" s="14" t="str">
        <f aca="false">IF(OR($AE40="",$AD40=""),"",IF($AD40&lt;=0,"",$AE40/$AD40))</f>
        <v/>
      </c>
      <c r="AG40" s="14" t="str">
        <f aca="false">IF($AF40="","",$AF40*365/MAX(N($X40),1))</f>
        <v/>
      </c>
      <c r="AH40" s="14" t="str">
        <f aca="false">IF(OR($C40="",$U40&lt;&gt;"Crédito",$AD40=""),"",IF($AD40&lt;=0,"",($Z40-N($L40))/$AD40))</f>
        <v/>
      </c>
      <c r="AI40" s="14" t="str">
        <f aca="false">IF(OR($AH40="",$W40=""),"",$AH40*365/MAX($W40,1))</f>
        <v/>
      </c>
      <c r="AJ40" s="14" t="str">
        <f aca="false">IF(OR($AE40="",$U40&lt;&gt;"Crédito",N($K40)=0),"",(N($K40)-IF(OR($M40="Cerrada",$M40="Rolada"),N($O40),0))/$K40)</f>
        <v/>
      </c>
      <c r="AK40" s="15" t="str">
        <f aca="false">IF(OR($C40="",$N40=""),"",DATE(YEAR($N40),MONTH($N40),1))</f>
        <v/>
      </c>
      <c r="AL40" s="11" t="str">
        <f aca="false">IF($C40="","",IF($M40="Abierta",0,1))</f>
        <v/>
      </c>
      <c r="AM40" s="16" t="str">
        <f aca="false">IF(OR($AE40="",$AD40=""),"",$AD40*MAX(N($X40),1))</f>
        <v/>
      </c>
      <c r="AN40" s="10" t="str">
        <f aca="false">IF($C40="","",IF(OR($B40="",$D40="",$H40="",$K40="",$M40=""),"Faltan datos obligatorios",IF($T40="","Estrategia no reconocida",IF(AND($M40&lt;&gt;"Abierta",$N40=""),"Falta fecha cierre",IF(AND(OR($M40="Cerrada",$M40="Rolada"),$O40=""),"Falta prima cierre",IF(AND($N40&lt;&gt;"",$N40&lt;$B40),"Cierre anterior a apertura",IF(AND($M40="Asignada",$R40=""),"Asignada: falta ID lote acciones",IF(AND($R40&lt;&gt;"",ISNA(MATCH($R40,Acciones!$A$2:$A$201,0))),"El ID lote no existe en Acciones",IF($AD40="","Revisa capital en riesgo","OK")))))))))</f>
        <v/>
      </c>
    </row>
    <row r="41" customFormat="false" ht="15" hidden="false" customHeight="true" outlineLevel="0" collapsed="false">
      <c r="A41" s="5"/>
      <c r="B41" s="6"/>
      <c r="C41" s="7"/>
      <c r="D41" s="7"/>
      <c r="E41" s="8"/>
      <c r="F41" s="8"/>
      <c r="G41" s="6"/>
      <c r="H41" s="5"/>
      <c r="I41" s="5" t="n">
        <v>100</v>
      </c>
      <c r="J41" s="8"/>
      <c r="K41" s="8"/>
      <c r="L41" s="9"/>
      <c r="M41" s="7"/>
      <c r="N41" s="6"/>
      <c r="O41" s="8"/>
      <c r="P41" s="9"/>
      <c r="Q41" s="9"/>
      <c r="R41" s="7"/>
      <c r="S41" s="7"/>
      <c r="T41" s="10" t="str">
        <f aca="false">IF($C41="","",IFERROR(INDEX(Listas!$B$2:$B$20,MATCH($D41,Listas!$A$2:$A$20,0)),""))</f>
        <v/>
      </c>
      <c r="U41" s="10" t="str">
        <f aca="false">IF($C41="","",IFERROR(INDEX(Listas!$C$2:$C$20,MATCH($D41,Listas!$A$2:$A$20,0)),""))</f>
        <v/>
      </c>
      <c r="V41" s="10" t="str">
        <f aca="false">IF($C41="","",IFERROR(INDEX(Listas!$D$2:$D$20,MATCH($D41,Listas!$A$2:$A$20,0)),""))</f>
        <v/>
      </c>
      <c r="W41" s="11" t="str">
        <f aca="false">IF(OR($C41="",$B41="",$G41=""),"",$G41-$B41)</f>
        <v/>
      </c>
      <c r="X41" s="11" t="str">
        <f aca="true">IF(OR($C41="",$B41=""),"",IF($N41&lt;&gt;"",$N41,TODAY())-$B41)</f>
        <v/>
      </c>
      <c r="Y41" s="11" t="str">
        <f aca="true">IF(OR($C41="",$M41&lt;&gt;"Abierta",$G41=""),"",MAX($G41-TODAY(),0))</f>
        <v/>
      </c>
      <c r="Z41" s="12" t="str">
        <f aca="false">IF($C41="","",N($K41)*N($H41)*N($I41)*IF($U41="Débito",-1,1))</f>
        <v/>
      </c>
      <c r="AA41" s="13" t="str">
        <f aca="false">IF($C41="","",IF(AND($U41="Débito",$F41&lt;&gt;""),$F41,$E41))</f>
        <v/>
      </c>
      <c r="AB41" s="13" t="str">
        <f aca="false">IF(OR($C41="",$T41="Mixta",$AA41=""),"",IF($V41="Subyacente",IF($J41="","",$J41-$K41),IF($T41="Put",$AA41-$K41,$AA41+$K41)))</f>
        <v/>
      </c>
      <c r="AC41" s="14" t="str">
        <f aca="false">IF(OR($C41="",$T41="Mixta",$J41="",$AA41=""),"",IF($T41="Put",($J41-$AA41)/$J41,($AA41-$J41)/$J41))</f>
        <v/>
      </c>
      <c r="AD41" s="12" t="str">
        <f aca="false">IF($C41="","",IF($Q41&lt;&gt;"",$Q41,IF($V41="Strike",N($E41)*$H41*$I41,IF($V41="Subyacente",IF($J41="","",$J41*$H41*$I41),IF($V41="Ancho",IF($F41="","",ABS($E41-$F41)*$H41*$I41-$K41*$H41*$I41),IF($V41="Prima",$K41*$H41*$I41,""))))))</f>
        <v/>
      </c>
      <c r="AE41" s="12" t="str">
        <f aca="false">IF(OR($C41="",$M41="Abierta",$M41=""),"",(N($K41)-IF(OR($M41="Cerrada",$M41="Rolada"),N($O41),0))*$H41*$I41*IF($U41="Débito",-1,1)-N($L41)-N($P41))</f>
        <v/>
      </c>
      <c r="AF41" s="14" t="str">
        <f aca="false">IF(OR($AE41="",$AD41=""),"",IF($AD41&lt;=0,"",$AE41/$AD41))</f>
        <v/>
      </c>
      <c r="AG41" s="14" t="str">
        <f aca="false">IF($AF41="","",$AF41*365/MAX(N($X41),1))</f>
        <v/>
      </c>
      <c r="AH41" s="14" t="str">
        <f aca="false">IF(OR($C41="",$U41&lt;&gt;"Crédito",$AD41=""),"",IF($AD41&lt;=0,"",($Z41-N($L41))/$AD41))</f>
        <v/>
      </c>
      <c r="AI41" s="14" t="str">
        <f aca="false">IF(OR($AH41="",$W41=""),"",$AH41*365/MAX($W41,1))</f>
        <v/>
      </c>
      <c r="AJ41" s="14" t="str">
        <f aca="false">IF(OR($AE41="",$U41&lt;&gt;"Crédito",N($K41)=0),"",(N($K41)-IF(OR($M41="Cerrada",$M41="Rolada"),N($O41),0))/$K41)</f>
        <v/>
      </c>
      <c r="AK41" s="15" t="str">
        <f aca="false">IF(OR($C41="",$N41=""),"",DATE(YEAR($N41),MONTH($N41),1))</f>
        <v/>
      </c>
      <c r="AL41" s="11" t="str">
        <f aca="false">IF($C41="","",IF($M41="Abierta",0,1))</f>
        <v/>
      </c>
      <c r="AM41" s="16" t="str">
        <f aca="false">IF(OR($AE41="",$AD41=""),"",$AD41*MAX(N($X41),1))</f>
        <v/>
      </c>
      <c r="AN41" s="10" t="str">
        <f aca="false">IF($C41="","",IF(OR($B41="",$D41="",$H41="",$K41="",$M41=""),"Faltan datos obligatorios",IF($T41="","Estrategia no reconocida",IF(AND($M41&lt;&gt;"Abierta",$N41=""),"Falta fecha cierre",IF(AND(OR($M41="Cerrada",$M41="Rolada"),$O41=""),"Falta prima cierre",IF(AND($N41&lt;&gt;"",$N41&lt;$B41),"Cierre anterior a apertura",IF(AND($M41="Asignada",$R41=""),"Asignada: falta ID lote acciones",IF(AND($R41&lt;&gt;"",ISNA(MATCH($R41,Acciones!$A$2:$A$201,0))),"El ID lote no existe en Acciones",IF($AD41="","Revisa capital en riesgo","OK")))))))))</f>
        <v/>
      </c>
    </row>
    <row r="42" customFormat="false" ht="15" hidden="false" customHeight="true" outlineLevel="0" collapsed="false">
      <c r="A42" s="5"/>
      <c r="B42" s="6"/>
      <c r="C42" s="7"/>
      <c r="D42" s="7"/>
      <c r="E42" s="8"/>
      <c r="F42" s="8"/>
      <c r="G42" s="6"/>
      <c r="H42" s="5"/>
      <c r="I42" s="5" t="n">
        <v>100</v>
      </c>
      <c r="J42" s="8"/>
      <c r="K42" s="8"/>
      <c r="L42" s="9"/>
      <c r="M42" s="7"/>
      <c r="N42" s="6"/>
      <c r="O42" s="8"/>
      <c r="P42" s="9"/>
      <c r="Q42" s="9"/>
      <c r="R42" s="7"/>
      <c r="S42" s="7"/>
      <c r="T42" s="10" t="str">
        <f aca="false">IF($C42="","",IFERROR(INDEX(Listas!$B$2:$B$20,MATCH($D42,Listas!$A$2:$A$20,0)),""))</f>
        <v/>
      </c>
      <c r="U42" s="10" t="str">
        <f aca="false">IF($C42="","",IFERROR(INDEX(Listas!$C$2:$C$20,MATCH($D42,Listas!$A$2:$A$20,0)),""))</f>
        <v/>
      </c>
      <c r="V42" s="10" t="str">
        <f aca="false">IF($C42="","",IFERROR(INDEX(Listas!$D$2:$D$20,MATCH($D42,Listas!$A$2:$A$20,0)),""))</f>
        <v/>
      </c>
      <c r="W42" s="11" t="str">
        <f aca="false">IF(OR($C42="",$B42="",$G42=""),"",$G42-$B42)</f>
        <v/>
      </c>
      <c r="X42" s="11" t="str">
        <f aca="true">IF(OR($C42="",$B42=""),"",IF($N42&lt;&gt;"",$N42,TODAY())-$B42)</f>
        <v/>
      </c>
      <c r="Y42" s="11" t="str">
        <f aca="true">IF(OR($C42="",$M42&lt;&gt;"Abierta",$G42=""),"",MAX($G42-TODAY(),0))</f>
        <v/>
      </c>
      <c r="Z42" s="12" t="str">
        <f aca="false">IF($C42="","",N($K42)*N($H42)*N($I42)*IF($U42="Débito",-1,1))</f>
        <v/>
      </c>
      <c r="AA42" s="13" t="str">
        <f aca="false">IF($C42="","",IF(AND($U42="Débito",$F42&lt;&gt;""),$F42,$E42))</f>
        <v/>
      </c>
      <c r="AB42" s="13" t="str">
        <f aca="false">IF(OR($C42="",$T42="Mixta",$AA42=""),"",IF($V42="Subyacente",IF($J42="","",$J42-$K42),IF($T42="Put",$AA42-$K42,$AA42+$K42)))</f>
        <v/>
      </c>
      <c r="AC42" s="14" t="str">
        <f aca="false">IF(OR($C42="",$T42="Mixta",$J42="",$AA42=""),"",IF($T42="Put",($J42-$AA42)/$J42,($AA42-$J42)/$J42))</f>
        <v/>
      </c>
      <c r="AD42" s="12" t="str">
        <f aca="false">IF($C42="","",IF($Q42&lt;&gt;"",$Q42,IF($V42="Strike",N($E42)*$H42*$I42,IF($V42="Subyacente",IF($J42="","",$J42*$H42*$I42),IF($V42="Ancho",IF($F42="","",ABS($E42-$F42)*$H42*$I42-$K42*$H42*$I42),IF($V42="Prima",$K42*$H42*$I42,""))))))</f>
        <v/>
      </c>
      <c r="AE42" s="12" t="str">
        <f aca="false">IF(OR($C42="",$M42="Abierta",$M42=""),"",(N($K42)-IF(OR($M42="Cerrada",$M42="Rolada"),N($O42),0))*$H42*$I42*IF($U42="Débito",-1,1)-N($L42)-N($P42))</f>
        <v/>
      </c>
      <c r="AF42" s="14" t="str">
        <f aca="false">IF(OR($AE42="",$AD42=""),"",IF($AD42&lt;=0,"",$AE42/$AD42))</f>
        <v/>
      </c>
      <c r="AG42" s="14" t="str">
        <f aca="false">IF($AF42="","",$AF42*365/MAX(N($X42),1))</f>
        <v/>
      </c>
      <c r="AH42" s="14" t="str">
        <f aca="false">IF(OR($C42="",$U42&lt;&gt;"Crédito",$AD42=""),"",IF($AD42&lt;=0,"",($Z42-N($L42))/$AD42))</f>
        <v/>
      </c>
      <c r="AI42" s="14" t="str">
        <f aca="false">IF(OR($AH42="",$W42=""),"",$AH42*365/MAX($W42,1))</f>
        <v/>
      </c>
      <c r="AJ42" s="14" t="str">
        <f aca="false">IF(OR($AE42="",$U42&lt;&gt;"Crédito",N($K42)=0),"",(N($K42)-IF(OR($M42="Cerrada",$M42="Rolada"),N($O42),0))/$K42)</f>
        <v/>
      </c>
      <c r="AK42" s="15" t="str">
        <f aca="false">IF(OR($C42="",$N42=""),"",DATE(YEAR($N42),MONTH($N42),1))</f>
        <v/>
      </c>
      <c r="AL42" s="11" t="str">
        <f aca="false">IF($C42="","",IF($M42="Abierta",0,1))</f>
        <v/>
      </c>
      <c r="AM42" s="16" t="str">
        <f aca="false">IF(OR($AE42="",$AD42=""),"",$AD42*MAX(N($X42),1))</f>
        <v/>
      </c>
      <c r="AN42" s="10" t="str">
        <f aca="false">IF($C42="","",IF(OR($B42="",$D42="",$H42="",$K42="",$M42=""),"Faltan datos obligatorios",IF($T42="","Estrategia no reconocida",IF(AND($M42&lt;&gt;"Abierta",$N42=""),"Falta fecha cierre",IF(AND(OR($M42="Cerrada",$M42="Rolada"),$O42=""),"Falta prima cierre",IF(AND($N42&lt;&gt;"",$N42&lt;$B42),"Cierre anterior a apertura",IF(AND($M42="Asignada",$R42=""),"Asignada: falta ID lote acciones",IF(AND($R42&lt;&gt;"",ISNA(MATCH($R42,Acciones!$A$2:$A$201,0))),"El ID lote no existe en Acciones",IF($AD42="","Revisa capital en riesgo","OK")))))))))</f>
        <v/>
      </c>
    </row>
    <row r="43" customFormat="false" ht="15" hidden="false" customHeight="true" outlineLevel="0" collapsed="false">
      <c r="A43" s="5"/>
      <c r="B43" s="6"/>
      <c r="C43" s="7"/>
      <c r="D43" s="7"/>
      <c r="E43" s="8"/>
      <c r="F43" s="8"/>
      <c r="G43" s="6"/>
      <c r="H43" s="5"/>
      <c r="I43" s="5" t="n">
        <v>100</v>
      </c>
      <c r="J43" s="8"/>
      <c r="K43" s="8"/>
      <c r="L43" s="9"/>
      <c r="M43" s="7"/>
      <c r="N43" s="6"/>
      <c r="O43" s="8"/>
      <c r="P43" s="9"/>
      <c r="Q43" s="9"/>
      <c r="R43" s="7"/>
      <c r="S43" s="7"/>
      <c r="T43" s="10" t="str">
        <f aca="false">IF($C43="","",IFERROR(INDEX(Listas!$B$2:$B$20,MATCH($D43,Listas!$A$2:$A$20,0)),""))</f>
        <v/>
      </c>
      <c r="U43" s="10" t="str">
        <f aca="false">IF($C43="","",IFERROR(INDEX(Listas!$C$2:$C$20,MATCH($D43,Listas!$A$2:$A$20,0)),""))</f>
        <v/>
      </c>
      <c r="V43" s="10" t="str">
        <f aca="false">IF($C43="","",IFERROR(INDEX(Listas!$D$2:$D$20,MATCH($D43,Listas!$A$2:$A$20,0)),""))</f>
        <v/>
      </c>
      <c r="W43" s="11" t="str">
        <f aca="false">IF(OR($C43="",$B43="",$G43=""),"",$G43-$B43)</f>
        <v/>
      </c>
      <c r="X43" s="11" t="str">
        <f aca="true">IF(OR($C43="",$B43=""),"",IF($N43&lt;&gt;"",$N43,TODAY())-$B43)</f>
        <v/>
      </c>
      <c r="Y43" s="11" t="str">
        <f aca="true">IF(OR($C43="",$M43&lt;&gt;"Abierta",$G43=""),"",MAX($G43-TODAY(),0))</f>
        <v/>
      </c>
      <c r="Z43" s="12" t="str">
        <f aca="false">IF($C43="","",N($K43)*N($H43)*N($I43)*IF($U43="Débito",-1,1))</f>
        <v/>
      </c>
      <c r="AA43" s="13" t="str">
        <f aca="false">IF($C43="","",IF(AND($U43="Débito",$F43&lt;&gt;""),$F43,$E43))</f>
        <v/>
      </c>
      <c r="AB43" s="13" t="str">
        <f aca="false">IF(OR($C43="",$T43="Mixta",$AA43=""),"",IF($V43="Subyacente",IF($J43="","",$J43-$K43),IF($T43="Put",$AA43-$K43,$AA43+$K43)))</f>
        <v/>
      </c>
      <c r="AC43" s="14" t="str">
        <f aca="false">IF(OR($C43="",$T43="Mixta",$J43="",$AA43=""),"",IF($T43="Put",($J43-$AA43)/$J43,($AA43-$J43)/$J43))</f>
        <v/>
      </c>
      <c r="AD43" s="12" t="str">
        <f aca="false">IF($C43="","",IF($Q43&lt;&gt;"",$Q43,IF($V43="Strike",N($E43)*$H43*$I43,IF($V43="Subyacente",IF($J43="","",$J43*$H43*$I43),IF($V43="Ancho",IF($F43="","",ABS($E43-$F43)*$H43*$I43-$K43*$H43*$I43),IF($V43="Prima",$K43*$H43*$I43,""))))))</f>
        <v/>
      </c>
      <c r="AE43" s="12" t="str">
        <f aca="false">IF(OR($C43="",$M43="Abierta",$M43=""),"",(N($K43)-IF(OR($M43="Cerrada",$M43="Rolada"),N($O43),0))*$H43*$I43*IF($U43="Débito",-1,1)-N($L43)-N($P43))</f>
        <v/>
      </c>
      <c r="AF43" s="14" t="str">
        <f aca="false">IF(OR($AE43="",$AD43=""),"",IF($AD43&lt;=0,"",$AE43/$AD43))</f>
        <v/>
      </c>
      <c r="AG43" s="14" t="str">
        <f aca="false">IF($AF43="","",$AF43*365/MAX(N($X43),1))</f>
        <v/>
      </c>
      <c r="AH43" s="14" t="str">
        <f aca="false">IF(OR($C43="",$U43&lt;&gt;"Crédito",$AD43=""),"",IF($AD43&lt;=0,"",($Z43-N($L43))/$AD43))</f>
        <v/>
      </c>
      <c r="AI43" s="14" t="str">
        <f aca="false">IF(OR($AH43="",$W43=""),"",$AH43*365/MAX($W43,1))</f>
        <v/>
      </c>
      <c r="AJ43" s="14" t="str">
        <f aca="false">IF(OR($AE43="",$U43&lt;&gt;"Crédito",N($K43)=0),"",(N($K43)-IF(OR($M43="Cerrada",$M43="Rolada"),N($O43),0))/$K43)</f>
        <v/>
      </c>
      <c r="AK43" s="15" t="str">
        <f aca="false">IF(OR($C43="",$N43=""),"",DATE(YEAR($N43),MONTH($N43),1))</f>
        <v/>
      </c>
      <c r="AL43" s="11" t="str">
        <f aca="false">IF($C43="","",IF($M43="Abierta",0,1))</f>
        <v/>
      </c>
      <c r="AM43" s="16" t="str">
        <f aca="false">IF(OR($AE43="",$AD43=""),"",$AD43*MAX(N($X43),1))</f>
        <v/>
      </c>
      <c r="AN43" s="10" t="str">
        <f aca="false">IF($C43="","",IF(OR($B43="",$D43="",$H43="",$K43="",$M43=""),"Faltan datos obligatorios",IF($T43="","Estrategia no reconocida",IF(AND($M43&lt;&gt;"Abierta",$N43=""),"Falta fecha cierre",IF(AND(OR($M43="Cerrada",$M43="Rolada"),$O43=""),"Falta prima cierre",IF(AND($N43&lt;&gt;"",$N43&lt;$B43),"Cierre anterior a apertura",IF(AND($M43="Asignada",$R43=""),"Asignada: falta ID lote acciones",IF(AND($R43&lt;&gt;"",ISNA(MATCH($R43,Acciones!$A$2:$A$201,0))),"El ID lote no existe en Acciones",IF($AD43="","Revisa capital en riesgo","OK")))))))))</f>
        <v/>
      </c>
    </row>
    <row r="44" customFormat="false" ht="15" hidden="false" customHeight="true" outlineLevel="0" collapsed="false">
      <c r="A44" s="5"/>
      <c r="B44" s="6"/>
      <c r="C44" s="7"/>
      <c r="D44" s="7"/>
      <c r="E44" s="8"/>
      <c r="F44" s="8"/>
      <c r="G44" s="6"/>
      <c r="H44" s="5"/>
      <c r="I44" s="5" t="n">
        <v>100</v>
      </c>
      <c r="J44" s="8"/>
      <c r="K44" s="8"/>
      <c r="L44" s="9"/>
      <c r="M44" s="7"/>
      <c r="N44" s="6"/>
      <c r="O44" s="8"/>
      <c r="P44" s="9"/>
      <c r="Q44" s="9"/>
      <c r="R44" s="7"/>
      <c r="S44" s="7"/>
      <c r="T44" s="10" t="str">
        <f aca="false">IF($C44="","",IFERROR(INDEX(Listas!$B$2:$B$20,MATCH($D44,Listas!$A$2:$A$20,0)),""))</f>
        <v/>
      </c>
      <c r="U44" s="10" t="str">
        <f aca="false">IF($C44="","",IFERROR(INDEX(Listas!$C$2:$C$20,MATCH($D44,Listas!$A$2:$A$20,0)),""))</f>
        <v/>
      </c>
      <c r="V44" s="10" t="str">
        <f aca="false">IF($C44="","",IFERROR(INDEX(Listas!$D$2:$D$20,MATCH($D44,Listas!$A$2:$A$20,0)),""))</f>
        <v/>
      </c>
      <c r="W44" s="11" t="str">
        <f aca="false">IF(OR($C44="",$B44="",$G44=""),"",$G44-$B44)</f>
        <v/>
      </c>
      <c r="X44" s="11" t="str">
        <f aca="true">IF(OR($C44="",$B44=""),"",IF($N44&lt;&gt;"",$N44,TODAY())-$B44)</f>
        <v/>
      </c>
      <c r="Y44" s="11" t="str">
        <f aca="true">IF(OR($C44="",$M44&lt;&gt;"Abierta",$G44=""),"",MAX($G44-TODAY(),0))</f>
        <v/>
      </c>
      <c r="Z44" s="12" t="str">
        <f aca="false">IF($C44="","",N($K44)*N($H44)*N($I44)*IF($U44="Débito",-1,1))</f>
        <v/>
      </c>
      <c r="AA44" s="13" t="str">
        <f aca="false">IF($C44="","",IF(AND($U44="Débito",$F44&lt;&gt;""),$F44,$E44))</f>
        <v/>
      </c>
      <c r="AB44" s="13" t="str">
        <f aca="false">IF(OR($C44="",$T44="Mixta",$AA44=""),"",IF($V44="Subyacente",IF($J44="","",$J44-$K44),IF($T44="Put",$AA44-$K44,$AA44+$K44)))</f>
        <v/>
      </c>
      <c r="AC44" s="14" t="str">
        <f aca="false">IF(OR($C44="",$T44="Mixta",$J44="",$AA44=""),"",IF($T44="Put",($J44-$AA44)/$J44,($AA44-$J44)/$J44))</f>
        <v/>
      </c>
      <c r="AD44" s="12" t="str">
        <f aca="false">IF($C44="","",IF($Q44&lt;&gt;"",$Q44,IF($V44="Strike",N($E44)*$H44*$I44,IF($V44="Subyacente",IF($J44="","",$J44*$H44*$I44),IF($V44="Ancho",IF($F44="","",ABS($E44-$F44)*$H44*$I44-$K44*$H44*$I44),IF($V44="Prima",$K44*$H44*$I44,""))))))</f>
        <v/>
      </c>
      <c r="AE44" s="12" t="str">
        <f aca="false">IF(OR($C44="",$M44="Abierta",$M44=""),"",(N($K44)-IF(OR($M44="Cerrada",$M44="Rolada"),N($O44),0))*$H44*$I44*IF($U44="Débito",-1,1)-N($L44)-N($P44))</f>
        <v/>
      </c>
      <c r="AF44" s="14" t="str">
        <f aca="false">IF(OR($AE44="",$AD44=""),"",IF($AD44&lt;=0,"",$AE44/$AD44))</f>
        <v/>
      </c>
      <c r="AG44" s="14" t="str">
        <f aca="false">IF($AF44="","",$AF44*365/MAX(N($X44),1))</f>
        <v/>
      </c>
      <c r="AH44" s="14" t="str">
        <f aca="false">IF(OR($C44="",$U44&lt;&gt;"Crédito",$AD44=""),"",IF($AD44&lt;=0,"",($Z44-N($L44))/$AD44))</f>
        <v/>
      </c>
      <c r="AI44" s="14" t="str">
        <f aca="false">IF(OR($AH44="",$W44=""),"",$AH44*365/MAX($W44,1))</f>
        <v/>
      </c>
      <c r="AJ44" s="14" t="str">
        <f aca="false">IF(OR($AE44="",$U44&lt;&gt;"Crédito",N($K44)=0),"",(N($K44)-IF(OR($M44="Cerrada",$M44="Rolada"),N($O44),0))/$K44)</f>
        <v/>
      </c>
      <c r="AK44" s="15" t="str">
        <f aca="false">IF(OR($C44="",$N44=""),"",DATE(YEAR($N44),MONTH($N44),1))</f>
        <v/>
      </c>
      <c r="AL44" s="11" t="str">
        <f aca="false">IF($C44="","",IF($M44="Abierta",0,1))</f>
        <v/>
      </c>
      <c r="AM44" s="16" t="str">
        <f aca="false">IF(OR($AE44="",$AD44=""),"",$AD44*MAX(N($X44),1))</f>
        <v/>
      </c>
      <c r="AN44" s="10" t="str">
        <f aca="false">IF($C44="","",IF(OR($B44="",$D44="",$H44="",$K44="",$M44=""),"Faltan datos obligatorios",IF($T44="","Estrategia no reconocida",IF(AND($M44&lt;&gt;"Abierta",$N44=""),"Falta fecha cierre",IF(AND(OR($M44="Cerrada",$M44="Rolada"),$O44=""),"Falta prima cierre",IF(AND($N44&lt;&gt;"",$N44&lt;$B44),"Cierre anterior a apertura",IF(AND($M44="Asignada",$R44=""),"Asignada: falta ID lote acciones",IF(AND($R44&lt;&gt;"",ISNA(MATCH($R44,Acciones!$A$2:$A$201,0))),"El ID lote no existe en Acciones",IF($AD44="","Revisa capital en riesgo","OK")))))))))</f>
        <v/>
      </c>
    </row>
    <row r="45" customFormat="false" ht="15" hidden="false" customHeight="true" outlineLevel="0" collapsed="false">
      <c r="A45" s="5"/>
      <c r="B45" s="6"/>
      <c r="C45" s="7"/>
      <c r="D45" s="7"/>
      <c r="E45" s="8"/>
      <c r="F45" s="8"/>
      <c r="G45" s="6"/>
      <c r="H45" s="5"/>
      <c r="I45" s="5" t="n">
        <v>100</v>
      </c>
      <c r="J45" s="8"/>
      <c r="K45" s="8"/>
      <c r="L45" s="9"/>
      <c r="M45" s="7"/>
      <c r="N45" s="6"/>
      <c r="O45" s="8"/>
      <c r="P45" s="9"/>
      <c r="Q45" s="9"/>
      <c r="R45" s="7"/>
      <c r="S45" s="7"/>
      <c r="T45" s="10" t="str">
        <f aca="false">IF($C45="","",IFERROR(INDEX(Listas!$B$2:$B$20,MATCH($D45,Listas!$A$2:$A$20,0)),""))</f>
        <v/>
      </c>
      <c r="U45" s="10" t="str">
        <f aca="false">IF($C45="","",IFERROR(INDEX(Listas!$C$2:$C$20,MATCH($D45,Listas!$A$2:$A$20,0)),""))</f>
        <v/>
      </c>
      <c r="V45" s="10" t="str">
        <f aca="false">IF($C45="","",IFERROR(INDEX(Listas!$D$2:$D$20,MATCH($D45,Listas!$A$2:$A$20,0)),""))</f>
        <v/>
      </c>
      <c r="W45" s="11" t="str">
        <f aca="false">IF(OR($C45="",$B45="",$G45=""),"",$G45-$B45)</f>
        <v/>
      </c>
      <c r="X45" s="11" t="str">
        <f aca="true">IF(OR($C45="",$B45=""),"",IF($N45&lt;&gt;"",$N45,TODAY())-$B45)</f>
        <v/>
      </c>
      <c r="Y45" s="11" t="str">
        <f aca="true">IF(OR($C45="",$M45&lt;&gt;"Abierta",$G45=""),"",MAX($G45-TODAY(),0))</f>
        <v/>
      </c>
      <c r="Z45" s="12" t="str">
        <f aca="false">IF($C45="","",N($K45)*N($H45)*N($I45)*IF($U45="Débito",-1,1))</f>
        <v/>
      </c>
      <c r="AA45" s="13" t="str">
        <f aca="false">IF($C45="","",IF(AND($U45="Débito",$F45&lt;&gt;""),$F45,$E45))</f>
        <v/>
      </c>
      <c r="AB45" s="13" t="str">
        <f aca="false">IF(OR($C45="",$T45="Mixta",$AA45=""),"",IF($V45="Subyacente",IF($J45="","",$J45-$K45),IF($T45="Put",$AA45-$K45,$AA45+$K45)))</f>
        <v/>
      </c>
      <c r="AC45" s="14" t="str">
        <f aca="false">IF(OR($C45="",$T45="Mixta",$J45="",$AA45=""),"",IF($T45="Put",($J45-$AA45)/$J45,($AA45-$J45)/$J45))</f>
        <v/>
      </c>
      <c r="AD45" s="12" t="str">
        <f aca="false">IF($C45="","",IF($Q45&lt;&gt;"",$Q45,IF($V45="Strike",N($E45)*$H45*$I45,IF($V45="Subyacente",IF($J45="","",$J45*$H45*$I45),IF($V45="Ancho",IF($F45="","",ABS($E45-$F45)*$H45*$I45-$K45*$H45*$I45),IF($V45="Prima",$K45*$H45*$I45,""))))))</f>
        <v/>
      </c>
      <c r="AE45" s="12" t="str">
        <f aca="false">IF(OR($C45="",$M45="Abierta",$M45=""),"",(N($K45)-IF(OR($M45="Cerrada",$M45="Rolada"),N($O45),0))*$H45*$I45*IF($U45="Débito",-1,1)-N($L45)-N($P45))</f>
        <v/>
      </c>
      <c r="AF45" s="14" t="str">
        <f aca="false">IF(OR($AE45="",$AD45=""),"",IF($AD45&lt;=0,"",$AE45/$AD45))</f>
        <v/>
      </c>
      <c r="AG45" s="14" t="str">
        <f aca="false">IF($AF45="","",$AF45*365/MAX(N($X45),1))</f>
        <v/>
      </c>
      <c r="AH45" s="14" t="str">
        <f aca="false">IF(OR($C45="",$U45&lt;&gt;"Crédito",$AD45=""),"",IF($AD45&lt;=0,"",($Z45-N($L45))/$AD45))</f>
        <v/>
      </c>
      <c r="AI45" s="14" t="str">
        <f aca="false">IF(OR($AH45="",$W45=""),"",$AH45*365/MAX($W45,1))</f>
        <v/>
      </c>
      <c r="AJ45" s="14" t="str">
        <f aca="false">IF(OR($AE45="",$U45&lt;&gt;"Crédito",N($K45)=0),"",(N($K45)-IF(OR($M45="Cerrada",$M45="Rolada"),N($O45),0))/$K45)</f>
        <v/>
      </c>
      <c r="AK45" s="15" t="str">
        <f aca="false">IF(OR($C45="",$N45=""),"",DATE(YEAR($N45),MONTH($N45),1))</f>
        <v/>
      </c>
      <c r="AL45" s="11" t="str">
        <f aca="false">IF($C45="","",IF($M45="Abierta",0,1))</f>
        <v/>
      </c>
      <c r="AM45" s="16" t="str">
        <f aca="false">IF(OR($AE45="",$AD45=""),"",$AD45*MAX(N($X45),1))</f>
        <v/>
      </c>
      <c r="AN45" s="10" t="str">
        <f aca="false">IF($C45="","",IF(OR($B45="",$D45="",$H45="",$K45="",$M45=""),"Faltan datos obligatorios",IF($T45="","Estrategia no reconocida",IF(AND($M45&lt;&gt;"Abierta",$N45=""),"Falta fecha cierre",IF(AND(OR($M45="Cerrada",$M45="Rolada"),$O45=""),"Falta prima cierre",IF(AND($N45&lt;&gt;"",$N45&lt;$B45),"Cierre anterior a apertura",IF(AND($M45="Asignada",$R45=""),"Asignada: falta ID lote acciones",IF(AND($R45&lt;&gt;"",ISNA(MATCH($R45,Acciones!$A$2:$A$201,0))),"El ID lote no existe en Acciones",IF($AD45="","Revisa capital en riesgo","OK")))))))))</f>
        <v/>
      </c>
    </row>
    <row r="46" customFormat="false" ht="15" hidden="false" customHeight="true" outlineLevel="0" collapsed="false">
      <c r="A46" s="5"/>
      <c r="B46" s="6"/>
      <c r="C46" s="7"/>
      <c r="D46" s="7"/>
      <c r="E46" s="8"/>
      <c r="F46" s="8"/>
      <c r="G46" s="6"/>
      <c r="H46" s="5"/>
      <c r="I46" s="5" t="n">
        <v>100</v>
      </c>
      <c r="J46" s="8"/>
      <c r="K46" s="8"/>
      <c r="L46" s="9"/>
      <c r="M46" s="7"/>
      <c r="N46" s="6"/>
      <c r="O46" s="8"/>
      <c r="P46" s="9"/>
      <c r="Q46" s="9"/>
      <c r="R46" s="7"/>
      <c r="S46" s="7"/>
      <c r="T46" s="10" t="str">
        <f aca="false">IF($C46="","",IFERROR(INDEX(Listas!$B$2:$B$20,MATCH($D46,Listas!$A$2:$A$20,0)),""))</f>
        <v/>
      </c>
      <c r="U46" s="10" t="str">
        <f aca="false">IF($C46="","",IFERROR(INDEX(Listas!$C$2:$C$20,MATCH($D46,Listas!$A$2:$A$20,0)),""))</f>
        <v/>
      </c>
      <c r="V46" s="10" t="str">
        <f aca="false">IF($C46="","",IFERROR(INDEX(Listas!$D$2:$D$20,MATCH($D46,Listas!$A$2:$A$20,0)),""))</f>
        <v/>
      </c>
      <c r="W46" s="11" t="str">
        <f aca="false">IF(OR($C46="",$B46="",$G46=""),"",$G46-$B46)</f>
        <v/>
      </c>
      <c r="X46" s="11" t="str">
        <f aca="true">IF(OR($C46="",$B46=""),"",IF($N46&lt;&gt;"",$N46,TODAY())-$B46)</f>
        <v/>
      </c>
      <c r="Y46" s="11" t="str">
        <f aca="true">IF(OR($C46="",$M46&lt;&gt;"Abierta",$G46=""),"",MAX($G46-TODAY(),0))</f>
        <v/>
      </c>
      <c r="Z46" s="12" t="str">
        <f aca="false">IF($C46="","",N($K46)*N($H46)*N($I46)*IF($U46="Débito",-1,1))</f>
        <v/>
      </c>
      <c r="AA46" s="13" t="str">
        <f aca="false">IF($C46="","",IF(AND($U46="Débito",$F46&lt;&gt;""),$F46,$E46))</f>
        <v/>
      </c>
      <c r="AB46" s="13" t="str">
        <f aca="false">IF(OR($C46="",$T46="Mixta",$AA46=""),"",IF($V46="Subyacente",IF($J46="","",$J46-$K46),IF($T46="Put",$AA46-$K46,$AA46+$K46)))</f>
        <v/>
      </c>
      <c r="AC46" s="14" t="str">
        <f aca="false">IF(OR($C46="",$T46="Mixta",$J46="",$AA46=""),"",IF($T46="Put",($J46-$AA46)/$J46,($AA46-$J46)/$J46))</f>
        <v/>
      </c>
      <c r="AD46" s="12" t="str">
        <f aca="false">IF($C46="","",IF($Q46&lt;&gt;"",$Q46,IF($V46="Strike",N($E46)*$H46*$I46,IF($V46="Subyacente",IF($J46="","",$J46*$H46*$I46),IF($V46="Ancho",IF($F46="","",ABS($E46-$F46)*$H46*$I46-$K46*$H46*$I46),IF($V46="Prima",$K46*$H46*$I46,""))))))</f>
        <v/>
      </c>
      <c r="AE46" s="12" t="str">
        <f aca="false">IF(OR($C46="",$M46="Abierta",$M46=""),"",(N($K46)-IF(OR($M46="Cerrada",$M46="Rolada"),N($O46),0))*$H46*$I46*IF($U46="Débito",-1,1)-N($L46)-N($P46))</f>
        <v/>
      </c>
      <c r="AF46" s="14" t="str">
        <f aca="false">IF(OR($AE46="",$AD46=""),"",IF($AD46&lt;=0,"",$AE46/$AD46))</f>
        <v/>
      </c>
      <c r="AG46" s="14" t="str">
        <f aca="false">IF($AF46="","",$AF46*365/MAX(N($X46),1))</f>
        <v/>
      </c>
      <c r="AH46" s="14" t="str">
        <f aca="false">IF(OR($C46="",$U46&lt;&gt;"Crédito",$AD46=""),"",IF($AD46&lt;=0,"",($Z46-N($L46))/$AD46))</f>
        <v/>
      </c>
      <c r="AI46" s="14" t="str">
        <f aca="false">IF(OR($AH46="",$W46=""),"",$AH46*365/MAX($W46,1))</f>
        <v/>
      </c>
      <c r="AJ46" s="14" t="str">
        <f aca="false">IF(OR($AE46="",$U46&lt;&gt;"Crédito",N($K46)=0),"",(N($K46)-IF(OR($M46="Cerrada",$M46="Rolada"),N($O46),0))/$K46)</f>
        <v/>
      </c>
      <c r="AK46" s="15" t="str">
        <f aca="false">IF(OR($C46="",$N46=""),"",DATE(YEAR($N46),MONTH($N46),1))</f>
        <v/>
      </c>
      <c r="AL46" s="11" t="str">
        <f aca="false">IF($C46="","",IF($M46="Abierta",0,1))</f>
        <v/>
      </c>
      <c r="AM46" s="16" t="str">
        <f aca="false">IF(OR($AE46="",$AD46=""),"",$AD46*MAX(N($X46),1))</f>
        <v/>
      </c>
      <c r="AN46" s="10" t="str">
        <f aca="false">IF($C46="","",IF(OR($B46="",$D46="",$H46="",$K46="",$M46=""),"Faltan datos obligatorios",IF($T46="","Estrategia no reconocida",IF(AND($M46&lt;&gt;"Abierta",$N46=""),"Falta fecha cierre",IF(AND(OR($M46="Cerrada",$M46="Rolada"),$O46=""),"Falta prima cierre",IF(AND($N46&lt;&gt;"",$N46&lt;$B46),"Cierre anterior a apertura",IF(AND($M46="Asignada",$R46=""),"Asignada: falta ID lote acciones",IF(AND($R46&lt;&gt;"",ISNA(MATCH($R46,Acciones!$A$2:$A$201,0))),"El ID lote no existe en Acciones",IF($AD46="","Revisa capital en riesgo","OK")))))))))</f>
        <v/>
      </c>
    </row>
    <row r="47" customFormat="false" ht="15" hidden="false" customHeight="true" outlineLevel="0" collapsed="false">
      <c r="A47" s="5"/>
      <c r="B47" s="6"/>
      <c r="C47" s="7"/>
      <c r="D47" s="7"/>
      <c r="E47" s="8"/>
      <c r="F47" s="8"/>
      <c r="G47" s="6"/>
      <c r="H47" s="5"/>
      <c r="I47" s="5" t="n">
        <v>100</v>
      </c>
      <c r="J47" s="8"/>
      <c r="K47" s="8"/>
      <c r="L47" s="9"/>
      <c r="M47" s="7"/>
      <c r="N47" s="6"/>
      <c r="O47" s="8"/>
      <c r="P47" s="9"/>
      <c r="Q47" s="9"/>
      <c r="R47" s="7"/>
      <c r="S47" s="7"/>
      <c r="T47" s="10" t="str">
        <f aca="false">IF($C47="","",IFERROR(INDEX(Listas!$B$2:$B$20,MATCH($D47,Listas!$A$2:$A$20,0)),""))</f>
        <v/>
      </c>
      <c r="U47" s="10" t="str">
        <f aca="false">IF($C47="","",IFERROR(INDEX(Listas!$C$2:$C$20,MATCH($D47,Listas!$A$2:$A$20,0)),""))</f>
        <v/>
      </c>
      <c r="V47" s="10" t="str">
        <f aca="false">IF($C47="","",IFERROR(INDEX(Listas!$D$2:$D$20,MATCH($D47,Listas!$A$2:$A$20,0)),""))</f>
        <v/>
      </c>
      <c r="W47" s="11" t="str">
        <f aca="false">IF(OR($C47="",$B47="",$G47=""),"",$G47-$B47)</f>
        <v/>
      </c>
      <c r="X47" s="11" t="str">
        <f aca="true">IF(OR($C47="",$B47=""),"",IF($N47&lt;&gt;"",$N47,TODAY())-$B47)</f>
        <v/>
      </c>
      <c r="Y47" s="11" t="str">
        <f aca="true">IF(OR($C47="",$M47&lt;&gt;"Abierta",$G47=""),"",MAX($G47-TODAY(),0))</f>
        <v/>
      </c>
      <c r="Z47" s="12" t="str">
        <f aca="false">IF($C47="","",N($K47)*N($H47)*N($I47)*IF($U47="Débito",-1,1))</f>
        <v/>
      </c>
      <c r="AA47" s="13" t="str">
        <f aca="false">IF($C47="","",IF(AND($U47="Débito",$F47&lt;&gt;""),$F47,$E47))</f>
        <v/>
      </c>
      <c r="AB47" s="13" t="str">
        <f aca="false">IF(OR($C47="",$T47="Mixta",$AA47=""),"",IF($V47="Subyacente",IF($J47="","",$J47-$K47),IF($T47="Put",$AA47-$K47,$AA47+$K47)))</f>
        <v/>
      </c>
      <c r="AC47" s="14" t="str">
        <f aca="false">IF(OR($C47="",$T47="Mixta",$J47="",$AA47=""),"",IF($T47="Put",($J47-$AA47)/$J47,($AA47-$J47)/$J47))</f>
        <v/>
      </c>
      <c r="AD47" s="12" t="str">
        <f aca="false">IF($C47="","",IF($Q47&lt;&gt;"",$Q47,IF($V47="Strike",N($E47)*$H47*$I47,IF($V47="Subyacente",IF($J47="","",$J47*$H47*$I47),IF($V47="Ancho",IF($F47="","",ABS($E47-$F47)*$H47*$I47-$K47*$H47*$I47),IF($V47="Prima",$K47*$H47*$I47,""))))))</f>
        <v/>
      </c>
      <c r="AE47" s="12" t="str">
        <f aca="false">IF(OR($C47="",$M47="Abierta",$M47=""),"",(N($K47)-IF(OR($M47="Cerrada",$M47="Rolada"),N($O47),0))*$H47*$I47*IF($U47="Débito",-1,1)-N($L47)-N($P47))</f>
        <v/>
      </c>
      <c r="AF47" s="14" t="str">
        <f aca="false">IF(OR($AE47="",$AD47=""),"",IF($AD47&lt;=0,"",$AE47/$AD47))</f>
        <v/>
      </c>
      <c r="AG47" s="14" t="str">
        <f aca="false">IF($AF47="","",$AF47*365/MAX(N($X47),1))</f>
        <v/>
      </c>
      <c r="AH47" s="14" t="str">
        <f aca="false">IF(OR($C47="",$U47&lt;&gt;"Crédito",$AD47=""),"",IF($AD47&lt;=0,"",($Z47-N($L47))/$AD47))</f>
        <v/>
      </c>
      <c r="AI47" s="14" t="str">
        <f aca="false">IF(OR($AH47="",$W47=""),"",$AH47*365/MAX($W47,1))</f>
        <v/>
      </c>
      <c r="AJ47" s="14" t="str">
        <f aca="false">IF(OR($AE47="",$U47&lt;&gt;"Crédito",N($K47)=0),"",(N($K47)-IF(OR($M47="Cerrada",$M47="Rolada"),N($O47),0))/$K47)</f>
        <v/>
      </c>
      <c r="AK47" s="15" t="str">
        <f aca="false">IF(OR($C47="",$N47=""),"",DATE(YEAR($N47),MONTH($N47),1))</f>
        <v/>
      </c>
      <c r="AL47" s="11" t="str">
        <f aca="false">IF($C47="","",IF($M47="Abierta",0,1))</f>
        <v/>
      </c>
      <c r="AM47" s="16" t="str">
        <f aca="false">IF(OR($AE47="",$AD47=""),"",$AD47*MAX(N($X47),1))</f>
        <v/>
      </c>
      <c r="AN47" s="10" t="str">
        <f aca="false">IF($C47="","",IF(OR($B47="",$D47="",$H47="",$K47="",$M47=""),"Faltan datos obligatorios",IF($T47="","Estrategia no reconocida",IF(AND($M47&lt;&gt;"Abierta",$N47=""),"Falta fecha cierre",IF(AND(OR($M47="Cerrada",$M47="Rolada"),$O47=""),"Falta prima cierre",IF(AND($N47&lt;&gt;"",$N47&lt;$B47),"Cierre anterior a apertura",IF(AND($M47="Asignada",$R47=""),"Asignada: falta ID lote acciones",IF(AND($R47&lt;&gt;"",ISNA(MATCH($R47,Acciones!$A$2:$A$201,0))),"El ID lote no existe en Acciones",IF($AD47="","Revisa capital en riesgo","OK")))))))))</f>
        <v/>
      </c>
    </row>
    <row r="48" customFormat="false" ht="15" hidden="false" customHeight="true" outlineLevel="0" collapsed="false">
      <c r="A48" s="5"/>
      <c r="B48" s="6"/>
      <c r="C48" s="7"/>
      <c r="D48" s="7"/>
      <c r="E48" s="8"/>
      <c r="F48" s="8"/>
      <c r="G48" s="6"/>
      <c r="H48" s="5"/>
      <c r="I48" s="5" t="n">
        <v>100</v>
      </c>
      <c r="J48" s="8"/>
      <c r="K48" s="8"/>
      <c r="L48" s="9"/>
      <c r="M48" s="7"/>
      <c r="N48" s="6"/>
      <c r="O48" s="8"/>
      <c r="P48" s="9"/>
      <c r="Q48" s="9"/>
      <c r="R48" s="7"/>
      <c r="S48" s="7"/>
      <c r="T48" s="10" t="str">
        <f aca="false">IF($C48="","",IFERROR(INDEX(Listas!$B$2:$B$20,MATCH($D48,Listas!$A$2:$A$20,0)),""))</f>
        <v/>
      </c>
      <c r="U48" s="10" t="str">
        <f aca="false">IF($C48="","",IFERROR(INDEX(Listas!$C$2:$C$20,MATCH($D48,Listas!$A$2:$A$20,0)),""))</f>
        <v/>
      </c>
      <c r="V48" s="10" t="str">
        <f aca="false">IF($C48="","",IFERROR(INDEX(Listas!$D$2:$D$20,MATCH($D48,Listas!$A$2:$A$20,0)),""))</f>
        <v/>
      </c>
      <c r="W48" s="11" t="str">
        <f aca="false">IF(OR($C48="",$B48="",$G48=""),"",$G48-$B48)</f>
        <v/>
      </c>
      <c r="X48" s="11" t="str">
        <f aca="true">IF(OR($C48="",$B48=""),"",IF($N48&lt;&gt;"",$N48,TODAY())-$B48)</f>
        <v/>
      </c>
      <c r="Y48" s="11" t="str">
        <f aca="true">IF(OR($C48="",$M48&lt;&gt;"Abierta",$G48=""),"",MAX($G48-TODAY(),0))</f>
        <v/>
      </c>
      <c r="Z48" s="12" t="str">
        <f aca="false">IF($C48="","",N($K48)*N($H48)*N($I48)*IF($U48="Débito",-1,1))</f>
        <v/>
      </c>
      <c r="AA48" s="13" t="str">
        <f aca="false">IF($C48="","",IF(AND($U48="Débito",$F48&lt;&gt;""),$F48,$E48))</f>
        <v/>
      </c>
      <c r="AB48" s="13" t="str">
        <f aca="false">IF(OR($C48="",$T48="Mixta",$AA48=""),"",IF($V48="Subyacente",IF($J48="","",$J48-$K48),IF($T48="Put",$AA48-$K48,$AA48+$K48)))</f>
        <v/>
      </c>
      <c r="AC48" s="14" t="str">
        <f aca="false">IF(OR($C48="",$T48="Mixta",$J48="",$AA48=""),"",IF($T48="Put",($J48-$AA48)/$J48,($AA48-$J48)/$J48))</f>
        <v/>
      </c>
      <c r="AD48" s="12" t="str">
        <f aca="false">IF($C48="","",IF($Q48&lt;&gt;"",$Q48,IF($V48="Strike",N($E48)*$H48*$I48,IF($V48="Subyacente",IF($J48="","",$J48*$H48*$I48),IF($V48="Ancho",IF($F48="","",ABS($E48-$F48)*$H48*$I48-$K48*$H48*$I48),IF($V48="Prima",$K48*$H48*$I48,""))))))</f>
        <v/>
      </c>
      <c r="AE48" s="12" t="str">
        <f aca="false">IF(OR($C48="",$M48="Abierta",$M48=""),"",(N($K48)-IF(OR($M48="Cerrada",$M48="Rolada"),N($O48),0))*$H48*$I48*IF($U48="Débito",-1,1)-N($L48)-N($P48))</f>
        <v/>
      </c>
      <c r="AF48" s="14" t="str">
        <f aca="false">IF(OR($AE48="",$AD48=""),"",IF($AD48&lt;=0,"",$AE48/$AD48))</f>
        <v/>
      </c>
      <c r="AG48" s="14" t="str">
        <f aca="false">IF($AF48="","",$AF48*365/MAX(N($X48),1))</f>
        <v/>
      </c>
      <c r="AH48" s="14" t="str">
        <f aca="false">IF(OR($C48="",$U48&lt;&gt;"Crédito",$AD48=""),"",IF($AD48&lt;=0,"",($Z48-N($L48))/$AD48))</f>
        <v/>
      </c>
      <c r="AI48" s="14" t="str">
        <f aca="false">IF(OR($AH48="",$W48=""),"",$AH48*365/MAX($W48,1))</f>
        <v/>
      </c>
      <c r="AJ48" s="14" t="str">
        <f aca="false">IF(OR($AE48="",$U48&lt;&gt;"Crédito",N($K48)=0),"",(N($K48)-IF(OR($M48="Cerrada",$M48="Rolada"),N($O48),0))/$K48)</f>
        <v/>
      </c>
      <c r="AK48" s="15" t="str">
        <f aca="false">IF(OR($C48="",$N48=""),"",DATE(YEAR($N48),MONTH($N48),1))</f>
        <v/>
      </c>
      <c r="AL48" s="11" t="str">
        <f aca="false">IF($C48="","",IF($M48="Abierta",0,1))</f>
        <v/>
      </c>
      <c r="AM48" s="16" t="str">
        <f aca="false">IF(OR($AE48="",$AD48=""),"",$AD48*MAX(N($X48),1))</f>
        <v/>
      </c>
      <c r="AN48" s="10" t="str">
        <f aca="false">IF($C48="","",IF(OR($B48="",$D48="",$H48="",$K48="",$M48=""),"Faltan datos obligatorios",IF($T48="","Estrategia no reconocida",IF(AND($M48&lt;&gt;"Abierta",$N48=""),"Falta fecha cierre",IF(AND(OR($M48="Cerrada",$M48="Rolada"),$O48=""),"Falta prima cierre",IF(AND($N48&lt;&gt;"",$N48&lt;$B48),"Cierre anterior a apertura",IF(AND($M48="Asignada",$R48=""),"Asignada: falta ID lote acciones",IF(AND($R48&lt;&gt;"",ISNA(MATCH($R48,Acciones!$A$2:$A$201,0))),"El ID lote no existe en Acciones",IF($AD48="","Revisa capital en riesgo","OK")))))))))</f>
        <v/>
      </c>
    </row>
    <row r="49" customFormat="false" ht="15" hidden="false" customHeight="true" outlineLevel="0" collapsed="false">
      <c r="A49" s="5"/>
      <c r="B49" s="6"/>
      <c r="C49" s="7"/>
      <c r="D49" s="7"/>
      <c r="E49" s="8"/>
      <c r="F49" s="8"/>
      <c r="G49" s="6"/>
      <c r="H49" s="5"/>
      <c r="I49" s="5" t="n">
        <v>100</v>
      </c>
      <c r="J49" s="8"/>
      <c r="K49" s="8"/>
      <c r="L49" s="9"/>
      <c r="M49" s="7"/>
      <c r="N49" s="6"/>
      <c r="O49" s="8"/>
      <c r="P49" s="9"/>
      <c r="Q49" s="9"/>
      <c r="R49" s="7"/>
      <c r="S49" s="7"/>
      <c r="T49" s="10" t="str">
        <f aca="false">IF($C49="","",IFERROR(INDEX(Listas!$B$2:$B$20,MATCH($D49,Listas!$A$2:$A$20,0)),""))</f>
        <v/>
      </c>
      <c r="U49" s="10" t="str">
        <f aca="false">IF($C49="","",IFERROR(INDEX(Listas!$C$2:$C$20,MATCH($D49,Listas!$A$2:$A$20,0)),""))</f>
        <v/>
      </c>
      <c r="V49" s="10" t="str">
        <f aca="false">IF($C49="","",IFERROR(INDEX(Listas!$D$2:$D$20,MATCH($D49,Listas!$A$2:$A$20,0)),""))</f>
        <v/>
      </c>
      <c r="W49" s="11" t="str">
        <f aca="false">IF(OR($C49="",$B49="",$G49=""),"",$G49-$B49)</f>
        <v/>
      </c>
      <c r="X49" s="11" t="str">
        <f aca="true">IF(OR($C49="",$B49=""),"",IF($N49&lt;&gt;"",$N49,TODAY())-$B49)</f>
        <v/>
      </c>
      <c r="Y49" s="11" t="str">
        <f aca="true">IF(OR($C49="",$M49&lt;&gt;"Abierta",$G49=""),"",MAX($G49-TODAY(),0))</f>
        <v/>
      </c>
      <c r="Z49" s="12" t="str">
        <f aca="false">IF($C49="","",N($K49)*N($H49)*N($I49)*IF($U49="Débito",-1,1))</f>
        <v/>
      </c>
      <c r="AA49" s="13" t="str">
        <f aca="false">IF($C49="","",IF(AND($U49="Débito",$F49&lt;&gt;""),$F49,$E49))</f>
        <v/>
      </c>
      <c r="AB49" s="13" t="str">
        <f aca="false">IF(OR($C49="",$T49="Mixta",$AA49=""),"",IF($V49="Subyacente",IF($J49="","",$J49-$K49),IF($T49="Put",$AA49-$K49,$AA49+$K49)))</f>
        <v/>
      </c>
      <c r="AC49" s="14" t="str">
        <f aca="false">IF(OR($C49="",$T49="Mixta",$J49="",$AA49=""),"",IF($T49="Put",($J49-$AA49)/$J49,($AA49-$J49)/$J49))</f>
        <v/>
      </c>
      <c r="AD49" s="12" t="str">
        <f aca="false">IF($C49="","",IF($Q49&lt;&gt;"",$Q49,IF($V49="Strike",N($E49)*$H49*$I49,IF($V49="Subyacente",IF($J49="","",$J49*$H49*$I49),IF($V49="Ancho",IF($F49="","",ABS($E49-$F49)*$H49*$I49-$K49*$H49*$I49),IF($V49="Prima",$K49*$H49*$I49,""))))))</f>
        <v/>
      </c>
      <c r="AE49" s="12" t="str">
        <f aca="false">IF(OR($C49="",$M49="Abierta",$M49=""),"",(N($K49)-IF(OR($M49="Cerrada",$M49="Rolada"),N($O49),0))*$H49*$I49*IF($U49="Débito",-1,1)-N($L49)-N($P49))</f>
        <v/>
      </c>
      <c r="AF49" s="14" t="str">
        <f aca="false">IF(OR($AE49="",$AD49=""),"",IF($AD49&lt;=0,"",$AE49/$AD49))</f>
        <v/>
      </c>
      <c r="AG49" s="14" t="str">
        <f aca="false">IF($AF49="","",$AF49*365/MAX(N($X49),1))</f>
        <v/>
      </c>
      <c r="AH49" s="14" t="str">
        <f aca="false">IF(OR($C49="",$U49&lt;&gt;"Crédito",$AD49=""),"",IF($AD49&lt;=0,"",($Z49-N($L49))/$AD49))</f>
        <v/>
      </c>
      <c r="AI49" s="14" t="str">
        <f aca="false">IF(OR($AH49="",$W49=""),"",$AH49*365/MAX($W49,1))</f>
        <v/>
      </c>
      <c r="AJ49" s="14" t="str">
        <f aca="false">IF(OR($AE49="",$U49&lt;&gt;"Crédito",N($K49)=0),"",(N($K49)-IF(OR($M49="Cerrada",$M49="Rolada"),N($O49),0))/$K49)</f>
        <v/>
      </c>
      <c r="AK49" s="15" t="str">
        <f aca="false">IF(OR($C49="",$N49=""),"",DATE(YEAR($N49),MONTH($N49),1))</f>
        <v/>
      </c>
      <c r="AL49" s="11" t="str">
        <f aca="false">IF($C49="","",IF($M49="Abierta",0,1))</f>
        <v/>
      </c>
      <c r="AM49" s="16" t="str">
        <f aca="false">IF(OR($AE49="",$AD49=""),"",$AD49*MAX(N($X49),1))</f>
        <v/>
      </c>
      <c r="AN49" s="10" t="str">
        <f aca="false">IF($C49="","",IF(OR($B49="",$D49="",$H49="",$K49="",$M49=""),"Faltan datos obligatorios",IF($T49="","Estrategia no reconocida",IF(AND($M49&lt;&gt;"Abierta",$N49=""),"Falta fecha cierre",IF(AND(OR($M49="Cerrada",$M49="Rolada"),$O49=""),"Falta prima cierre",IF(AND($N49&lt;&gt;"",$N49&lt;$B49),"Cierre anterior a apertura",IF(AND($M49="Asignada",$R49=""),"Asignada: falta ID lote acciones",IF(AND($R49&lt;&gt;"",ISNA(MATCH($R49,Acciones!$A$2:$A$201,0))),"El ID lote no existe en Acciones",IF($AD49="","Revisa capital en riesgo","OK")))))))))</f>
        <v/>
      </c>
    </row>
    <row r="50" customFormat="false" ht="15" hidden="false" customHeight="true" outlineLevel="0" collapsed="false">
      <c r="A50" s="5"/>
      <c r="B50" s="6"/>
      <c r="C50" s="7"/>
      <c r="D50" s="7"/>
      <c r="E50" s="8"/>
      <c r="F50" s="8"/>
      <c r="G50" s="6"/>
      <c r="H50" s="5"/>
      <c r="I50" s="5" t="n">
        <v>100</v>
      </c>
      <c r="J50" s="8"/>
      <c r="K50" s="8"/>
      <c r="L50" s="9"/>
      <c r="M50" s="7"/>
      <c r="N50" s="6"/>
      <c r="O50" s="8"/>
      <c r="P50" s="9"/>
      <c r="Q50" s="9"/>
      <c r="R50" s="7"/>
      <c r="S50" s="7"/>
      <c r="T50" s="10" t="str">
        <f aca="false">IF($C50="","",IFERROR(INDEX(Listas!$B$2:$B$20,MATCH($D50,Listas!$A$2:$A$20,0)),""))</f>
        <v/>
      </c>
      <c r="U50" s="10" t="str">
        <f aca="false">IF($C50="","",IFERROR(INDEX(Listas!$C$2:$C$20,MATCH($D50,Listas!$A$2:$A$20,0)),""))</f>
        <v/>
      </c>
      <c r="V50" s="10" t="str">
        <f aca="false">IF($C50="","",IFERROR(INDEX(Listas!$D$2:$D$20,MATCH($D50,Listas!$A$2:$A$20,0)),""))</f>
        <v/>
      </c>
      <c r="W50" s="11" t="str">
        <f aca="false">IF(OR($C50="",$B50="",$G50=""),"",$G50-$B50)</f>
        <v/>
      </c>
      <c r="X50" s="11" t="str">
        <f aca="true">IF(OR($C50="",$B50=""),"",IF($N50&lt;&gt;"",$N50,TODAY())-$B50)</f>
        <v/>
      </c>
      <c r="Y50" s="11" t="str">
        <f aca="true">IF(OR($C50="",$M50&lt;&gt;"Abierta",$G50=""),"",MAX($G50-TODAY(),0))</f>
        <v/>
      </c>
      <c r="Z50" s="12" t="str">
        <f aca="false">IF($C50="","",N($K50)*N($H50)*N($I50)*IF($U50="Débito",-1,1))</f>
        <v/>
      </c>
      <c r="AA50" s="13" t="str">
        <f aca="false">IF($C50="","",IF(AND($U50="Débito",$F50&lt;&gt;""),$F50,$E50))</f>
        <v/>
      </c>
      <c r="AB50" s="13" t="str">
        <f aca="false">IF(OR($C50="",$T50="Mixta",$AA50=""),"",IF($V50="Subyacente",IF($J50="","",$J50-$K50),IF($T50="Put",$AA50-$K50,$AA50+$K50)))</f>
        <v/>
      </c>
      <c r="AC50" s="14" t="str">
        <f aca="false">IF(OR($C50="",$T50="Mixta",$J50="",$AA50=""),"",IF($T50="Put",($J50-$AA50)/$J50,($AA50-$J50)/$J50))</f>
        <v/>
      </c>
      <c r="AD50" s="12" t="str">
        <f aca="false">IF($C50="","",IF($Q50&lt;&gt;"",$Q50,IF($V50="Strike",N($E50)*$H50*$I50,IF($V50="Subyacente",IF($J50="","",$J50*$H50*$I50),IF($V50="Ancho",IF($F50="","",ABS($E50-$F50)*$H50*$I50-$K50*$H50*$I50),IF($V50="Prima",$K50*$H50*$I50,""))))))</f>
        <v/>
      </c>
      <c r="AE50" s="12" t="str">
        <f aca="false">IF(OR($C50="",$M50="Abierta",$M50=""),"",(N($K50)-IF(OR($M50="Cerrada",$M50="Rolada"),N($O50),0))*$H50*$I50*IF($U50="Débito",-1,1)-N($L50)-N($P50))</f>
        <v/>
      </c>
      <c r="AF50" s="14" t="str">
        <f aca="false">IF(OR($AE50="",$AD50=""),"",IF($AD50&lt;=0,"",$AE50/$AD50))</f>
        <v/>
      </c>
      <c r="AG50" s="14" t="str">
        <f aca="false">IF($AF50="","",$AF50*365/MAX(N($X50),1))</f>
        <v/>
      </c>
      <c r="AH50" s="14" t="str">
        <f aca="false">IF(OR($C50="",$U50&lt;&gt;"Crédito",$AD50=""),"",IF($AD50&lt;=0,"",($Z50-N($L50))/$AD50))</f>
        <v/>
      </c>
      <c r="AI50" s="14" t="str">
        <f aca="false">IF(OR($AH50="",$W50=""),"",$AH50*365/MAX($W50,1))</f>
        <v/>
      </c>
      <c r="AJ50" s="14" t="str">
        <f aca="false">IF(OR($AE50="",$U50&lt;&gt;"Crédito",N($K50)=0),"",(N($K50)-IF(OR($M50="Cerrada",$M50="Rolada"),N($O50),0))/$K50)</f>
        <v/>
      </c>
      <c r="AK50" s="15" t="str">
        <f aca="false">IF(OR($C50="",$N50=""),"",DATE(YEAR($N50),MONTH($N50),1))</f>
        <v/>
      </c>
      <c r="AL50" s="11" t="str">
        <f aca="false">IF($C50="","",IF($M50="Abierta",0,1))</f>
        <v/>
      </c>
      <c r="AM50" s="16" t="str">
        <f aca="false">IF(OR($AE50="",$AD50=""),"",$AD50*MAX(N($X50),1))</f>
        <v/>
      </c>
      <c r="AN50" s="10" t="str">
        <f aca="false">IF($C50="","",IF(OR($B50="",$D50="",$H50="",$K50="",$M50=""),"Faltan datos obligatorios",IF($T50="","Estrategia no reconocida",IF(AND($M50&lt;&gt;"Abierta",$N50=""),"Falta fecha cierre",IF(AND(OR($M50="Cerrada",$M50="Rolada"),$O50=""),"Falta prima cierre",IF(AND($N50&lt;&gt;"",$N50&lt;$B50),"Cierre anterior a apertura",IF(AND($M50="Asignada",$R50=""),"Asignada: falta ID lote acciones",IF(AND($R50&lt;&gt;"",ISNA(MATCH($R50,Acciones!$A$2:$A$201,0))),"El ID lote no existe en Acciones",IF($AD50="","Revisa capital en riesgo","OK")))))))))</f>
        <v/>
      </c>
    </row>
    <row r="51" customFormat="false" ht="15" hidden="false" customHeight="true" outlineLevel="0" collapsed="false">
      <c r="A51" s="5"/>
      <c r="B51" s="6"/>
      <c r="C51" s="7"/>
      <c r="D51" s="7"/>
      <c r="E51" s="8"/>
      <c r="F51" s="8"/>
      <c r="G51" s="6"/>
      <c r="H51" s="5"/>
      <c r="I51" s="5" t="n">
        <v>100</v>
      </c>
      <c r="J51" s="8"/>
      <c r="K51" s="8"/>
      <c r="L51" s="9"/>
      <c r="M51" s="7"/>
      <c r="N51" s="6"/>
      <c r="O51" s="8"/>
      <c r="P51" s="9"/>
      <c r="Q51" s="9"/>
      <c r="R51" s="7"/>
      <c r="S51" s="7"/>
      <c r="T51" s="10" t="str">
        <f aca="false">IF($C51="","",IFERROR(INDEX(Listas!$B$2:$B$20,MATCH($D51,Listas!$A$2:$A$20,0)),""))</f>
        <v/>
      </c>
      <c r="U51" s="10" t="str">
        <f aca="false">IF($C51="","",IFERROR(INDEX(Listas!$C$2:$C$20,MATCH($D51,Listas!$A$2:$A$20,0)),""))</f>
        <v/>
      </c>
      <c r="V51" s="10" t="str">
        <f aca="false">IF($C51="","",IFERROR(INDEX(Listas!$D$2:$D$20,MATCH($D51,Listas!$A$2:$A$20,0)),""))</f>
        <v/>
      </c>
      <c r="W51" s="11" t="str">
        <f aca="false">IF(OR($C51="",$B51="",$G51=""),"",$G51-$B51)</f>
        <v/>
      </c>
      <c r="X51" s="11" t="str">
        <f aca="true">IF(OR($C51="",$B51=""),"",IF($N51&lt;&gt;"",$N51,TODAY())-$B51)</f>
        <v/>
      </c>
      <c r="Y51" s="11" t="str">
        <f aca="true">IF(OR($C51="",$M51&lt;&gt;"Abierta",$G51=""),"",MAX($G51-TODAY(),0))</f>
        <v/>
      </c>
      <c r="Z51" s="12" t="str">
        <f aca="false">IF($C51="","",N($K51)*N($H51)*N($I51)*IF($U51="Débito",-1,1))</f>
        <v/>
      </c>
      <c r="AA51" s="13" t="str">
        <f aca="false">IF($C51="","",IF(AND($U51="Débito",$F51&lt;&gt;""),$F51,$E51))</f>
        <v/>
      </c>
      <c r="AB51" s="13" t="str">
        <f aca="false">IF(OR($C51="",$T51="Mixta",$AA51=""),"",IF($V51="Subyacente",IF($J51="","",$J51-$K51),IF($T51="Put",$AA51-$K51,$AA51+$K51)))</f>
        <v/>
      </c>
      <c r="AC51" s="14" t="str">
        <f aca="false">IF(OR($C51="",$T51="Mixta",$J51="",$AA51=""),"",IF($T51="Put",($J51-$AA51)/$J51,($AA51-$J51)/$J51))</f>
        <v/>
      </c>
      <c r="AD51" s="12" t="str">
        <f aca="false">IF($C51="","",IF($Q51&lt;&gt;"",$Q51,IF($V51="Strike",N($E51)*$H51*$I51,IF($V51="Subyacente",IF($J51="","",$J51*$H51*$I51),IF($V51="Ancho",IF($F51="","",ABS($E51-$F51)*$H51*$I51-$K51*$H51*$I51),IF($V51="Prima",$K51*$H51*$I51,""))))))</f>
        <v/>
      </c>
      <c r="AE51" s="12" t="str">
        <f aca="false">IF(OR($C51="",$M51="Abierta",$M51=""),"",(N($K51)-IF(OR($M51="Cerrada",$M51="Rolada"),N($O51),0))*$H51*$I51*IF($U51="Débito",-1,1)-N($L51)-N($P51))</f>
        <v/>
      </c>
      <c r="AF51" s="14" t="str">
        <f aca="false">IF(OR($AE51="",$AD51=""),"",IF($AD51&lt;=0,"",$AE51/$AD51))</f>
        <v/>
      </c>
      <c r="AG51" s="14" t="str">
        <f aca="false">IF($AF51="","",$AF51*365/MAX(N($X51),1))</f>
        <v/>
      </c>
      <c r="AH51" s="14" t="str">
        <f aca="false">IF(OR($C51="",$U51&lt;&gt;"Crédito",$AD51=""),"",IF($AD51&lt;=0,"",($Z51-N($L51))/$AD51))</f>
        <v/>
      </c>
      <c r="AI51" s="14" t="str">
        <f aca="false">IF(OR($AH51="",$W51=""),"",$AH51*365/MAX($W51,1))</f>
        <v/>
      </c>
      <c r="AJ51" s="14" t="str">
        <f aca="false">IF(OR($AE51="",$U51&lt;&gt;"Crédito",N($K51)=0),"",(N($K51)-IF(OR($M51="Cerrada",$M51="Rolada"),N($O51),0))/$K51)</f>
        <v/>
      </c>
      <c r="AK51" s="15" t="str">
        <f aca="false">IF(OR($C51="",$N51=""),"",DATE(YEAR($N51),MONTH($N51),1))</f>
        <v/>
      </c>
      <c r="AL51" s="11" t="str">
        <f aca="false">IF($C51="","",IF($M51="Abierta",0,1))</f>
        <v/>
      </c>
      <c r="AM51" s="16" t="str">
        <f aca="false">IF(OR($AE51="",$AD51=""),"",$AD51*MAX(N($X51),1))</f>
        <v/>
      </c>
      <c r="AN51" s="10" t="str">
        <f aca="false">IF($C51="","",IF(OR($B51="",$D51="",$H51="",$K51="",$M51=""),"Faltan datos obligatorios",IF($T51="","Estrategia no reconocida",IF(AND($M51&lt;&gt;"Abierta",$N51=""),"Falta fecha cierre",IF(AND(OR($M51="Cerrada",$M51="Rolada"),$O51=""),"Falta prima cierre",IF(AND($N51&lt;&gt;"",$N51&lt;$B51),"Cierre anterior a apertura",IF(AND($M51="Asignada",$R51=""),"Asignada: falta ID lote acciones",IF(AND($R51&lt;&gt;"",ISNA(MATCH($R51,Acciones!$A$2:$A$201,0))),"El ID lote no existe en Acciones",IF($AD51="","Revisa capital en riesgo","OK")))))))))</f>
        <v/>
      </c>
    </row>
    <row r="52" customFormat="false" ht="15" hidden="false" customHeight="true" outlineLevel="0" collapsed="false">
      <c r="A52" s="5"/>
      <c r="B52" s="6"/>
      <c r="C52" s="7"/>
      <c r="D52" s="7"/>
      <c r="E52" s="8"/>
      <c r="F52" s="8"/>
      <c r="G52" s="6"/>
      <c r="H52" s="5"/>
      <c r="I52" s="5" t="n">
        <v>100</v>
      </c>
      <c r="J52" s="8"/>
      <c r="K52" s="8"/>
      <c r="L52" s="9"/>
      <c r="M52" s="7"/>
      <c r="N52" s="6"/>
      <c r="O52" s="8"/>
      <c r="P52" s="9"/>
      <c r="Q52" s="9"/>
      <c r="R52" s="7"/>
      <c r="S52" s="7"/>
      <c r="T52" s="10" t="str">
        <f aca="false">IF($C52="","",IFERROR(INDEX(Listas!$B$2:$B$20,MATCH($D52,Listas!$A$2:$A$20,0)),""))</f>
        <v/>
      </c>
      <c r="U52" s="10" t="str">
        <f aca="false">IF($C52="","",IFERROR(INDEX(Listas!$C$2:$C$20,MATCH($D52,Listas!$A$2:$A$20,0)),""))</f>
        <v/>
      </c>
      <c r="V52" s="10" t="str">
        <f aca="false">IF($C52="","",IFERROR(INDEX(Listas!$D$2:$D$20,MATCH($D52,Listas!$A$2:$A$20,0)),""))</f>
        <v/>
      </c>
      <c r="W52" s="11" t="str">
        <f aca="false">IF(OR($C52="",$B52="",$G52=""),"",$G52-$B52)</f>
        <v/>
      </c>
      <c r="X52" s="11" t="str">
        <f aca="true">IF(OR($C52="",$B52=""),"",IF($N52&lt;&gt;"",$N52,TODAY())-$B52)</f>
        <v/>
      </c>
      <c r="Y52" s="11" t="str">
        <f aca="true">IF(OR($C52="",$M52&lt;&gt;"Abierta",$G52=""),"",MAX($G52-TODAY(),0))</f>
        <v/>
      </c>
      <c r="Z52" s="12" t="str">
        <f aca="false">IF($C52="","",N($K52)*N($H52)*N($I52)*IF($U52="Débito",-1,1))</f>
        <v/>
      </c>
      <c r="AA52" s="13" t="str">
        <f aca="false">IF($C52="","",IF(AND($U52="Débito",$F52&lt;&gt;""),$F52,$E52))</f>
        <v/>
      </c>
      <c r="AB52" s="13" t="str">
        <f aca="false">IF(OR($C52="",$T52="Mixta",$AA52=""),"",IF($V52="Subyacente",IF($J52="","",$J52-$K52),IF($T52="Put",$AA52-$K52,$AA52+$K52)))</f>
        <v/>
      </c>
      <c r="AC52" s="14" t="str">
        <f aca="false">IF(OR($C52="",$T52="Mixta",$J52="",$AA52=""),"",IF($T52="Put",($J52-$AA52)/$J52,($AA52-$J52)/$J52))</f>
        <v/>
      </c>
      <c r="AD52" s="12" t="str">
        <f aca="false">IF($C52="","",IF($Q52&lt;&gt;"",$Q52,IF($V52="Strike",N($E52)*$H52*$I52,IF($V52="Subyacente",IF($J52="","",$J52*$H52*$I52),IF($V52="Ancho",IF($F52="","",ABS($E52-$F52)*$H52*$I52-$K52*$H52*$I52),IF($V52="Prima",$K52*$H52*$I52,""))))))</f>
        <v/>
      </c>
      <c r="AE52" s="12" t="str">
        <f aca="false">IF(OR($C52="",$M52="Abierta",$M52=""),"",(N($K52)-IF(OR($M52="Cerrada",$M52="Rolada"),N($O52),0))*$H52*$I52*IF($U52="Débito",-1,1)-N($L52)-N($P52))</f>
        <v/>
      </c>
      <c r="AF52" s="14" t="str">
        <f aca="false">IF(OR($AE52="",$AD52=""),"",IF($AD52&lt;=0,"",$AE52/$AD52))</f>
        <v/>
      </c>
      <c r="AG52" s="14" t="str">
        <f aca="false">IF($AF52="","",$AF52*365/MAX(N($X52),1))</f>
        <v/>
      </c>
      <c r="AH52" s="14" t="str">
        <f aca="false">IF(OR($C52="",$U52&lt;&gt;"Crédito",$AD52=""),"",IF($AD52&lt;=0,"",($Z52-N($L52))/$AD52))</f>
        <v/>
      </c>
      <c r="AI52" s="14" t="str">
        <f aca="false">IF(OR($AH52="",$W52=""),"",$AH52*365/MAX($W52,1))</f>
        <v/>
      </c>
      <c r="AJ52" s="14" t="str">
        <f aca="false">IF(OR($AE52="",$U52&lt;&gt;"Crédito",N($K52)=0),"",(N($K52)-IF(OR($M52="Cerrada",$M52="Rolada"),N($O52),0))/$K52)</f>
        <v/>
      </c>
      <c r="AK52" s="15" t="str">
        <f aca="false">IF(OR($C52="",$N52=""),"",DATE(YEAR($N52),MONTH($N52),1))</f>
        <v/>
      </c>
      <c r="AL52" s="11" t="str">
        <f aca="false">IF($C52="","",IF($M52="Abierta",0,1))</f>
        <v/>
      </c>
      <c r="AM52" s="16" t="str">
        <f aca="false">IF(OR($AE52="",$AD52=""),"",$AD52*MAX(N($X52),1))</f>
        <v/>
      </c>
      <c r="AN52" s="10" t="str">
        <f aca="false">IF($C52="","",IF(OR($B52="",$D52="",$H52="",$K52="",$M52=""),"Faltan datos obligatorios",IF($T52="","Estrategia no reconocida",IF(AND($M52&lt;&gt;"Abierta",$N52=""),"Falta fecha cierre",IF(AND(OR($M52="Cerrada",$M52="Rolada"),$O52=""),"Falta prima cierre",IF(AND($N52&lt;&gt;"",$N52&lt;$B52),"Cierre anterior a apertura",IF(AND($M52="Asignada",$R52=""),"Asignada: falta ID lote acciones",IF(AND($R52&lt;&gt;"",ISNA(MATCH($R52,Acciones!$A$2:$A$201,0))),"El ID lote no existe en Acciones",IF($AD52="","Revisa capital en riesgo","OK")))))))))</f>
        <v/>
      </c>
    </row>
    <row r="53" customFormat="false" ht="15" hidden="false" customHeight="true" outlineLevel="0" collapsed="false">
      <c r="A53" s="5"/>
      <c r="B53" s="6"/>
      <c r="C53" s="7"/>
      <c r="D53" s="7"/>
      <c r="E53" s="8"/>
      <c r="F53" s="8"/>
      <c r="G53" s="6"/>
      <c r="H53" s="5"/>
      <c r="I53" s="5" t="n">
        <v>100</v>
      </c>
      <c r="J53" s="8"/>
      <c r="K53" s="8"/>
      <c r="L53" s="9"/>
      <c r="M53" s="7"/>
      <c r="N53" s="6"/>
      <c r="O53" s="8"/>
      <c r="P53" s="9"/>
      <c r="Q53" s="9"/>
      <c r="R53" s="7"/>
      <c r="S53" s="7"/>
      <c r="T53" s="10" t="str">
        <f aca="false">IF($C53="","",IFERROR(INDEX(Listas!$B$2:$B$20,MATCH($D53,Listas!$A$2:$A$20,0)),""))</f>
        <v/>
      </c>
      <c r="U53" s="10" t="str">
        <f aca="false">IF($C53="","",IFERROR(INDEX(Listas!$C$2:$C$20,MATCH($D53,Listas!$A$2:$A$20,0)),""))</f>
        <v/>
      </c>
      <c r="V53" s="10" t="str">
        <f aca="false">IF($C53="","",IFERROR(INDEX(Listas!$D$2:$D$20,MATCH($D53,Listas!$A$2:$A$20,0)),""))</f>
        <v/>
      </c>
      <c r="W53" s="11" t="str">
        <f aca="false">IF(OR($C53="",$B53="",$G53=""),"",$G53-$B53)</f>
        <v/>
      </c>
      <c r="X53" s="11" t="str">
        <f aca="true">IF(OR($C53="",$B53=""),"",IF($N53&lt;&gt;"",$N53,TODAY())-$B53)</f>
        <v/>
      </c>
      <c r="Y53" s="11" t="str">
        <f aca="true">IF(OR($C53="",$M53&lt;&gt;"Abierta",$G53=""),"",MAX($G53-TODAY(),0))</f>
        <v/>
      </c>
      <c r="Z53" s="12" t="str">
        <f aca="false">IF($C53="","",N($K53)*N($H53)*N($I53)*IF($U53="Débito",-1,1))</f>
        <v/>
      </c>
      <c r="AA53" s="13" t="str">
        <f aca="false">IF($C53="","",IF(AND($U53="Débito",$F53&lt;&gt;""),$F53,$E53))</f>
        <v/>
      </c>
      <c r="AB53" s="13" t="str">
        <f aca="false">IF(OR($C53="",$T53="Mixta",$AA53=""),"",IF($V53="Subyacente",IF($J53="","",$J53-$K53),IF($T53="Put",$AA53-$K53,$AA53+$K53)))</f>
        <v/>
      </c>
      <c r="AC53" s="14" t="str">
        <f aca="false">IF(OR($C53="",$T53="Mixta",$J53="",$AA53=""),"",IF($T53="Put",($J53-$AA53)/$J53,($AA53-$J53)/$J53))</f>
        <v/>
      </c>
      <c r="AD53" s="12" t="str">
        <f aca="false">IF($C53="","",IF($Q53&lt;&gt;"",$Q53,IF($V53="Strike",N($E53)*$H53*$I53,IF($V53="Subyacente",IF($J53="","",$J53*$H53*$I53),IF($V53="Ancho",IF($F53="","",ABS($E53-$F53)*$H53*$I53-$K53*$H53*$I53),IF($V53="Prima",$K53*$H53*$I53,""))))))</f>
        <v/>
      </c>
      <c r="AE53" s="12" t="str">
        <f aca="false">IF(OR($C53="",$M53="Abierta",$M53=""),"",(N($K53)-IF(OR($M53="Cerrada",$M53="Rolada"),N($O53),0))*$H53*$I53*IF($U53="Débito",-1,1)-N($L53)-N($P53))</f>
        <v/>
      </c>
      <c r="AF53" s="14" t="str">
        <f aca="false">IF(OR($AE53="",$AD53=""),"",IF($AD53&lt;=0,"",$AE53/$AD53))</f>
        <v/>
      </c>
      <c r="AG53" s="14" t="str">
        <f aca="false">IF($AF53="","",$AF53*365/MAX(N($X53),1))</f>
        <v/>
      </c>
      <c r="AH53" s="14" t="str">
        <f aca="false">IF(OR($C53="",$U53&lt;&gt;"Crédito",$AD53=""),"",IF($AD53&lt;=0,"",($Z53-N($L53))/$AD53))</f>
        <v/>
      </c>
      <c r="AI53" s="14" t="str">
        <f aca="false">IF(OR($AH53="",$W53=""),"",$AH53*365/MAX($W53,1))</f>
        <v/>
      </c>
      <c r="AJ53" s="14" t="str">
        <f aca="false">IF(OR($AE53="",$U53&lt;&gt;"Crédito",N($K53)=0),"",(N($K53)-IF(OR($M53="Cerrada",$M53="Rolada"),N($O53),0))/$K53)</f>
        <v/>
      </c>
      <c r="AK53" s="15" t="str">
        <f aca="false">IF(OR($C53="",$N53=""),"",DATE(YEAR($N53),MONTH($N53),1))</f>
        <v/>
      </c>
      <c r="AL53" s="11" t="str">
        <f aca="false">IF($C53="","",IF($M53="Abierta",0,1))</f>
        <v/>
      </c>
      <c r="AM53" s="16" t="str">
        <f aca="false">IF(OR($AE53="",$AD53=""),"",$AD53*MAX(N($X53),1))</f>
        <v/>
      </c>
      <c r="AN53" s="10" t="str">
        <f aca="false">IF($C53="","",IF(OR($B53="",$D53="",$H53="",$K53="",$M53=""),"Faltan datos obligatorios",IF($T53="","Estrategia no reconocida",IF(AND($M53&lt;&gt;"Abierta",$N53=""),"Falta fecha cierre",IF(AND(OR($M53="Cerrada",$M53="Rolada"),$O53=""),"Falta prima cierre",IF(AND($N53&lt;&gt;"",$N53&lt;$B53),"Cierre anterior a apertura",IF(AND($M53="Asignada",$R53=""),"Asignada: falta ID lote acciones",IF(AND($R53&lt;&gt;"",ISNA(MATCH($R53,Acciones!$A$2:$A$201,0))),"El ID lote no existe en Acciones",IF($AD53="","Revisa capital en riesgo","OK")))))))))</f>
        <v/>
      </c>
    </row>
    <row r="54" customFormat="false" ht="15" hidden="false" customHeight="true" outlineLevel="0" collapsed="false">
      <c r="A54" s="5"/>
      <c r="B54" s="6"/>
      <c r="C54" s="7"/>
      <c r="D54" s="7"/>
      <c r="E54" s="8"/>
      <c r="F54" s="8"/>
      <c r="G54" s="6"/>
      <c r="H54" s="5"/>
      <c r="I54" s="5" t="n">
        <v>100</v>
      </c>
      <c r="J54" s="8"/>
      <c r="K54" s="8"/>
      <c r="L54" s="9"/>
      <c r="M54" s="7"/>
      <c r="N54" s="6"/>
      <c r="O54" s="8"/>
      <c r="P54" s="9"/>
      <c r="Q54" s="9"/>
      <c r="R54" s="7"/>
      <c r="S54" s="7"/>
      <c r="T54" s="10" t="str">
        <f aca="false">IF($C54="","",IFERROR(INDEX(Listas!$B$2:$B$20,MATCH($D54,Listas!$A$2:$A$20,0)),""))</f>
        <v/>
      </c>
      <c r="U54" s="10" t="str">
        <f aca="false">IF($C54="","",IFERROR(INDEX(Listas!$C$2:$C$20,MATCH($D54,Listas!$A$2:$A$20,0)),""))</f>
        <v/>
      </c>
      <c r="V54" s="10" t="str">
        <f aca="false">IF($C54="","",IFERROR(INDEX(Listas!$D$2:$D$20,MATCH($D54,Listas!$A$2:$A$20,0)),""))</f>
        <v/>
      </c>
      <c r="W54" s="11" t="str">
        <f aca="false">IF(OR($C54="",$B54="",$G54=""),"",$G54-$B54)</f>
        <v/>
      </c>
      <c r="X54" s="11" t="str">
        <f aca="true">IF(OR($C54="",$B54=""),"",IF($N54&lt;&gt;"",$N54,TODAY())-$B54)</f>
        <v/>
      </c>
      <c r="Y54" s="11" t="str">
        <f aca="true">IF(OR($C54="",$M54&lt;&gt;"Abierta",$G54=""),"",MAX($G54-TODAY(),0))</f>
        <v/>
      </c>
      <c r="Z54" s="12" t="str">
        <f aca="false">IF($C54="","",N($K54)*N($H54)*N($I54)*IF($U54="Débito",-1,1))</f>
        <v/>
      </c>
      <c r="AA54" s="13" t="str">
        <f aca="false">IF($C54="","",IF(AND($U54="Débito",$F54&lt;&gt;""),$F54,$E54))</f>
        <v/>
      </c>
      <c r="AB54" s="13" t="str">
        <f aca="false">IF(OR($C54="",$T54="Mixta",$AA54=""),"",IF($V54="Subyacente",IF($J54="","",$J54-$K54),IF($T54="Put",$AA54-$K54,$AA54+$K54)))</f>
        <v/>
      </c>
      <c r="AC54" s="14" t="str">
        <f aca="false">IF(OR($C54="",$T54="Mixta",$J54="",$AA54=""),"",IF($T54="Put",($J54-$AA54)/$J54,($AA54-$J54)/$J54))</f>
        <v/>
      </c>
      <c r="AD54" s="12" t="str">
        <f aca="false">IF($C54="","",IF($Q54&lt;&gt;"",$Q54,IF($V54="Strike",N($E54)*$H54*$I54,IF($V54="Subyacente",IF($J54="","",$J54*$H54*$I54),IF($V54="Ancho",IF($F54="","",ABS($E54-$F54)*$H54*$I54-$K54*$H54*$I54),IF($V54="Prima",$K54*$H54*$I54,""))))))</f>
        <v/>
      </c>
      <c r="AE54" s="12" t="str">
        <f aca="false">IF(OR($C54="",$M54="Abierta",$M54=""),"",(N($K54)-IF(OR($M54="Cerrada",$M54="Rolada"),N($O54),0))*$H54*$I54*IF($U54="Débito",-1,1)-N($L54)-N($P54))</f>
        <v/>
      </c>
      <c r="AF54" s="14" t="str">
        <f aca="false">IF(OR($AE54="",$AD54=""),"",IF($AD54&lt;=0,"",$AE54/$AD54))</f>
        <v/>
      </c>
      <c r="AG54" s="14" t="str">
        <f aca="false">IF($AF54="","",$AF54*365/MAX(N($X54),1))</f>
        <v/>
      </c>
      <c r="AH54" s="14" t="str">
        <f aca="false">IF(OR($C54="",$U54&lt;&gt;"Crédito",$AD54=""),"",IF($AD54&lt;=0,"",($Z54-N($L54))/$AD54))</f>
        <v/>
      </c>
      <c r="AI54" s="14" t="str">
        <f aca="false">IF(OR($AH54="",$W54=""),"",$AH54*365/MAX($W54,1))</f>
        <v/>
      </c>
      <c r="AJ54" s="14" t="str">
        <f aca="false">IF(OR($AE54="",$U54&lt;&gt;"Crédito",N($K54)=0),"",(N($K54)-IF(OR($M54="Cerrada",$M54="Rolada"),N($O54),0))/$K54)</f>
        <v/>
      </c>
      <c r="AK54" s="15" t="str">
        <f aca="false">IF(OR($C54="",$N54=""),"",DATE(YEAR($N54),MONTH($N54),1))</f>
        <v/>
      </c>
      <c r="AL54" s="11" t="str">
        <f aca="false">IF($C54="","",IF($M54="Abierta",0,1))</f>
        <v/>
      </c>
      <c r="AM54" s="16" t="str">
        <f aca="false">IF(OR($AE54="",$AD54=""),"",$AD54*MAX(N($X54),1))</f>
        <v/>
      </c>
      <c r="AN54" s="10" t="str">
        <f aca="false">IF($C54="","",IF(OR($B54="",$D54="",$H54="",$K54="",$M54=""),"Faltan datos obligatorios",IF($T54="","Estrategia no reconocida",IF(AND($M54&lt;&gt;"Abierta",$N54=""),"Falta fecha cierre",IF(AND(OR($M54="Cerrada",$M54="Rolada"),$O54=""),"Falta prima cierre",IF(AND($N54&lt;&gt;"",$N54&lt;$B54),"Cierre anterior a apertura",IF(AND($M54="Asignada",$R54=""),"Asignada: falta ID lote acciones",IF(AND($R54&lt;&gt;"",ISNA(MATCH($R54,Acciones!$A$2:$A$201,0))),"El ID lote no existe en Acciones",IF($AD54="","Revisa capital en riesgo","OK")))))))))</f>
        <v/>
      </c>
    </row>
    <row r="55" customFormat="false" ht="15" hidden="false" customHeight="true" outlineLevel="0" collapsed="false">
      <c r="A55" s="5"/>
      <c r="B55" s="6"/>
      <c r="C55" s="7"/>
      <c r="D55" s="7"/>
      <c r="E55" s="8"/>
      <c r="F55" s="8"/>
      <c r="G55" s="6"/>
      <c r="H55" s="5"/>
      <c r="I55" s="5" t="n">
        <v>100</v>
      </c>
      <c r="J55" s="8"/>
      <c r="K55" s="8"/>
      <c r="L55" s="9"/>
      <c r="M55" s="7"/>
      <c r="N55" s="6"/>
      <c r="O55" s="8"/>
      <c r="P55" s="9"/>
      <c r="Q55" s="9"/>
      <c r="R55" s="7"/>
      <c r="S55" s="7"/>
      <c r="T55" s="10" t="str">
        <f aca="false">IF($C55="","",IFERROR(INDEX(Listas!$B$2:$B$20,MATCH($D55,Listas!$A$2:$A$20,0)),""))</f>
        <v/>
      </c>
      <c r="U55" s="10" t="str">
        <f aca="false">IF($C55="","",IFERROR(INDEX(Listas!$C$2:$C$20,MATCH($D55,Listas!$A$2:$A$20,0)),""))</f>
        <v/>
      </c>
      <c r="V55" s="10" t="str">
        <f aca="false">IF($C55="","",IFERROR(INDEX(Listas!$D$2:$D$20,MATCH($D55,Listas!$A$2:$A$20,0)),""))</f>
        <v/>
      </c>
      <c r="W55" s="11" t="str">
        <f aca="false">IF(OR($C55="",$B55="",$G55=""),"",$G55-$B55)</f>
        <v/>
      </c>
      <c r="X55" s="11" t="str">
        <f aca="true">IF(OR($C55="",$B55=""),"",IF($N55&lt;&gt;"",$N55,TODAY())-$B55)</f>
        <v/>
      </c>
      <c r="Y55" s="11" t="str">
        <f aca="true">IF(OR($C55="",$M55&lt;&gt;"Abierta",$G55=""),"",MAX($G55-TODAY(),0))</f>
        <v/>
      </c>
      <c r="Z55" s="12" t="str">
        <f aca="false">IF($C55="","",N($K55)*N($H55)*N($I55)*IF($U55="Débito",-1,1))</f>
        <v/>
      </c>
      <c r="AA55" s="13" t="str">
        <f aca="false">IF($C55="","",IF(AND($U55="Débito",$F55&lt;&gt;""),$F55,$E55))</f>
        <v/>
      </c>
      <c r="AB55" s="13" t="str">
        <f aca="false">IF(OR($C55="",$T55="Mixta",$AA55=""),"",IF($V55="Subyacente",IF($J55="","",$J55-$K55),IF($T55="Put",$AA55-$K55,$AA55+$K55)))</f>
        <v/>
      </c>
      <c r="AC55" s="14" t="str">
        <f aca="false">IF(OR($C55="",$T55="Mixta",$J55="",$AA55=""),"",IF($T55="Put",($J55-$AA55)/$J55,($AA55-$J55)/$J55))</f>
        <v/>
      </c>
      <c r="AD55" s="12" t="str">
        <f aca="false">IF($C55="","",IF($Q55&lt;&gt;"",$Q55,IF($V55="Strike",N($E55)*$H55*$I55,IF($V55="Subyacente",IF($J55="","",$J55*$H55*$I55),IF($V55="Ancho",IF($F55="","",ABS($E55-$F55)*$H55*$I55-$K55*$H55*$I55),IF($V55="Prima",$K55*$H55*$I55,""))))))</f>
        <v/>
      </c>
      <c r="AE55" s="12" t="str">
        <f aca="false">IF(OR($C55="",$M55="Abierta",$M55=""),"",(N($K55)-IF(OR($M55="Cerrada",$M55="Rolada"),N($O55),0))*$H55*$I55*IF($U55="Débito",-1,1)-N($L55)-N($P55))</f>
        <v/>
      </c>
      <c r="AF55" s="14" t="str">
        <f aca="false">IF(OR($AE55="",$AD55=""),"",IF($AD55&lt;=0,"",$AE55/$AD55))</f>
        <v/>
      </c>
      <c r="AG55" s="14" t="str">
        <f aca="false">IF($AF55="","",$AF55*365/MAX(N($X55),1))</f>
        <v/>
      </c>
      <c r="AH55" s="14" t="str">
        <f aca="false">IF(OR($C55="",$U55&lt;&gt;"Crédito",$AD55=""),"",IF($AD55&lt;=0,"",($Z55-N($L55))/$AD55))</f>
        <v/>
      </c>
      <c r="AI55" s="14" t="str">
        <f aca="false">IF(OR($AH55="",$W55=""),"",$AH55*365/MAX($W55,1))</f>
        <v/>
      </c>
      <c r="AJ55" s="14" t="str">
        <f aca="false">IF(OR($AE55="",$U55&lt;&gt;"Crédito",N($K55)=0),"",(N($K55)-IF(OR($M55="Cerrada",$M55="Rolada"),N($O55),0))/$K55)</f>
        <v/>
      </c>
      <c r="AK55" s="15" t="str">
        <f aca="false">IF(OR($C55="",$N55=""),"",DATE(YEAR($N55),MONTH($N55),1))</f>
        <v/>
      </c>
      <c r="AL55" s="11" t="str">
        <f aca="false">IF($C55="","",IF($M55="Abierta",0,1))</f>
        <v/>
      </c>
      <c r="AM55" s="16" t="str">
        <f aca="false">IF(OR($AE55="",$AD55=""),"",$AD55*MAX(N($X55),1))</f>
        <v/>
      </c>
      <c r="AN55" s="10" t="str">
        <f aca="false">IF($C55="","",IF(OR($B55="",$D55="",$H55="",$K55="",$M55=""),"Faltan datos obligatorios",IF($T55="","Estrategia no reconocida",IF(AND($M55&lt;&gt;"Abierta",$N55=""),"Falta fecha cierre",IF(AND(OR($M55="Cerrada",$M55="Rolada"),$O55=""),"Falta prima cierre",IF(AND($N55&lt;&gt;"",$N55&lt;$B55),"Cierre anterior a apertura",IF(AND($M55="Asignada",$R55=""),"Asignada: falta ID lote acciones",IF(AND($R55&lt;&gt;"",ISNA(MATCH($R55,Acciones!$A$2:$A$201,0))),"El ID lote no existe en Acciones",IF($AD55="","Revisa capital en riesgo","OK")))))))))</f>
        <v/>
      </c>
    </row>
    <row r="56" customFormat="false" ht="15" hidden="false" customHeight="true" outlineLevel="0" collapsed="false">
      <c r="A56" s="5"/>
      <c r="B56" s="6"/>
      <c r="C56" s="7"/>
      <c r="D56" s="7"/>
      <c r="E56" s="8"/>
      <c r="F56" s="8"/>
      <c r="G56" s="6"/>
      <c r="H56" s="5"/>
      <c r="I56" s="5" t="n">
        <v>100</v>
      </c>
      <c r="J56" s="8"/>
      <c r="K56" s="8"/>
      <c r="L56" s="9"/>
      <c r="M56" s="7"/>
      <c r="N56" s="6"/>
      <c r="O56" s="8"/>
      <c r="P56" s="9"/>
      <c r="Q56" s="9"/>
      <c r="R56" s="7"/>
      <c r="S56" s="7"/>
      <c r="T56" s="10" t="str">
        <f aca="false">IF($C56="","",IFERROR(INDEX(Listas!$B$2:$B$20,MATCH($D56,Listas!$A$2:$A$20,0)),""))</f>
        <v/>
      </c>
      <c r="U56" s="10" t="str">
        <f aca="false">IF($C56="","",IFERROR(INDEX(Listas!$C$2:$C$20,MATCH($D56,Listas!$A$2:$A$20,0)),""))</f>
        <v/>
      </c>
      <c r="V56" s="10" t="str">
        <f aca="false">IF($C56="","",IFERROR(INDEX(Listas!$D$2:$D$20,MATCH($D56,Listas!$A$2:$A$20,0)),""))</f>
        <v/>
      </c>
      <c r="W56" s="11" t="str">
        <f aca="false">IF(OR($C56="",$B56="",$G56=""),"",$G56-$B56)</f>
        <v/>
      </c>
      <c r="X56" s="11" t="str">
        <f aca="true">IF(OR($C56="",$B56=""),"",IF($N56&lt;&gt;"",$N56,TODAY())-$B56)</f>
        <v/>
      </c>
      <c r="Y56" s="11" t="str">
        <f aca="true">IF(OR($C56="",$M56&lt;&gt;"Abierta",$G56=""),"",MAX($G56-TODAY(),0))</f>
        <v/>
      </c>
      <c r="Z56" s="12" t="str">
        <f aca="false">IF($C56="","",N($K56)*N($H56)*N($I56)*IF($U56="Débito",-1,1))</f>
        <v/>
      </c>
      <c r="AA56" s="13" t="str">
        <f aca="false">IF($C56="","",IF(AND($U56="Débito",$F56&lt;&gt;""),$F56,$E56))</f>
        <v/>
      </c>
      <c r="AB56" s="13" t="str">
        <f aca="false">IF(OR($C56="",$T56="Mixta",$AA56=""),"",IF($V56="Subyacente",IF($J56="","",$J56-$K56),IF($T56="Put",$AA56-$K56,$AA56+$K56)))</f>
        <v/>
      </c>
      <c r="AC56" s="14" t="str">
        <f aca="false">IF(OR($C56="",$T56="Mixta",$J56="",$AA56=""),"",IF($T56="Put",($J56-$AA56)/$J56,($AA56-$J56)/$J56))</f>
        <v/>
      </c>
      <c r="AD56" s="12" t="str">
        <f aca="false">IF($C56="","",IF($Q56&lt;&gt;"",$Q56,IF($V56="Strike",N($E56)*$H56*$I56,IF($V56="Subyacente",IF($J56="","",$J56*$H56*$I56),IF($V56="Ancho",IF($F56="","",ABS($E56-$F56)*$H56*$I56-$K56*$H56*$I56),IF($V56="Prima",$K56*$H56*$I56,""))))))</f>
        <v/>
      </c>
      <c r="AE56" s="12" t="str">
        <f aca="false">IF(OR($C56="",$M56="Abierta",$M56=""),"",(N($K56)-IF(OR($M56="Cerrada",$M56="Rolada"),N($O56),0))*$H56*$I56*IF($U56="Débito",-1,1)-N($L56)-N($P56))</f>
        <v/>
      </c>
      <c r="AF56" s="14" t="str">
        <f aca="false">IF(OR($AE56="",$AD56=""),"",IF($AD56&lt;=0,"",$AE56/$AD56))</f>
        <v/>
      </c>
      <c r="AG56" s="14" t="str">
        <f aca="false">IF($AF56="","",$AF56*365/MAX(N($X56),1))</f>
        <v/>
      </c>
      <c r="AH56" s="14" t="str">
        <f aca="false">IF(OR($C56="",$U56&lt;&gt;"Crédito",$AD56=""),"",IF($AD56&lt;=0,"",($Z56-N($L56))/$AD56))</f>
        <v/>
      </c>
      <c r="AI56" s="14" t="str">
        <f aca="false">IF(OR($AH56="",$W56=""),"",$AH56*365/MAX($W56,1))</f>
        <v/>
      </c>
      <c r="AJ56" s="14" t="str">
        <f aca="false">IF(OR($AE56="",$U56&lt;&gt;"Crédito",N($K56)=0),"",(N($K56)-IF(OR($M56="Cerrada",$M56="Rolada"),N($O56),0))/$K56)</f>
        <v/>
      </c>
      <c r="AK56" s="15" t="str">
        <f aca="false">IF(OR($C56="",$N56=""),"",DATE(YEAR($N56),MONTH($N56),1))</f>
        <v/>
      </c>
      <c r="AL56" s="11" t="str">
        <f aca="false">IF($C56="","",IF($M56="Abierta",0,1))</f>
        <v/>
      </c>
      <c r="AM56" s="16" t="str">
        <f aca="false">IF(OR($AE56="",$AD56=""),"",$AD56*MAX(N($X56),1))</f>
        <v/>
      </c>
      <c r="AN56" s="10" t="str">
        <f aca="false">IF($C56="","",IF(OR($B56="",$D56="",$H56="",$K56="",$M56=""),"Faltan datos obligatorios",IF($T56="","Estrategia no reconocida",IF(AND($M56&lt;&gt;"Abierta",$N56=""),"Falta fecha cierre",IF(AND(OR($M56="Cerrada",$M56="Rolada"),$O56=""),"Falta prima cierre",IF(AND($N56&lt;&gt;"",$N56&lt;$B56),"Cierre anterior a apertura",IF(AND($M56="Asignada",$R56=""),"Asignada: falta ID lote acciones",IF(AND($R56&lt;&gt;"",ISNA(MATCH($R56,Acciones!$A$2:$A$201,0))),"El ID lote no existe en Acciones",IF($AD56="","Revisa capital en riesgo","OK")))))))))</f>
        <v/>
      </c>
    </row>
    <row r="57" customFormat="false" ht="15" hidden="false" customHeight="true" outlineLevel="0" collapsed="false">
      <c r="A57" s="5"/>
      <c r="B57" s="6"/>
      <c r="C57" s="7"/>
      <c r="D57" s="7"/>
      <c r="E57" s="8"/>
      <c r="F57" s="8"/>
      <c r="G57" s="6"/>
      <c r="H57" s="5"/>
      <c r="I57" s="5" t="n">
        <v>100</v>
      </c>
      <c r="J57" s="8"/>
      <c r="K57" s="8"/>
      <c r="L57" s="9"/>
      <c r="M57" s="7"/>
      <c r="N57" s="6"/>
      <c r="O57" s="8"/>
      <c r="P57" s="9"/>
      <c r="Q57" s="9"/>
      <c r="R57" s="7"/>
      <c r="S57" s="7"/>
      <c r="T57" s="10" t="str">
        <f aca="false">IF($C57="","",IFERROR(INDEX(Listas!$B$2:$B$20,MATCH($D57,Listas!$A$2:$A$20,0)),""))</f>
        <v/>
      </c>
      <c r="U57" s="10" t="str">
        <f aca="false">IF($C57="","",IFERROR(INDEX(Listas!$C$2:$C$20,MATCH($D57,Listas!$A$2:$A$20,0)),""))</f>
        <v/>
      </c>
      <c r="V57" s="10" t="str">
        <f aca="false">IF($C57="","",IFERROR(INDEX(Listas!$D$2:$D$20,MATCH($D57,Listas!$A$2:$A$20,0)),""))</f>
        <v/>
      </c>
      <c r="W57" s="11" t="str">
        <f aca="false">IF(OR($C57="",$B57="",$G57=""),"",$G57-$B57)</f>
        <v/>
      </c>
      <c r="X57" s="11" t="str">
        <f aca="true">IF(OR($C57="",$B57=""),"",IF($N57&lt;&gt;"",$N57,TODAY())-$B57)</f>
        <v/>
      </c>
      <c r="Y57" s="11" t="str">
        <f aca="true">IF(OR($C57="",$M57&lt;&gt;"Abierta",$G57=""),"",MAX($G57-TODAY(),0))</f>
        <v/>
      </c>
      <c r="Z57" s="12" t="str">
        <f aca="false">IF($C57="","",N($K57)*N($H57)*N($I57)*IF($U57="Débito",-1,1))</f>
        <v/>
      </c>
      <c r="AA57" s="13" t="str">
        <f aca="false">IF($C57="","",IF(AND($U57="Débito",$F57&lt;&gt;""),$F57,$E57))</f>
        <v/>
      </c>
      <c r="AB57" s="13" t="str">
        <f aca="false">IF(OR($C57="",$T57="Mixta",$AA57=""),"",IF($V57="Subyacente",IF($J57="","",$J57-$K57),IF($T57="Put",$AA57-$K57,$AA57+$K57)))</f>
        <v/>
      </c>
      <c r="AC57" s="14" t="str">
        <f aca="false">IF(OR($C57="",$T57="Mixta",$J57="",$AA57=""),"",IF($T57="Put",($J57-$AA57)/$J57,($AA57-$J57)/$J57))</f>
        <v/>
      </c>
      <c r="AD57" s="12" t="str">
        <f aca="false">IF($C57="","",IF($Q57&lt;&gt;"",$Q57,IF($V57="Strike",N($E57)*$H57*$I57,IF($V57="Subyacente",IF($J57="","",$J57*$H57*$I57),IF($V57="Ancho",IF($F57="","",ABS($E57-$F57)*$H57*$I57-$K57*$H57*$I57),IF($V57="Prima",$K57*$H57*$I57,""))))))</f>
        <v/>
      </c>
      <c r="AE57" s="12" t="str">
        <f aca="false">IF(OR($C57="",$M57="Abierta",$M57=""),"",(N($K57)-IF(OR($M57="Cerrada",$M57="Rolada"),N($O57),0))*$H57*$I57*IF($U57="Débito",-1,1)-N($L57)-N($P57))</f>
        <v/>
      </c>
      <c r="AF57" s="14" t="str">
        <f aca="false">IF(OR($AE57="",$AD57=""),"",IF($AD57&lt;=0,"",$AE57/$AD57))</f>
        <v/>
      </c>
      <c r="AG57" s="14" t="str">
        <f aca="false">IF($AF57="","",$AF57*365/MAX(N($X57),1))</f>
        <v/>
      </c>
      <c r="AH57" s="14" t="str">
        <f aca="false">IF(OR($C57="",$U57&lt;&gt;"Crédito",$AD57=""),"",IF($AD57&lt;=0,"",($Z57-N($L57))/$AD57))</f>
        <v/>
      </c>
      <c r="AI57" s="14" t="str">
        <f aca="false">IF(OR($AH57="",$W57=""),"",$AH57*365/MAX($W57,1))</f>
        <v/>
      </c>
      <c r="AJ57" s="14" t="str">
        <f aca="false">IF(OR($AE57="",$U57&lt;&gt;"Crédito",N($K57)=0),"",(N($K57)-IF(OR($M57="Cerrada",$M57="Rolada"),N($O57),0))/$K57)</f>
        <v/>
      </c>
      <c r="AK57" s="15" t="str">
        <f aca="false">IF(OR($C57="",$N57=""),"",DATE(YEAR($N57),MONTH($N57),1))</f>
        <v/>
      </c>
      <c r="AL57" s="11" t="str">
        <f aca="false">IF($C57="","",IF($M57="Abierta",0,1))</f>
        <v/>
      </c>
      <c r="AM57" s="16" t="str">
        <f aca="false">IF(OR($AE57="",$AD57=""),"",$AD57*MAX(N($X57),1))</f>
        <v/>
      </c>
      <c r="AN57" s="10" t="str">
        <f aca="false">IF($C57="","",IF(OR($B57="",$D57="",$H57="",$K57="",$M57=""),"Faltan datos obligatorios",IF($T57="","Estrategia no reconocida",IF(AND($M57&lt;&gt;"Abierta",$N57=""),"Falta fecha cierre",IF(AND(OR($M57="Cerrada",$M57="Rolada"),$O57=""),"Falta prima cierre",IF(AND($N57&lt;&gt;"",$N57&lt;$B57),"Cierre anterior a apertura",IF(AND($M57="Asignada",$R57=""),"Asignada: falta ID lote acciones",IF(AND($R57&lt;&gt;"",ISNA(MATCH($R57,Acciones!$A$2:$A$201,0))),"El ID lote no existe en Acciones",IF($AD57="","Revisa capital en riesgo","OK")))))))))</f>
        <v/>
      </c>
    </row>
    <row r="58" customFormat="false" ht="15" hidden="false" customHeight="true" outlineLevel="0" collapsed="false">
      <c r="A58" s="5"/>
      <c r="B58" s="6"/>
      <c r="C58" s="7"/>
      <c r="D58" s="7"/>
      <c r="E58" s="8"/>
      <c r="F58" s="8"/>
      <c r="G58" s="6"/>
      <c r="H58" s="5"/>
      <c r="I58" s="5" t="n">
        <v>100</v>
      </c>
      <c r="J58" s="8"/>
      <c r="K58" s="8"/>
      <c r="L58" s="9"/>
      <c r="M58" s="7"/>
      <c r="N58" s="6"/>
      <c r="O58" s="8"/>
      <c r="P58" s="9"/>
      <c r="Q58" s="9"/>
      <c r="R58" s="7"/>
      <c r="S58" s="7"/>
      <c r="T58" s="10" t="str">
        <f aca="false">IF($C58="","",IFERROR(INDEX(Listas!$B$2:$B$20,MATCH($D58,Listas!$A$2:$A$20,0)),""))</f>
        <v/>
      </c>
      <c r="U58" s="10" t="str">
        <f aca="false">IF($C58="","",IFERROR(INDEX(Listas!$C$2:$C$20,MATCH($D58,Listas!$A$2:$A$20,0)),""))</f>
        <v/>
      </c>
      <c r="V58" s="10" t="str">
        <f aca="false">IF($C58="","",IFERROR(INDEX(Listas!$D$2:$D$20,MATCH($D58,Listas!$A$2:$A$20,0)),""))</f>
        <v/>
      </c>
      <c r="W58" s="11" t="str">
        <f aca="false">IF(OR($C58="",$B58="",$G58=""),"",$G58-$B58)</f>
        <v/>
      </c>
      <c r="X58" s="11" t="str">
        <f aca="true">IF(OR($C58="",$B58=""),"",IF($N58&lt;&gt;"",$N58,TODAY())-$B58)</f>
        <v/>
      </c>
      <c r="Y58" s="11" t="str">
        <f aca="true">IF(OR($C58="",$M58&lt;&gt;"Abierta",$G58=""),"",MAX($G58-TODAY(),0))</f>
        <v/>
      </c>
      <c r="Z58" s="12" t="str">
        <f aca="false">IF($C58="","",N($K58)*N($H58)*N($I58)*IF($U58="Débito",-1,1))</f>
        <v/>
      </c>
      <c r="AA58" s="13" t="str">
        <f aca="false">IF($C58="","",IF(AND($U58="Débito",$F58&lt;&gt;""),$F58,$E58))</f>
        <v/>
      </c>
      <c r="AB58" s="13" t="str">
        <f aca="false">IF(OR($C58="",$T58="Mixta",$AA58=""),"",IF($V58="Subyacente",IF($J58="","",$J58-$K58),IF($T58="Put",$AA58-$K58,$AA58+$K58)))</f>
        <v/>
      </c>
      <c r="AC58" s="14" t="str">
        <f aca="false">IF(OR($C58="",$T58="Mixta",$J58="",$AA58=""),"",IF($T58="Put",($J58-$AA58)/$J58,($AA58-$J58)/$J58))</f>
        <v/>
      </c>
      <c r="AD58" s="12" t="str">
        <f aca="false">IF($C58="","",IF($Q58&lt;&gt;"",$Q58,IF($V58="Strike",N($E58)*$H58*$I58,IF($V58="Subyacente",IF($J58="","",$J58*$H58*$I58),IF($V58="Ancho",IF($F58="","",ABS($E58-$F58)*$H58*$I58-$K58*$H58*$I58),IF($V58="Prima",$K58*$H58*$I58,""))))))</f>
        <v/>
      </c>
      <c r="AE58" s="12" t="str">
        <f aca="false">IF(OR($C58="",$M58="Abierta",$M58=""),"",(N($K58)-IF(OR($M58="Cerrada",$M58="Rolada"),N($O58),0))*$H58*$I58*IF($U58="Débito",-1,1)-N($L58)-N($P58))</f>
        <v/>
      </c>
      <c r="AF58" s="14" t="str">
        <f aca="false">IF(OR($AE58="",$AD58=""),"",IF($AD58&lt;=0,"",$AE58/$AD58))</f>
        <v/>
      </c>
      <c r="AG58" s="14" t="str">
        <f aca="false">IF($AF58="","",$AF58*365/MAX(N($X58),1))</f>
        <v/>
      </c>
      <c r="AH58" s="14" t="str">
        <f aca="false">IF(OR($C58="",$U58&lt;&gt;"Crédito",$AD58=""),"",IF($AD58&lt;=0,"",($Z58-N($L58))/$AD58))</f>
        <v/>
      </c>
      <c r="AI58" s="14" t="str">
        <f aca="false">IF(OR($AH58="",$W58=""),"",$AH58*365/MAX($W58,1))</f>
        <v/>
      </c>
      <c r="AJ58" s="14" t="str">
        <f aca="false">IF(OR($AE58="",$U58&lt;&gt;"Crédito",N($K58)=0),"",(N($K58)-IF(OR($M58="Cerrada",$M58="Rolada"),N($O58),0))/$K58)</f>
        <v/>
      </c>
      <c r="AK58" s="15" t="str">
        <f aca="false">IF(OR($C58="",$N58=""),"",DATE(YEAR($N58),MONTH($N58),1))</f>
        <v/>
      </c>
      <c r="AL58" s="11" t="str">
        <f aca="false">IF($C58="","",IF($M58="Abierta",0,1))</f>
        <v/>
      </c>
      <c r="AM58" s="16" t="str">
        <f aca="false">IF(OR($AE58="",$AD58=""),"",$AD58*MAX(N($X58),1))</f>
        <v/>
      </c>
      <c r="AN58" s="10" t="str">
        <f aca="false">IF($C58="","",IF(OR($B58="",$D58="",$H58="",$K58="",$M58=""),"Faltan datos obligatorios",IF($T58="","Estrategia no reconocida",IF(AND($M58&lt;&gt;"Abierta",$N58=""),"Falta fecha cierre",IF(AND(OR($M58="Cerrada",$M58="Rolada"),$O58=""),"Falta prima cierre",IF(AND($N58&lt;&gt;"",$N58&lt;$B58),"Cierre anterior a apertura",IF(AND($M58="Asignada",$R58=""),"Asignada: falta ID lote acciones",IF(AND($R58&lt;&gt;"",ISNA(MATCH($R58,Acciones!$A$2:$A$201,0))),"El ID lote no existe en Acciones",IF($AD58="","Revisa capital en riesgo","OK")))))))))</f>
        <v/>
      </c>
    </row>
    <row r="59" customFormat="false" ht="15" hidden="false" customHeight="true" outlineLevel="0" collapsed="false">
      <c r="A59" s="5"/>
      <c r="B59" s="6"/>
      <c r="C59" s="7"/>
      <c r="D59" s="7"/>
      <c r="E59" s="8"/>
      <c r="F59" s="8"/>
      <c r="G59" s="6"/>
      <c r="H59" s="5"/>
      <c r="I59" s="5" t="n">
        <v>100</v>
      </c>
      <c r="J59" s="8"/>
      <c r="K59" s="8"/>
      <c r="L59" s="9"/>
      <c r="M59" s="7"/>
      <c r="N59" s="6"/>
      <c r="O59" s="8"/>
      <c r="P59" s="9"/>
      <c r="Q59" s="9"/>
      <c r="R59" s="7"/>
      <c r="S59" s="7"/>
      <c r="T59" s="10" t="str">
        <f aca="false">IF($C59="","",IFERROR(INDEX(Listas!$B$2:$B$20,MATCH($D59,Listas!$A$2:$A$20,0)),""))</f>
        <v/>
      </c>
      <c r="U59" s="10" t="str">
        <f aca="false">IF($C59="","",IFERROR(INDEX(Listas!$C$2:$C$20,MATCH($D59,Listas!$A$2:$A$20,0)),""))</f>
        <v/>
      </c>
      <c r="V59" s="10" t="str">
        <f aca="false">IF($C59="","",IFERROR(INDEX(Listas!$D$2:$D$20,MATCH($D59,Listas!$A$2:$A$20,0)),""))</f>
        <v/>
      </c>
      <c r="W59" s="11" t="str">
        <f aca="false">IF(OR($C59="",$B59="",$G59=""),"",$G59-$B59)</f>
        <v/>
      </c>
      <c r="X59" s="11" t="str">
        <f aca="true">IF(OR($C59="",$B59=""),"",IF($N59&lt;&gt;"",$N59,TODAY())-$B59)</f>
        <v/>
      </c>
      <c r="Y59" s="11" t="str">
        <f aca="true">IF(OR($C59="",$M59&lt;&gt;"Abierta",$G59=""),"",MAX($G59-TODAY(),0))</f>
        <v/>
      </c>
      <c r="Z59" s="12" t="str">
        <f aca="false">IF($C59="","",N($K59)*N($H59)*N($I59)*IF($U59="Débito",-1,1))</f>
        <v/>
      </c>
      <c r="AA59" s="13" t="str">
        <f aca="false">IF($C59="","",IF(AND($U59="Débito",$F59&lt;&gt;""),$F59,$E59))</f>
        <v/>
      </c>
      <c r="AB59" s="13" t="str">
        <f aca="false">IF(OR($C59="",$T59="Mixta",$AA59=""),"",IF($V59="Subyacente",IF($J59="","",$J59-$K59),IF($T59="Put",$AA59-$K59,$AA59+$K59)))</f>
        <v/>
      </c>
      <c r="AC59" s="14" t="str">
        <f aca="false">IF(OR($C59="",$T59="Mixta",$J59="",$AA59=""),"",IF($T59="Put",($J59-$AA59)/$J59,($AA59-$J59)/$J59))</f>
        <v/>
      </c>
      <c r="AD59" s="12" t="str">
        <f aca="false">IF($C59="","",IF($Q59&lt;&gt;"",$Q59,IF($V59="Strike",N($E59)*$H59*$I59,IF($V59="Subyacente",IF($J59="","",$J59*$H59*$I59),IF($V59="Ancho",IF($F59="","",ABS($E59-$F59)*$H59*$I59-$K59*$H59*$I59),IF($V59="Prima",$K59*$H59*$I59,""))))))</f>
        <v/>
      </c>
      <c r="AE59" s="12" t="str">
        <f aca="false">IF(OR($C59="",$M59="Abierta",$M59=""),"",(N($K59)-IF(OR($M59="Cerrada",$M59="Rolada"),N($O59),0))*$H59*$I59*IF($U59="Débito",-1,1)-N($L59)-N($P59))</f>
        <v/>
      </c>
      <c r="AF59" s="14" t="str">
        <f aca="false">IF(OR($AE59="",$AD59=""),"",IF($AD59&lt;=0,"",$AE59/$AD59))</f>
        <v/>
      </c>
      <c r="AG59" s="14" t="str">
        <f aca="false">IF($AF59="","",$AF59*365/MAX(N($X59),1))</f>
        <v/>
      </c>
      <c r="AH59" s="14" t="str">
        <f aca="false">IF(OR($C59="",$U59&lt;&gt;"Crédito",$AD59=""),"",IF($AD59&lt;=0,"",($Z59-N($L59))/$AD59))</f>
        <v/>
      </c>
      <c r="AI59" s="14" t="str">
        <f aca="false">IF(OR($AH59="",$W59=""),"",$AH59*365/MAX($W59,1))</f>
        <v/>
      </c>
      <c r="AJ59" s="14" t="str">
        <f aca="false">IF(OR($AE59="",$U59&lt;&gt;"Crédito",N($K59)=0),"",(N($K59)-IF(OR($M59="Cerrada",$M59="Rolada"),N($O59),0))/$K59)</f>
        <v/>
      </c>
      <c r="AK59" s="15" t="str">
        <f aca="false">IF(OR($C59="",$N59=""),"",DATE(YEAR($N59),MONTH($N59),1))</f>
        <v/>
      </c>
      <c r="AL59" s="11" t="str">
        <f aca="false">IF($C59="","",IF($M59="Abierta",0,1))</f>
        <v/>
      </c>
      <c r="AM59" s="16" t="str">
        <f aca="false">IF(OR($AE59="",$AD59=""),"",$AD59*MAX(N($X59),1))</f>
        <v/>
      </c>
      <c r="AN59" s="10" t="str">
        <f aca="false">IF($C59="","",IF(OR($B59="",$D59="",$H59="",$K59="",$M59=""),"Faltan datos obligatorios",IF($T59="","Estrategia no reconocida",IF(AND($M59&lt;&gt;"Abierta",$N59=""),"Falta fecha cierre",IF(AND(OR($M59="Cerrada",$M59="Rolada"),$O59=""),"Falta prima cierre",IF(AND($N59&lt;&gt;"",$N59&lt;$B59),"Cierre anterior a apertura",IF(AND($M59="Asignada",$R59=""),"Asignada: falta ID lote acciones",IF(AND($R59&lt;&gt;"",ISNA(MATCH($R59,Acciones!$A$2:$A$201,0))),"El ID lote no existe en Acciones",IF($AD59="","Revisa capital en riesgo","OK")))))))))</f>
        <v/>
      </c>
    </row>
    <row r="60" customFormat="false" ht="15" hidden="false" customHeight="true" outlineLevel="0" collapsed="false">
      <c r="A60" s="5"/>
      <c r="B60" s="6"/>
      <c r="C60" s="7"/>
      <c r="D60" s="7"/>
      <c r="E60" s="8"/>
      <c r="F60" s="8"/>
      <c r="G60" s="6"/>
      <c r="H60" s="5"/>
      <c r="I60" s="5" t="n">
        <v>100</v>
      </c>
      <c r="J60" s="8"/>
      <c r="K60" s="8"/>
      <c r="L60" s="9"/>
      <c r="M60" s="7"/>
      <c r="N60" s="6"/>
      <c r="O60" s="8"/>
      <c r="P60" s="9"/>
      <c r="Q60" s="9"/>
      <c r="R60" s="7"/>
      <c r="S60" s="7"/>
      <c r="T60" s="10" t="str">
        <f aca="false">IF($C60="","",IFERROR(INDEX(Listas!$B$2:$B$20,MATCH($D60,Listas!$A$2:$A$20,0)),""))</f>
        <v/>
      </c>
      <c r="U60" s="10" t="str">
        <f aca="false">IF($C60="","",IFERROR(INDEX(Listas!$C$2:$C$20,MATCH($D60,Listas!$A$2:$A$20,0)),""))</f>
        <v/>
      </c>
      <c r="V60" s="10" t="str">
        <f aca="false">IF($C60="","",IFERROR(INDEX(Listas!$D$2:$D$20,MATCH($D60,Listas!$A$2:$A$20,0)),""))</f>
        <v/>
      </c>
      <c r="W60" s="11" t="str">
        <f aca="false">IF(OR($C60="",$B60="",$G60=""),"",$G60-$B60)</f>
        <v/>
      </c>
      <c r="X60" s="11" t="str">
        <f aca="true">IF(OR($C60="",$B60=""),"",IF($N60&lt;&gt;"",$N60,TODAY())-$B60)</f>
        <v/>
      </c>
      <c r="Y60" s="11" t="str">
        <f aca="true">IF(OR($C60="",$M60&lt;&gt;"Abierta",$G60=""),"",MAX($G60-TODAY(),0))</f>
        <v/>
      </c>
      <c r="Z60" s="12" t="str">
        <f aca="false">IF($C60="","",N($K60)*N($H60)*N($I60)*IF($U60="Débito",-1,1))</f>
        <v/>
      </c>
      <c r="AA60" s="13" t="str">
        <f aca="false">IF($C60="","",IF(AND($U60="Débito",$F60&lt;&gt;""),$F60,$E60))</f>
        <v/>
      </c>
      <c r="AB60" s="13" t="str">
        <f aca="false">IF(OR($C60="",$T60="Mixta",$AA60=""),"",IF($V60="Subyacente",IF($J60="","",$J60-$K60),IF($T60="Put",$AA60-$K60,$AA60+$K60)))</f>
        <v/>
      </c>
      <c r="AC60" s="14" t="str">
        <f aca="false">IF(OR($C60="",$T60="Mixta",$J60="",$AA60=""),"",IF($T60="Put",($J60-$AA60)/$J60,($AA60-$J60)/$J60))</f>
        <v/>
      </c>
      <c r="AD60" s="12" t="str">
        <f aca="false">IF($C60="","",IF($Q60&lt;&gt;"",$Q60,IF($V60="Strike",N($E60)*$H60*$I60,IF($V60="Subyacente",IF($J60="","",$J60*$H60*$I60),IF($V60="Ancho",IF($F60="","",ABS($E60-$F60)*$H60*$I60-$K60*$H60*$I60),IF($V60="Prima",$K60*$H60*$I60,""))))))</f>
        <v/>
      </c>
      <c r="AE60" s="12" t="str">
        <f aca="false">IF(OR($C60="",$M60="Abierta",$M60=""),"",(N($K60)-IF(OR($M60="Cerrada",$M60="Rolada"),N($O60),0))*$H60*$I60*IF($U60="Débito",-1,1)-N($L60)-N($P60))</f>
        <v/>
      </c>
      <c r="AF60" s="14" t="str">
        <f aca="false">IF(OR($AE60="",$AD60=""),"",IF($AD60&lt;=0,"",$AE60/$AD60))</f>
        <v/>
      </c>
      <c r="AG60" s="14" t="str">
        <f aca="false">IF($AF60="","",$AF60*365/MAX(N($X60),1))</f>
        <v/>
      </c>
      <c r="AH60" s="14" t="str">
        <f aca="false">IF(OR($C60="",$U60&lt;&gt;"Crédito",$AD60=""),"",IF($AD60&lt;=0,"",($Z60-N($L60))/$AD60))</f>
        <v/>
      </c>
      <c r="AI60" s="14" t="str">
        <f aca="false">IF(OR($AH60="",$W60=""),"",$AH60*365/MAX($W60,1))</f>
        <v/>
      </c>
      <c r="AJ60" s="14" t="str">
        <f aca="false">IF(OR($AE60="",$U60&lt;&gt;"Crédito",N($K60)=0),"",(N($K60)-IF(OR($M60="Cerrada",$M60="Rolada"),N($O60),0))/$K60)</f>
        <v/>
      </c>
      <c r="AK60" s="15" t="str">
        <f aca="false">IF(OR($C60="",$N60=""),"",DATE(YEAR($N60),MONTH($N60),1))</f>
        <v/>
      </c>
      <c r="AL60" s="11" t="str">
        <f aca="false">IF($C60="","",IF($M60="Abierta",0,1))</f>
        <v/>
      </c>
      <c r="AM60" s="16" t="str">
        <f aca="false">IF(OR($AE60="",$AD60=""),"",$AD60*MAX(N($X60),1))</f>
        <v/>
      </c>
      <c r="AN60" s="10" t="str">
        <f aca="false">IF($C60="","",IF(OR($B60="",$D60="",$H60="",$K60="",$M60=""),"Faltan datos obligatorios",IF($T60="","Estrategia no reconocida",IF(AND($M60&lt;&gt;"Abierta",$N60=""),"Falta fecha cierre",IF(AND(OR($M60="Cerrada",$M60="Rolada"),$O60=""),"Falta prima cierre",IF(AND($N60&lt;&gt;"",$N60&lt;$B60),"Cierre anterior a apertura",IF(AND($M60="Asignada",$R60=""),"Asignada: falta ID lote acciones",IF(AND($R60&lt;&gt;"",ISNA(MATCH($R60,Acciones!$A$2:$A$201,0))),"El ID lote no existe en Acciones",IF($AD60="","Revisa capital en riesgo","OK")))))))))</f>
        <v/>
      </c>
    </row>
    <row r="61" customFormat="false" ht="15" hidden="false" customHeight="true" outlineLevel="0" collapsed="false">
      <c r="A61" s="5"/>
      <c r="B61" s="6"/>
      <c r="C61" s="7"/>
      <c r="D61" s="7"/>
      <c r="E61" s="8"/>
      <c r="F61" s="8"/>
      <c r="G61" s="6"/>
      <c r="H61" s="5"/>
      <c r="I61" s="5" t="n">
        <v>100</v>
      </c>
      <c r="J61" s="8"/>
      <c r="K61" s="8"/>
      <c r="L61" s="9"/>
      <c r="M61" s="7"/>
      <c r="N61" s="6"/>
      <c r="O61" s="8"/>
      <c r="P61" s="9"/>
      <c r="Q61" s="9"/>
      <c r="R61" s="7"/>
      <c r="S61" s="7"/>
      <c r="T61" s="10" t="str">
        <f aca="false">IF($C61="","",IFERROR(INDEX(Listas!$B$2:$B$20,MATCH($D61,Listas!$A$2:$A$20,0)),""))</f>
        <v/>
      </c>
      <c r="U61" s="10" t="str">
        <f aca="false">IF($C61="","",IFERROR(INDEX(Listas!$C$2:$C$20,MATCH($D61,Listas!$A$2:$A$20,0)),""))</f>
        <v/>
      </c>
      <c r="V61" s="10" t="str">
        <f aca="false">IF($C61="","",IFERROR(INDEX(Listas!$D$2:$D$20,MATCH($D61,Listas!$A$2:$A$20,0)),""))</f>
        <v/>
      </c>
      <c r="W61" s="11" t="str">
        <f aca="false">IF(OR($C61="",$B61="",$G61=""),"",$G61-$B61)</f>
        <v/>
      </c>
      <c r="X61" s="11" t="str">
        <f aca="true">IF(OR($C61="",$B61=""),"",IF($N61&lt;&gt;"",$N61,TODAY())-$B61)</f>
        <v/>
      </c>
      <c r="Y61" s="11" t="str">
        <f aca="true">IF(OR($C61="",$M61&lt;&gt;"Abierta",$G61=""),"",MAX($G61-TODAY(),0))</f>
        <v/>
      </c>
      <c r="Z61" s="12" t="str">
        <f aca="false">IF($C61="","",N($K61)*N($H61)*N($I61)*IF($U61="Débito",-1,1))</f>
        <v/>
      </c>
      <c r="AA61" s="13" t="str">
        <f aca="false">IF($C61="","",IF(AND($U61="Débito",$F61&lt;&gt;""),$F61,$E61))</f>
        <v/>
      </c>
      <c r="AB61" s="13" t="str">
        <f aca="false">IF(OR($C61="",$T61="Mixta",$AA61=""),"",IF($V61="Subyacente",IF($J61="","",$J61-$K61),IF($T61="Put",$AA61-$K61,$AA61+$K61)))</f>
        <v/>
      </c>
      <c r="AC61" s="14" t="str">
        <f aca="false">IF(OR($C61="",$T61="Mixta",$J61="",$AA61=""),"",IF($T61="Put",($J61-$AA61)/$J61,($AA61-$J61)/$J61))</f>
        <v/>
      </c>
      <c r="AD61" s="12" t="str">
        <f aca="false">IF($C61="","",IF($Q61&lt;&gt;"",$Q61,IF($V61="Strike",N($E61)*$H61*$I61,IF($V61="Subyacente",IF($J61="","",$J61*$H61*$I61),IF($V61="Ancho",IF($F61="","",ABS($E61-$F61)*$H61*$I61-$K61*$H61*$I61),IF($V61="Prima",$K61*$H61*$I61,""))))))</f>
        <v/>
      </c>
      <c r="AE61" s="12" t="str">
        <f aca="false">IF(OR($C61="",$M61="Abierta",$M61=""),"",(N($K61)-IF(OR($M61="Cerrada",$M61="Rolada"),N($O61),0))*$H61*$I61*IF($U61="Débito",-1,1)-N($L61)-N($P61))</f>
        <v/>
      </c>
      <c r="AF61" s="14" t="str">
        <f aca="false">IF(OR($AE61="",$AD61=""),"",IF($AD61&lt;=0,"",$AE61/$AD61))</f>
        <v/>
      </c>
      <c r="AG61" s="14" t="str">
        <f aca="false">IF($AF61="","",$AF61*365/MAX(N($X61),1))</f>
        <v/>
      </c>
      <c r="AH61" s="14" t="str">
        <f aca="false">IF(OR($C61="",$U61&lt;&gt;"Crédito",$AD61=""),"",IF($AD61&lt;=0,"",($Z61-N($L61))/$AD61))</f>
        <v/>
      </c>
      <c r="AI61" s="14" t="str">
        <f aca="false">IF(OR($AH61="",$W61=""),"",$AH61*365/MAX($W61,1))</f>
        <v/>
      </c>
      <c r="AJ61" s="14" t="str">
        <f aca="false">IF(OR($AE61="",$U61&lt;&gt;"Crédito",N($K61)=0),"",(N($K61)-IF(OR($M61="Cerrada",$M61="Rolada"),N($O61),0))/$K61)</f>
        <v/>
      </c>
      <c r="AK61" s="15" t="str">
        <f aca="false">IF(OR($C61="",$N61=""),"",DATE(YEAR($N61),MONTH($N61),1))</f>
        <v/>
      </c>
      <c r="AL61" s="11" t="str">
        <f aca="false">IF($C61="","",IF($M61="Abierta",0,1))</f>
        <v/>
      </c>
      <c r="AM61" s="16" t="str">
        <f aca="false">IF(OR($AE61="",$AD61=""),"",$AD61*MAX(N($X61),1))</f>
        <v/>
      </c>
      <c r="AN61" s="10" t="str">
        <f aca="false">IF($C61="","",IF(OR($B61="",$D61="",$H61="",$K61="",$M61=""),"Faltan datos obligatorios",IF($T61="","Estrategia no reconocida",IF(AND($M61&lt;&gt;"Abierta",$N61=""),"Falta fecha cierre",IF(AND(OR($M61="Cerrada",$M61="Rolada"),$O61=""),"Falta prima cierre",IF(AND($N61&lt;&gt;"",$N61&lt;$B61),"Cierre anterior a apertura",IF(AND($M61="Asignada",$R61=""),"Asignada: falta ID lote acciones",IF(AND($R61&lt;&gt;"",ISNA(MATCH($R61,Acciones!$A$2:$A$201,0))),"El ID lote no existe en Acciones",IF($AD61="","Revisa capital en riesgo","OK")))))))))</f>
        <v/>
      </c>
    </row>
    <row r="62" customFormat="false" ht="15" hidden="false" customHeight="true" outlineLevel="0" collapsed="false">
      <c r="A62" s="5"/>
      <c r="B62" s="6"/>
      <c r="C62" s="7"/>
      <c r="D62" s="7"/>
      <c r="E62" s="8"/>
      <c r="F62" s="8"/>
      <c r="G62" s="6"/>
      <c r="H62" s="5"/>
      <c r="I62" s="5" t="n">
        <v>100</v>
      </c>
      <c r="J62" s="8"/>
      <c r="K62" s="8"/>
      <c r="L62" s="9"/>
      <c r="M62" s="7"/>
      <c r="N62" s="6"/>
      <c r="O62" s="8"/>
      <c r="P62" s="9"/>
      <c r="Q62" s="9"/>
      <c r="R62" s="7"/>
      <c r="S62" s="7"/>
      <c r="T62" s="10" t="str">
        <f aca="false">IF($C62="","",IFERROR(INDEX(Listas!$B$2:$B$20,MATCH($D62,Listas!$A$2:$A$20,0)),""))</f>
        <v/>
      </c>
      <c r="U62" s="10" t="str">
        <f aca="false">IF($C62="","",IFERROR(INDEX(Listas!$C$2:$C$20,MATCH($D62,Listas!$A$2:$A$20,0)),""))</f>
        <v/>
      </c>
      <c r="V62" s="10" t="str">
        <f aca="false">IF($C62="","",IFERROR(INDEX(Listas!$D$2:$D$20,MATCH($D62,Listas!$A$2:$A$20,0)),""))</f>
        <v/>
      </c>
      <c r="W62" s="11" t="str">
        <f aca="false">IF(OR($C62="",$B62="",$G62=""),"",$G62-$B62)</f>
        <v/>
      </c>
      <c r="X62" s="11" t="str">
        <f aca="true">IF(OR($C62="",$B62=""),"",IF($N62&lt;&gt;"",$N62,TODAY())-$B62)</f>
        <v/>
      </c>
      <c r="Y62" s="11" t="str">
        <f aca="true">IF(OR($C62="",$M62&lt;&gt;"Abierta",$G62=""),"",MAX($G62-TODAY(),0))</f>
        <v/>
      </c>
      <c r="Z62" s="12" t="str">
        <f aca="false">IF($C62="","",N($K62)*N($H62)*N($I62)*IF($U62="Débito",-1,1))</f>
        <v/>
      </c>
      <c r="AA62" s="13" t="str">
        <f aca="false">IF($C62="","",IF(AND($U62="Débito",$F62&lt;&gt;""),$F62,$E62))</f>
        <v/>
      </c>
      <c r="AB62" s="13" t="str">
        <f aca="false">IF(OR($C62="",$T62="Mixta",$AA62=""),"",IF($V62="Subyacente",IF($J62="","",$J62-$K62),IF($T62="Put",$AA62-$K62,$AA62+$K62)))</f>
        <v/>
      </c>
      <c r="AC62" s="14" t="str">
        <f aca="false">IF(OR($C62="",$T62="Mixta",$J62="",$AA62=""),"",IF($T62="Put",($J62-$AA62)/$J62,($AA62-$J62)/$J62))</f>
        <v/>
      </c>
      <c r="AD62" s="12" t="str">
        <f aca="false">IF($C62="","",IF($Q62&lt;&gt;"",$Q62,IF($V62="Strike",N($E62)*$H62*$I62,IF($V62="Subyacente",IF($J62="","",$J62*$H62*$I62),IF($V62="Ancho",IF($F62="","",ABS($E62-$F62)*$H62*$I62-$K62*$H62*$I62),IF($V62="Prima",$K62*$H62*$I62,""))))))</f>
        <v/>
      </c>
      <c r="AE62" s="12" t="str">
        <f aca="false">IF(OR($C62="",$M62="Abierta",$M62=""),"",(N($K62)-IF(OR($M62="Cerrada",$M62="Rolada"),N($O62),0))*$H62*$I62*IF($U62="Débito",-1,1)-N($L62)-N($P62))</f>
        <v/>
      </c>
      <c r="AF62" s="14" t="str">
        <f aca="false">IF(OR($AE62="",$AD62=""),"",IF($AD62&lt;=0,"",$AE62/$AD62))</f>
        <v/>
      </c>
      <c r="AG62" s="14" t="str">
        <f aca="false">IF($AF62="","",$AF62*365/MAX(N($X62),1))</f>
        <v/>
      </c>
      <c r="AH62" s="14" t="str">
        <f aca="false">IF(OR($C62="",$U62&lt;&gt;"Crédito",$AD62=""),"",IF($AD62&lt;=0,"",($Z62-N($L62))/$AD62))</f>
        <v/>
      </c>
      <c r="AI62" s="14" t="str">
        <f aca="false">IF(OR($AH62="",$W62=""),"",$AH62*365/MAX($W62,1))</f>
        <v/>
      </c>
      <c r="AJ62" s="14" t="str">
        <f aca="false">IF(OR($AE62="",$U62&lt;&gt;"Crédito",N($K62)=0),"",(N($K62)-IF(OR($M62="Cerrada",$M62="Rolada"),N($O62),0))/$K62)</f>
        <v/>
      </c>
      <c r="AK62" s="15" t="str">
        <f aca="false">IF(OR($C62="",$N62=""),"",DATE(YEAR($N62),MONTH($N62),1))</f>
        <v/>
      </c>
      <c r="AL62" s="11" t="str">
        <f aca="false">IF($C62="","",IF($M62="Abierta",0,1))</f>
        <v/>
      </c>
      <c r="AM62" s="16" t="str">
        <f aca="false">IF(OR($AE62="",$AD62=""),"",$AD62*MAX(N($X62),1))</f>
        <v/>
      </c>
      <c r="AN62" s="10" t="str">
        <f aca="false">IF($C62="","",IF(OR($B62="",$D62="",$H62="",$K62="",$M62=""),"Faltan datos obligatorios",IF($T62="","Estrategia no reconocida",IF(AND($M62&lt;&gt;"Abierta",$N62=""),"Falta fecha cierre",IF(AND(OR($M62="Cerrada",$M62="Rolada"),$O62=""),"Falta prima cierre",IF(AND($N62&lt;&gt;"",$N62&lt;$B62),"Cierre anterior a apertura",IF(AND($M62="Asignada",$R62=""),"Asignada: falta ID lote acciones",IF(AND($R62&lt;&gt;"",ISNA(MATCH($R62,Acciones!$A$2:$A$201,0))),"El ID lote no existe en Acciones",IF($AD62="","Revisa capital en riesgo","OK")))))))))</f>
        <v/>
      </c>
    </row>
    <row r="63" customFormat="false" ht="15" hidden="false" customHeight="true" outlineLevel="0" collapsed="false">
      <c r="A63" s="5"/>
      <c r="B63" s="6"/>
      <c r="C63" s="7"/>
      <c r="D63" s="7"/>
      <c r="E63" s="8"/>
      <c r="F63" s="8"/>
      <c r="G63" s="6"/>
      <c r="H63" s="5"/>
      <c r="I63" s="5" t="n">
        <v>100</v>
      </c>
      <c r="J63" s="8"/>
      <c r="K63" s="8"/>
      <c r="L63" s="9"/>
      <c r="M63" s="7"/>
      <c r="N63" s="6"/>
      <c r="O63" s="8"/>
      <c r="P63" s="9"/>
      <c r="Q63" s="9"/>
      <c r="R63" s="7"/>
      <c r="S63" s="7"/>
      <c r="T63" s="10" t="str">
        <f aca="false">IF($C63="","",IFERROR(INDEX(Listas!$B$2:$B$20,MATCH($D63,Listas!$A$2:$A$20,0)),""))</f>
        <v/>
      </c>
      <c r="U63" s="10" t="str">
        <f aca="false">IF($C63="","",IFERROR(INDEX(Listas!$C$2:$C$20,MATCH($D63,Listas!$A$2:$A$20,0)),""))</f>
        <v/>
      </c>
      <c r="V63" s="10" t="str">
        <f aca="false">IF($C63="","",IFERROR(INDEX(Listas!$D$2:$D$20,MATCH($D63,Listas!$A$2:$A$20,0)),""))</f>
        <v/>
      </c>
      <c r="W63" s="11" t="str">
        <f aca="false">IF(OR($C63="",$B63="",$G63=""),"",$G63-$B63)</f>
        <v/>
      </c>
      <c r="X63" s="11" t="str">
        <f aca="true">IF(OR($C63="",$B63=""),"",IF($N63&lt;&gt;"",$N63,TODAY())-$B63)</f>
        <v/>
      </c>
      <c r="Y63" s="11" t="str">
        <f aca="true">IF(OR($C63="",$M63&lt;&gt;"Abierta",$G63=""),"",MAX($G63-TODAY(),0))</f>
        <v/>
      </c>
      <c r="Z63" s="12" t="str">
        <f aca="false">IF($C63="","",N($K63)*N($H63)*N($I63)*IF($U63="Débito",-1,1))</f>
        <v/>
      </c>
      <c r="AA63" s="13" t="str">
        <f aca="false">IF($C63="","",IF(AND($U63="Débito",$F63&lt;&gt;""),$F63,$E63))</f>
        <v/>
      </c>
      <c r="AB63" s="13" t="str">
        <f aca="false">IF(OR($C63="",$T63="Mixta",$AA63=""),"",IF($V63="Subyacente",IF($J63="","",$J63-$K63),IF($T63="Put",$AA63-$K63,$AA63+$K63)))</f>
        <v/>
      </c>
      <c r="AC63" s="14" t="str">
        <f aca="false">IF(OR($C63="",$T63="Mixta",$J63="",$AA63=""),"",IF($T63="Put",($J63-$AA63)/$J63,($AA63-$J63)/$J63))</f>
        <v/>
      </c>
      <c r="AD63" s="12" t="str">
        <f aca="false">IF($C63="","",IF($Q63&lt;&gt;"",$Q63,IF($V63="Strike",N($E63)*$H63*$I63,IF($V63="Subyacente",IF($J63="","",$J63*$H63*$I63),IF($V63="Ancho",IF($F63="","",ABS($E63-$F63)*$H63*$I63-$K63*$H63*$I63),IF($V63="Prima",$K63*$H63*$I63,""))))))</f>
        <v/>
      </c>
      <c r="AE63" s="12" t="str">
        <f aca="false">IF(OR($C63="",$M63="Abierta",$M63=""),"",(N($K63)-IF(OR($M63="Cerrada",$M63="Rolada"),N($O63),0))*$H63*$I63*IF($U63="Débito",-1,1)-N($L63)-N($P63))</f>
        <v/>
      </c>
      <c r="AF63" s="14" t="str">
        <f aca="false">IF(OR($AE63="",$AD63=""),"",IF($AD63&lt;=0,"",$AE63/$AD63))</f>
        <v/>
      </c>
      <c r="AG63" s="14" t="str">
        <f aca="false">IF($AF63="","",$AF63*365/MAX(N($X63),1))</f>
        <v/>
      </c>
      <c r="AH63" s="14" t="str">
        <f aca="false">IF(OR($C63="",$U63&lt;&gt;"Crédito",$AD63=""),"",IF($AD63&lt;=0,"",($Z63-N($L63))/$AD63))</f>
        <v/>
      </c>
      <c r="AI63" s="14" t="str">
        <f aca="false">IF(OR($AH63="",$W63=""),"",$AH63*365/MAX($W63,1))</f>
        <v/>
      </c>
      <c r="AJ63" s="14" t="str">
        <f aca="false">IF(OR($AE63="",$U63&lt;&gt;"Crédito",N($K63)=0),"",(N($K63)-IF(OR($M63="Cerrada",$M63="Rolada"),N($O63),0))/$K63)</f>
        <v/>
      </c>
      <c r="AK63" s="15" t="str">
        <f aca="false">IF(OR($C63="",$N63=""),"",DATE(YEAR($N63),MONTH($N63),1))</f>
        <v/>
      </c>
      <c r="AL63" s="11" t="str">
        <f aca="false">IF($C63="","",IF($M63="Abierta",0,1))</f>
        <v/>
      </c>
      <c r="AM63" s="16" t="str">
        <f aca="false">IF(OR($AE63="",$AD63=""),"",$AD63*MAX(N($X63),1))</f>
        <v/>
      </c>
      <c r="AN63" s="10" t="str">
        <f aca="false">IF($C63="","",IF(OR($B63="",$D63="",$H63="",$K63="",$M63=""),"Faltan datos obligatorios",IF($T63="","Estrategia no reconocida",IF(AND($M63&lt;&gt;"Abierta",$N63=""),"Falta fecha cierre",IF(AND(OR($M63="Cerrada",$M63="Rolada"),$O63=""),"Falta prima cierre",IF(AND($N63&lt;&gt;"",$N63&lt;$B63),"Cierre anterior a apertura",IF(AND($M63="Asignada",$R63=""),"Asignada: falta ID lote acciones",IF(AND($R63&lt;&gt;"",ISNA(MATCH($R63,Acciones!$A$2:$A$201,0))),"El ID lote no existe en Acciones",IF($AD63="","Revisa capital en riesgo","OK")))))))))</f>
        <v/>
      </c>
    </row>
    <row r="64" customFormat="false" ht="15" hidden="false" customHeight="true" outlineLevel="0" collapsed="false">
      <c r="A64" s="5"/>
      <c r="B64" s="6"/>
      <c r="C64" s="7"/>
      <c r="D64" s="7"/>
      <c r="E64" s="8"/>
      <c r="F64" s="8"/>
      <c r="G64" s="6"/>
      <c r="H64" s="5"/>
      <c r="I64" s="5" t="n">
        <v>100</v>
      </c>
      <c r="J64" s="8"/>
      <c r="K64" s="8"/>
      <c r="L64" s="9"/>
      <c r="M64" s="7"/>
      <c r="N64" s="6"/>
      <c r="O64" s="8"/>
      <c r="P64" s="9"/>
      <c r="Q64" s="9"/>
      <c r="R64" s="7"/>
      <c r="S64" s="7"/>
      <c r="T64" s="10" t="str">
        <f aca="false">IF($C64="","",IFERROR(INDEX(Listas!$B$2:$B$20,MATCH($D64,Listas!$A$2:$A$20,0)),""))</f>
        <v/>
      </c>
      <c r="U64" s="10" t="str">
        <f aca="false">IF($C64="","",IFERROR(INDEX(Listas!$C$2:$C$20,MATCH($D64,Listas!$A$2:$A$20,0)),""))</f>
        <v/>
      </c>
      <c r="V64" s="10" t="str">
        <f aca="false">IF($C64="","",IFERROR(INDEX(Listas!$D$2:$D$20,MATCH($D64,Listas!$A$2:$A$20,0)),""))</f>
        <v/>
      </c>
      <c r="W64" s="11" t="str">
        <f aca="false">IF(OR($C64="",$B64="",$G64=""),"",$G64-$B64)</f>
        <v/>
      </c>
      <c r="X64" s="11" t="str">
        <f aca="true">IF(OR($C64="",$B64=""),"",IF($N64&lt;&gt;"",$N64,TODAY())-$B64)</f>
        <v/>
      </c>
      <c r="Y64" s="11" t="str">
        <f aca="true">IF(OR($C64="",$M64&lt;&gt;"Abierta",$G64=""),"",MAX($G64-TODAY(),0))</f>
        <v/>
      </c>
      <c r="Z64" s="12" t="str">
        <f aca="false">IF($C64="","",N($K64)*N($H64)*N($I64)*IF($U64="Débito",-1,1))</f>
        <v/>
      </c>
      <c r="AA64" s="13" t="str">
        <f aca="false">IF($C64="","",IF(AND($U64="Débito",$F64&lt;&gt;""),$F64,$E64))</f>
        <v/>
      </c>
      <c r="AB64" s="13" t="str">
        <f aca="false">IF(OR($C64="",$T64="Mixta",$AA64=""),"",IF($V64="Subyacente",IF($J64="","",$J64-$K64),IF($T64="Put",$AA64-$K64,$AA64+$K64)))</f>
        <v/>
      </c>
      <c r="AC64" s="14" t="str">
        <f aca="false">IF(OR($C64="",$T64="Mixta",$J64="",$AA64=""),"",IF($T64="Put",($J64-$AA64)/$J64,($AA64-$J64)/$J64))</f>
        <v/>
      </c>
      <c r="AD64" s="12" t="str">
        <f aca="false">IF($C64="","",IF($Q64&lt;&gt;"",$Q64,IF($V64="Strike",N($E64)*$H64*$I64,IF($V64="Subyacente",IF($J64="","",$J64*$H64*$I64),IF($V64="Ancho",IF($F64="","",ABS($E64-$F64)*$H64*$I64-$K64*$H64*$I64),IF($V64="Prima",$K64*$H64*$I64,""))))))</f>
        <v/>
      </c>
      <c r="AE64" s="12" t="str">
        <f aca="false">IF(OR($C64="",$M64="Abierta",$M64=""),"",(N($K64)-IF(OR($M64="Cerrada",$M64="Rolada"),N($O64),0))*$H64*$I64*IF($U64="Débito",-1,1)-N($L64)-N($P64))</f>
        <v/>
      </c>
      <c r="AF64" s="14" t="str">
        <f aca="false">IF(OR($AE64="",$AD64=""),"",IF($AD64&lt;=0,"",$AE64/$AD64))</f>
        <v/>
      </c>
      <c r="AG64" s="14" t="str">
        <f aca="false">IF($AF64="","",$AF64*365/MAX(N($X64),1))</f>
        <v/>
      </c>
      <c r="AH64" s="14" t="str">
        <f aca="false">IF(OR($C64="",$U64&lt;&gt;"Crédito",$AD64=""),"",IF($AD64&lt;=0,"",($Z64-N($L64))/$AD64))</f>
        <v/>
      </c>
      <c r="AI64" s="14" t="str">
        <f aca="false">IF(OR($AH64="",$W64=""),"",$AH64*365/MAX($W64,1))</f>
        <v/>
      </c>
      <c r="AJ64" s="14" t="str">
        <f aca="false">IF(OR($AE64="",$U64&lt;&gt;"Crédito",N($K64)=0),"",(N($K64)-IF(OR($M64="Cerrada",$M64="Rolada"),N($O64),0))/$K64)</f>
        <v/>
      </c>
      <c r="AK64" s="15" t="str">
        <f aca="false">IF(OR($C64="",$N64=""),"",DATE(YEAR($N64),MONTH($N64),1))</f>
        <v/>
      </c>
      <c r="AL64" s="11" t="str">
        <f aca="false">IF($C64="","",IF($M64="Abierta",0,1))</f>
        <v/>
      </c>
      <c r="AM64" s="16" t="str">
        <f aca="false">IF(OR($AE64="",$AD64=""),"",$AD64*MAX(N($X64),1))</f>
        <v/>
      </c>
      <c r="AN64" s="10" t="str">
        <f aca="false">IF($C64="","",IF(OR($B64="",$D64="",$H64="",$K64="",$M64=""),"Faltan datos obligatorios",IF($T64="","Estrategia no reconocida",IF(AND($M64&lt;&gt;"Abierta",$N64=""),"Falta fecha cierre",IF(AND(OR($M64="Cerrada",$M64="Rolada"),$O64=""),"Falta prima cierre",IF(AND($N64&lt;&gt;"",$N64&lt;$B64),"Cierre anterior a apertura",IF(AND($M64="Asignada",$R64=""),"Asignada: falta ID lote acciones",IF(AND($R64&lt;&gt;"",ISNA(MATCH($R64,Acciones!$A$2:$A$201,0))),"El ID lote no existe en Acciones",IF($AD64="","Revisa capital en riesgo","OK")))))))))</f>
        <v/>
      </c>
    </row>
    <row r="65" customFormat="false" ht="15" hidden="false" customHeight="true" outlineLevel="0" collapsed="false">
      <c r="A65" s="5"/>
      <c r="B65" s="6"/>
      <c r="C65" s="7"/>
      <c r="D65" s="7"/>
      <c r="E65" s="8"/>
      <c r="F65" s="8"/>
      <c r="G65" s="6"/>
      <c r="H65" s="5"/>
      <c r="I65" s="5" t="n">
        <v>100</v>
      </c>
      <c r="J65" s="8"/>
      <c r="K65" s="8"/>
      <c r="L65" s="9"/>
      <c r="M65" s="7"/>
      <c r="N65" s="6"/>
      <c r="O65" s="8"/>
      <c r="P65" s="9"/>
      <c r="Q65" s="9"/>
      <c r="R65" s="7"/>
      <c r="S65" s="7"/>
      <c r="T65" s="10" t="str">
        <f aca="false">IF($C65="","",IFERROR(INDEX(Listas!$B$2:$B$20,MATCH($D65,Listas!$A$2:$A$20,0)),""))</f>
        <v/>
      </c>
      <c r="U65" s="10" t="str">
        <f aca="false">IF($C65="","",IFERROR(INDEX(Listas!$C$2:$C$20,MATCH($D65,Listas!$A$2:$A$20,0)),""))</f>
        <v/>
      </c>
      <c r="V65" s="10" t="str">
        <f aca="false">IF($C65="","",IFERROR(INDEX(Listas!$D$2:$D$20,MATCH($D65,Listas!$A$2:$A$20,0)),""))</f>
        <v/>
      </c>
      <c r="W65" s="11" t="str">
        <f aca="false">IF(OR($C65="",$B65="",$G65=""),"",$G65-$B65)</f>
        <v/>
      </c>
      <c r="X65" s="11" t="str">
        <f aca="true">IF(OR($C65="",$B65=""),"",IF($N65&lt;&gt;"",$N65,TODAY())-$B65)</f>
        <v/>
      </c>
      <c r="Y65" s="11" t="str">
        <f aca="true">IF(OR($C65="",$M65&lt;&gt;"Abierta",$G65=""),"",MAX($G65-TODAY(),0))</f>
        <v/>
      </c>
      <c r="Z65" s="12" t="str">
        <f aca="false">IF($C65="","",N($K65)*N($H65)*N($I65)*IF($U65="Débito",-1,1))</f>
        <v/>
      </c>
      <c r="AA65" s="13" t="str">
        <f aca="false">IF($C65="","",IF(AND($U65="Débito",$F65&lt;&gt;""),$F65,$E65))</f>
        <v/>
      </c>
      <c r="AB65" s="13" t="str">
        <f aca="false">IF(OR($C65="",$T65="Mixta",$AA65=""),"",IF($V65="Subyacente",IF($J65="","",$J65-$K65),IF($T65="Put",$AA65-$K65,$AA65+$K65)))</f>
        <v/>
      </c>
      <c r="AC65" s="14" t="str">
        <f aca="false">IF(OR($C65="",$T65="Mixta",$J65="",$AA65=""),"",IF($T65="Put",($J65-$AA65)/$J65,($AA65-$J65)/$J65))</f>
        <v/>
      </c>
      <c r="AD65" s="12" t="str">
        <f aca="false">IF($C65="","",IF($Q65&lt;&gt;"",$Q65,IF($V65="Strike",N($E65)*$H65*$I65,IF($V65="Subyacente",IF($J65="","",$J65*$H65*$I65),IF($V65="Ancho",IF($F65="","",ABS($E65-$F65)*$H65*$I65-$K65*$H65*$I65),IF($V65="Prima",$K65*$H65*$I65,""))))))</f>
        <v/>
      </c>
      <c r="AE65" s="12" t="str">
        <f aca="false">IF(OR($C65="",$M65="Abierta",$M65=""),"",(N($K65)-IF(OR($M65="Cerrada",$M65="Rolada"),N($O65),0))*$H65*$I65*IF($U65="Débito",-1,1)-N($L65)-N($P65))</f>
        <v/>
      </c>
      <c r="AF65" s="14" t="str">
        <f aca="false">IF(OR($AE65="",$AD65=""),"",IF($AD65&lt;=0,"",$AE65/$AD65))</f>
        <v/>
      </c>
      <c r="AG65" s="14" t="str">
        <f aca="false">IF($AF65="","",$AF65*365/MAX(N($X65),1))</f>
        <v/>
      </c>
      <c r="AH65" s="14" t="str">
        <f aca="false">IF(OR($C65="",$U65&lt;&gt;"Crédito",$AD65=""),"",IF($AD65&lt;=0,"",($Z65-N($L65))/$AD65))</f>
        <v/>
      </c>
      <c r="AI65" s="14" t="str">
        <f aca="false">IF(OR($AH65="",$W65=""),"",$AH65*365/MAX($W65,1))</f>
        <v/>
      </c>
      <c r="AJ65" s="14" t="str">
        <f aca="false">IF(OR($AE65="",$U65&lt;&gt;"Crédito",N($K65)=0),"",(N($K65)-IF(OR($M65="Cerrada",$M65="Rolada"),N($O65),0))/$K65)</f>
        <v/>
      </c>
      <c r="AK65" s="15" t="str">
        <f aca="false">IF(OR($C65="",$N65=""),"",DATE(YEAR($N65),MONTH($N65),1))</f>
        <v/>
      </c>
      <c r="AL65" s="11" t="str">
        <f aca="false">IF($C65="","",IF($M65="Abierta",0,1))</f>
        <v/>
      </c>
      <c r="AM65" s="16" t="str">
        <f aca="false">IF(OR($AE65="",$AD65=""),"",$AD65*MAX(N($X65),1))</f>
        <v/>
      </c>
      <c r="AN65" s="10" t="str">
        <f aca="false">IF($C65="","",IF(OR($B65="",$D65="",$H65="",$K65="",$M65=""),"Faltan datos obligatorios",IF($T65="","Estrategia no reconocida",IF(AND($M65&lt;&gt;"Abierta",$N65=""),"Falta fecha cierre",IF(AND(OR($M65="Cerrada",$M65="Rolada"),$O65=""),"Falta prima cierre",IF(AND($N65&lt;&gt;"",$N65&lt;$B65),"Cierre anterior a apertura",IF(AND($M65="Asignada",$R65=""),"Asignada: falta ID lote acciones",IF(AND($R65&lt;&gt;"",ISNA(MATCH($R65,Acciones!$A$2:$A$201,0))),"El ID lote no existe en Acciones",IF($AD65="","Revisa capital en riesgo","OK")))))))))</f>
        <v/>
      </c>
    </row>
    <row r="66" customFormat="false" ht="15" hidden="false" customHeight="true" outlineLevel="0" collapsed="false">
      <c r="A66" s="5"/>
      <c r="B66" s="6"/>
      <c r="C66" s="7"/>
      <c r="D66" s="7"/>
      <c r="E66" s="8"/>
      <c r="F66" s="8"/>
      <c r="G66" s="6"/>
      <c r="H66" s="5"/>
      <c r="I66" s="5" t="n">
        <v>100</v>
      </c>
      <c r="J66" s="8"/>
      <c r="K66" s="8"/>
      <c r="L66" s="9"/>
      <c r="M66" s="7"/>
      <c r="N66" s="6"/>
      <c r="O66" s="8"/>
      <c r="P66" s="9"/>
      <c r="Q66" s="9"/>
      <c r="R66" s="7"/>
      <c r="S66" s="7"/>
      <c r="T66" s="10" t="str">
        <f aca="false">IF($C66="","",IFERROR(INDEX(Listas!$B$2:$B$20,MATCH($D66,Listas!$A$2:$A$20,0)),""))</f>
        <v/>
      </c>
      <c r="U66" s="10" t="str">
        <f aca="false">IF($C66="","",IFERROR(INDEX(Listas!$C$2:$C$20,MATCH($D66,Listas!$A$2:$A$20,0)),""))</f>
        <v/>
      </c>
      <c r="V66" s="10" t="str">
        <f aca="false">IF($C66="","",IFERROR(INDEX(Listas!$D$2:$D$20,MATCH($D66,Listas!$A$2:$A$20,0)),""))</f>
        <v/>
      </c>
      <c r="W66" s="11" t="str">
        <f aca="false">IF(OR($C66="",$B66="",$G66=""),"",$G66-$B66)</f>
        <v/>
      </c>
      <c r="X66" s="11" t="str">
        <f aca="true">IF(OR($C66="",$B66=""),"",IF($N66&lt;&gt;"",$N66,TODAY())-$B66)</f>
        <v/>
      </c>
      <c r="Y66" s="11" t="str">
        <f aca="true">IF(OR($C66="",$M66&lt;&gt;"Abierta",$G66=""),"",MAX($G66-TODAY(),0))</f>
        <v/>
      </c>
      <c r="Z66" s="12" t="str">
        <f aca="false">IF($C66="","",N($K66)*N($H66)*N($I66)*IF($U66="Débito",-1,1))</f>
        <v/>
      </c>
      <c r="AA66" s="13" t="str">
        <f aca="false">IF($C66="","",IF(AND($U66="Débito",$F66&lt;&gt;""),$F66,$E66))</f>
        <v/>
      </c>
      <c r="AB66" s="13" t="str">
        <f aca="false">IF(OR($C66="",$T66="Mixta",$AA66=""),"",IF($V66="Subyacente",IF($J66="","",$J66-$K66),IF($T66="Put",$AA66-$K66,$AA66+$K66)))</f>
        <v/>
      </c>
      <c r="AC66" s="14" t="str">
        <f aca="false">IF(OR($C66="",$T66="Mixta",$J66="",$AA66=""),"",IF($T66="Put",($J66-$AA66)/$J66,($AA66-$J66)/$J66))</f>
        <v/>
      </c>
      <c r="AD66" s="12" t="str">
        <f aca="false">IF($C66="","",IF($Q66&lt;&gt;"",$Q66,IF($V66="Strike",N($E66)*$H66*$I66,IF($V66="Subyacente",IF($J66="","",$J66*$H66*$I66),IF($V66="Ancho",IF($F66="","",ABS($E66-$F66)*$H66*$I66-$K66*$H66*$I66),IF($V66="Prima",$K66*$H66*$I66,""))))))</f>
        <v/>
      </c>
      <c r="AE66" s="12" t="str">
        <f aca="false">IF(OR($C66="",$M66="Abierta",$M66=""),"",(N($K66)-IF(OR($M66="Cerrada",$M66="Rolada"),N($O66),0))*$H66*$I66*IF($U66="Débito",-1,1)-N($L66)-N($P66))</f>
        <v/>
      </c>
      <c r="AF66" s="14" t="str">
        <f aca="false">IF(OR($AE66="",$AD66=""),"",IF($AD66&lt;=0,"",$AE66/$AD66))</f>
        <v/>
      </c>
      <c r="AG66" s="14" t="str">
        <f aca="false">IF($AF66="","",$AF66*365/MAX(N($X66),1))</f>
        <v/>
      </c>
      <c r="AH66" s="14" t="str">
        <f aca="false">IF(OR($C66="",$U66&lt;&gt;"Crédito",$AD66=""),"",IF($AD66&lt;=0,"",($Z66-N($L66))/$AD66))</f>
        <v/>
      </c>
      <c r="AI66" s="14" t="str">
        <f aca="false">IF(OR($AH66="",$W66=""),"",$AH66*365/MAX($W66,1))</f>
        <v/>
      </c>
      <c r="AJ66" s="14" t="str">
        <f aca="false">IF(OR($AE66="",$U66&lt;&gt;"Crédito",N($K66)=0),"",(N($K66)-IF(OR($M66="Cerrada",$M66="Rolada"),N($O66),0))/$K66)</f>
        <v/>
      </c>
      <c r="AK66" s="15" t="str">
        <f aca="false">IF(OR($C66="",$N66=""),"",DATE(YEAR($N66),MONTH($N66),1))</f>
        <v/>
      </c>
      <c r="AL66" s="11" t="str">
        <f aca="false">IF($C66="","",IF($M66="Abierta",0,1))</f>
        <v/>
      </c>
      <c r="AM66" s="16" t="str">
        <f aca="false">IF(OR($AE66="",$AD66=""),"",$AD66*MAX(N($X66),1))</f>
        <v/>
      </c>
      <c r="AN66" s="10" t="str">
        <f aca="false">IF($C66="","",IF(OR($B66="",$D66="",$H66="",$K66="",$M66=""),"Faltan datos obligatorios",IF($T66="","Estrategia no reconocida",IF(AND($M66&lt;&gt;"Abierta",$N66=""),"Falta fecha cierre",IF(AND(OR($M66="Cerrada",$M66="Rolada"),$O66=""),"Falta prima cierre",IF(AND($N66&lt;&gt;"",$N66&lt;$B66),"Cierre anterior a apertura",IF(AND($M66="Asignada",$R66=""),"Asignada: falta ID lote acciones",IF(AND($R66&lt;&gt;"",ISNA(MATCH($R66,Acciones!$A$2:$A$201,0))),"El ID lote no existe en Acciones",IF($AD66="","Revisa capital en riesgo","OK")))))))))</f>
        <v/>
      </c>
    </row>
    <row r="67" customFormat="false" ht="15" hidden="false" customHeight="true" outlineLevel="0" collapsed="false">
      <c r="A67" s="5"/>
      <c r="B67" s="6"/>
      <c r="C67" s="7"/>
      <c r="D67" s="7"/>
      <c r="E67" s="8"/>
      <c r="F67" s="8"/>
      <c r="G67" s="6"/>
      <c r="H67" s="5"/>
      <c r="I67" s="5" t="n">
        <v>100</v>
      </c>
      <c r="J67" s="8"/>
      <c r="K67" s="8"/>
      <c r="L67" s="9"/>
      <c r="M67" s="7"/>
      <c r="N67" s="6"/>
      <c r="O67" s="8"/>
      <c r="P67" s="9"/>
      <c r="Q67" s="9"/>
      <c r="R67" s="7"/>
      <c r="S67" s="7"/>
      <c r="T67" s="10" t="str">
        <f aca="false">IF($C67="","",IFERROR(INDEX(Listas!$B$2:$B$20,MATCH($D67,Listas!$A$2:$A$20,0)),""))</f>
        <v/>
      </c>
      <c r="U67" s="10" t="str">
        <f aca="false">IF($C67="","",IFERROR(INDEX(Listas!$C$2:$C$20,MATCH($D67,Listas!$A$2:$A$20,0)),""))</f>
        <v/>
      </c>
      <c r="V67" s="10" t="str">
        <f aca="false">IF($C67="","",IFERROR(INDEX(Listas!$D$2:$D$20,MATCH($D67,Listas!$A$2:$A$20,0)),""))</f>
        <v/>
      </c>
      <c r="W67" s="11" t="str">
        <f aca="false">IF(OR($C67="",$B67="",$G67=""),"",$G67-$B67)</f>
        <v/>
      </c>
      <c r="X67" s="11" t="str">
        <f aca="true">IF(OR($C67="",$B67=""),"",IF($N67&lt;&gt;"",$N67,TODAY())-$B67)</f>
        <v/>
      </c>
      <c r="Y67" s="11" t="str">
        <f aca="true">IF(OR($C67="",$M67&lt;&gt;"Abierta",$G67=""),"",MAX($G67-TODAY(),0))</f>
        <v/>
      </c>
      <c r="Z67" s="12" t="str">
        <f aca="false">IF($C67="","",N($K67)*N($H67)*N($I67)*IF($U67="Débito",-1,1))</f>
        <v/>
      </c>
      <c r="AA67" s="13" t="str">
        <f aca="false">IF($C67="","",IF(AND($U67="Débito",$F67&lt;&gt;""),$F67,$E67))</f>
        <v/>
      </c>
      <c r="AB67" s="13" t="str">
        <f aca="false">IF(OR($C67="",$T67="Mixta",$AA67=""),"",IF($V67="Subyacente",IF($J67="","",$J67-$K67),IF($T67="Put",$AA67-$K67,$AA67+$K67)))</f>
        <v/>
      </c>
      <c r="AC67" s="14" t="str">
        <f aca="false">IF(OR($C67="",$T67="Mixta",$J67="",$AA67=""),"",IF($T67="Put",($J67-$AA67)/$J67,($AA67-$J67)/$J67))</f>
        <v/>
      </c>
      <c r="AD67" s="12" t="str">
        <f aca="false">IF($C67="","",IF($Q67&lt;&gt;"",$Q67,IF($V67="Strike",N($E67)*$H67*$I67,IF($V67="Subyacente",IF($J67="","",$J67*$H67*$I67),IF($V67="Ancho",IF($F67="","",ABS($E67-$F67)*$H67*$I67-$K67*$H67*$I67),IF($V67="Prima",$K67*$H67*$I67,""))))))</f>
        <v/>
      </c>
      <c r="AE67" s="12" t="str">
        <f aca="false">IF(OR($C67="",$M67="Abierta",$M67=""),"",(N($K67)-IF(OR($M67="Cerrada",$M67="Rolada"),N($O67),0))*$H67*$I67*IF($U67="Débito",-1,1)-N($L67)-N($P67))</f>
        <v/>
      </c>
      <c r="AF67" s="14" t="str">
        <f aca="false">IF(OR($AE67="",$AD67=""),"",IF($AD67&lt;=0,"",$AE67/$AD67))</f>
        <v/>
      </c>
      <c r="AG67" s="14" t="str">
        <f aca="false">IF($AF67="","",$AF67*365/MAX(N($X67),1))</f>
        <v/>
      </c>
      <c r="AH67" s="14" t="str">
        <f aca="false">IF(OR($C67="",$U67&lt;&gt;"Crédito",$AD67=""),"",IF($AD67&lt;=0,"",($Z67-N($L67))/$AD67))</f>
        <v/>
      </c>
      <c r="AI67" s="14" t="str">
        <f aca="false">IF(OR($AH67="",$W67=""),"",$AH67*365/MAX($W67,1))</f>
        <v/>
      </c>
      <c r="AJ67" s="14" t="str">
        <f aca="false">IF(OR($AE67="",$U67&lt;&gt;"Crédito",N($K67)=0),"",(N($K67)-IF(OR($M67="Cerrada",$M67="Rolada"),N($O67),0))/$K67)</f>
        <v/>
      </c>
      <c r="AK67" s="15" t="str">
        <f aca="false">IF(OR($C67="",$N67=""),"",DATE(YEAR($N67),MONTH($N67),1))</f>
        <v/>
      </c>
      <c r="AL67" s="11" t="str">
        <f aca="false">IF($C67="","",IF($M67="Abierta",0,1))</f>
        <v/>
      </c>
      <c r="AM67" s="16" t="str">
        <f aca="false">IF(OR($AE67="",$AD67=""),"",$AD67*MAX(N($X67),1))</f>
        <v/>
      </c>
      <c r="AN67" s="10" t="str">
        <f aca="false">IF($C67="","",IF(OR($B67="",$D67="",$H67="",$K67="",$M67=""),"Faltan datos obligatorios",IF($T67="","Estrategia no reconocida",IF(AND($M67&lt;&gt;"Abierta",$N67=""),"Falta fecha cierre",IF(AND(OR($M67="Cerrada",$M67="Rolada"),$O67=""),"Falta prima cierre",IF(AND($N67&lt;&gt;"",$N67&lt;$B67),"Cierre anterior a apertura",IF(AND($M67="Asignada",$R67=""),"Asignada: falta ID lote acciones",IF(AND($R67&lt;&gt;"",ISNA(MATCH($R67,Acciones!$A$2:$A$201,0))),"El ID lote no existe en Acciones",IF($AD67="","Revisa capital en riesgo","OK")))))))))</f>
        <v/>
      </c>
    </row>
    <row r="68" customFormat="false" ht="15" hidden="false" customHeight="true" outlineLevel="0" collapsed="false">
      <c r="A68" s="5"/>
      <c r="B68" s="6"/>
      <c r="C68" s="7"/>
      <c r="D68" s="7"/>
      <c r="E68" s="8"/>
      <c r="F68" s="8"/>
      <c r="G68" s="6"/>
      <c r="H68" s="5"/>
      <c r="I68" s="5" t="n">
        <v>100</v>
      </c>
      <c r="J68" s="8"/>
      <c r="K68" s="8"/>
      <c r="L68" s="9"/>
      <c r="M68" s="7"/>
      <c r="N68" s="6"/>
      <c r="O68" s="8"/>
      <c r="P68" s="9"/>
      <c r="Q68" s="9"/>
      <c r="R68" s="7"/>
      <c r="S68" s="7"/>
      <c r="T68" s="10" t="str">
        <f aca="false">IF($C68="","",IFERROR(INDEX(Listas!$B$2:$B$20,MATCH($D68,Listas!$A$2:$A$20,0)),""))</f>
        <v/>
      </c>
      <c r="U68" s="10" t="str">
        <f aca="false">IF($C68="","",IFERROR(INDEX(Listas!$C$2:$C$20,MATCH($D68,Listas!$A$2:$A$20,0)),""))</f>
        <v/>
      </c>
      <c r="V68" s="10" t="str">
        <f aca="false">IF($C68="","",IFERROR(INDEX(Listas!$D$2:$D$20,MATCH($D68,Listas!$A$2:$A$20,0)),""))</f>
        <v/>
      </c>
      <c r="W68" s="11" t="str">
        <f aca="false">IF(OR($C68="",$B68="",$G68=""),"",$G68-$B68)</f>
        <v/>
      </c>
      <c r="X68" s="11" t="str">
        <f aca="true">IF(OR($C68="",$B68=""),"",IF($N68&lt;&gt;"",$N68,TODAY())-$B68)</f>
        <v/>
      </c>
      <c r="Y68" s="11" t="str">
        <f aca="true">IF(OR($C68="",$M68&lt;&gt;"Abierta",$G68=""),"",MAX($G68-TODAY(),0))</f>
        <v/>
      </c>
      <c r="Z68" s="12" t="str">
        <f aca="false">IF($C68="","",N($K68)*N($H68)*N($I68)*IF($U68="Débito",-1,1))</f>
        <v/>
      </c>
      <c r="AA68" s="13" t="str">
        <f aca="false">IF($C68="","",IF(AND($U68="Débito",$F68&lt;&gt;""),$F68,$E68))</f>
        <v/>
      </c>
      <c r="AB68" s="13" t="str">
        <f aca="false">IF(OR($C68="",$T68="Mixta",$AA68=""),"",IF($V68="Subyacente",IF($J68="","",$J68-$K68),IF($T68="Put",$AA68-$K68,$AA68+$K68)))</f>
        <v/>
      </c>
      <c r="AC68" s="14" t="str">
        <f aca="false">IF(OR($C68="",$T68="Mixta",$J68="",$AA68=""),"",IF($T68="Put",($J68-$AA68)/$J68,($AA68-$J68)/$J68))</f>
        <v/>
      </c>
      <c r="AD68" s="12" t="str">
        <f aca="false">IF($C68="","",IF($Q68&lt;&gt;"",$Q68,IF($V68="Strike",N($E68)*$H68*$I68,IF($V68="Subyacente",IF($J68="","",$J68*$H68*$I68),IF($V68="Ancho",IF($F68="","",ABS($E68-$F68)*$H68*$I68-$K68*$H68*$I68),IF($V68="Prima",$K68*$H68*$I68,""))))))</f>
        <v/>
      </c>
      <c r="AE68" s="12" t="str">
        <f aca="false">IF(OR($C68="",$M68="Abierta",$M68=""),"",(N($K68)-IF(OR($M68="Cerrada",$M68="Rolada"),N($O68),0))*$H68*$I68*IF($U68="Débito",-1,1)-N($L68)-N($P68))</f>
        <v/>
      </c>
      <c r="AF68" s="14" t="str">
        <f aca="false">IF(OR($AE68="",$AD68=""),"",IF($AD68&lt;=0,"",$AE68/$AD68))</f>
        <v/>
      </c>
      <c r="AG68" s="14" t="str">
        <f aca="false">IF($AF68="","",$AF68*365/MAX(N($X68),1))</f>
        <v/>
      </c>
      <c r="AH68" s="14" t="str">
        <f aca="false">IF(OR($C68="",$U68&lt;&gt;"Crédito",$AD68=""),"",IF($AD68&lt;=0,"",($Z68-N($L68))/$AD68))</f>
        <v/>
      </c>
      <c r="AI68" s="14" t="str">
        <f aca="false">IF(OR($AH68="",$W68=""),"",$AH68*365/MAX($W68,1))</f>
        <v/>
      </c>
      <c r="AJ68" s="14" t="str">
        <f aca="false">IF(OR($AE68="",$U68&lt;&gt;"Crédito",N($K68)=0),"",(N($K68)-IF(OR($M68="Cerrada",$M68="Rolada"),N($O68),0))/$K68)</f>
        <v/>
      </c>
      <c r="AK68" s="15" t="str">
        <f aca="false">IF(OR($C68="",$N68=""),"",DATE(YEAR($N68),MONTH($N68),1))</f>
        <v/>
      </c>
      <c r="AL68" s="11" t="str">
        <f aca="false">IF($C68="","",IF($M68="Abierta",0,1))</f>
        <v/>
      </c>
      <c r="AM68" s="16" t="str">
        <f aca="false">IF(OR($AE68="",$AD68=""),"",$AD68*MAX(N($X68),1))</f>
        <v/>
      </c>
      <c r="AN68" s="10" t="str">
        <f aca="false">IF($C68="","",IF(OR($B68="",$D68="",$H68="",$K68="",$M68=""),"Faltan datos obligatorios",IF($T68="","Estrategia no reconocida",IF(AND($M68&lt;&gt;"Abierta",$N68=""),"Falta fecha cierre",IF(AND(OR($M68="Cerrada",$M68="Rolada"),$O68=""),"Falta prima cierre",IF(AND($N68&lt;&gt;"",$N68&lt;$B68),"Cierre anterior a apertura",IF(AND($M68="Asignada",$R68=""),"Asignada: falta ID lote acciones",IF(AND($R68&lt;&gt;"",ISNA(MATCH($R68,Acciones!$A$2:$A$201,0))),"El ID lote no existe en Acciones",IF($AD68="","Revisa capital en riesgo","OK")))))))))</f>
        <v/>
      </c>
    </row>
    <row r="69" customFormat="false" ht="15" hidden="false" customHeight="true" outlineLevel="0" collapsed="false">
      <c r="A69" s="5"/>
      <c r="B69" s="6"/>
      <c r="C69" s="7"/>
      <c r="D69" s="7"/>
      <c r="E69" s="8"/>
      <c r="F69" s="8"/>
      <c r="G69" s="6"/>
      <c r="H69" s="5"/>
      <c r="I69" s="5" t="n">
        <v>100</v>
      </c>
      <c r="J69" s="8"/>
      <c r="K69" s="8"/>
      <c r="L69" s="9"/>
      <c r="M69" s="7"/>
      <c r="N69" s="6"/>
      <c r="O69" s="8"/>
      <c r="P69" s="9"/>
      <c r="Q69" s="9"/>
      <c r="R69" s="7"/>
      <c r="S69" s="7"/>
      <c r="T69" s="10" t="str">
        <f aca="false">IF($C69="","",IFERROR(INDEX(Listas!$B$2:$B$20,MATCH($D69,Listas!$A$2:$A$20,0)),""))</f>
        <v/>
      </c>
      <c r="U69" s="10" t="str">
        <f aca="false">IF($C69="","",IFERROR(INDEX(Listas!$C$2:$C$20,MATCH($D69,Listas!$A$2:$A$20,0)),""))</f>
        <v/>
      </c>
      <c r="V69" s="10" t="str">
        <f aca="false">IF($C69="","",IFERROR(INDEX(Listas!$D$2:$D$20,MATCH($D69,Listas!$A$2:$A$20,0)),""))</f>
        <v/>
      </c>
      <c r="W69" s="11" t="str">
        <f aca="false">IF(OR($C69="",$B69="",$G69=""),"",$G69-$B69)</f>
        <v/>
      </c>
      <c r="X69" s="11" t="str">
        <f aca="true">IF(OR($C69="",$B69=""),"",IF($N69&lt;&gt;"",$N69,TODAY())-$B69)</f>
        <v/>
      </c>
      <c r="Y69" s="11" t="str">
        <f aca="true">IF(OR($C69="",$M69&lt;&gt;"Abierta",$G69=""),"",MAX($G69-TODAY(),0))</f>
        <v/>
      </c>
      <c r="Z69" s="12" t="str">
        <f aca="false">IF($C69="","",N($K69)*N($H69)*N($I69)*IF($U69="Débito",-1,1))</f>
        <v/>
      </c>
      <c r="AA69" s="13" t="str">
        <f aca="false">IF($C69="","",IF(AND($U69="Débito",$F69&lt;&gt;""),$F69,$E69))</f>
        <v/>
      </c>
      <c r="AB69" s="13" t="str">
        <f aca="false">IF(OR($C69="",$T69="Mixta",$AA69=""),"",IF($V69="Subyacente",IF($J69="","",$J69-$K69),IF($T69="Put",$AA69-$K69,$AA69+$K69)))</f>
        <v/>
      </c>
      <c r="AC69" s="14" t="str">
        <f aca="false">IF(OR($C69="",$T69="Mixta",$J69="",$AA69=""),"",IF($T69="Put",($J69-$AA69)/$J69,($AA69-$J69)/$J69))</f>
        <v/>
      </c>
      <c r="AD69" s="12" t="str">
        <f aca="false">IF($C69="","",IF($Q69&lt;&gt;"",$Q69,IF($V69="Strike",N($E69)*$H69*$I69,IF($V69="Subyacente",IF($J69="","",$J69*$H69*$I69),IF($V69="Ancho",IF($F69="","",ABS($E69-$F69)*$H69*$I69-$K69*$H69*$I69),IF($V69="Prima",$K69*$H69*$I69,""))))))</f>
        <v/>
      </c>
      <c r="AE69" s="12" t="str">
        <f aca="false">IF(OR($C69="",$M69="Abierta",$M69=""),"",(N($K69)-IF(OR($M69="Cerrada",$M69="Rolada"),N($O69),0))*$H69*$I69*IF($U69="Débito",-1,1)-N($L69)-N($P69))</f>
        <v/>
      </c>
      <c r="AF69" s="14" t="str">
        <f aca="false">IF(OR($AE69="",$AD69=""),"",IF($AD69&lt;=0,"",$AE69/$AD69))</f>
        <v/>
      </c>
      <c r="AG69" s="14" t="str">
        <f aca="false">IF($AF69="","",$AF69*365/MAX(N($X69),1))</f>
        <v/>
      </c>
      <c r="AH69" s="14" t="str">
        <f aca="false">IF(OR($C69="",$U69&lt;&gt;"Crédito",$AD69=""),"",IF($AD69&lt;=0,"",($Z69-N($L69))/$AD69))</f>
        <v/>
      </c>
      <c r="AI69" s="14" t="str">
        <f aca="false">IF(OR($AH69="",$W69=""),"",$AH69*365/MAX($W69,1))</f>
        <v/>
      </c>
      <c r="AJ69" s="14" t="str">
        <f aca="false">IF(OR($AE69="",$U69&lt;&gt;"Crédito",N($K69)=0),"",(N($K69)-IF(OR($M69="Cerrada",$M69="Rolada"),N($O69),0))/$K69)</f>
        <v/>
      </c>
      <c r="AK69" s="15" t="str">
        <f aca="false">IF(OR($C69="",$N69=""),"",DATE(YEAR($N69),MONTH($N69),1))</f>
        <v/>
      </c>
      <c r="AL69" s="11" t="str">
        <f aca="false">IF($C69="","",IF($M69="Abierta",0,1))</f>
        <v/>
      </c>
      <c r="AM69" s="16" t="str">
        <f aca="false">IF(OR($AE69="",$AD69=""),"",$AD69*MAX(N($X69),1))</f>
        <v/>
      </c>
      <c r="AN69" s="10" t="str">
        <f aca="false">IF($C69="","",IF(OR($B69="",$D69="",$H69="",$K69="",$M69=""),"Faltan datos obligatorios",IF($T69="","Estrategia no reconocida",IF(AND($M69&lt;&gt;"Abierta",$N69=""),"Falta fecha cierre",IF(AND(OR($M69="Cerrada",$M69="Rolada"),$O69=""),"Falta prima cierre",IF(AND($N69&lt;&gt;"",$N69&lt;$B69),"Cierre anterior a apertura",IF(AND($M69="Asignada",$R69=""),"Asignada: falta ID lote acciones",IF(AND($R69&lt;&gt;"",ISNA(MATCH($R69,Acciones!$A$2:$A$201,0))),"El ID lote no existe en Acciones",IF($AD69="","Revisa capital en riesgo","OK")))))))))</f>
        <v/>
      </c>
    </row>
    <row r="70" customFormat="false" ht="15" hidden="false" customHeight="true" outlineLevel="0" collapsed="false">
      <c r="A70" s="5"/>
      <c r="B70" s="6"/>
      <c r="C70" s="7"/>
      <c r="D70" s="7"/>
      <c r="E70" s="8"/>
      <c r="F70" s="8"/>
      <c r="G70" s="6"/>
      <c r="H70" s="5"/>
      <c r="I70" s="5" t="n">
        <v>100</v>
      </c>
      <c r="J70" s="8"/>
      <c r="K70" s="8"/>
      <c r="L70" s="9"/>
      <c r="M70" s="7"/>
      <c r="N70" s="6"/>
      <c r="O70" s="8"/>
      <c r="P70" s="9"/>
      <c r="Q70" s="9"/>
      <c r="R70" s="7"/>
      <c r="S70" s="7"/>
      <c r="T70" s="10" t="str">
        <f aca="false">IF($C70="","",IFERROR(INDEX(Listas!$B$2:$B$20,MATCH($D70,Listas!$A$2:$A$20,0)),""))</f>
        <v/>
      </c>
      <c r="U70" s="10" t="str">
        <f aca="false">IF($C70="","",IFERROR(INDEX(Listas!$C$2:$C$20,MATCH($D70,Listas!$A$2:$A$20,0)),""))</f>
        <v/>
      </c>
      <c r="V70" s="10" t="str">
        <f aca="false">IF($C70="","",IFERROR(INDEX(Listas!$D$2:$D$20,MATCH($D70,Listas!$A$2:$A$20,0)),""))</f>
        <v/>
      </c>
      <c r="W70" s="11" t="str">
        <f aca="false">IF(OR($C70="",$B70="",$G70=""),"",$G70-$B70)</f>
        <v/>
      </c>
      <c r="X70" s="11" t="str">
        <f aca="true">IF(OR($C70="",$B70=""),"",IF($N70&lt;&gt;"",$N70,TODAY())-$B70)</f>
        <v/>
      </c>
      <c r="Y70" s="11" t="str">
        <f aca="true">IF(OR($C70="",$M70&lt;&gt;"Abierta",$G70=""),"",MAX($G70-TODAY(),0))</f>
        <v/>
      </c>
      <c r="Z70" s="12" t="str">
        <f aca="false">IF($C70="","",N($K70)*N($H70)*N($I70)*IF($U70="Débito",-1,1))</f>
        <v/>
      </c>
      <c r="AA70" s="13" t="str">
        <f aca="false">IF($C70="","",IF(AND($U70="Débito",$F70&lt;&gt;""),$F70,$E70))</f>
        <v/>
      </c>
      <c r="AB70" s="13" t="str">
        <f aca="false">IF(OR($C70="",$T70="Mixta",$AA70=""),"",IF($V70="Subyacente",IF($J70="","",$J70-$K70),IF($T70="Put",$AA70-$K70,$AA70+$K70)))</f>
        <v/>
      </c>
      <c r="AC70" s="14" t="str">
        <f aca="false">IF(OR($C70="",$T70="Mixta",$J70="",$AA70=""),"",IF($T70="Put",($J70-$AA70)/$J70,($AA70-$J70)/$J70))</f>
        <v/>
      </c>
      <c r="AD70" s="12" t="str">
        <f aca="false">IF($C70="","",IF($Q70&lt;&gt;"",$Q70,IF($V70="Strike",N($E70)*$H70*$I70,IF($V70="Subyacente",IF($J70="","",$J70*$H70*$I70),IF($V70="Ancho",IF($F70="","",ABS($E70-$F70)*$H70*$I70-$K70*$H70*$I70),IF($V70="Prima",$K70*$H70*$I70,""))))))</f>
        <v/>
      </c>
      <c r="AE70" s="12" t="str">
        <f aca="false">IF(OR($C70="",$M70="Abierta",$M70=""),"",(N($K70)-IF(OR($M70="Cerrada",$M70="Rolada"),N($O70),0))*$H70*$I70*IF($U70="Débito",-1,1)-N($L70)-N($P70))</f>
        <v/>
      </c>
      <c r="AF70" s="14" t="str">
        <f aca="false">IF(OR($AE70="",$AD70=""),"",IF($AD70&lt;=0,"",$AE70/$AD70))</f>
        <v/>
      </c>
      <c r="AG70" s="14" t="str">
        <f aca="false">IF($AF70="","",$AF70*365/MAX(N($X70),1))</f>
        <v/>
      </c>
      <c r="AH70" s="14" t="str">
        <f aca="false">IF(OR($C70="",$U70&lt;&gt;"Crédito",$AD70=""),"",IF($AD70&lt;=0,"",($Z70-N($L70))/$AD70))</f>
        <v/>
      </c>
      <c r="AI70" s="14" t="str">
        <f aca="false">IF(OR($AH70="",$W70=""),"",$AH70*365/MAX($W70,1))</f>
        <v/>
      </c>
      <c r="AJ70" s="14" t="str">
        <f aca="false">IF(OR($AE70="",$U70&lt;&gt;"Crédito",N($K70)=0),"",(N($K70)-IF(OR($M70="Cerrada",$M70="Rolada"),N($O70),0))/$K70)</f>
        <v/>
      </c>
      <c r="AK70" s="15" t="str">
        <f aca="false">IF(OR($C70="",$N70=""),"",DATE(YEAR($N70),MONTH($N70),1))</f>
        <v/>
      </c>
      <c r="AL70" s="11" t="str">
        <f aca="false">IF($C70="","",IF($M70="Abierta",0,1))</f>
        <v/>
      </c>
      <c r="AM70" s="16" t="str">
        <f aca="false">IF(OR($AE70="",$AD70=""),"",$AD70*MAX(N($X70),1))</f>
        <v/>
      </c>
      <c r="AN70" s="10" t="str">
        <f aca="false">IF($C70="","",IF(OR($B70="",$D70="",$H70="",$K70="",$M70=""),"Faltan datos obligatorios",IF($T70="","Estrategia no reconocida",IF(AND($M70&lt;&gt;"Abierta",$N70=""),"Falta fecha cierre",IF(AND(OR($M70="Cerrada",$M70="Rolada"),$O70=""),"Falta prima cierre",IF(AND($N70&lt;&gt;"",$N70&lt;$B70),"Cierre anterior a apertura",IF(AND($M70="Asignada",$R70=""),"Asignada: falta ID lote acciones",IF(AND($R70&lt;&gt;"",ISNA(MATCH($R70,Acciones!$A$2:$A$201,0))),"El ID lote no existe en Acciones",IF($AD70="","Revisa capital en riesgo","OK")))))))))</f>
        <v/>
      </c>
    </row>
    <row r="71" customFormat="false" ht="15" hidden="false" customHeight="true" outlineLevel="0" collapsed="false">
      <c r="A71" s="5"/>
      <c r="B71" s="6"/>
      <c r="C71" s="7"/>
      <c r="D71" s="7"/>
      <c r="E71" s="8"/>
      <c r="F71" s="8"/>
      <c r="G71" s="6"/>
      <c r="H71" s="5"/>
      <c r="I71" s="5" t="n">
        <v>100</v>
      </c>
      <c r="J71" s="8"/>
      <c r="K71" s="8"/>
      <c r="L71" s="9"/>
      <c r="M71" s="7"/>
      <c r="N71" s="6"/>
      <c r="O71" s="8"/>
      <c r="P71" s="9"/>
      <c r="Q71" s="9"/>
      <c r="R71" s="7"/>
      <c r="S71" s="7"/>
      <c r="T71" s="10" t="str">
        <f aca="false">IF($C71="","",IFERROR(INDEX(Listas!$B$2:$B$20,MATCH($D71,Listas!$A$2:$A$20,0)),""))</f>
        <v/>
      </c>
      <c r="U71" s="10" t="str">
        <f aca="false">IF($C71="","",IFERROR(INDEX(Listas!$C$2:$C$20,MATCH($D71,Listas!$A$2:$A$20,0)),""))</f>
        <v/>
      </c>
      <c r="V71" s="10" t="str">
        <f aca="false">IF($C71="","",IFERROR(INDEX(Listas!$D$2:$D$20,MATCH($D71,Listas!$A$2:$A$20,0)),""))</f>
        <v/>
      </c>
      <c r="W71" s="11" t="str">
        <f aca="false">IF(OR($C71="",$B71="",$G71=""),"",$G71-$B71)</f>
        <v/>
      </c>
      <c r="X71" s="11" t="str">
        <f aca="true">IF(OR($C71="",$B71=""),"",IF($N71&lt;&gt;"",$N71,TODAY())-$B71)</f>
        <v/>
      </c>
      <c r="Y71" s="11" t="str">
        <f aca="true">IF(OR($C71="",$M71&lt;&gt;"Abierta",$G71=""),"",MAX($G71-TODAY(),0))</f>
        <v/>
      </c>
      <c r="Z71" s="12" t="str">
        <f aca="false">IF($C71="","",N($K71)*N($H71)*N($I71)*IF($U71="Débito",-1,1))</f>
        <v/>
      </c>
      <c r="AA71" s="13" t="str">
        <f aca="false">IF($C71="","",IF(AND($U71="Débito",$F71&lt;&gt;""),$F71,$E71))</f>
        <v/>
      </c>
      <c r="AB71" s="13" t="str">
        <f aca="false">IF(OR($C71="",$T71="Mixta",$AA71=""),"",IF($V71="Subyacente",IF($J71="","",$J71-$K71),IF($T71="Put",$AA71-$K71,$AA71+$K71)))</f>
        <v/>
      </c>
      <c r="AC71" s="14" t="str">
        <f aca="false">IF(OR($C71="",$T71="Mixta",$J71="",$AA71=""),"",IF($T71="Put",($J71-$AA71)/$J71,($AA71-$J71)/$J71))</f>
        <v/>
      </c>
      <c r="AD71" s="12" t="str">
        <f aca="false">IF($C71="","",IF($Q71&lt;&gt;"",$Q71,IF($V71="Strike",N($E71)*$H71*$I71,IF($V71="Subyacente",IF($J71="","",$J71*$H71*$I71),IF($V71="Ancho",IF($F71="","",ABS($E71-$F71)*$H71*$I71-$K71*$H71*$I71),IF($V71="Prima",$K71*$H71*$I71,""))))))</f>
        <v/>
      </c>
      <c r="AE71" s="12" t="str">
        <f aca="false">IF(OR($C71="",$M71="Abierta",$M71=""),"",(N($K71)-IF(OR($M71="Cerrada",$M71="Rolada"),N($O71),0))*$H71*$I71*IF($U71="Débito",-1,1)-N($L71)-N($P71))</f>
        <v/>
      </c>
      <c r="AF71" s="14" t="str">
        <f aca="false">IF(OR($AE71="",$AD71=""),"",IF($AD71&lt;=0,"",$AE71/$AD71))</f>
        <v/>
      </c>
      <c r="AG71" s="14" t="str">
        <f aca="false">IF($AF71="","",$AF71*365/MAX(N($X71),1))</f>
        <v/>
      </c>
      <c r="AH71" s="14" t="str">
        <f aca="false">IF(OR($C71="",$U71&lt;&gt;"Crédito",$AD71=""),"",IF($AD71&lt;=0,"",($Z71-N($L71))/$AD71))</f>
        <v/>
      </c>
      <c r="AI71" s="14" t="str">
        <f aca="false">IF(OR($AH71="",$W71=""),"",$AH71*365/MAX($W71,1))</f>
        <v/>
      </c>
      <c r="AJ71" s="14" t="str">
        <f aca="false">IF(OR($AE71="",$U71&lt;&gt;"Crédito",N($K71)=0),"",(N($K71)-IF(OR($M71="Cerrada",$M71="Rolada"),N($O71),0))/$K71)</f>
        <v/>
      </c>
      <c r="AK71" s="15" t="str">
        <f aca="false">IF(OR($C71="",$N71=""),"",DATE(YEAR($N71),MONTH($N71),1))</f>
        <v/>
      </c>
      <c r="AL71" s="11" t="str">
        <f aca="false">IF($C71="","",IF($M71="Abierta",0,1))</f>
        <v/>
      </c>
      <c r="AM71" s="16" t="str">
        <f aca="false">IF(OR($AE71="",$AD71=""),"",$AD71*MAX(N($X71),1))</f>
        <v/>
      </c>
      <c r="AN71" s="10" t="str">
        <f aca="false">IF($C71="","",IF(OR($B71="",$D71="",$H71="",$K71="",$M71=""),"Faltan datos obligatorios",IF($T71="","Estrategia no reconocida",IF(AND($M71&lt;&gt;"Abierta",$N71=""),"Falta fecha cierre",IF(AND(OR($M71="Cerrada",$M71="Rolada"),$O71=""),"Falta prima cierre",IF(AND($N71&lt;&gt;"",$N71&lt;$B71),"Cierre anterior a apertura",IF(AND($M71="Asignada",$R71=""),"Asignada: falta ID lote acciones",IF(AND($R71&lt;&gt;"",ISNA(MATCH($R71,Acciones!$A$2:$A$201,0))),"El ID lote no existe en Acciones",IF($AD71="","Revisa capital en riesgo","OK")))))))))</f>
        <v/>
      </c>
    </row>
    <row r="72" customFormat="false" ht="15" hidden="false" customHeight="true" outlineLevel="0" collapsed="false">
      <c r="A72" s="5"/>
      <c r="B72" s="6"/>
      <c r="C72" s="7"/>
      <c r="D72" s="7"/>
      <c r="E72" s="8"/>
      <c r="F72" s="8"/>
      <c r="G72" s="6"/>
      <c r="H72" s="5"/>
      <c r="I72" s="5" t="n">
        <v>100</v>
      </c>
      <c r="J72" s="8"/>
      <c r="K72" s="8"/>
      <c r="L72" s="9"/>
      <c r="M72" s="7"/>
      <c r="N72" s="6"/>
      <c r="O72" s="8"/>
      <c r="P72" s="9"/>
      <c r="Q72" s="9"/>
      <c r="R72" s="7"/>
      <c r="S72" s="7"/>
      <c r="T72" s="10" t="str">
        <f aca="false">IF($C72="","",IFERROR(INDEX(Listas!$B$2:$B$20,MATCH($D72,Listas!$A$2:$A$20,0)),""))</f>
        <v/>
      </c>
      <c r="U72" s="10" t="str">
        <f aca="false">IF($C72="","",IFERROR(INDEX(Listas!$C$2:$C$20,MATCH($D72,Listas!$A$2:$A$20,0)),""))</f>
        <v/>
      </c>
      <c r="V72" s="10" t="str">
        <f aca="false">IF($C72="","",IFERROR(INDEX(Listas!$D$2:$D$20,MATCH($D72,Listas!$A$2:$A$20,0)),""))</f>
        <v/>
      </c>
      <c r="W72" s="11" t="str">
        <f aca="false">IF(OR($C72="",$B72="",$G72=""),"",$G72-$B72)</f>
        <v/>
      </c>
      <c r="X72" s="11" t="str">
        <f aca="true">IF(OR($C72="",$B72=""),"",IF($N72&lt;&gt;"",$N72,TODAY())-$B72)</f>
        <v/>
      </c>
      <c r="Y72" s="11" t="str">
        <f aca="true">IF(OR($C72="",$M72&lt;&gt;"Abierta",$G72=""),"",MAX($G72-TODAY(),0))</f>
        <v/>
      </c>
      <c r="Z72" s="12" t="str">
        <f aca="false">IF($C72="","",N($K72)*N($H72)*N($I72)*IF($U72="Débito",-1,1))</f>
        <v/>
      </c>
      <c r="AA72" s="13" t="str">
        <f aca="false">IF($C72="","",IF(AND($U72="Débito",$F72&lt;&gt;""),$F72,$E72))</f>
        <v/>
      </c>
      <c r="AB72" s="13" t="str">
        <f aca="false">IF(OR($C72="",$T72="Mixta",$AA72=""),"",IF($V72="Subyacente",IF($J72="","",$J72-$K72),IF($T72="Put",$AA72-$K72,$AA72+$K72)))</f>
        <v/>
      </c>
      <c r="AC72" s="14" t="str">
        <f aca="false">IF(OR($C72="",$T72="Mixta",$J72="",$AA72=""),"",IF($T72="Put",($J72-$AA72)/$J72,($AA72-$J72)/$J72))</f>
        <v/>
      </c>
      <c r="AD72" s="12" t="str">
        <f aca="false">IF($C72="","",IF($Q72&lt;&gt;"",$Q72,IF($V72="Strike",N($E72)*$H72*$I72,IF($V72="Subyacente",IF($J72="","",$J72*$H72*$I72),IF($V72="Ancho",IF($F72="","",ABS($E72-$F72)*$H72*$I72-$K72*$H72*$I72),IF($V72="Prima",$K72*$H72*$I72,""))))))</f>
        <v/>
      </c>
      <c r="AE72" s="12" t="str">
        <f aca="false">IF(OR($C72="",$M72="Abierta",$M72=""),"",(N($K72)-IF(OR($M72="Cerrada",$M72="Rolada"),N($O72),0))*$H72*$I72*IF($U72="Débito",-1,1)-N($L72)-N($P72))</f>
        <v/>
      </c>
      <c r="AF72" s="14" t="str">
        <f aca="false">IF(OR($AE72="",$AD72=""),"",IF($AD72&lt;=0,"",$AE72/$AD72))</f>
        <v/>
      </c>
      <c r="AG72" s="14" t="str">
        <f aca="false">IF($AF72="","",$AF72*365/MAX(N($X72),1))</f>
        <v/>
      </c>
      <c r="AH72" s="14" t="str">
        <f aca="false">IF(OR($C72="",$U72&lt;&gt;"Crédito",$AD72=""),"",IF($AD72&lt;=0,"",($Z72-N($L72))/$AD72))</f>
        <v/>
      </c>
      <c r="AI72" s="14" t="str">
        <f aca="false">IF(OR($AH72="",$W72=""),"",$AH72*365/MAX($W72,1))</f>
        <v/>
      </c>
      <c r="AJ72" s="14" t="str">
        <f aca="false">IF(OR($AE72="",$U72&lt;&gt;"Crédito",N($K72)=0),"",(N($K72)-IF(OR($M72="Cerrada",$M72="Rolada"),N($O72),0))/$K72)</f>
        <v/>
      </c>
      <c r="AK72" s="15" t="str">
        <f aca="false">IF(OR($C72="",$N72=""),"",DATE(YEAR($N72),MONTH($N72),1))</f>
        <v/>
      </c>
      <c r="AL72" s="11" t="str">
        <f aca="false">IF($C72="","",IF($M72="Abierta",0,1))</f>
        <v/>
      </c>
      <c r="AM72" s="16" t="str">
        <f aca="false">IF(OR($AE72="",$AD72=""),"",$AD72*MAX(N($X72),1))</f>
        <v/>
      </c>
      <c r="AN72" s="10" t="str">
        <f aca="false">IF($C72="","",IF(OR($B72="",$D72="",$H72="",$K72="",$M72=""),"Faltan datos obligatorios",IF($T72="","Estrategia no reconocida",IF(AND($M72&lt;&gt;"Abierta",$N72=""),"Falta fecha cierre",IF(AND(OR($M72="Cerrada",$M72="Rolada"),$O72=""),"Falta prima cierre",IF(AND($N72&lt;&gt;"",$N72&lt;$B72),"Cierre anterior a apertura",IF(AND($M72="Asignada",$R72=""),"Asignada: falta ID lote acciones",IF(AND($R72&lt;&gt;"",ISNA(MATCH($R72,Acciones!$A$2:$A$201,0))),"El ID lote no existe en Acciones",IF($AD72="","Revisa capital en riesgo","OK")))))))))</f>
        <v/>
      </c>
    </row>
    <row r="73" customFormat="false" ht="15" hidden="false" customHeight="true" outlineLevel="0" collapsed="false">
      <c r="A73" s="5"/>
      <c r="B73" s="6"/>
      <c r="C73" s="7"/>
      <c r="D73" s="7"/>
      <c r="E73" s="8"/>
      <c r="F73" s="8"/>
      <c r="G73" s="6"/>
      <c r="H73" s="5"/>
      <c r="I73" s="5" t="n">
        <v>100</v>
      </c>
      <c r="J73" s="8"/>
      <c r="K73" s="8"/>
      <c r="L73" s="9"/>
      <c r="M73" s="7"/>
      <c r="N73" s="6"/>
      <c r="O73" s="8"/>
      <c r="P73" s="9"/>
      <c r="Q73" s="9"/>
      <c r="R73" s="7"/>
      <c r="S73" s="7"/>
      <c r="T73" s="10" t="str">
        <f aca="false">IF($C73="","",IFERROR(INDEX(Listas!$B$2:$B$20,MATCH($D73,Listas!$A$2:$A$20,0)),""))</f>
        <v/>
      </c>
      <c r="U73" s="10" t="str">
        <f aca="false">IF($C73="","",IFERROR(INDEX(Listas!$C$2:$C$20,MATCH($D73,Listas!$A$2:$A$20,0)),""))</f>
        <v/>
      </c>
      <c r="V73" s="10" t="str">
        <f aca="false">IF($C73="","",IFERROR(INDEX(Listas!$D$2:$D$20,MATCH($D73,Listas!$A$2:$A$20,0)),""))</f>
        <v/>
      </c>
      <c r="W73" s="11" t="str">
        <f aca="false">IF(OR($C73="",$B73="",$G73=""),"",$G73-$B73)</f>
        <v/>
      </c>
      <c r="X73" s="11" t="str">
        <f aca="true">IF(OR($C73="",$B73=""),"",IF($N73&lt;&gt;"",$N73,TODAY())-$B73)</f>
        <v/>
      </c>
      <c r="Y73" s="11" t="str">
        <f aca="true">IF(OR($C73="",$M73&lt;&gt;"Abierta",$G73=""),"",MAX($G73-TODAY(),0))</f>
        <v/>
      </c>
      <c r="Z73" s="12" t="str">
        <f aca="false">IF($C73="","",N($K73)*N($H73)*N($I73)*IF($U73="Débito",-1,1))</f>
        <v/>
      </c>
      <c r="AA73" s="13" t="str">
        <f aca="false">IF($C73="","",IF(AND($U73="Débito",$F73&lt;&gt;""),$F73,$E73))</f>
        <v/>
      </c>
      <c r="AB73" s="13" t="str">
        <f aca="false">IF(OR($C73="",$T73="Mixta",$AA73=""),"",IF($V73="Subyacente",IF($J73="","",$J73-$K73),IF($T73="Put",$AA73-$K73,$AA73+$K73)))</f>
        <v/>
      </c>
      <c r="AC73" s="14" t="str">
        <f aca="false">IF(OR($C73="",$T73="Mixta",$J73="",$AA73=""),"",IF($T73="Put",($J73-$AA73)/$J73,($AA73-$J73)/$J73))</f>
        <v/>
      </c>
      <c r="AD73" s="12" t="str">
        <f aca="false">IF($C73="","",IF($Q73&lt;&gt;"",$Q73,IF($V73="Strike",N($E73)*$H73*$I73,IF($V73="Subyacente",IF($J73="","",$J73*$H73*$I73),IF($V73="Ancho",IF($F73="","",ABS($E73-$F73)*$H73*$I73-$K73*$H73*$I73),IF($V73="Prima",$K73*$H73*$I73,""))))))</f>
        <v/>
      </c>
      <c r="AE73" s="12" t="str">
        <f aca="false">IF(OR($C73="",$M73="Abierta",$M73=""),"",(N($K73)-IF(OR($M73="Cerrada",$M73="Rolada"),N($O73),0))*$H73*$I73*IF($U73="Débito",-1,1)-N($L73)-N($P73))</f>
        <v/>
      </c>
      <c r="AF73" s="14" t="str">
        <f aca="false">IF(OR($AE73="",$AD73=""),"",IF($AD73&lt;=0,"",$AE73/$AD73))</f>
        <v/>
      </c>
      <c r="AG73" s="14" t="str">
        <f aca="false">IF($AF73="","",$AF73*365/MAX(N($X73),1))</f>
        <v/>
      </c>
      <c r="AH73" s="14" t="str">
        <f aca="false">IF(OR($C73="",$U73&lt;&gt;"Crédito",$AD73=""),"",IF($AD73&lt;=0,"",($Z73-N($L73))/$AD73))</f>
        <v/>
      </c>
      <c r="AI73" s="14" t="str">
        <f aca="false">IF(OR($AH73="",$W73=""),"",$AH73*365/MAX($W73,1))</f>
        <v/>
      </c>
      <c r="AJ73" s="14" t="str">
        <f aca="false">IF(OR($AE73="",$U73&lt;&gt;"Crédito",N($K73)=0),"",(N($K73)-IF(OR($M73="Cerrada",$M73="Rolada"),N($O73),0))/$K73)</f>
        <v/>
      </c>
      <c r="AK73" s="15" t="str">
        <f aca="false">IF(OR($C73="",$N73=""),"",DATE(YEAR($N73),MONTH($N73),1))</f>
        <v/>
      </c>
      <c r="AL73" s="11" t="str">
        <f aca="false">IF($C73="","",IF($M73="Abierta",0,1))</f>
        <v/>
      </c>
      <c r="AM73" s="16" t="str">
        <f aca="false">IF(OR($AE73="",$AD73=""),"",$AD73*MAX(N($X73),1))</f>
        <v/>
      </c>
      <c r="AN73" s="10" t="str">
        <f aca="false">IF($C73="","",IF(OR($B73="",$D73="",$H73="",$K73="",$M73=""),"Faltan datos obligatorios",IF($T73="","Estrategia no reconocida",IF(AND($M73&lt;&gt;"Abierta",$N73=""),"Falta fecha cierre",IF(AND(OR($M73="Cerrada",$M73="Rolada"),$O73=""),"Falta prima cierre",IF(AND($N73&lt;&gt;"",$N73&lt;$B73),"Cierre anterior a apertura",IF(AND($M73="Asignada",$R73=""),"Asignada: falta ID lote acciones",IF(AND($R73&lt;&gt;"",ISNA(MATCH($R73,Acciones!$A$2:$A$201,0))),"El ID lote no existe en Acciones",IF($AD73="","Revisa capital en riesgo","OK")))))))))</f>
        <v/>
      </c>
    </row>
    <row r="74" customFormat="false" ht="15" hidden="false" customHeight="true" outlineLevel="0" collapsed="false">
      <c r="A74" s="5"/>
      <c r="B74" s="6"/>
      <c r="C74" s="7"/>
      <c r="D74" s="7"/>
      <c r="E74" s="8"/>
      <c r="F74" s="8"/>
      <c r="G74" s="6"/>
      <c r="H74" s="5"/>
      <c r="I74" s="5" t="n">
        <v>100</v>
      </c>
      <c r="J74" s="8"/>
      <c r="K74" s="8"/>
      <c r="L74" s="9"/>
      <c r="M74" s="7"/>
      <c r="N74" s="6"/>
      <c r="O74" s="8"/>
      <c r="P74" s="9"/>
      <c r="Q74" s="9"/>
      <c r="R74" s="7"/>
      <c r="S74" s="7"/>
      <c r="T74" s="10" t="str">
        <f aca="false">IF($C74="","",IFERROR(INDEX(Listas!$B$2:$B$20,MATCH($D74,Listas!$A$2:$A$20,0)),""))</f>
        <v/>
      </c>
      <c r="U74" s="10" t="str">
        <f aca="false">IF($C74="","",IFERROR(INDEX(Listas!$C$2:$C$20,MATCH($D74,Listas!$A$2:$A$20,0)),""))</f>
        <v/>
      </c>
      <c r="V74" s="10" t="str">
        <f aca="false">IF($C74="","",IFERROR(INDEX(Listas!$D$2:$D$20,MATCH($D74,Listas!$A$2:$A$20,0)),""))</f>
        <v/>
      </c>
      <c r="W74" s="11" t="str">
        <f aca="false">IF(OR($C74="",$B74="",$G74=""),"",$G74-$B74)</f>
        <v/>
      </c>
      <c r="X74" s="11" t="str">
        <f aca="true">IF(OR($C74="",$B74=""),"",IF($N74&lt;&gt;"",$N74,TODAY())-$B74)</f>
        <v/>
      </c>
      <c r="Y74" s="11" t="str">
        <f aca="true">IF(OR($C74="",$M74&lt;&gt;"Abierta",$G74=""),"",MAX($G74-TODAY(),0))</f>
        <v/>
      </c>
      <c r="Z74" s="12" t="str">
        <f aca="false">IF($C74="","",N($K74)*N($H74)*N($I74)*IF($U74="Débito",-1,1))</f>
        <v/>
      </c>
      <c r="AA74" s="13" t="str">
        <f aca="false">IF($C74="","",IF(AND($U74="Débito",$F74&lt;&gt;""),$F74,$E74))</f>
        <v/>
      </c>
      <c r="AB74" s="13" t="str">
        <f aca="false">IF(OR($C74="",$T74="Mixta",$AA74=""),"",IF($V74="Subyacente",IF($J74="","",$J74-$K74),IF($T74="Put",$AA74-$K74,$AA74+$K74)))</f>
        <v/>
      </c>
      <c r="AC74" s="14" t="str">
        <f aca="false">IF(OR($C74="",$T74="Mixta",$J74="",$AA74=""),"",IF($T74="Put",($J74-$AA74)/$J74,($AA74-$J74)/$J74))</f>
        <v/>
      </c>
      <c r="AD74" s="12" t="str">
        <f aca="false">IF($C74="","",IF($Q74&lt;&gt;"",$Q74,IF($V74="Strike",N($E74)*$H74*$I74,IF($V74="Subyacente",IF($J74="","",$J74*$H74*$I74),IF($V74="Ancho",IF($F74="","",ABS($E74-$F74)*$H74*$I74-$K74*$H74*$I74),IF($V74="Prima",$K74*$H74*$I74,""))))))</f>
        <v/>
      </c>
      <c r="AE74" s="12" t="str">
        <f aca="false">IF(OR($C74="",$M74="Abierta",$M74=""),"",(N($K74)-IF(OR($M74="Cerrada",$M74="Rolada"),N($O74),0))*$H74*$I74*IF($U74="Débito",-1,1)-N($L74)-N($P74))</f>
        <v/>
      </c>
      <c r="AF74" s="14" t="str">
        <f aca="false">IF(OR($AE74="",$AD74=""),"",IF($AD74&lt;=0,"",$AE74/$AD74))</f>
        <v/>
      </c>
      <c r="AG74" s="14" t="str">
        <f aca="false">IF($AF74="","",$AF74*365/MAX(N($X74),1))</f>
        <v/>
      </c>
      <c r="AH74" s="14" t="str">
        <f aca="false">IF(OR($C74="",$U74&lt;&gt;"Crédito",$AD74=""),"",IF($AD74&lt;=0,"",($Z74-N($L74))/$AD74))</f>
        <v/>
      </c>
      <c r="AI74" s="14" t="str">
        <f aca="false">IF(OR($AH74="",$W74=""),"",$AH74*365/MAX($W74,1))</f>
        <v/>
      </c>
      <c r="AJ74" s="14" t="str">
        <f aca="false">IF(OR($AE74="",$U74&lt;&gt;"Crédito",N($K74)=0),"",(N($K74)-IF(OR($M74="Cerrada",$M74="Rolada"),N($O74),0))/$K74)</f>
        <v/>
      </c>
      <c r="AK74" s="15" t="str">
        <f aca="false">IF(OR($C74="",$N74=""),"",DATE(YEAR($N74),MONTH($N74),1))</f>
        <v/>
      </c>
      <c r="AL74" s="11" t="str">
        <f aca="false">IF($C74="","",IF($M74="Abierta",0,1))</f>
        <v/>
      </c>
      <c r="AM74" s="16" t="str">
        <f aca="false">IF(OR($AE74="",$AD74=""),"",$AD74*MAX(N($X74),1))</f>
        <v/>
      </c>
      <c r="AN74" s="10" t="str">
        <f aca="false">IF($C74="","",IF(OR($B74="",$D74="",$H74="",$K74="",$M74=""),"Faltan datos obligatorios",IF($T74="","Estrategia no reconocida",IF(AND($M74&lt;&gt;"Abierta",$N74=""),"Falta fecha cierre",IF(AND(OR($M74="Cerrada",$M74="Rolada"),$O74=""),"Falta prima cierre",IF(AND($N74&lt;&gt;"",$N74&lt;$B74),"Cierre anterior a apertura",IF(AND($M74="Asignada",$R74=""),"Asignada: falta ID lote acciones",IF(AND($R74&lt;&gt;"",ISNA(MATCH($R74,Acciones!$A$2:$A$201,0))),"El ID lote no existe en Acciones",IF($AD74="","Revisa capital en riesgo","OK")))))))))</f>
        <v/>
      </c>
    </row>
    <row r="75" customFormat="false" ht="15" hidden="false" customHeight="true" outlineLevel="0" collapsed="false">
      <c r="A75" s="5"/>
      <c r="B75" s="6"/>
      <c r="C75" s="7"/>
      <c r="D75" s="7"/>
      <c r="E75" s="8"/>
      <c r="F75" s="8"/>
      <c r="G75" s="6"/>
      <c r="H75" s="5"/>
      <c r="I75" s="5" t="n">
        <v>100</v>
      </c>
      <c r="J75" s="8"/>
      <c r="K75" s="8"/>
      <c r="L75" s="9"/>
      <c r="M75" s="7"/>
      <c r="N75" s="6"/>
      <c r="O75" s="8"/>
      <c r="P75" s="9"/>
      <c r="Q75" s="9"/>
      <c r="R75" s="7"/>
      <c r="S75" s="7"/>
      <c r="T75" s="10" t="str">
        <f aca="false">IF($C75="","",IFERROR(INDEX(Listas!$B$2:$B$20,MATCH($D75,Listas!$A$2:$A$20,0)),""))</f>
        <v/>
      </c>
      <c r="U75" s="10" t="str">
        <f aca="false">IF($C75="","",IFERROR(INDEX(Listas!$C$2:$C$20,MATCH($D75,Listas!$A$2:$A$20,0)),""))</f>
        <v/>
      </c>
      <c r="V75" s="10" t="str">
        <f aca="false">IF($C75="","",IFERROR(INDEX(Listas!$D$2:$D$20,MATCH($D75,Listas!$A$2:$A$20,0)),""))</f>
        <v/>
      </c>
      <c r="W75" s="11" t="str">
        <f aca="false">IF(OR($C75="",$B75="",$G75=""),"",$G75-$B75)</f>
        <v/>
      </c>
      <c r="X75" s="11" t="str">
        <f aca="true">IF(OR($C75="",$B75=""),"",IF($N75&lt;&gt;"",$N75,TODAY())-$B75)</f>
        <v/>
      </c>
      <c r="Y75" s="11" t="str">
        <f aca="true">IF(OR($C75="",$M75&lt;&gt;"Abierta",$G75=""),"",MAX($G75-TODAY(),0))</f>
        <v/>
      </c>
      <c r="Z75" s="12" t="str">
        <f aca="false">IF($C75="","",N($K75)*N($H75)*N($I75)*IF($U75="Débito",-1,1))</f>
        <v/>
      </c>
      <c r="AA75" s="13" t="str">
        <f aca="false">IF($C75="","",IF(AND($U75="Débito",$F75&lt;&gt;""),$F75,$E75))</f>
        <v/>
      </c>
      <c r="AB75" s="13" t="str">
        <f aca="false">IF(OR($C75="",$T75="Mixta",$AA75=""),"",IF($V75="Subyacente",IF($J75="","",$J75-$K75),IF($T75="Put",$AA75-$K75,$AA75+$K75)))</f>
        <v/>
      </c>
      <c r="AC75" s="14" t="str">
        <f aca="false">IF(OR($C75="",$T75="Mixta",$J75="",$AA75=""),"",IF($T75="Put",($J75-$AA75)/$J75,($AA75-$J75)/$J75))</f>
        <v/>
      </c>
      <c r="AD75" s="12" t="str">
        <f aca="false">IF($C75="","",IF($Q75&lt;&gt;"",$Q75,IF($V75="Strike",N($E75)*$H75*$I75,IF($V75="Subyacente",IF($J75="","",$J75*$H75*$I75),IF($V75="Ancho",IF($F75="","",ABS($E75-$F75)*$H75*$I75-$K75*$H75*$I75),IF($V75="Prima",$K75*$H75*$I75,""))))))</f>
        <v/>
      </c>
      <c r="AE75" s="12" t="str">
        <f aca="false">IF(OR($C75="",$M75="Abierta",$M75=""),"",(N($K75)-IF(OR($M75="Cerrada",$M75="Rolada"),N($O75),0))*$H75*$I75*IF($U75="Débito",-1,1)-N($L75)-N($P75))</f>
        <v/>
      </c>
      <c r="AF75" s="14" t="str">
        <f aca="false">IF(OR($AE75="",$AD75=""),"",IF($AD75&lt;=0,"",$AE75/$AD75))</f>
        <v/>
      </c>
      <c r="AG75" s="14" t="str">
        <f aca="false">IF($AF75="","",$AF75*365/MAX(N($X75),1))</f>
        <v/>
      </c>
      <c r="AH75" s="14" t="str">
        <f aca="false">IF(OR($C75="",$U75&lt;&gt;"Crédito",$AD75=""),"",IF($AD75&lt;=0,"",($Z75-N($L75))/$AD75))</f>
        <v/>
      </c>
      <c r="AI75" s="14" t="str">
        <f aca="false">IF(OR($AH75="",$W75=""),"",$AH75*365/MAX($W75,1))</f>
        <v/>
      </c>
      <c r="AJ75" s="14" t="str">
        <f aca="false">IF(OR($AE75="",$U75&lt;&gt;"Crédito",N($K75)=0),"",(N($K75)-IF(OR($M75="Cerrada",$M75="Rolada"),N($O75),0))/$K75)</f>
        <v/>
      </c>
      <c r="AK75" s="15" t="str">
        <f aca="false">IF(OR($C75="",$N75=""),"",DATE(YEAR($N75),MONTH($N75),1))</f>
        <v/>
      </c>
      <c r="AL75" s="11" t="str">
        <f aca="false">IF($C75="","",IF($M75="Abierta",0,1))</f>
        <v/>
      </c>
      <c r="AM75" s="16" t="str">
        <f aca="false">IF(OR($AE75="",$AD75=""),"",$AD75*MAX(N($X75),1))</f>
        <v/>
      </c>
      <c r="AN75" s="10" t="str">
        <f aca="false">IF($C75="","",IF(OR($B75="",$D75="",$H75="",$K75="",$M75=""),"Faltan datos obligatorios",IF($T75="","Estrategia no reconocida",IF(AND($M75&lt;&gt;"Abierta",$N75=""),"Falta fecha cierre",IF(AND(OR($M75="Cerrada",$M75="Rolada"),$O75=""),"Falta prima cierre",IF(AND($N75&lt;&gt;"",$N75&lt;$B75),"Cierre anterior a apertura",IF(AND($M75="Asignada",$R75=""),"Asignada: falta ID lote acciones",IF(AND($R75&lt;&gt;"",ISNA(MATCH($R75,Acciones!$A$2:$A$201,0))),"El ID lote no existe en Acciones",IF($AD75="","Revisa capital en riesgo","OK")))))))))</f>
        <v/>
      </c>
    </row>
    <row r="76" customFormat="false" ht="15" hidden="false" customHeight="true" outlineLevel="0" collapsed="false">
      <c r="A76" s="5"/>
      <c r="B76" s="6"/>
      <c r="C76" s="7"/>
      <c r="D76" s="7"/>
      <c r="E76" s="8"/>
      <c r="F76" s="8"/>
      <c r="G76" s="6"/>
      <c r="H76" s="5"/>
      <c r="I76" s="5" t="n">
        <v>100</v>
      </c>
      <c r="J76" s="8"/>
      <c r="K76" s="8"/>
      <c r="L76" s="9"/>
      <c r="M76" s="7"/>
      <c r="N76" s="6"/>
      <c r="O76" s="8"/>
      <c r="P76" s="9"/>
      <c r="Q76" s="9"/>
      <c r="R76" s="7"/>
      <c r="S76" s="7"/>
      <c r="T76" s="10" t="str">
        <f aca="false">IF($C76="","",IFERROR(INDEX(Listas!$B$2:$B$20,MATCH($D76,Listas!$A$2:$A$20,0)),""))</f>
        <v/>
      </c>
      <c r="U76" s="10" t="str">
        <f aca="false">IF($C76="","",IFERROR(INDEX(Listas!$C$2:$C$20,MATCH($D76,Listas!$A$2:$A$20,0)),""))</f>
        <v/>
      </c>
      <c r="V76" s="10" t="str">
        <f aca="false">IF($C76="","",IFERROR(INDEX(Listas!$D$2:$D$20,MATCH($D76,Listas!$A$2:$A$20,0)),""))</f>
        <v/>
      </c>
      <c r="W76" s="11" t="str">
        <f aca="false">IF(OR($C76="",$B76="",$G76=""),"",$G76-$B76)</f>
        <v/>
      </c>
      <c r="X76" s="11" t="str">
        <f aca="true">IF(OR($C76="",$B76=""),"",IF($N76&lt;&gt;"",$N76,TODAY())-$B76)</f>
        <v/>
      </c>
      <c r="Y76" s="11" t="str">
        <f aca="true">IF(OR($C76="",$M76&lt;&gt;"Abierta",$G76=""),"",MAX($G76-TODAY(),0))</f>
        <v/>
      </c>
      <c r="Z76" s="12" t="str">
        <f aca="false">IF($C76="","",N($K76)*N($H76)*N($I76)*IF($U76="Débito",-1,1))</f>
        <v/>
      </c>
      <c r="AA76" s="13" t="str">
        <f aca="false">IF($C76="","",IF(AND($U76="Débito",$F76&lt;&gt;""),$F76,$E76))</f>
        <v/>
      </c>
      <c r="AB76" s="13" t="str">
        <f aca="false">IF(OR($C76="",$T76="Mixta",$AA76=""),"",IF($V76="Subyacente",IF($J76="","",$J76-$K76),IF($T76="Put",$AA76-$K76,$AA76+$K76)))</f>
        <v/>
      </c>
      <c r="AC76" s="14" t="str">
        <f aca="false">IF(OR($C76="",$T76="Mixta",$J76="",$AA76=""),"",IF($T76="Put",($J76-$AA76)/$J76,($AA76-$J76)/$J76))</f>
        <v/>
      </c>
      <c r="AD76" s="12" t="str">
        <f aca="false">IF($C76="","",IF($Q76&lt;&gt;"",$Q76,IF($V76="Strike",N($E76)*$H76*$I76,IF($V76="Subyacente",IF($J76="","",$J76*$H76*$I76),IF($V76="Ancho",IF($F76="","",ABS($E76-$F76)*$H76*$I76-$K76*$H76*$I76),IF($V76="Prima",$K76*$H76*$I76,""))))))</f>
        <v/>
      </c>
      <c r="AE76" s="12" t="str">
        <f aca="false">IF(OR($C76="",$M76="Abierta",$M76=""),"",(N($K76)-IF(OR($M76="Cerrada",$M76="Rolada"),N($O76),0))*$H76*$I76*IF($U76="Débito",-1,1)-N($L76)-N($P76))</f>
        <v/>
      </c>
      <c r="AF76" s="14" t="str">
        <f aca="false">IF(OR($AE76="",$AD76=""),"",IF($AD76&lt;=0,"",$AE76/$AD76))</f>
        <v/>
      </c>
      <c r="AG76" s="14" t="str">
        <f aca="false">IF($AF76="","",$AF76*365/MAX(N($X76),1))</f>
        <v/>
      </c>
      <c r="AH76" s="14" t="str">
        <f aca="false">IF(OR($C76="",$U76&lt;&gt;"Crédito",$AD76=""),"",IF($AD76&lt;=0,"",($Z76-N($L76))/$AD76))</f>
        <v/>
      </c>
      <c r="AI76" s="14" t="str">
        <f aca="false">IF(OR($AH76="",$W76=""),"",$AH76*365/MAX($W76,1))</f>
        <v/>
      </c>
      <c r="AJ76" s="14" t="str">
        <f aca="false">IF(OR($AE76="",$U76&lt;&gt;"Crédito",N($K76)=0),"",(N($K76)-IF(OR($M76="Cerrada",$M76="Rolada"),N($O76),0))/$K76)</f>
        <v/>
      </c>
      <c r="AK76" s="15" t="str">
        <f aca="false">IF(OR($C76="",$N76=""),"",DATE(YEAR($N76),MONTH($N76),1))</f>
        <v/>
      </c>
      <c r="AL76" s="11" t="str">
        <f aca="false">IF($C76="","",IF($M76="Abierta",0,1))</f>
        <v/>
      </c>
      <c r="AM76" s="16" t="str">
        <f aca="false">IF(OR($AE76="",$AD76=""),"",$AD76*MAX(N($X76),1))</f>
        <v/>
      </c>
      <c r="AN76" s="10" t="str">
        <f aca="false">IF($C76="","",IF(OR($B76="",$D76="",$H76="",$K76="",$M76=""),"Faltan datos obligatorios",IF($T76="","Estrategia no reconocida",IF(AND($M76&lt;&gt;"Abierta",$N76=""),"Falta fecha cierre",IF(AND(OR($M76="Cerrada",$M76="Rolada"),$O76=""),"Falta prima cierre",IF(AND($N76&lt;&gt;"",$N76&lt;$B76),"Cierre anterior a apertura",IF(AND($M76="Asignada",$R76=""),"Asignada: falta ID lote acciones",IF(AND($R76&lt;&gt;"",ISNA(MATCH($R76,Acciones!$A$2:$A$201,0))),"El ID lote no existe en Acciones",IF($AD76="","Revisa capital en riesgo","OK")))))))))</f>
        <v/>
      </c>
    </row>
    <row r="77" customFormat="false" ht="15" hidden="false" customHeight="true" outlineLevel="0" collapsed="false">
      <c r="A77" s="5"/>
      <c r="B77" s="6"/>
      <c r="C77" s="7"/>
      <c r="D77" s="7"/>
      <c r="E77" s="8"/>
      <c r="F77" s="8"/>
      <c r="G77" s="6"/>
      <c r="H77" s="5"/>
      <c r="I77" s="5" t="n">
        <v>100</v>
      </c>
      <c r="J77" s="8"/>
      <c r="K77" s="8"/>
      <c r="L77" s="9"/>
      <c r="M77" s="7"/>
      <c r="N77" s="6"/>
      <c r="O77" s="8"/>
      <c r="P77" s="9"/>
      <c r="Q77" s="9"/>
      <c r="R77" s="7"/>
      <c r="S77" s="7"/>
      <c r="T77" s="10" t="str">
        <f aca="false">IF($C77="","",IFERROR(INDEX(Listas!$B$2:$B$20,MATCH($D77,Listas!$A$2:$A$20,0)),""))</f>
        <v/>
      </c>
      <c r="U77" s="10" t="str">
        <f aca="false">IF($C77="","",IFERROR(INDEX(Listas!$C$2:$C$20,MATCH($D77,Listas!$A$2:$A$20,0)),""))</f>
        <v/>
      </c>
      <c r="V77" s="10" t="str">
        <f aca="false">IF($C77="","",IFERROR(INDEX(Listas!$D$2:$D$20,MATCH($D77,Listas!$A$2:$A$20,0)),""))</f>
        <v/>
      </c>
      <c r="W77" s="11" t="str">
        <f aca="false">IF(OR($C77="",$B77="",$G77=""),"",$G77-$B77)</f>
        <v/>
      </c>
      <c r="X77" s="11" t="str">
        <f aca="true">IF(OR($C77="",$B77=""),"",IF($N77&lt;&gt;"",$N77,TODAY())-$B77)</f>
        <v/>
      </c>
      <c r="Y77" s="11" t="str">
        <f aca="true">IF(OR($C77="",$M77&lt;&gt;"Abierta",$G77=""),"",MAX($G77-TODAY(),0))</f>
        <v/>
      </c>
      <c r="Z77" s="12" t="str">
        <f aca="false">IF($C77="","",N($K77)*N($H77)*N($I77)*IF($U77="Débito",-1,1))</f>
        <v/>
      </c>
      <c r="AA77" s="13" t="str">
        <f aca="false">IF($C77="","",IF(AND($U77="Débito",$F77&lt;&gt;""),$F77,$E77))</f>
        <v/>
      </c>
      <c r="AB77" s="13" t="str">
        <f aca="false">IF(OR($C77="",$T77="Mixta",$AA77=""),"",IF($V77="Subyacente",IF($J77="","",$J77-$K77),IF($T77="Put",$AA77-$K77,$AA77+$K77)))</f>
        <v/>
      </c>
      <c r="AC77" s="14" t="str">
        <f aca="false">IF(OR($C77="",$T77="Mixta",$J77="",$AA77=""),"",IF($T77="Put",($J77-$AA77)/$J77,($AA77-$J77)/$J77))</f>
        <v/>
      </c>
      <c r="AD77" s="12" t="str">
        <f aca="false">IF($C77="","",IF($Q77&lt;&gt;"",$Q77,IF($V77="Strike",N($E77)*$H77*$I77,IF($V77="Subyacente",IF($J77="","",$J77*$H77*$I77),IF($V77="Ancho",IF($F77="","",ABS($E77-$F77)*$H77*$I77-$K77*$H77*$I77),IF($V77="Prima",$K77*$H77*$I77,""))))))</f>
        <v/>
      </c>
      <c r="AE77" s="12" t="str">
        <f aca="false">IF(OR($C77="",$M77="Abierta",$M77=""),"",(N($K77)-IF(OR($M77="Cerrada",$M77="Rolada"),N($O77),0))*$H77*$I77*IF($U77="Débito",-1,1)-N($L77)-N($P77))</f>
        <v/>
      </c>
      <c r="AF77" s="14" t="str">
        <f aca="false">IF(OR($AE77="",$AD77=""),"",IF($AD77&lt;=0,"",$AE77/$AD77))</f>
        <v/>
      </c>
      <c r="AG77" s="14" t="str">
        <f aca="false">IF($AF77="","",$AF77*365/MAX(N($X77),1))</f>
        <v/>
      </c>
      <c r="AH77" s="14" t="str">
        <f aca="false">IF(OR($C77="",$U77&lt;&gt;"Crédito",$AD77=""),"",IF($AD77&lt;=0,"",($Z77-N($L77))/$AD77))</f>
        <v/>
      </c>
      <c r="AI77" s="14" t="str">
        <f aca="false">IF(OR($AH77="",$W77=""),"",$AH77*365/MAX($W77,1))</f>
        <v/>
      </c>
      <c r="AJ77" s="14" t="str">
        <f aca="false">IF(OR($AE77="",$U77&lt;&gt;"Crédito",N($K77)=0),"",(N($K77)-IF(OR($M77="Cerrada",$M77="Rolada"),N($O77),0))/$K77)</f>
        <v/>
      </c>
      <c r="AK77" s="15" t="str">
        <f aca="false">IF(OR($C77="",$N77=""),"",DATE(YEAR($N77),MONTH($N77),1))</f>
        <v/>
      </c>
      <c r="AL77" s="11" t="str">
        <f aca="false">IF($C77="","",IF($M77="Abierta",0,1))</f>
        <v/>
      </c>
      <c r="AM77" s="16" t="str">
        <f aca="false">IF(OR($AE77="",$AD77=""),"",$AD77*MAX(N($X77),1))</f>
        <v/>
      </c>
      <c r="AN77" s="10" t="str">
        <f aca="false">IF($C77="","",IF(OR($B77="",$D77="",$H77="",$K77="",$M77=""),"Faltan datos obligatorios",IF($T77="","Estrategia no reconocida",IF(AND($M77&lt;&gt;"Abierta",$N77=""),"Falta fecha cierre",IF(AND(OR($M77="Cerrada",$M77="Rolada"),$O77=""),"Falta prima cierre",IF(AND($N77&lt;&gt;"",$N77&lt;$B77),"Cierre anterior a apertura",IF(AND($M77="Asignada",$R77=""),"Asignada: falta ID lote acciones",IF(AND($R77&lt;&gt;"",ISNA(MATCH($R77,Acciones!$A$2:$A$201,0))),"El ID lote no existe en Acciones",IF($AD77="","Revisa capital en riesgo","OK")))))))))</f>
        <v/>
      </c>
    </row>
    <row r="78" customFormat="false" ht="15" hidden="false" customHeight="true" outlineLevel="0" collapsed="false">
      <c r="A78" s="5"/>
      <c r="B78" s="6"/>
      <c r="C78" s="7"/>
      <c r="D78" s="7"/>
      <c r="E78" s="8"/>
      <c r="F78" s="8"/>
      <c r="G78" s="6"/>
      <c r="H78" s="5"/>
      <c r="I78" s="5" t="n">
        <v>100</v>
      </c>
      <c r="J78" s="8"/>
      <c r="K78" s="8"/>
      <c r="L78" s="9"/>
      <c r="M78" s="7"/>
      <c r="N78" s="6"/>
      <c r="O78" s="8"/>
      <c r="P78" s="9"/>
      <c r="Q78" s="9"/>
      <c r="R78" s="7"/>
      <c r="S78" s="7"/>
      <c r="T78" s="10" t="str">
        <f aca="false">IF($C78="","",IFERROR(INDEX(Listas!$B$2:$B$20,MATCH($D78,Listas!$A$2:$A$20,0)),""))</f>
        <v/>
      </c>
      <c r="U78" s="10" t="str">
        <f aca="false">IF($C78="","",IFERROR(INDEX(Listas!$C$2:$C$20,MATCH($D78,Listas!$A$2:$A$20,0)),""))</f>
        <v/>
      </c>
      <c r="V78" s="10" t="str">
        <f aca="false">IF($C78="","",IFERROR(INDEX(Listas!$D$2:$D$20,MATCH($D78,Listas!$A$2:$A$20,0)),""))</f>
        <v/>
      </c>
      <c r="W78" s="11" t="str">
        <f aca="false">IF(OR($C78="",$B78="",$G78=""),"",$G78-$B78)</f>
        <v/>
      </c>
      <c r="X78" s="11" t="str">
        <f aca="true">IF(OR($C78="",$B78=""),"",IF($N78&lt;&gt;"",$N78,TODAY())-$B78)</f>
        <v/>
      </c>
      <c r="Y78" s="11" t="str">
        <f aca="true">IF(OR($C78="",$M78&lt;&gt;"Abierta",$G78=""),"",MAX($G78-TODAY(),0))</f>
        <v/>
      </c>
      <c r="Z78" s="12" t="str">
        <f aca="false">IF($C78="","",N($K78)*N($H78)*N($I78)*IF($U78="Débito",-1,1))</f>
        <v/>
      </c>
      <c r="AA78" s="13" t="str">
        <f aca="false">IF($C78="","",IF(AND($U78="Débito",$F78&lt;&gt;""),$F78,$E78))</f>
        <v/>
      </c>
      <c r="AB78" s="13" t="str">
        <f aca="false">IF(OR($C78="",$T78="Mixta",$AA78=""),"",IF($V78="Subyacente",IF($J78="","",$J78-$K78),IF($T78="Put",$AA78-$K78,$AA78+$K78)))</f>
        <v/>
      </c>
      <c r="AC78" s="14" t="str">
        <f aca="false">IF(OR($C78="",$T78="Mixta",$J78="",$AA78=""),"",IF($T78="Put",($J78-$AA78)/$J78,($AA78-$J78)/$J78))</f>
        <v/>
      </c>
      <c r="AD78" s="12" t="str">
        <f aca="false">IF($C78="","",IF($Q78&lt;&gt;"",$Q78,IF($V78="Strike",N($E78)*$H78*$I78,IF($V78="Subyacente",IF($J78="","",$J78*$H78*$I78),IF($V78="Ancho",IF($F78="","",ABS($E78-$F78)*$H78*$I78-$K78*$H78*$I78),IF($V78="Prima",$K78*$H78*$I78,""))))))</f>
        <v/>
      </c>
      <c r="AE78" s="12" t="str">
        <f aca="false">IF(OR($C78="",$M78="Abierta",$M78=""),"",(N($K78)-IF(OR($M78="Cerrada",$M78="Rolada"),N($O78),0))*$H78*$I78*IF($U78="Débito",-1,1)-N($L78)-N($P78))</f>
        <v/>
      </c>
      <c r="AF78" s="14" t="str">
        <f aca="false">IF(OR($AE78="",$AD78=""),"",IF($AD78&lt;=0,"",$AE78/$AD78))</f>
        <v/>
      </c>
      <c r="AG78" s="14" t="str">
        <f aca="false">IF($AF78="","",$AF78*365/MAX(N($X78),1))</f>
        <v/>
      </c>
      <c r="AH78" s="14" t="str">
        <f aca="false">IF(OR($C78="",$U78&lt;&gt;"Crédito",$AD78=""),"",IF($AD78&lt;=0,"",($Z78-N($L78))/$AD78))</f>
        <v/>
      </c>
      <c r="AI78" s="14" t="str">
        <f aca="false">IF(OR($AH78="",$W78=""),"",$AH78*365/MAX($W78,1))</f>
        <v/>
      </c>
      <c r="AJ78" s="14" t="str">
        <f aca="false">IF(OR($AE78="",$U78&lt;&gt;"Crédito",N($K78)=0),"",(N($K78)-IF(OR($M78="Cerrada",$M78="Rolada"),N($O78),0))/$K78)</f>
        <v/>
      </c>
      <c r="AK78" s="15" t="str">
        <f aca="false">IF(OR($C78="",$N78=""),"",DATE(YEAR($N78),MONTH($N78),1))</f>
        <v/>
      </c>
      <c r="AL78" s="11" t="str">
        <f aca="false">IF($C78="","",IF($M78="Abierta",0,1))</f>
        <v/>
      </c>
      <c r="AM78" s="16" t="str">
        <f aca="false">IF(OR($AE78="",$AD78=""),"",$AD78*MAX(N($X78),1))</f>
        <v/>
      </c>
      <c r="AN78" s="10" t="str">
        <f aca="false">IF($C78="","",IF(OR($B78="",$D78="",$H78="",$K78="",$M78=""),"Faltan datos obligatorios",IF($T78="","Estrategia no reconocida",IF(AND($M78&lt;&gt;"Abierta",$N78=""),"Falta fecha cierre",IF(AND(OR($M78="Cerrada",$M78="Rolada"),$O78=""),"Falta prima cierre",IF(AND($N78&lt;&gt;"",$N78&lt;$B78),"Cierre anterior a apertura",IF(AND($M78="Asignada",$R78=""),"Asignada: falta ID lote acciones",IF(AND($R78&lt;&gt;"",ISNA(MATCH($R78,Acciones!$A$2:$A$201,0))),"El ID lote no existe en Acciones",IF($AD78="","Revisa capital en riesgo","OK")))))))))</f>
        <v/>
      </c>
    </row>
    <row r="79" customFormat="false" ht="15" hidden="false" customHeight="true" outlineLevel="0" collapsed="false">
      <c r="A79" s="5"/>
      <c r="B79" s="6"/>
      <c r="C79" s="7"/>
      <c r="D79" s="7"/>
      <c r="E79" s="8"/>
      <c r="F79" s="8"/>
      <c r="G79" s="6"/>
      <c r="H79" s="5"/>
      <c r="I79" s="5" t="n">
        <v>100</v>
      </c>
      <c r="J79" s="8"/>
      <c r="K79" s="8"/>
      <c r="L79" s="9"/>
      <c r="M79" s="7"/>
      <c r="N79" s="6"/>
      <c r="O79" s="8"/>
      <c r="P79" s="9"/>
      <c r="Q79" s="9"/>
      <c r="R79" s="7"/>
      <c r="S79" s="7"/>
      <c r="T79" s="10" t="str">
        <f aca="false">IF($C79="","",IFERROR(INDEX(Listas!$B$2:$B$20,MATCH($D79,Listas!$A$2:$A$20,0)),""))</f>
        <v/>
      </c>
      <c r="U79" s="10" t="str">
        <f aca="false">IF($C79="","",IFERROR(INDEX(Listas!$C$2:$C$20,MATCH($D79,Listas!$A$2:$A$20,0)),""))</f>
        <v/>
      </c>
      <c r="V79" s="10" t="str">
        <f aca="false">IF($C79="","",IFERROR(INDEX(Listas!$D$2:$D$20,MATCH($D79,Listas!$A$2:$A$20,0)),""))</f>
        <v/>
      </c>
      <c r="W79" s="11" t="str">
        <f aca="false">IF(OR($C79="",$B79="",$G79=""),"",$G79-$B79)</f>
        <v/>
      </c>
      <c r="X79" s="11" t="str">
        <f aca="true">IF(OR($C79="",$B79=""),"",IF($N79&lt;&gt;"",$N79,TODAY())-$B79)</f>
        <v/>
      </c>
      <c r="Y79" s="11" t="str">
        <f aca="true">IF(OR($C79="",$M79&lt;&gt;"Abierta",$G79=""),"",MAX($G79-TODAY(),0))</f>
        <v/>
      </c>
      <c r="Z79" s="12" t="str">
        <f aca="false">IF($C79="","",N($K79)*N($H79)*N($I79)*IF($U79="Débito",-1,1))</f>
        <v/>
      </c>
      <c r="AA79" s="13" t="str">
        <f aca="false">IF($C79="","",IF(AND($U79="Débito",$F79&lt;&gt;""),$F79,$E79))</f>
        <v/>
      </c>
      <c r="AB79" s="13" t="str">
        <f aca="false">IF(OR($C79="",$T79="Mixta",$AA79=""),"",IF($V79="Subyacente",IF($J79="","",$J79-$K79),IF($T79="Put",$AA79-$K79,$AA79+$K79)))</f>
        <v/>
      </c>
      <c r="AC79" s="14" t="str">
        <f aca="false">IF(OR($C79="",$T79="Mixta",$J79="",$AA79=""),"",IF($T79="Put",($J79-$AA79)/$J79,($AA79-$J79)/$J79))</f>
        <v/>
      </c>
      <c r="AD79" s="12" t="str">
        <f aca="false">IF($C79="","",IF($Q79&lt;&gt;"",$Q79,IF($V79="Strike",N($E79)*$H79*$I79,IF($V79="Subyacente",IF($J79="","",$J79*$H79*$I79),IF($V79="Ancho",IF($F79="","",ABS($E79-$F79)*$H79*$I79-$K79*$H79*$I79),IF($V79="Prima",$K79*$H79*$I79,""))))))</f>
        <v/>
      </c>
      <c r="AE79" s="12" t="str">
        <f aca="false">IF(OR($C79="",$M79="Abierta",$M79=""),"",(N($K79)-IF(OR($M79="Cerrada",$M79="Rolada"),N($O79),0))*$H79*$I79*IF($U79="Débito",-1,1)-N($L79)-N($P79))</f>
        <v/>
      </c>
      <c r="AF79" s="14" t="str">
        <f aca="false">IF(OR($AE79="",$AD79=""),"",IF($AD79&lt;=0,"",$AE79/$AD79))</f>
        <v/>
      </c>
      <c r="AG79" s="14" t="str">
        <f aca="false">IF($AF79="","",$AF79*365/MAX(N($X79),1))</f>
        <v/>
      </c>
      <c r="AH79" s="14" t="str">
        <f aca="false">IF(OR($C79="",$U79&lt;&gt;"Crédito",$AD79=""),"",IF($AD79&lt;=0,"",($Z79-N($L79))/$AD79))</f>
        <v/>
      </c>
      <c r="AI79" s="14" t="str">
        <f aca="false">IF(OR($AH79="",$W79=""),"",$AH79*365/MAX($W79,1))</f>
        <v/>
      </c>
      <c r="AJ79" s="14" t="str">
        <f aca="false">IF(OR($AE79="",$U79&lt;&gt;"Crédito",N($K79)=0),"",(N($K79)-IF(OR($M79="Cerrada",$M79="Rolada"),N($O79),0))/$K79)</f>
        <v/>
      </c>
      <c r="AK79" s="15" t="str">
        <f aca="false">IF(OR($C79="",$N79=""),"",DATE(YEAR($N79),MONTH($N79),1))</f>
        <v/>
      </c>
      <c r="AL79" s="11" t="str">
        <f aca="false">IF($C79="","",IF($M79="Abierta",0,1))</f>
        <v/>
      </c>
      <c r="AM79" s="16" t="str">
        <f aca="false">IF(OR($AE79="",$AD79=""),"",$AD79*MAX(N($X79),1))</f>
        <v/>
      </c>
      <c r="AN79" s="10" t="str">
        <f aca="false">IF($C79="","",IF(OR($B79="",$D79="",$H79="",$K79="",$M79=""),"Faltan datos obligatorios",IF($T79="","Estrategia no reconocida",IF(AND($M79&lt;&gt;"Abierta",$N79=""),"Falta fecha cierre",IF(AND(OR($M79="Cerrada",$M79="Rolada"),$O79=""),"Falta prima cierre",IF(AND($N79&lt;&gt;"",$N79&lt;$B79),"Cierre anterior a apertura",IF(AND($M79="Asignada",$R79=""),"Asignada: falta ID lote acciones",IF(AND($R79&lt;&gt;"",ISNA(MATCH($R79,Acciones!$A$2:$A$201,0))),"El ID lote no existe en Acciones",IF($AD79="","Revisa capital en riesgo","OK")))))))))</f>
        <v/>
      </c>
    </row>
    <row r="80" customFormat="false" ht="15" hidden="false" customHeight="true" outlineLevel="0" collapsed="false">
      <c r="A80" s="5"/>
      <c r="B80" s="6"/>
      <c r="C80" s="7"/>
      <c r="D80" s="7"/>
      <c r="E80" s="8"/>
      <c r="F80" s="8"/>
      <c r="G80" s="6"/>
      <c r="H80" s="5"/>
      <c r="I80" s="5" t="n">
        <v>100</v>
      </c>
      <c r="J80" s="8"/>
      <c r="K80" s="8"/>
      <c r="L80" s="9"/>
      <c r="M80" s="7"/>
      <c r="N80" s="6"/>
      <c r="O80" s="8"/>
      <c r="P80" s="9"/>
      <c r="Q80" s="9"/>
      <c r="R80" s="7"/>
      <c r="S80" s="7"/>
      <c r="T80" s="10" t="str">
        <f aca="false">IF($C80="","",IFERROR(INDEX(Listas!$B$2:$B$20,MATCH($D80,Listas!$A$2:$A$20,0)),""))</f>
        <v/>
      </c>
      <c r="U80" s="10" t="str">
        <f aca="false">IF($C80="","",IFERROR(INDEX(Listas!$C$2:$C$20,MATCH($D80,Listas!$A$2:$A$20,0)),""))</f>
        <v/>
      </c>
      <c r="V80" s="10" t="str">
        <f aca="false">IF($C80="","",IFERROR(INDEX(Listas!$D$2:$D$20,MATCH($D80,Listas!$A$2:$A$20,0)),""))</f>
        <v/>
      </c>
      <c r="W80" s="11" t="str">
        <f aca="false">IF(OR($C80="",$B80="",$G80=""),"",$G80-$B80)</f>
        <v/>
      </c>
      <c r="X80" s="11" t="str">
        <f aca="true">IF(OR($C80="",$B80=""),"",IF($N80&lt;&gt;"",$N80,TODAY())-$B80)</f>
        <v/>
      </c>
      <c r="Y80" s="11" t="str">
        <f aca="true">IF(OR($C80="",$M80&lt;&gt;"Abierta",$G80=""),"",MAX($G80-TODAY(),0))</f>
        <v/>
      </c>
      <c r="Z80" s="12" t="str">
        <f aca="false">IF($C80="","",N($K80)*N($H80)*N($I80)*IF($U80="Débito",-1,1))</f>
        <v/>
      </c>
      <c r="AA80" s="13" t="str">
        <f aca="false">IF($C80="","",IF(AND($U80="Débito",$F80&lt;&gt;""),$F80,$E80))</f>
        <v/>
      </c>
      <c r="AB80" s="13" t="str">
        <f aca="false">IF(OR($C80="",$T80="Mixta",$AA80=""),"",IF($V80="Subyacente",IF($J80="","",$J80-$K80),IF($T80="Put",$AA80-$K80,$AA80+$K80)))</f>
        <v/>
      </c>
      <c r="AC80" s="14" t="str">
        <f aca="false">IF(OR($C80="",$T80="Mixta",$J80="",$AA80=""),"",IF($T80="Put",($J80-$AA80)/$J80,($AA80-$J80)/$J80))</f>
        <v/>
      </c>
      <c r="AD80" s="12" t="str">
        <f aca="false">IF($C80="","",IF($Q80&lt;&gt;"",$Q80,IF($V80="Strike",N($E80)*$H80*$I80,IF($V80="Subyacente",IF($J80="","",$J80*$H80*$I80),IF($V80="Ancho",IF($F80="","",ABS($E80-$F80)*$H80*$I80-$K80*$H80*$I80),IF($V80="Prima",$K80*$H80*$I80,""))))))</f>
        <v/>
      </c>
      <c r="AE80" s="12" t="str">
        <f aca="false">IF(OR($C80="",$M80="Abierta",$M80=""),"",(N($K80)-IF(OR($M80="Cerrada",$M80="Rolada"),N($O80),0))*$H80*$I80*IF($U80="Débito",-1,1)-N($L80)-N($P80))</f>
        <v/>
      </c>
      <c r="AF80" s="14" t="str">
        <f aca="false">IF(OR($AE80="",$AD80=""),"",IF($AD80&lt;=0,"",$AE80/$AD80))</f>
        <v/>
      </c>
      <c r="AG80" s="14" t="str">
        <f aca="false">IF($AF80="","",$AF80*365/MAX(N($X80),1))</f>
        <v/>
      </c>
      <c r="AH80" s="14" t="str">
        <f aca="false">IF(OR($C80="",$U80&lt;&gt;"Crédito",$AD80=""),"",IF($AD80&lt;=0,"",($Z80-N($L80))/$AD80))</f>
        <v/>
      </c>
      <c r="AI80" s="14" t="str">
        <f aca="false">IF(OR($AH80="",$W80=""),"",$AH80*365/MAX($W80,1))</f>
        <v/>
      </c>
      <c r="AJ80" s="14" t="str">
        <f aca="false">IF(OR($AE80="",$U80&lt;&gt;"Crédito",N($K80)=0),"",(N($K80)-IF(OR($M80="Cerrada",$M80="Rolada"),N($O80),0))/$K80)</f>
        <v/>
      </c>
      <c r="AK80" s="15" t="str">
        <f aca="false">IF(OR($C80="",$N80=""),"",DATE(YEAR($N80),MONTH($N80),1))</f>
        <v/>
      </c>
      <c r="AL80" s="11" t="str">
        <f aca="false">IF($C80="","",IF($M80="Abierta",0,1))</f>
        <v/>
      </c>
      <c r="AM80" s="16" t="str">
        <f aca="false">IF(OR($AE80="",$AD80=""),"",$AD80*MAX(N($X80),1))</f>
        <v/>
      </c>
      <c r="AN80" s="10" t="str">
        <f aca="false">IF($C80="","",IF(OR($B80="",$D80="",$H80="",$K80="",$M80=""),"Faltan datos obligatorios",IF($T80="","Estrategia no reconocida",IF(AND($M80&lt;&gt;"Abierta",$N80=""),"Falta fecha cierre",IF(AND(OR($M80="Cerrada",$M80="Rolada"),$O80=""),"Falta prima cierre",IF(AND($N80&lt;&gt;"",$N80&lt;$B80),"Cierre anterior a apertura",IF(AND($M80="Asignada",$R80=""),"Asignada: falta ID lote acciones",IF(AND($R80&lt;&gt;"",ISNA(MATCH($R80,Acciones!$A$2:$A$201,0))),"El ID lote no existe en Acciones",IF($AD80="","Revisa capital en riesgo","OK")))))))))</f>
        <v/>
      </c>
    </row>
    <row r="81" customFormat="false" ht="15" hidden="false" customHeight="true" outlineLevel="0" collapsed="false">
      <c r="A81" s="5"/>
      <c r="B81" s="6"/>
      <c r="C81" s="7"/>
      <c r="D81" s="7"/>
      <c r="E81" s="8"/>
      <c r="F81" s="8"/>
      <c r="G81" s="6"/>
      <c r="H81" s="5"/>
      <c r="I81" s="5" t="n">
        <v>100</v>
      </c>
      <c r="J81" s="8"/>
      <c r="K81" s="8"/>
      <c r="L81" s="9"/>
      <c r="M81" s="7"/>
      <c r="N81" s="6"/>
      <c r="O81" s="8"/>
      <c r="P81" s="9"/>
      <c r="Q81" s="9"/>
      <c r="R81" s="7"/>
      <c r="S81" s="7"/>
      <c r="T81" s="10" t="str">
        <f aca="false">IF($C81="","",IFERROR(INDEX(Listas!$B$2:$B$20,MATCH($D81,Listas!$A$2:$A$20,0)),""))</f>
        <v/>
      </c>
      <c r="U81" s="10" t="str">
        <f aca="false">IF($C81="","",IFERROR(INDEX(Listas!$C$2:$C$20,MATCH($D81,Listas!$A$2:$A$20,0)),""))</f>
        <v/>
      </c>
      <c r="V81" s="10" t="str">
        <f aca="false">IF($C81="","",IFERROR(INDEX(Listas!$D$2:$D$20,MATCH($D81,Listas!$A$2:$A$20,0)),""))</f>
        <v/>
      </c>
      <c r="W81" s="11" t="str">
        <f aca="false">IF(OR($C81="",$B81="",$G81=""),"",$G81-$B81)</f>
        <v/>
      </c>
      <c r="X81" s="11" t="str">
        <f aca="true">IF(OR($C81="",$B81=""),"",IF($N81&lt;&gt;"",$N81,TODAY())-$B81)</f>
        <v/>
      </c>
      <c r="Y81" s="11" t="str">
        <f aca="true">IF(OR($C81="",$M81&lt;&gt;"Abierta",$G81=""),"",MAX($G81-TODAY(),0))</f>
        <v/>
      </c>
      <c r="Z81" s="12" t="str">
        <f aca="false">IF($C81="","",N($K81)*N($H81)*N($I81)*IF($U81="Débito",-1,1))</f>
        <v/>
      </c>
      <c r="AA81" s="13" t="str">
        <f aca="false">IF($C81="","",IF(AND($U81="Débito",$F81&lt;&gt;""),$F81,$E81))</f>
        <v/>
      </c>
      <c r="AB81" s="13" t="str">
        <f aca="false">IF(OR($C81="",$T81="Mixta",$AA81=""),"",IF($V81="Subyacente",IF($J81="","",$J81-$K81),IF($T81="Put",$AA81-$K81,$AA81+$K81)))</f>
        <v/>
      </c>
      <c r="AC81" s="14" t="str">
        <f aca="false">IF(OR($C81="",$T81="Mixta",$J81="",$AA81=""),"",IF($T81="Put",($J81-$AA81)/$J81,($AA81-$J81)/$J81))</f>
        <v/>
      </c>
      <c r="AD81" s="12" t="str">
        <f aca="false">IF($C81="","",IF($Q81&lt;&gt;"",$Q81,IF($V81="Strike",N($E81)*$H81*$I81,IF($V81="Subyacente",IF($J81="","",$J81*$H81*$I81),IF($V81="Ancho",IF($F81="","",ABS($E81-$F81)*$H81*$I81-$K81*$H81*$I81),IF($V81="Prima",$K81*$H81*$I81,""))))))</f>
        <v/>
      </c>
      <c r="AE81" s="12" t="str">
        <f aca="false">IF(OR($C81="",$M81="Abierta",$M81=""),"",(N($K81)-IF(OR($M81="Cerrada",$M81="Rolada"),N($O81),0))*$H81*$I81*IF($U81="Débito",-1,1)-N($L81)-N($P81))</f>
        <v/>
      </c>
      <c r="AF81" s="14" t="str">
        <f aca="false">IF(OR($AE81="",$AD81=""),"",IF($AD81&lt;=0,"",$AE81/$AD81))</f>
        <v/>
      </c>
      <c r="AG81" s="14" t="str">
        <f aca="false">IF($AF81="","",$AF81*365/MAX(N($X81),1))</f>
        <v/>
      </c>
      <c r="AH81" s="14" t="str">
        <f aca="false">IF(OR($C81="",$U81&lt;&gt;"Crédito",$AD81=""),"",IF($AD81&lt;=0,"",($Z81-N($L81))/$AD81))</f>
        <v/>
      </c>
      <c r="AI81" s="14" t="str">
        <f aca="false">IF(OR($AH81="",$W81=""),"",$AH81*365/MAX($W81,1))</f>
        <v/>
      </c>
      <c r="AJ81" s="14" t="str">
        <f aca="false">IF(OR($AE81="",$U81&lt;&gt;"Crédito",N($K81)=0),"",(N($K81)-IF(OR($M81="Cerrada",$M81="Rolada"),N($O81),0))/$K81)</f>
        <v/>
      </c>
      <c r="AK81" s="15" t="str">
        <f aca="false">IF(OR($C81="",$N81=""),"",DATE(YEAR($N81),MONTH($N81),1))</f>
        <v/>
      </c>
      <c r="AL81" s="11" t="str">
        <f aca="false">IF($C81="","",IF($M81="Abierta",0,1))</f>
        <v/>
      </c>
      <c r="AM81" s="16" t="str">
        <f aca="false">IF(OR($AE81="",$AD81=""),"",$AD81*MAX(N($X81),1))</f>
        <v/>
      </c>
      <c r="AN81" s="10" t="str">
        <f aca="false">IF($C81="","",IF(OR($B81="",$D81="",$H81="",$K81="",$M81=""),"Faltan datos obligatorios",IF($T81="","Estrategia no reconocida",IF(AND($M81&lt;&gt;"Abierta",$N81=""),"Falta fecha cierre",IF(AND(OR($M81="Cerrada",$M81="Rolada"),$O81=""),"Falta prima cierre",IF(AND($N81&lt;&gt;"",$N81&lt;$B81),"Cierre anterior a apertura",IF(AND($M81="Asignada",$R81=""),"Asignada: falta ID lote acciones",IF(AND($R81&lt;&gt;"",ISNA(MATCH($R81,Acciones!$A$2:$A$201,0))),"El ID lote no existe en Acciones",IF($AD81="","Revisa capital en riesgo","OK")))))))))</f>
        <v/>
      </c>
    </row>
    <row r="82" customFormat="false" ht="15" hidden="false" customHeight="true" outlineLevel="0" collapsed="false">
      <c r="A82" s="5"/>
      <c r="B82" s="6"/>
      <c r="C82" s="7"/>
      <c r="D82" s="7"/>
      <c r="E82" s="8"/>
      <c r="F82" s="8"/>
      <c r="G82" s="6"/>
      <c r="H82" s="5"/>
      <c r="I82" s="5" t="n">
        <v>100</v>
      </c>
      <c r="J82" s="8"/>
      <c r="K82" s="8"/>
      <c r="L82" s="9"/>
      <c r="M82" s="7"/>
      <c r="N82" s="6"/>
      <c r="O82" s="8"/>
      <c r="P82" s="9"/>
      <c r="Q82" s="9"/>
      <c r="R82" s="7"/>
      <c r="S82" s="7"/>
      <c r="T82" s="10" t="str">
        <f aca="false">IF($C82="","",IFERROR(INDEX(Listas!$B$2:$B$20,MATCH($D82,Listas!$A$2:$A$20,0)),""))</f>
        <v/>
      </c>
      <c r="U82" s="10" t="str">
        <f aca="false">IF($C82="","",IFERROR(INDEX(Listas!$C$2:$C$20,MATCH($D82,Listas!$A$2:$A$20,0)),""))</f>
        <v/>
      </c>
      <c r="V82" s="10" t="str">
        <f aca="false">IF($C82="","",IFERROR(INDEX(Listas!$D$2:$D$20,MATCH($D82,Listas!$A$2:$A$20,0)),""))</f>
        <v/>
      </c>
      <c r="W82" s="11" t="str">
        <f aca="false">IF(OR($C82="",$B82="",$G82=""),"",$G82-$B82)</f>
        <v/>
      </c>
      <c r="X82" s="11" t="str">
        <f aca="true">IF(OR($C82="",$B82=""),"",IF($N82&lt;&gt;"",$N82,TODAY())-$B82)</f>
        <v/>
      </c>
      <c r="Y82" s="11" t="str">
        <f aca="true">IF(OR($C82="",$M82&lt;&gt;"Abierta",$G82=""),"",MAX($G82-TODAY(),0))</f>
        <v/>
      </c>
      <c r="Z82" s="12" t="str">
        <f aca="false">IF($C82="","",N($K82)*N($H82)*N($I82)*IF($U82="Débito",-1,1))</f>
        <v/>
      </c>
      <c r="AA82" s="13" t="str">
        <f aca="false">IF($C82="","",IF(AND($U82="Débito",$F82&lt;&gt;""),$F82,$E82))</f>
        <v/>
      </c>
      <c r="AB82" s="13" t="str">
        <f aca="false">IF(OR($C82="",$T82="Mixta",$AA82=""),"",IF($V82="Subyacente",IF($J82="","",$J82-$K82),IF($T82="Put",$AA82-$K82,$AA82+$K82)))</f>
        <v/>
      </c>
      <c r="AC82" s="14" t="str">
        <f aca="false">IF(OR($C82="",$T82="Mixta",$J82="",$AA82=""),"",IF($T82="Put",($J82-$AA82)/$J82,($AA82-$J82)/$J82))</f>
        <v/>
      </c>
      <c r="AD82" s="12" t="str">
        <f aca="false">IF($C82="","",IF($Q82&lt;&gt;"",$Q82,IF($V82="Strike",N($E82)*$H82*$I82,IF($V82="Subyacente",IF($J82="","",$J82*$H82*$I82),IF($V82="Ancho",IF($F82="","",ABS($E82-$F82)*$H82*$I82-$K82*$H82*$I82),IF($V82="Prima",$K82*$H82*$I82,""))))))</f>
        <v/>
      </c>
      <c r="AE82" s="12" t="str">
        <f aca="false">IF(OR($C82="",$M82="Abierta",$M82=""),"",(N($K82)-IF(OR($M82="Cerrada",$M82="Rolada"),N($O82),0))*$H82*$I82*IF($U82="Débito",-1,1)-N($L82)-N($P82))</f>
        <v/>
      </c>
      <c r="AF82" s="14" t="str">
        <f aca="false">IF(OR($AE82="",$AD82=""),"",IF($AD82&lt;=0,"",$AE82/$AD82))</f>
        <v/>
      </c>
      <c r="AG82" s="14" t="str">
        <f aca="false">IF($AF82="","",$AF82*365/MAX(N($X82),1))</f>
        <v/>
      </c>
      <c r="AH82" s="14" t="str">
        <f aca="false">IF(OR($C82="",$U82&lt;&gt;"Crédito",$AD82=""),"",IF($AD82&lt;=0,"",($Z82-N($L82))/$AD82))</f>
        <v/>
      </c>
      <c r="AI82" s="14" t="str">
        <f aca="false">IF(OR($AH82="",$W82=""),"",$AH82*365/MAX($W82,1))</f>
        <v/>
      </c>
      <c r="AJ82" s="14" t="str">
        <f aca="false">IF(OR($AE82="",$U82&lt;&gt;"Crédito",N($K82)=0),"",(N($K82)-IF(OR($M82="Cerrada",$M82="Rolada"),N($O82),0))/$K82)</f>
        <v/>
      </c>
      <c r="AK82" s="15" t="str">
        <f aca="false">IF(OR($C82="",$N82=""),"",DATE(YEAR($N82),MONTH($N82),1))</f>
        <v/>
      </c>
      <c r="AL82" s="11" t="str">
        <f aca="false">IF($C82="","",IF($M82="Abierta",0,1))</f>
        <v/>
      </c>
      <c r="AM82" s="16" t="str">
        <f aca="false">IF(OR($AE82="",$AD82=""),"",$AD82*MAX(N($X82),1))</f>
        <v/>
      </c>
      <c r="AN82" s="10" t="str">
        <f aca="false">IF($C82="","",IF(OR($B82="",$D82="",$H82="",$K82="",$M82=""),"Faltan datos obligatorios",IF($T82="","Estrategia no reconocida",IF(AND($M82&lt;&gt;"Abierta",$N82=""),"Falta fecha cierre",IF(AND(OR($M82="Cerrada",$M82="Rolada"),$O82=""),"Falta prima cierre",IF(AND($N82&lt;&gt;"",$N82&lt;$B82),"Cierre anterior a apertura",IF(AND($M82="Asignada",$R82=""),"Asignada: falta ID lote acciones",IF(AND($R82&lt;&gt;"",ISNA(MATCH($R82,Acciones!$A$2:$A$201,0))),"El ID lote no existe en Acciones",IF($AD82="","Revisa capital en riesgo","OK")))))))))</f>
        <v/>
      </c>
    </row>
    <row r="83" customFormat="false" ht="15" hidden="false" customHeight="true" outlineLevel="0" collapsed="false">
      <c r="A83" s="5"/>
      <c r="B83" s="6"/>
      <c r="C83" s="7"/>
      <c r="D83" s="7"/>
      <c r="E83" s="8"/>
      <c r="F83" s="8"/>
      <c r="G83" s="6"/>
      <c r="H83" s="5"/>
      <c r="I83" s="5" t="n">
        <v>100</v>
      </c>
      <c r="J83" s="8"/>
      <c r="K83" s="8"/>
      <c r="L83" s="9"/>
      <c r="M83" s="7"/>
      <c r="N83" s="6"/>
      <c r="O83" s="8"/>
      <c r="P83" s="9"/>
      <c r="Q83" s="9"/>
      <c r="R83" s="7"/>
      <c r="S83" s="7"/>
      <c r="T83" s="10" t="str">
        <f aca="false">IF($C83="","",IFERROR(INDEX(Listas!$B$2:$B$20,MATCH($D83,Listas!$A$2:$A$20,0)),""))</f>
        <v/>
      </c>
      <c r="U83" s="10" t="str">
        <f aca="false">IF($C83="","",IFERROR(INDEX(Listas!$C$2:$C$20,MATCH($D83,Listas!$A$2:$A$20,0)),""))</f>
        <v/>
      </c>
      <c r="V83" s="10" t="str">
        <f aca="false">IF($C83="","",IFERROR(INDEX(Listas!$D$2:$D$20,MATCH($D83,Listas!$A$2:$A$20,0)),""))</f>
        <v/>
      </c>
      <c r="W83" s="11" t="str">
        <f aca="false">IF(OR($C83="",$B83="",$G83=""),"",$G83-$B83)</f>
        <v/>
      </c>
      <c r="X83" s="11" t="str">
        <f aca="true">IF(OR($C83="",$B83=""),"",IF($N83&lt;&gt;"",$N83,TODAY())-$B83)</f>
        <v/>
      </c>
      <c r="Y83" s="11" t="str">
        <f aca="true">IF(OR($C83="",$M83&lt;&gt;"Abierta",$G83=""),"",MAX($G83-TODAY(),0))</f>
        <v/>
      </c>
      <c r="Z83" s="12" t="str">
        <f aca="false">IF($C83="","",N($K83)*N($H83)*N($I83)*IF($U83="Débito",-1,1))</f>
        <v/>
      </c>
      <c r="AA83" s="13" t="str">
        <f aca="false">IF($C83="","",IF(AND($U83="Débito",$F83&lt;&gt;""),$F83,$E83))</f>
        <v/>
      </c>
      <c r="AB83" s="13" t="str">
        <f aca="false">IF(OR($C83="",$T83="Mixta",$AA83=""),"",IF($V83="Subyacente",IF($J83="","",$J83-$K83),IF($T83="Put",$AA83-$K83,$AA83+$K83)))</f>
        <v/>
      </c>
      <c r="AC83" s="14" t="str">
        <f aca="false">IF(OR($C83="",$T83="Mixta",$J83="",$AA83=""),"",IF($T83="Put",($J83-$AA83)/$J83,($AA83-$J83)/$J83))</f>
        <v/>
      </c>
      <c r="AD83" s="12" t="str">
        <f aca="false">IF($C83="","",IF($Q83&lt;&gt;"",$Q83,IF($V83="Strike",N($E83)*$H83*$I83,IF($V83="Subyacente",IF($J83="","",$J83*$H83*$I83),IF($V83="Ancho",IF($F83="","",ABS($E83-$F83)*$H83*$I83-$K83*$H83*$I83),IF($V83="Prima",$K83*$H83*$I83,""))))))</f>
        <v/>
      </c>
      <c r="AE83" s="12" t="str">
        <f aca="false">IF(OR($C83="",$M83="Abierta",$M83=""),"",(N($K83)-IF(OR($M83="Cerrada",$M83="Rolada"),N($O83),0))*$H83*$I83*IF($U83="Débito",-1,1)-N($L83)-N($P83))</f>
        <v/>
      </c>
      <c r="AF83" s="14" t="str">
        <f aca="false">IF(OR($AE83="",$AD83=""),"",IF($AD83&lt;=0,"",$AE83/$AD83))</f>
        <v/>
      </c>
      <c r="AG83" s="14" t="str">
        <f aca="false">IF($AF83="","",$AF83*365/MAX(N($X83),1))</f>
        <v/>
      </c>
      <c r="AH83" s="14" t="str">
        <f aca="false">IF(OR($C83="",$U83&lt;&gt;"Crédito",$AD83=""),"",IF($AD83&lt;=0,"",($Z83-N($L83))/$AD83))</f>
        <v/>
      </c>
      <c r="AI83" s="14" t="str">
        <f aca="false">IF(OR($AH83="",$W83=""),"",$AH83*365/MAX($W83,1))</f>
        <v/>
      </c>
      <c r="AJ83" s="14" t="str">
        <f aca="false">IF(OR($AE83="",$U83&lt;&gt;"Crédito",N($K83)=0),"",(N($K83)-IF(OR($M83="Cerrada",$M83="Rolada"),N($O83),0))/$K83)</f>
        <v/>
      </c>
      <c r="AK83" s="15" t="str">
        <f aca="false">IF(OR($C83="",$N83=""),"",DATE(YEAR($N83),MONTH($N83),1))</f>
        <v/>
      </c>
      <c r="AL83" s="11" t="str">
        <f aca="false">IF($C83="","",IF($M83="Abierta",0,1))</f>
        <v/>
      </c>
      <c r="AM83" s="16" t="str">
        <f aca="false">IF(OR($AE83="",$AD83=""),"",$AD83*MAX(N($X83),1))</f>
        <v/>
      </c>
      <c r="AN83" s="10" t="str">
        <f aca="false">IF($C83="","",IF(OR($B83="",$D83="",$H83="",$K83="",$M83=""),"Faltan datos obligatorios",IF($T83="","Estrategia no reconocida",IF(AND($M83&lt;&gt;"Abierta",$N83=""),"Falta fecha cierre",IF(AND(OR($M83="Cerrada",$M83="Rolada"),$O83=""),"Falta prima cierre",IF(AND($N83&lt;&gt;"",$N83&lt;$B83),"Cierre anterior a apertura",IF(AND($M83="Asignada",$R83=""),"Asignada: falta ID lote acciones",IF(AND($R83&lt;&gt;"",ISNA(MATCH($R83,Acciones!$A$2:$A$201,0))),"El ID lote no existe en Acciones",IF($AD83="","Revisa capital en riesgo","OK")))))))))</f>
        <v/>
      </c>
    </row>
    <row r="84" customFormat="false" ht="15" hidden="false" customHeight="true" outlineLevel="0" collapsed="false">
      <c r="A84" s="5"/>
      <c r="B84" s="6"/>
      <c r="C84" s="7"/>
      <c r="D84" s="7"/>
      <c r="E84" s="8"/>
      <c r="F84" s="8"/>
      <c r="G84" s="6"/>
      <c r="H84" s="5"/>
      <c r="I84" s="5" t="n">
        <v>100</v>
      </c>
      <c r="J84" s="8"/>
      <c r="K84" s="8"/>
      <c r="L84" s="9"/>
      <c r="M84" s="7"/>
      <c r="N84" s="6"/>
      <c r="O84" s="8"/>
      <c r="P84" s="9"/>
      <c r="Q84" s="9"/>
      <c r="R84" s="7"/>
      <c r="S84" s="7"/>
      <c r="T84" s="10" t="str">
        <f aca="false">IF($C84="","",IFERROR(INDEX(Listas!$B$2:$B$20,MATCH($D84,Listas!$A$2:$A$20,0)),""))</f>
        <v/>
      </c>
      <c r="U84" s="10" t="str">
        <f aca="false">IF($C84="","",IFERROR(INDEX(Listas!$C$2:$C$20,MATCH($D84,Listas!$A$2:$A$20,0)),""))</f>
        <v/>
      </c>
      <c r="V84" s="10" t="str">
        <f aca="false">IF($C84="","",IFERROR(INDEX(Listas!$D$2:$D$20,MATCH($D84,Listas!$A$2:$A$20,0)),""))</f>
        <v/>
      </c>
      <c r="W84" s="11" t="str">
        <f aca="false">IF(OR($C84="",$B84="",$G84=""),"",$G84-$B84)</f>
        <v/>
      </c>
      <c r="X84" s="11" t="str">
        <f aca="true">IF(OR($C84="",$B84=""),"",IF($N84&lt;&gt;"",$N84,TODAY())-$B84)</f>
        <v/>
      </c>
      <c r="Y84" s="11" t="str">
        <f aca="true">IF(OR($C84="",$M84&lt;&gt;"Abierta",$G84=""),"",MAX($G84-TODAY(),0))</f>
        <v/>
      </c>
      <c r="Z84" s="12" t="str">
        <f aca="false">IF($C84="","",N($K84)*N($H84)*N($I84)*IF($U84="Débito",-1,1))</f>
        <v/>
      </c>
      <c r="AA84" s="13" t="str">
        <f aca="false">IF($C84="","",IF(AND($U84="Débito",$F84&lt;&gt;""),$F84,$E84))</f>
        <v/>
      </c>
      <c r="AB84" s="13" t="str">
        <f aca="false">IF(OR($C84="",$T84="Mixta",$AA84=""),"",IF($V84="Subyacente",IF($J84="","",$J84-$K84),IF($T84="Put",$AA84-$K84,$AA84+$K84)))</f>
        <v/>
      </c>
      <c r="AC84" s="14" t="str">
        <f aca="false">IF(OR($C84="",$T84="Mixta",$J84="",$AA84=""),"",IF($T84="Put",($J84-$AA84)/$J84,($AA84-$J84)/$J84))</f>
        <v/>
      </c>
      <c r="AD84" s="12" t="str">
        <f aca="false">IF($C84="","",IF($Q84&lt;&gt;"",$Q84,IF($V84="Strike",N($E84)*$H84*$I84,IF($V84="Subyacente",IF($J84="","",$J84*$H84*$I84),IF($V84="Ancho",IF($F84="","",ABS($E84-$F84)*$H84*$I84-$K84*$H84*$I84),IF($V84="Prima",$K84*$H84*$I84,""))))))</f>
        <v/>
      </c>
      <c r="AE84" s="12" t="str">
        <f aca="false">IF(OR($C84="",$M84="Abierta",$M84=""),"",(N($K84)-IF(OR($M84="Cerrada",$M84="Rolada"),N($O84),0))*$H84*$I84*IF($U84="Débito",-1,1)-N($L84)-N($P84))</f>
        <v/>
      </c>
      <c r="AF84" s="14" t="str">
        <f aca="false">IF(OR($AE84="",$AD84=""),"",IF($AD84&lt;=0,"",$AE84/$AD84))</f>
        <v/>
      </c>
      <c r="AG84" s="14" t="str">
        <f aca="false">IF($AF84="","",$AF84*365/MAX(N($X84),1))</f>
        <v/>
      </c>
      <c r="AH84" s="14" t="str">
        <f aca="false">IF(OR($C84="",$U84&lt;&gt;"Crédito",$AD84=""),"",IF($AD84&lt;=0,"",($Z84-N($L84))/$AD84))</f>
        <v/>
      </c>
      <c r="AI84" s="14" t="str">
        <f aca="false">IF(OR($AH84="",$W84=""),"",$AH84*365/MAX($W84,1))</f>
        <v/>
      </c>
      <c r="AJ84" s="14" t="str">
        <f aca="false">IF(OR($AE84="",$U84&lt;&gt;"Crédito",N($K84)=0),"",(N($K84)-IF(OR($M84="Cerrada",$M84="Rolada"),N($O84),0))/$K84)</f>
        <v/>
      </c>
      <c r="AK84" s="15" t="str">
        <f aca="false">IF(OR($C84="",$N84=""),"",DATE(YEAR($N84),MONTH($N84),1))</f>
        <v/>
      </c>
      <c r="AL84" s="11" t="str">
        <f aca="false">IF($C84="","",IF($M84="Abierta",0,1))</f>
        <v/>
      </c>
      <c r="AM84" s="16" t="str">
        <f aca="false">IF(OR($AE84="",$AD84=""),"",$AD84*MAX(N($X84),1))</f>
        <v/>
      </c>
      <c r="AN84" s="10" t="str">
        <f aca="false">IF($C84="","",IF(OR($B84="",$D84="",$H84="",$K84="",$M84=""),"Faltan datos obligatorios",IF($T84="","Estrategia no reconocida",IF(AND($M84&lt;&gt;"Abierta",$N84=""),"Falta fecha cierre",IF(AND(OR($M84="Cerrada",$M84="Rolada"),$O84=""),"Falta prima cierre",IF(AND($N84&lt;&gt;"",$N84&lt;$B84),"Cierre anterior a apertura",IF(AND($M84="Asignada",$R84=""),"Asignada: falta ID lote acciones",IF(AND($R84&lt;&gt;"",ISNA(MATCH($R84,Acciones!$A$2:$A$201,0))),"El ID lote no existe en Acciones",IF($AD84="","Revisa capital en riesgo","OK")))))))))</f>
        <v/>
      </c>
    </row>
    <row r="85" customFormat="false" ht="15" hidden="false" customHeight="true" outlineLevel="0" collapsed="false">
      <c r="A85" s="5"/>
      <c r="B85" s="6"/>
      <c r="C85" s="7"/>
      <c r="D85" s="7"/>
      <c r="E85" s="8"/>
      <c r="F85" s="8"/>
      <c r="G85" s="6"/>
      <c r="H85" s="5"/>
      <c r="I85" s="5" t="n">
        <v>100</v>
      </c>
      <c r="J85" s="8"/>
      <c r="K85" s="8"/>
      <c r="L85" s="9"/>
      <c r="M85" s="7"/>
      <c r="N85" s="6"/>
      <c r="O85" s="8"/>
      <c r="P85" s="9"/>
      <c r="Q85" s="9"/>
      <c r="R85" s="7"/>
      <c r="S85" s="7"/>
      <c r="T85" s="10" t="str">
        <f aca="false">IF($C85="","",IFERROR(INDEX(Listas!$B$2:$B$20,MATCH($D85,Listas!$A$2:$A$20,0)),""))</f>
        <v/>
      </c>
      <c r="U85" s="10" t="str">
        <f aca="false">IF($C85="","",IFERROR(INDEX(Listas!$C$2:$C$20,MATCH($D85,Listas!$A$2:$A$20,0)),""))</f>
        <v/>
      </c>
      <c r="V85" s="10" t="str">
        <f aca="false">IF($C85="","",IFERROR(INDEX(Listas!$D$2:$D$20,MATCH($D85,Listas!$A$2:$A$20,0)),""))</f>
        <v/>
      </c>
      <c r="W85" s="11" t="str">
        <f aca="false">IF(OR($C85="",$B85="",$G85=""),"",$G85-$B85)</f>
        <v/>
      </c>
      <c r="X85" s="11" t="str">
        <f aca="true">IF(OR($C85="",$B85=""),"",IF($N85&lt;&gt;"",$N85,TODAY())-$B85)</f>
        <v/>
      </c>
      <c r="Y85" s="11" t="str">
        <f aca="true">IF(OR($C85="",$M85&lt;&gt;"Abierta",$G85=""),"",MAX($G85-TODAY(),0))</f>
        <v/>
      </c>
      <c r="Z85" s="12" t="str">
        <f aca="false">IF($C85="","",N($K85)*N($H85)*N($I85)*IF($U85="Débito",-1,1))</f>
        <v/>
      </c>
      <c r="AA85" s="13" t="str">
        <f aca="false">IF($C85="","",IF(AND($U85="Débito",$F85&lt;&gt;""),$F85,$E85))</f>
        <v/>
      </c>
      <c r="AB85" s="13" t="str">
        <f aca="false">IF(OR($C85="",$T85="Mixta",$AA85=""),"",IF($V85="Subyacente",IF($J85="","",$J85-$K85),IF($T85="Put",$AA85-$K85,$AA85+$K85)))</f>
        <v/>
      </c>
      <c r="AC85" s="14" t="str">
        <f aca="false">IF(OR($C85="",$T85="Mixta",$J85="",$AA85=""),"",IF($T85="Put",($J85-$AA85)/$J85,($AA85-$J85)/$J85))</f>
        <v/>
      </c>
      <c r="AD85" s="12" t="str">
        <f aca="false">IF($C85="","",IF($Q85&lt;&gt;"",$Q85,IF($V85="Strike",N($E85)*$H85*$I85,IF($V85="Subyacente",IF($J85="","",$J85*$H85*$I85),IF($V85="Ancho",IF($F85="","",ABS($E85-$F85)*$H85*$I85-$K85*$H85*$I85),IF($V85="Prima",$K85*$H85*$I85,""))))))</f>
        <v/>
      </c>
      <c r="AE85" s="12" t="str">
        <f aca="false">IF(OR($C85="",$M85="Abierta",$M85=""),"",(N($K85)-IF(OR($M85="Cerrada",$M85="Rolada"),N($O85),0))*$H85*$I85*IF($U85="Débito",-1,1)-N($L85)-N($P85))</f>
        <v/>
      </c>
      <c r="AF85" s="14" t="str">
        <f aca="false">IF(OR($AE85="",$AD85=""),"",IF($AD85&lt;=0,"",$AE85/$AD85))</f>
        <v/>
      </c>
      <c r="AG85" s="14" t="str">
        <f aca="false">IF($AF85="","",$AF85*365/MAX(N($X85),1))</f>
        <v/>
      </c>
      <c r="AH85" s="14" t="str">
        <f aca="false">IF(OR($C85="",$U85&lt;&gt;"Crédito",$AD85=""),"",IF($AD85&lt;=0,"",($Z85-N($L85))/$AD85))</f>
        <v/>
      </c>
      <c r="AI85" s="14" t="str">
        <f aca="false">IF(OR($AH85="",$W85=""),"",$AH85*365/MAX($W85,1))</f>
        <v/>
      </c>
      <c r="AJ85" s="14" t="str">
        <f aca="false">IF(OR($AE85="",$U85&lt;&gt;"Crédito",N($K85)=0),"",(N($K85)-IF(OR($M85="Cerrada",$M85="Rolada"),N($O85),0))/$K85)</f>
        <v/>
      </c>
      <c r="AK85" s="15" t="str">
        <f aca="false">IF(OR($C85="",$N85=""),"",DATE(YEAR($N85),MONTH($N85),1))</f>
        <v/>
      </c>
      <c r="AL85" s="11" t="str">
        <f aca="false">IF($C85="","",IF($M85="Abierta",0,1))</f>
        <v/>
      </c>
      <c r="AM85" s="16" t="str">
        <f aca="false">IF(OR($AE85="",$AD85=""),"",$AD85*MAX(N($X85),1))</f>
        <v/>
      </c>
      <c r="AN85" s="10" t="str">
        <f aca="false">IF($C85="","",IF(OR($B85="",$D85="",$H85="",$K85="",$M85=""),"Faltan datos obligatorios",IF($T85="","Estrategia no reconocida",IF(AND($M85&lt;&gt;"Abierta",$N85=""),"Falta fecha cierre",IF(AND(OR($M85="Cerrada",$M85="Rolada"),$O85=""),"Falta prima cierre",IF(AND($N85&lt;&gt;"",$N85&lt;$B85),"Cierre anterior a apertura",IF(AND($M85="Asignada",$R85=""),"Asignada: falta ID lote acciones",IF(AND($R85&lt;&gt;"",ISNA(MATCH($R85,Acciones!$A$2:$A$201,0))),"El ID lote no existe en Acciones",IF($AD85="","Revisa capital en riesgo","OK")))))))))</f>
        <v/>
      </c>
    </row>
    <row r="86" customFormat="false" ht="15" hidden="false" customHeight="true" outlineLevel="0" collapsed="false">
      <c r="A86" s="5"/>
      <c r="B86" s="6"/>
      <c r="C86" s="7"/>
      <c r="D86" s="7"/>
      <c r="E86" s="8"/>
      <c r="F86" s="8"/>
      <c r="G86" s="6"/>
      <c r="H86" s="5"/>
      <c r="I86" s="5" t="n">
        <v>100</v>
      </c>
      <c r="J86" s="8"/>
      <c r="K86" s="8"/>
      <c r="L86" s="9"/>
      <c r="M86" s="7"/>
      <c r="N86" s="6"/>
      <c r="O86" s="8"/>
      <c r="P86" s="9"/>
      <c r="Q86" s="9"/>
      <c r="R86" s="7"/>
      <c r="S86" s="7"/>
      <c r="T86" s="10" t="str">
        <f aca="false">IF($C86="","",IFERROR(INDEX(Listas!$B$2:$B$20,MATCH($D86,Listas!$A$2:$A$20,0)),""))</f>
        <v/>
      </c>
      <c r="U86" s="10" t="str">
        <f aca="false">IF($C86="","",IFERROR(INDEX(Listas!$C$2:$C$20,MATCH($D86,Listas!$A$2:$A$20,0)),""))</f>
        <v/>
      </c>
      <c r="V86" s="10" t="str">
        <f aca="false">IF($C86="","",IFERROR(INDEX(Listas!$D$2:$D$20,MATCH($D86,Listas!$A$2:$A$20,0)),""))</f>
        <v/>
      </c>
      <c r="W86" s="11" t="str">
        <f aca="false">IF(OR($C86="",$B86="",$G86=""),"",$G86-$B86)</f>
        <v/>
      </c>
      <c r="X86" s="11" t="str">
        <f aca="true">IF(OR($C86="",$B86=""),"",IF($N86&lt;&gt;"",$N86,TODAY())-$B86)</f>
        <v/>
      </c>
      <c r="Y86" s="11" t="str">
        <f aca="true">IF(OR($C86="",$M86&lt;&gt;"Abierta",$G86=""),"",MAX($G86-TODAY(),0))</f>
        <v/>
      </c>
      <c r="Z86" s="12" t="str">
        <f aca="false">IF($C86="","",N($K86)*N($H86)*N($I86)*IF($U86="Débito",-1,1))</f>
        <v/>
      </c>
      <c r="AA86" s="13" t="str">
        <f aca="false">IF($C86="","",IF(AND($U86="Débito",$F86&lt;&gt;""),$F86,$E86))</f>
        <v/>
      </c>
      <c r="AB86" s="13" t="str">
        <f aca="false">IF(OR($C86="",$T86="Mixta",$AA86=""),"",IF($V86="Subyacente",IF($J86="","",$J86-$K86),IF($T86="Put",$AA86-$K86,$AA86+$K86)))</f>
        <v/>
      </c>
      <c r="AC86" s="14" t="str">
        <f aca="false">IF(OR($C86="",$T86="Mixta",$J86="",$AA86=""),"",IF($T86="Put",($J86-$AA86)/$J86,($AA86-$J86)/$J86))</f>
        <v/>
      </c>
      <c r="AD86" s="12" t="str">
        <f aca="false">IF($C86="","",IF($Q86&lt;&gt;"",$Q86,IF($V86="Strike",N($E86)*$H86*$I86,IF($V86="Subyacente",IF($J86="","",$J86*$H86*$I86),IF($V86="Ancho",IF($F86="","",ABS($E86-$F86)*$H86*$I86-$K86*$H86*$I86),IF($V86="Prima",$K86*$H86*$I86,""))))))</f>
        <v/>
      </c>
      <c r="AE86" s="12" t="str">
        <f aca="false">IF(OR($C86="",$M86="Abierta",$M86=""),"",(N($K86)-IF(OR($M86="Cerrada",$M86="Rolada"),N($O86),0))*$H86*$I86*IF($U86="Débito",-1,1)-N($L86)-N($P86))</f>
        <v/>
      </c>
      <c r="AF86" s="14" t="str">
        <f aca="false">IF(OR($AE86="",$AD86=""),"",IF($AD86&lt;=0,"",$AE86/$AD86))</f>
        <v/>
      </c>
      <c r="AG86" s="14" t="str">
        <f aca="false">IF($AF86="","",$AF86*365/MAX(N($X86),1))</f>
        <v/>
      </c>
      <c r="AH86" s="14" t="str">
        <f aca="false">IF(OR($C86="",$U86&lt;&gt;"Crédito",$AD86=""),"",IF($AD86&lt;=0,"",($Z86-N($L86))/$AD86))</f>
        <v/>
      </c>
      <c r="AI86" s="14" t="str">
        <f aca="false">IF(OR($AH86="",$W86=""),"",$AH86*365/MAX($W86,1))</f>
        <v/>
      </c>
      <c r="AJ86" s="14" t="str">
        <f aca="false">IF(OR($AE86="",$U86&lt;&gt;"Crédito",N($K86)=0),"",(N($K86)-IF(OR($M86="Cerrada",$M86="Rolada"),N($O86),0))/$K86)</f>
        <v/>
      </c>
      <c r="AK86" s="15" t="str">
        <f aca="false">IF(OR($C86="",$N86=""),"",DATE(YEAR($N86),MONTH($N86),1))</f>
        <v/>
      </c>
      <c r="AL86" s="11" t="str">
        <f aca="false">IF($C86="","",IF($M86="Abierta",0,1))</f>
        <v/>
      </c>
      <c r="AM86" s="16" t="str">
        <f aca="false">IF(OR($AE86="",$AD86=""),"",$AD86*MAX(N($X86),1))</f>
        <v/>
      </c>
      <c r="AN86" s="10" t="str">
        <f aca="false">IF($C86="","",IF(OR($B86="",$D86="",$H86="",$K86="",$M86=""),"Faltan datos obligatorios",IF($T86="","Estrategia no reconocida",IF(AND($M86&lt;&gt;"Abierta",$N86=""),"Falta fecha cierre",IF(AND(OR($M86="Cerrada",$M86="Rolada"),$O86=""),"Falta prima cierre",IF(AND($N86&lt;&gt;"",$N86&lt;$B86),"Cierre anterior a apertura",IF(AND($M86="Asignada",$R86=""),"Asignada: falta ID lote acciones",IF(AND($R86&lt;&gt;"",ISNA(MATCH($R86,Acciones!$A$2:$A$201,0))),"El ID lote no existe en Acciones",IF($AD86="","Revisa capital en riesgo","OK")))))))))</f>
        <v/>
      </c>
    </row>
    <row r="87" customFormat="false" ht="15" hidden="false" customHeight="true" outlineLevel="0" collapsed="false">
      <c r="A87" s="5"/>
      <c r="B87" s="6"/>
      <c r="C87" s="7"/>
      <c r="D87" s="7"/>
      <c r="E87" s="8"/>
      <c r="F87" s="8"/>
      <c r="G87" s="6"/>
      <c r="H87" s="5"/>
      <c r="I87" s="5" t="n">
        <v>100</v>
      </c>
      <c r="J87" s="8"/>
      <c r="K87" s="8"/>
      <c r="L87" s="9"/>
      <c r="M87" s="7"/>
      <c r="N87" s="6"/>
      <c r="O87" s="8"/>
      <c r="P87" s="9"/>
      <c r="Q87" s="9"/>
      <c r="R87" s="7"/>
      <c r="S87" s="7"/>
      <c r="T87" s="10" t="str">
        <f aca="false">IF($C87="","",IFERROR(INDEX(Listas!$B$2:$B$20,MATCH($D87,Listas!$A$2:$A$20,0)),""))</f>
        <v/>
      </c>
      <c r="U87" s="10" t="str">
        <f aca="false">IF($C87="","",IFERROR(INDEX(Listas!$C$2:$C$20,MATCH($D87,Listas!$A$2:$A$20,0)),""))</f>
        <v/>
      </c>
      <c r="V87" s="10" t="str">
        <f aca="false">IF($C87="","",IFERROR(INDEX(Listas!$D$2:$D$20,MATCH($D87,Listas!$A$2:$A$20,0)),""))</f>
        <v/>
      </c>
      <c r="W87" s="11" t="str">
        <f aca="false">IF(OR($C87="",$B87="",$G87=""),"",$G87-$B87)</f>
        <v/>
      </c>
      <c r="X87" s="11" t="str">
        <f aca="true">IF(OR($C87="",$B87=""),"",IF($N87&lt;&gt;"",$N87,TODAY())-$B87)</f>
        <v/>
      </c>
      <c r="Y87" s="11" t="str">
        <f aca="true">IF(OR($C87="",$M87&lt;&gt;"Abierta",$G87=""),"",MAX($G87-TODAY(),0))</f>
        <v/>
      </c>
      <c r="Z87" s="12" t="str">
        <f aca="false">IF($C87="","",N($K87)*N($H87)*N($I87)*IF($U87="Débito",-1,1))</f>
        <v/>
      </c>
      <c r="AA87" s="13" t="str">
        <f aca="false">IF($C87="","",IF(AND($U87="Débito",$F87&lt;&gt;""),$F87,$E87))</f>
        <v/>
      </c>
      <c r="AB87" s="13" t="str">
        <f aca="false">IF(OR($C87="",$T87="Mixta",$AA87=""),"",IF($V87="Subyacente",IF($J87="","",$J87-$K87),IF($T87="Put",$AA87-$K87,$AA87+$K87)))</f>
        <v/>
      </c>
      <c r="AC87" s="14" t="str">
        <f aca="false">IF(OR($C87="",$T87="Mixta",$J87="",$AA87=""),"",IF($T87="Put",($J87-$AA87)/$J87,($AA87-$J87)/$J87))</f>
        <v/>
      </c>
      <c r="AD87" s="12" t="str">
        <f aca="false">IF($C87="","",IF($Q87&lt;&gt;"",$Q87,IF($V87="Strike",N($E87)*$H87*$I87,IF($V87="Subyacente",IF($J87="","",$J87*$H87*$I87),IF($V87="Ancho",IF($F87="","",ABS($E87-$F87)*$H87*$I87-$K87*$H87*$I87),IF($V87="Prima",$K87*$H87*$I87,""))))))</f>
        <v/>
      </c>
      <c r="AE87" s="12" t="str">
        <f aca="false">IF(OR($C87="",$M87="Abierta",$M87=""),"",(N($K87)-IF(OR($M87="Cerrada",$M87="Rolada"),N($O87),0))*$H87*$I87*IF($U87="Débito",-1,1)-N($L87)-N($P87))</f>
        <v/>
      </c>
      <c r="AF87" s="14" t="str">
        <f aca="false">IF(OR($AE87="",$AD87=""),"",IF($AD87&lt;=0,"",$AE87/$AD87))</f>
        <v/>
      </c>
      <c r="AG87" s="14" t="str">
        <f aca="false">IF($AF87="","",$AF87*365/MAX(N($X87),1))</f>
        <v/>
      </c>
      <c r="AH87" s="14" t="str">
        <f aca="false">IF(OR($C87="",$U87&lt;&gt;"Crédito",$AD87=""),"",IF($AD87&lt;=0,"",($Z87-N($L87))/$AD87))</f>
        <v/>
      </c>
      <c r="AI87" s="14" t="str">
        <f aca="false">IF(OR($AH87="",$W87=""),"",$AH87*365/MAX($W87,1))</f>
        <v/>
      </c>
      <c r="AJ87" s="14" t="str">
        <f aca="false">IF(OR($AE87="",$U87&lt;&gt;"Crédito",N($K87)=0),"",(N($K87)-IF(OR($M87="Cerrada",$M87="Rolada"),N($O87),0))/$K87)</f>
        <v/>
      </c>
      <c r="AK87" s="15" t="str">
        <f aca="false">IF(OR($C87="",$N87=""),"",DATE(YEAR($N87),MONTH($N87),1))</f>
        <v/>
      </c>
      <c r="AL87" s="11" t="str">
        <f aca="false">IF($C87="","",IF($M87="Abierta",0,1))</f>
        <v/>
      </c>
      <c r="AM87" s="16" t="str">
        <f aca="false">IF(OR($AE87="",$AD87=""),"",$AD87*MAX(N($X87),1))</f>
        <v/>
      </c>
      <c r="AN87" s="10" t="str">
        <f aca="false">IF($C87="","",IF(OR($B87="",$D87="",$H87="",$K87="",$M87=""),"Faltan datos obligatorios",IF($T87="","Estrategia no reconocida",IF(AND($M87&lt;&gt;"Abierta",$N87=""),"Falta fecha cierre",IF(AND(OR($M87="Cerrada",$M87="Rolada"),$O87=""),"Falta prima cierre",IF(AND($N87&lt;&gt;"",$N87&lt;$B87),"Cierre anterior a apertura",IF(AND($M87="Asignada",$R87=""),"Asignada: falta ID lote acciones",IF(AND($R87&lt;&gt;"",ISNA(MATCH($R87,Acciones!$A$2:$A$201,0))),"El ID lote no existe en Acciones",IF($AD87="","Revisa capital en riesgo","OK")))))))))</f>
        <v/>
      </c>
    </row>
    <row r="88" customFormat="false" ht="15" hidden="false" customHeight="true" outlineLevel="0" collapsed="false">
      <c r="A88" s="5"/>
      <c r="B88" s="6"/>
      <c r="C88" s="7"/>
      <c r="D88" s="7"/>
      <c r="E88" s="8"/>
      <c r="F88" s="8"/>
      <c r="G88" s="6"/>
      <c r="H88" s="5"/>
      <c r="I88" s="5" t="n">
        <v>100</v>
      </c>
      <c r="J88" s="8"/>
      <c r="K88" s="8"/>
      <c r="L88" s="9"/>
      <c r="M88" s="7"/>
      <c r="N88" s="6"/>
      <c r="O88" s="8"/>
      <c r="P88" s="9"/>
      <c r="Q88" s="9"/>
      <c r="R88" s="7"/>
      <c r="S88" s="7"/>
      <c r="T88" s="10" t="str">
        <f aca="false">IF($C88="","",IFERROR(INDEX(Listas!$B$2:$B$20,MATCH($D88,Listas!$A$2:$A$20,0)),""))</f>
        <v/>
      </c>
      <c r="U88" s="10" t="str">
        <f aca="false">IF($C88="","",IFERROR(INDEX(Listas!$C$2:$C$20,MATCH($D88,Listas!$A$2:$A$20,0)),""))</f>
        <v/>
      </c>
      <c r="V88" s="10" t="str">
        <f aca="false">IF($C88="","",IFERROR(INDEX(Listas!$D$2:$D$20,MATCH($D88,Listas!$A$2:$A$20,0)),""))</f>
        <v/>
      </c>
      <c r="W88" s="11" t="str">
        <f aca="false">IF(OR($C88="",$B88="",$G88=""),"",$G88-$B88)</f>
        <v/>
      </c>
      <c r="X88" s="11" t="str">
        <f aca="true">IF(OR($C88="",$B88=""),"",IF($N88&lt;&gt;"",$N88,TODAY())-$B88)</f>
        <v/>
      </c>
      <c r="Y88" s="11" t="str">
        <f aca="true">IF(OR($C88="",$M88&lt;&gt;"Abierta",$G88=""),"",MAX($G88-TODAY(),0))</f>
        <v/>
      </c>
      <c r="Z88" s="12" t="str">
        <f aca="false">IF($C88="","",N($K88)*N($H88)*N($I88)*IF($U88="Débito",-1,1))</f>
        <v/>
      </c>
      <c r="AA88" s="13" t="str">
        <f aca="false">IF($C88="","",IF(AND($U88="Débito",$F88&lt;&gt;""),$F88,$E88))</f>
        <v/>
      </c>
      <c r="AB88" s="13" t="str">
        <f aca="false">IF(OR($C88="",$T88="Mixta",$AA88=""),"",IF($V88="Subyacente",IF($J88="","",$J88-$K88),IF($T88="Put",$AA88-$K88,$AA88+$K88)))</f>
        <v/>
      </c>
      <c r="AC88" s="14" t="str">
        <f aca="false">IF(OR($C88="",$T88="Mixta",$J88="",$AA88=""),"",IF($T88="Put",($J88-$AA88)/$J88,($AA88-$J88)/$J88))</f>
        <v/>
      </c>
      <c r="AD88" s="12" t="str">
        <f aca="false">IF($C88="","",IF($Q88&lt;&gt;"",$Q88,IF($V88="Strike",N($E88)*$H88*$I88,IF($V88="Subyacente",IF($J88="","",$J88*$H88*$I88),IF($V88="Ancho",IF($F88="","",ABS($E88-$F88)*$H88*$I88-$K88*$H88*$I88),IF($V88="Prima",$K88*$H88*$I88,""))))))</f>
        <v/>
      </c>
      <c r="AE88" s="12" t="str">
        <f aca="false">IF(OR($C88="",$M88="Abierta",$M88=""),"",(N($K88)-IF(OR($M88="Cerrada",$M88="Rolada"),N($O88),0))*$H88*$I88*IF($U88="Débito",-1,1)-N($L88)-N($P88))</f>
        <v/>
      </c>
      <c r="AF88" s="14" t="str">
        <f aca="false">IF(OR($AE88="",$AD88=""),"",IF($AD88&lt;=0,"",$AE88/$AD88))</f>
        <v/>
      </c>
      <c r="AG88" s="14" t="str">
        <f aca="false">IF($AF88="","",$AF88*365/MAX(N($X88),1))</f>
        <v/>
      </c>
      <c r="AH88" s="14" t="str">
        <f aca="false">IF(OR($C88="",$U88&lt;&gt;"Crédito",$AD88=""),"",IF($AD88&lt;=0,"",($Z88-N($L88))/$AD88))</f>
        <v/>
      </c>
      <c r="AI88" s="14" t="str">
        <f aca="false">IF(OR($AH88="",$W88=""),"",$AH88*365/MAX($W88,1))</f>
        <v/>
      </c>
      <c r="AJ88" s="14" t="str">
        <f aca="false">IF(OR($AE88="",$U88&lt;&gt;"Crédito",N($K88)=0),"",(N($K88)-IF(OR($M88="Cerrada",$M88="Rolada"),N($O88),0))/$K88)</f>
        <v/>
      </c>
      <c r="AK88" s="15" t="str">
        <f aca="false">IF(OR($C88="",$N88=""),"",DATE(YEAR($N88),MONTH($N88),1))</f>
        <v/>
      </c>
      <c r="AL88" s="11" t="str">
        <f aca="false">IF($C88="","",IF($M88="Abierta",0,1))</f>
        <v/>
      </c>
      <c r="AM88" s="16" t="str">
        <f aca="false">IF(OR($AE88="",$AD88=""),"",$AD88*MAX(N($X88),1))</f>
        <v/>
      </c>
      <c r="AN88" s="10" t="str">
        <f aca="false">IF($C88="","",IF(OR($B88="",$D88="",$H88="",$K88="",$M88=""),"Faltan datos obligatorios",IF($T88="","Estrategia no reconocida",IF(AND($M88&lt;&gt;"Abierta",$N88=""),"Falta fecha cierre",IF(AND(OR($M88="Cerrada",$M88="Rolada"),$O88=""),"Falta prima cierre",IF(AND($N88&lt;&gt;"",$N88&lt;$B88),"Cierre anterior a apertura",IF(AND($M88="Asignada",$R88=""),"Asignada: falta ID lote acciones",IF(AND($R88&lt;&gt;"",ISNA(MATCH($R88,Acciones!$A$2:$A$201,0))),"El ID lote no existe en Acciones",IF($AD88="","Revisa capital en riesgo","OK")))))))))</f>
        <v/>
      </c>
    </row>
    <row r="89" customFormat="false" ht="15" hidden="false" customHeight="true" outlineLevel="0" collapsed="false">
      <c r="A89" s="5"/>
      <c r="B89" s="6"/>
      <c r="C89" s="7"/>
      <c r="D89" s="7"/>
      <c r="E89" s="8"/>
      <c r="F89" s="8"/>
      <c r="G89" s="6"/>
      <c r="H89" s="5"/>
      <c r="I89" s="5" t="n">
        <v>100</v>
      </c>
      <c r="J89" s="8"/>
      <c r="K89" s="8"/>
      <c r="L89" s="9"/>
      <c r="M89" s="7"/>
      <c r="N89" s="6"/>
      <c r="O89" s="8"/>
      <c r="P89" s="9"/>
      <c r="Q89" s="9"/>
      <c r="R89" s="7"/>
      <c r="S89" s="7"/>
      <c r="T89" s="10" t="str">
        <f aca="false">IF($C89="","",IFERROR(INDEX(Listas!$B$2:$B$20,MATCH($D89,Listas!$A$2:$A$20,0)),""))</f>
        <v/>
      </c>
      <c r="U89" s="10" t="str">
        <f aca="false">IF($C89="","",IFERROR(INDEX(Listas!$C$2:$C$20,MATCH($D89,Listas!$A$2:$A$20,0)),""))</f>
        <v/>
      </c>
      <c r="V89" s="10" t="str">
        <f aca="false">IF($C89="","",IFERROR(INDEX(Listas!$D$2:$D$20,MATCH($D89,Listas!$A$2:$A$20,0)),""))</f>
        <v/>
      </c>
      <c r="W89" s="11" t="str">
        <f aca="false">IF(OR($C89="",$B89="",$G89=""),"",$G89-$B89)</f>
        <v/>
      </c>
      <c r="X89" s="11" t="str">
        <f aca="true">IF(OR($C89="",$B89=""),"",IF($N89&lt;&gt;"",$N89,TODAY())-$B89)</f>
        <v/>
      </c>
      <c r="Y89" s="11" t="str">
        <f aca="true">IF(OR($C89="",$M89&lt;&gt;"Abierta",$G89=""),"",MAX($G89-TODAY(),0))</f>
        <v/>
      </c>
      <c r="Z89" s="12" t="str">
        <f aca="false">IF($C89="","",N($K89)*N($H89)*N($I89)*IF($U89="Débito",-1,1))</f>
        <v/>
      </c>
      <c r="AA89" s="13" t="str">
        <f aca="false">IF($C89="","",IF(AND($U89="Débito",$F89&lt;&gt;""),$F89,$E89))</f>
        <v/>
      </c>
      <c r="AB89" s="13" t="str">
        <f aca="false">IF(OR($C89="",$T89="Mixta",$AA89=""),"",IF($V89="Subyacente",IF($J89="","",$J89-$K89),IF($T89="Put",$AA89-$K89,$AA89+$K89)))</f>
        <v/>
      </c>
      <c r="AC89" s="14" t="str">
        <f aca="false">IF(OR($C89="",$T89="Mixta",$J89="",$AA89=""),"",IF($T89="Put",($J89-$AA89)/$J89,($AA89-$J89)/$J89))</f>
        <v/>
      </c>
      <c r="AD89" s="12" t="str">
        <f aca="false">IF($C89="","",IF($Q89&lt;&gt;"",$Q89,IF($V89="Strike",N($E89)*$H89*$I89,IF($V89="Subyacente",IF($J89="","",$J89*$H89*$I89),IF($V89="Ancho",IF($F89="","",ABS($E89-$F89)*$H89*$I89-$K89*$H89*$I89),IF($V89="Prima",$K89*$H89*$I89,""))))))</f>
        <v/>
      </c>
      <c r="AE89" s="12" t="str">
        <f aca="false">IF(OR($C89="",$M89="Abierta",$M89=""),"",(N($K89)-IF(OR($M89="Cerrada",$M89="Rolada"),N($O89),0))*$H89*$I89*IF($U89="Débito",-1,1)-N($L89)-N($P89))</f>
        <v/>
      </c>
      <c r="AF89" s="14" t="str">
        <f aca="false">IF(OR($AE89="",$AD89=""),"",IF($AD89&lt;=0,"",$AE89/$AD89))</f>
        <v/>
      </c>
      <c r="AG89" s="14" t="str">
        <f aca="false">IF($AF89="","",$AF89*365/MAX(N($X89),1))</f>
        <v/>
      </c>
      <c r="AH89" s="14" t="str">
        <f aca="false">IF(OR($C89="",$U89&lt;&gt;"Crédito",$AD89=""),"",IF($AD89&lt;=0,"",($Z89-N($L89))/$AD89))</f>
        <v/>
      </c>
      <c r="AI89" s="14" t="str">
        <f aca="false">IF(OR($AH89="",$W89=""),"",$AH89*365/MAX($W89,1))</f>
        <v/>
      </c>
      <c r="AJ89" s="14" t="str">
        <f aca="false">IF(OR($AE89="",$U89&lt;&gt;"Crédito",N($K89)=0),"",(N($K89)-IF(OR($M89="Cerrada",$M89="Rolada"),N($O89),0))/$K89)</f>
        <v/>
      </c>
      <c r="AK89" s="15" t="str">
        <f aca="false">IF(OR($C89="",$N89=""),"",DATE(YEAR($N89),MONTH($N89),1))</f>
        <v/>
      </c>
      <c r="AL89" s="11" t="str">
        <f aca="false">IF($C89="","",IF($M89="Abierta",0,1))</f>
        <v/>
      </c>
      <c r="AM89" s="16" t="str">
        <f aca="false">IF(OR($AE89="",$AD89=""),"",$AD89*MAX(N($X89),1))</f>
        <v/>
      </c>
      <c r="AN89" s="10" t="str">
        <f aca="false">IF($C89="","",IF(OR($B89="",$D89="",$H89="",$K89="",$M89=""),"Faltan datos obligatorios",IF($T89="","Estrategia no reconocida",IF(AND($M89&lt;&gt;"Abierta",$N89=""),"Falta fecha cierre",IF(AND(OR($M89="Cerrada",$M89="Rolada"),$O89=""),"Falta prima cierre",IF(AND($N89&lt;&gt;"",$N89&lt;$B89),"Cierre anterior a apertura",IF(AND($M89="Asignada",$R89=""),"Asignada: falta ID lote acciones",IF(AND($R89&lt;&gt;"",ISNA(MATCH($R89,Acciones!$A$2:$A$201,0))),"El ID lote no existe en Acciones",IF($AD89="","Revisa capital en riesgo","OK")))))))))</f>
        <v/>
      </c>
    </row>
    <row r="90" customFormat="false" ht="15" hidden="false" customHeight="true" outlineLevel="0" collapsed="false">
      <c r="A90" s="5"/>
      <c r="B90" s="6"/>
      <c r="C90" s="7"/>
      <c r="D90" s="7"/>
      <c r="E90" s="8"/>
      <c r="F90" s="8"/>
      <c r="G90" s="6"/>
      <c r="H90" s="5"/>
      <c r="I90" s="5" t="n">
        <v>100</v>
      </c>
      <c r="J90" s="8"/>
      <c r="K90" s="8"/>
      <c r="L90" s="9"/>
      <c r="M90" s="7"/>
      <c r="N90" s="6"/>
      <c r="O90" s="8"/>
      <c r="P90" s="9"/>
      <c r="Q90" s="9"/>
      <c r="R90" s="7"/>
      <c r="S90" s="7"/>
      <c r="T90" s="10" t="str">
        <f aca="false">IF($C90="","",IFERROR(INDEX(Listas!$B$2:$B$20,MATCH($D90,Listas!$A$2:$A$20,0)),""))</f>
        <v/>
      </c>
      <c r="U90" s="10" t="str">
        <f aca="false">IF($C90="","",IFERROR(INDEX(Listas!$C$2:$C$20,MATCH($D90,Listas!$A$2:$A$20,0)),""))</f>
        <v/>
      </c>
      <c r="V90" s="10" t="str">
        <f aca="false">IF($C90="","",IFERROR(INDEX(Listas!$D$2:$D$20,MATCH($D90,Listas!$A$2:$A$20,0)),""))</f>
        <v/>
      </c>
      <c r="W90" s="11" t="str">
        <f aca="false">IF(OR($C90="",$B90="",$G90=""),"",$G90-$B90)</f>
        <v/>
      </c>
      <c r="X90" s="11" t="str">
        <f aca="true">IF(OR($C90="",$B90=""),"",IF($N90&lt;&gt;"",$N90,TODAY())-$B90)</f>
        <v/>
      </c>
      <c r="Y90" s="11" t="str">
        <f aca="true">IF(OR($C90="",$M90&lt;&gt;"Abierta",$G90=""),"",MAX($G90-TODAY(),0))</f>
        <v/>
      </c>
      <c r="Z90" s="12" t="str">
        <f aca="false">IF($C90="","",N($K90)*N($H90)*N($I90)*IF($U90="Débito",-1,1))</f>
        <v/>
      </c>
      <c r="AA90" s="13" t="str">
        <f aca="false">IF($C90="","",IF(AND($U90="Débito",$F90&lt;&gt;""),$F90,$E90))</f>
        <v/>
      </c>
      <c r="AB90" s="13" t="str">
        <f aca="false">IF(OR($C90="",$T90="Mixta",$AA90=""),"",IF($V90="Subyacente",IF($J90="","",$J90-$K90),IF($T90="Put",$AA90-$K90,$AA90+$K90)))</f>
        <v/>
      </c>
      <c r="AC90" s="14" t="str">
        <f aca="false">IF(OR($C90="",$T90="Mixta",$J90="",$AA90=""),"",IF($T90="Put",($J90-$AA90)/$J90,($AA90-$J90)/$J90))</f>
        <v/>
      </c>
      <c r="AD90" s="12" t="str">
        <f aca="false">IF($C90="","",IF($Q90&lt;&gt;"",$Q90,IF($V90="Strike",N($E90)*$H90*$I90,IF($V90="Subyacente",IF($J90="","",$J90*$H90*$I90),IF($V90="Ancho",IF($F90="","",ABS($E90-$F90)*$H90*$I90-$K90*$H90*$I90),IF($V90="Prima",$K90*$H90*$I90,""))))))</f>
        <v/>
      </c>
      <c r="AE90" s="12" t="str">
        <f aca="false">IF(OR($C90="",$M90="Abierta",$M90=""),"",(N($K90)-IF(OR($M90="Cerrada",$M90="Rolada"),N($O90),0))*$H90*$I90*IF($U90="Débito",-1,1)-N($L90)-N($P90))</f>
        <v/>
      </c>
      <c r="AF90" s="14" t="str">
        <f aca="false">IF(OR($AE90="",$AD90=""),"",IF($AD90&lt;=0,"",$AE90/$AD90))</f>
        <v/>
      </c>
      <c r="AG90" s="14" t="str">
        <f aca="false">IF($AF90="","",$AF90*365/MAX(N($X90),1))</f>
        <v/>
      </c>
      <c r="AH90" s="14" t="str">
        <f aca="false">IF(OR($C90="",$U90&lt;&gt;"Crédito",$AD90=""),"",IF($AD90&lt;=0,"",($Z90-N($L90))/$AD90))</f>
        <v/>
      </c>
      <c r="AI90" s="14" t="str">
        <f aca="false">IF(OR($AH90="",$W90=""),"",$AH90*365/MAX($W90,1))</f>
        <v/>
      </c>
      <c r="AJ90" s="14" t="str">
        <f aca="false">IF(OR($AE90="",$U90&lt;&gt;"Crédito",N($K90)=0),"",(N($K90)-IF(OR($M90="Cerrada",$M90="Rolada"),N($O90),0))/$K90)</f>
        <v/>
      </c>
      <c r="AK90" s="15" t="str">
        <f aca="false">IF(OR($C90="",$N90=""),"",DATE(YEAR($N90),MONTH($N90),1))</f>
        <v/>
      </c>
      <c r="AL90" s="11" t="str">
        <f aca="false">IF($C90="","",IF($M90="Abierta",0,1))</f>
        <v/>
      </c>
      <c r="AM90" s="16" t="str">
        <f aca="false">IF(OR($AE90="",$AD90=""),"",$AD90*MAX(N($X90),1))</f>
        <v/>
      </c>
      <c r="AN90" s="10" t="str">
        <f aca="false">IF($C90="","",IF(OR($B90="",$D90="",$H90="",$K90="",$M90=""),"Faltan datos obligatorios",IF($T90="","Estrategia no reconocida",IF(AND($M90&lt;&gt;"Abierta",$N90=""),"Falta fecha cierre",IF(AND(OR($M90="Cerrada",$M90="Rolada"),$O90=""),"Falta prima cierre",IF(AND($N90&lt;&gt;"",$N90&lt;$B90),"Cierre anterior a apertura",IF(AND($M90="Asignada",$R90=""),"Asignada: falta ID lote acciones",IF(AND($R90&lt;&gt;"",ISNA(MATCH($R90,Acciones!$A$2:$A$201,0))),"El ID lote no existe en Acciones",IF($AD90="","Revisa capital en riesgo","OK")))))))))</f>
        <v/>
      </c>
    </row>
    <row r="91" customFormat="false" ht="15" hidden="false" customHeight="true" outlineLevel="0" collapsed="false">
      <c r="A91" s="5"/>
      <c r="B91" s="6"/>
      <c r="C91" s="7"/>
      <c r="D91" s="7"/>
      <c r="E91" s="8"/>
      <c r="F91" s="8"/>
      <c r="G91" s="6"/>
      <c r="H91" s="5"/>
      <c r="I91" s="5" t="n">
        <v>100</v>
      </c>
      <c r="J91" s="8"/>
      <c r="K91" s="8"/>
      <c r="L91" s="9"/>
      <c r="M91" s="7"/>
      <c r="N91" s="6"/>
      <c r="O91" s="8"/>
      <c r="P91" s="9"/>
      <c r="Q91" s="9"/>
      <c r="R91" s="7"/>
      <c r="S91" s="7"/>
      <c r="T91" s="10" t="str">
        <f aca="false">IF($C91="","",IFERROR(INDEX(Listas!$B$2:$B$20,MATCH($D91,Listas!$A$2:$A$20,0)),""))</f>
        <v/>
      </c>
      <c r="U91" s="10" t="str">
        <f aca="false">IF($C91="","",IFERROR(INDEX(Listas!$C$2:$C$20,MATCH($D91,Listas!$A$2:$A$20,0)),""))</f>
        <v/>
      </c>
      <c r="V91" s="10" t="str">
        <f aca="false">IF($C91="","",IFERROR(INDEX(Listas!$D$2:$D$20,MATCH($D91,Listas!$A$2:$A$20,0)),""))</f>
        <v/>
      </c>
      <c r="W91" s="11" t="str">
        <f aca="false">IF(OR($C91="",$B91="",$G91=""),"",$G91-$B91)</f>
        <v/>
      </c>
      <c r="X91" s="11" t="str">
        <f aca="true">IF(OR($C91="",$B91=""),"",IF($N91&lt;&gt;"",$N91,TODAY())-$B91)</f>
        <v/>
      </c>
      <c r="Y91" s="11" t="str">
        <f aca="true">IF(OR($C91="",$M91&lt;&gt;"Abierta",$G91=""),"",MAX($G91-TODAY(),0))</f>
        <v/>
      </c>
      <c r="Z91" s="12" t="str">
        <f aca="false">IF($C91="","",N($K91)*N($H91)*N($I91)*IF($U91="Débito",-1,1))</f>
        <v/>
      </c>
      <c r="AA91" s="13" t="str">
        <f aca="false">IF($C91="","",IF(AND($U91="Débito",$F91&lt;&gt;""),$F91,$E91))</f>
        <v/>
      </c>
      <c r="AB91" s="13" t="str">
        <f aca="false">IF(OR($C91="",$T91="Mixta",$AA91=""),"",IF($V91="Subyacente",IF($J91="","",$J91-$K91),IF($T91="Put",$AA91-$K91,$AA91+$K91)))</f>
        <v/>
      </c>
      <c r="AC91" s="14" t="str">
        <f aca="false">IF(OR($C91="",$T91="Mixta",$J91="",$AA91=""),"",IF($T91="Put",($J91-$AA91)/$J91,($AA91-$J91)/$J91))</f>
        <v/>
      </c>
      <c r="AD91" s="12" t="str">
        <f aca="false">IF($C91="","",IF($Q91&lt;&gt;"",$Q91,IF($V91="Strike",N($E91)*$H91*$I91,IF($V91="Subyacente",IF($J91="","",$J91*$H91*$I91),IF($V91="Ancho",IF($F91="","",ABS($E91-$F91)*$H91*$I91-$K91*$H91*$I91),IF($V91="Prima",$K91*$H91*$I91,""))))))</f>
        <v/>
      </c>
      <c r="AE91" s="12" t="str">
        <f aca="false">IF(OR($C91="",$M91="Abierta",$M91=""),"",(N($K91)-IF(OR($M91="Cerrada",$M91="Rolada"),N($O91),0))*$H91*$I91*IF($U91="Débito",-1,1)-N($L91)-N($P91))</f>
        <v/>
      </c>
      <c r="AF91" s="14" t="str">
        <f aca="false">IF(OR($AE91="",$AD91=""),"",IF($AD91&lt;=0,"",$AE91/$AD91))</f>
        <v/>
      </c>
      <c r="AG91" s="14" t="str">
        <f aca="false">IF($AF91="","",$AF91*365/MAX(N($X91),1))</f>
        <v/>
      </c>
      <c r="AH91" s="14" t="str">
        <f aca="false">IF(OR($C91="",$U91&lt;&gt;"Crédito",$AD91=""),"",IF($AD91&lt;=0,"",($Z91-N($L91))/$AD91))</f>
        <v/>
      </c>
      <c r="AI91" s="14" t="str">
        <f aca="false">IF(OR($AH91="",$W91=""),"",$AH91*365/MAX($W91,1))</f>
        <v/>
      </c>
      <c r="AJ91" s="14" t="str">
        <f aca="false">IF(OR($AE91="",$U91&lt;&gt;"Crédito",N($K91)=0),"",(N($K91)-IF(OR($M91="Cerrada",$M91="Rolada"),N($O91),0))/$K91)</f>
        <v/>
      </c>
      <c r="AK91" s="15" t="str">
        <f aca="false">IF(OR($C91="",$N91=""),"",DATE(YEAR($N91),MONTH($N91),1))</f>
        <v/>
      </c>
      <c r="AL91" s="11" t="str">
        <f aca="false">IF($C91="","",IF($M91="Abierta",0,1))</f>
        <v/>
      </c>
      <c r="AM91" s="16" t="str">
        <f aca="false">IF(OR($AE91="",$AD91=""),"",$AD91*MAX(N($X91),1))</f>
        <v/>
      </c>
      <c r="AN91" s="10" t="str">
        <f aca="false">IF($C91="","",IF(OR($B91="",$D91="",$H91="",$K91="",$M91=""),"Faltan datos obligatorios",IF($T91="","Estrategia no reconocida",IF(AND($M91&lt;&gt;"Abierta",$N91=""),"Falta fecha cierre",IF(AND(OR($M91="Cerrada",$M91="Rolada"),$O91=""),"Falta prima cierre",IF(AND($N91&lt;&gt;"",$N91&lt;$B91),"Cierre anterior a apertura",IF(AND($M91="Asignada",$R91=""),"Asignada: falta ID lote acciones",IF(AND($R91&lt;&gt;"",ISNA(MATCH($R91,Acciones!$A$2:$A$201,0))),"El ID lote no existe en Acciones",IF($AD91="","Revisa capital en riesgo","OK")))))))))</f>
        <v/>
      </c>
    </row>
    <row r="92" customFormat="false" ht="15" hidden="false" customHeight="true" outlineLevel="0" collapsed="false">
      <c r="A92" s="5"/>
      <c r="B92" s="6"/>
      <c r="C92" s="7"/>
      <c r="D92" s="7"/>
      <c r="E92" s="8"/>
      <c r="F92" s="8"/>
      <c r="G92" s="6"/>
      <c r="H92" s="5"/>
      <c r="I92" s="5" t="n">
        <v>100</v>
      </c>
      <c r="J92" s="8"/>
      <c r="K92" s="8"/>
      <c r="L92" s="9"/>
      <c r="M92" s="7"/>
      <c r="N92" s="6"/>
      <c r="O92" s="8"/>
      <c r="P92" s="9"/>
      <c r="Q92" s="9"/>
      <c r="R92" s="7"/>
      <c r="S92" s="7"/>
      <c r="T92" s="10" t="str">
        <f aca="false">IF($C92="","",IFERROR(INDEX(Listas!$B$2:$B$20,MATCH($D92,Listas!$A$2:$A$20,0)),""))</f>
        <v/>
      </c>
      <c r="U92" s="10" t="str">
        <f aca="false">IF($C92="","",IFERROR(INDEX(Listas!$C$2:$C$20,MATCH($D92,Listas!$A$2:$A$20,0)),""))</f>
        <v/>
      </c>
      <c r="V92" s="10" t="str">
        <f aca="false">IF($C92="","",IFERROR(INDEX(Listas!$D$2:$D$20,MATCH($D92,Listas!$A$2:$A$20,0)),""))</f>
        <v/>
      </c>
      <c r="W92" s="11" t="str">
        <f aca="false">IF(OR($C92="",$B92="",$G92=""),"",$G92-$B92)</f>
        <v/>
      </c>
      <c r="X92" s="11" t="str">
        <f aca="true">IF(OR($C92="",$B92=""),"",IF($N92&lt;&gt;"",$N92,TODAY())-$B92)</f>
        <v/>
      </c>
      <c r="Y92" s="11" t="str">
        <f aca="true">IF(OR($C92="",$M92&lt;&gt;"Abierta",$G92=""),"",MAX($G92-TODAY(),0))</f>
        <v/>
      </c>
      <c r="Z92" s="12" t="str">
        <f aca="false">IF($C92="","",N($K92)*N($H92)*N($I92)*IF($U92="Débito",-1,1))</f>
        <v/>
      </c>
      <c r="AA92" s="13" t="str">
        <f aca="false">IF($C92="","",IF(AND($U92="Débito",$F92&lt;&gt;""),$F92,$E92))</f>
        <v/>
      </c>
      <c r="AB92" s="13" t="str">
        <f aca="false">IF(OR($C92="",$T92="Mixta",$AA92=""),"",IF($V92="Subyacente",IF($J92="","",$J92-$K92),IF($T92="Put",$AA92-$K92,$AA92+$K92)))</f>
        <v/>
      </c>
      <c r="AC92" s="14" t="str">
        <f aca="false">IF(OR($C92="",$T92="Mixta",$J92="",$AA92=""),"",IF($T92="Put",($J92-$AA92)/$J92,($AA92-$J92)/$J92))</f>
        <v/>
      </c>
      <c r="AD92" s="12" t="str">
        <f aca="false">IF($C92="","",IF($Q92&lt;&gt;"",$Q92,IF($V92="Strike",N($E92)*$H92*$I92,IF($V92="Subyacente",IF($J92="","",$J92*$H92*$I92),IF($V92="Ancho",IF($F92="","",ABS($E92-$F92)*$H92*$I92-$K92*$H92*$I92),IF($V92="Prima",$K92*$H92*$I92,""))))))</f>
        <v/>
      </c>
      <c r="AE92" s="12" t="str">
        <f aca="false">IF(OR($C92="",$M92="Abierta",$M92=""),"",(N($K92)-IF(OR($M92="Cerrada",$M92="Rolada"),N($O92),0))*$H92*$I92*IF($U92="Débito",-1,1)-N($L92)-N($P92))</f>
        <v/>
      </c>
      <c r="AF92" s="14" t="str">
        <f aca="false">IF(OR($AE92="",$AD92=""),"",IF($AD92&lt;=0,"",$AE92/$AD92))</f>
        <v/>
      </c>
      <c r="AG92" s="14" t="str">
        <f aca="false">IF($AF92="","",$AF92*365/MAX(N($X92),1))</f>
        <v/>
      </c>
      <c r="AH92" s="14" t="str">
        <f aca="false">IF(OR($C92="",$U92&lt;&gt;"Crédito",$AD92=""),"",IF($AD92&lt;=0,"",($Z92-N($L92))/$AD92))</f>
        <v/>
      </c>
      <c r="AI92" s="14" t="str">
        <f aca="false">IF(OR($AH92="",$W92=""),"",$AH92*365/MAX($W92,1))</f>
        <v/>
      </c>
      <c r="AJ92" s="14" t="str">
        <f aca="false">IF(OR($AE92="",$U92&lt;&gt;"Crédito",N($K92)=0),"",(N($K92)-IF(OR($M92="Cerrada",$M92="Rolada"),N($O92),0))/$K92)</f>
        <v/>
      </c>
      <c r="AK92" s="15" t="str">
        <f aca="false">IF(OR($C92="",$N92=""),"",DATE(YEAR($N92),MONTH($N92),1))</f>
        <v/>
      </c>
      <c r="AL92" s="11" t="str">
        <f aca="false">IF($C92="","",IF($M92="Abierta",0,1))</f>
        <v/>
      </c>
      <c r="AM92" s="16" t="str">
        <f aca="false">IF(OR($AE92="",$AD92=""),"",$AD92*MAX(N($X92),1))</f>
        <v/>
      </c>
      <c r="AN92" s="10" t="str">
        <f aca="false">IF($C92="","",IF(OR($B92="",$D92="",$H92="",$K92="",$M92=""),"Faltan datos obligatorios",IF($T92="","Estrategia no reconocida",IF(AND($M92&lt;&gt;"Abierta",$N92=""),"Falta fecha cierre",IF(AND(OR($M92="Cerrada",$M92="Rolada"),$O92=""),"Falta prima cierre",IF(AND($N92&lt;&gt;"",$N92&lt;$B92),"Cierre anterior a apertura",IF(AND($M92="Asignada",$R92=""),"Asignada: falta ID lote acciones",IF(AND($R92&lt;&gt;"",ISNA(MATCH($R92,Acciones!$A$2:$A$201,0))),"El ID lote no existe en Acciones",IF($AD92="","Revisa capital en riesgo","OK")))))))))</f>
        <v/>
      </c>
    </row>
    <row r="93" customFormat="false" ht="15" hidden="false" customHeight="true" outlineLevel="0" collapsed="false">
      <c r="A93" s="5"/>
      <c r="B93" s="6"/>
      <c r="C93" s="7"/>
      <c r="D93" s="7"/>
      <c r="E93" s="8"/>
      <c r="F93" s="8"/>
      <c r="G93" s="6"/>
      <c r="H93" s="5"/>
      <c r="I93" s="5" t="n">
        <v>100</v>
      </c>
      <c r="J93" s="8"/>
      <c r="K93" s="8"/>
      <c r="L93" s="9"/>
      <c r="M93" s="7"/>
      <c r="N93" s="6"/>
      <c r="O93" s="8"/>
      <c r="P93" s="9"/>
      <c r="Q93" s="9"/>
      <c r="R93" s="7"/>
      <c r="S93" s="7"/>
      <c r="T93" s="10" t="str">
        <f aca="false">IF($C93="","",IFERROR(INDEX(Listas!$B$2:$B$20,MATCH($D93,Listas!$A$2:$A$20,0)),""))</f>
        <v/>
      </c>
      <c r="U93" s="10" t="str">
        <f aca="false">IF($C93="","",IFERROR(INDEX(Listas!$C$2:$C$20,MATCH($D93,Listas!$A$2:$A$20,0)),""))</f>
        <v/>
      </c>
      <c r="V93" s="10" t="str">
        <f aca="false">IF($C93="","",IFERROR(INDEX(Listas!$D$2:$D$20,MATCH($D93,Listas!$A$2:$A$20,0)),""))</f>
        <v/>
      </c>
      <c r="W93" s="11" t="str">
        <f aca="false">IF(OR($C93="",$B93="",$G93=""),"",$G93-$B93)</f>
        <v/>
      </c>
      <c r="X93" s="11" t="str">
        <f aca="true">IF(OR($C93="",$B93=""),"",IF($N93&lt;&gt;"",$N93,TODAY())-$B93)</f>
        <v/>
      </c>
      <c r="Y93" s="11" t="str">
        <f aca="true">IF(OR($C93="",$M93&lt;&gt;"Abierta",$G93=""),"",MAX($G93-TODAY(),0))</f>
        <v/>
      </c>
      <c r="Z93" s="12" t="str">
        <f aca="false">IF($C93="","",N($K93)*N($H93)*N($I93)*IF($U93="Débito",-1,1))</f>
        <v/>
      </c>
      <c r="AA93" s="13" t="str">
        <f aca="false">IF($C93="","",IF(AND($U93="Débito",$F93&lt;&gt;""),$F93,$E93))</f>
        <v/>
      </c>
      <c r="AB93" s="13" t="str">
        <f aca="false">IF(OR($C93="",$T93="Mixta",$AA93=""),"",IF($V93="Subyacente",IF($J93="","",$J93-$K93),IF($T93="Put",$AA93-$K93,$AA93+$K93)))</f>
        <v/>
      </c>
      <c r="AC93" s="14" t="str">
        <f aca="false">IF(OR($C93="",$T93="Mixta",$J93="",$AA93=""),"",IF($T93="Put",($J93-$AA93)/$J93,($AA93-$J93)/$J93))</f>
        <v/>
      </c>
      <c r="AD93" s="12" t="str">
        <f aca="false">IF($C93="","",IF($Q93&lt;&gt;"",$Q93,IF($V93="Strike",N($E93)*$H93*$I93,IF($V93="Subyacente",IF($J93="","",$J93*$H93*$I93),IF($V93="Ancho",IF($F93="","",ABS($E93-$F93)*$H93*$I93-$K93*$H93*$I93),IF($V93="Prima",$K93*$H93*$I93,""))))))</f>
        <v/>
      </c>
      <c r="AE93" s="12" t="str">
        <f aca="false">IF(OR($C93="",$M93="Abierta",$M93=""),"",(N($K93)-IF(OR($M93="Cerrada",$M93="Rolada"),N($O93),0))*$H93*$I93*IF($U93="Débito",-1,1)-N($L93)-N($P93))</f>
        <v/>
      </c>
      <c r="AF93" s="14" t="str">
        <f aca="false">IF(OR($AE93="",$AD93=""),"",IF($AD93&lt;=0,"",$AE93/$AD93))</f>
        <v/>
      </c>
      <c r="AG93" s="14" t="str">
        <f aca="false">IF($AF93="","",$AF93*365/MAX(N($X93),1))</f>
        <v/>
      </c>
      <c r="AH93" s="14" t="str">
        <f aca="false">IF(OR($C93="",$U93&lt;&gt;"Crédito",$AD93=""),"",IF($AD93&lt;=0,"",($Z93-N($L93))/$AD93))</f>
        <v/>
      </c>
      <c r="AI93" s="14" t="str">
        <f aca="false">IF(OR($AH93="",$W93=""),"",$AH93*365/MAX($W93,1))</f>
        <v/>
      </c>
      <c r="AJ93" s="14" t="str">
        <f aca="false">IF(OR($AE93="",$U93&lt;&gt;"Crédito",N($K93)=0),"",(N($K93)-IF(OR($M93="Cerrada",$M93="Rolada"),N($O93),0))/$K93)</f>
        <v/>
      </c>
      <c r="AK93" s="15" t="str">
        <f aca="false">IF(OR($C93="",$N93=""),"",DATE(YEAR($N93),MONTH($N93),1))</f>
        <v/>
      </c>
      <c r="AL93" s="11" t="str">
        <f aca="false">IF($C93="","",IF($M93="Abierta",0,1))</f>
        <v/>
      </c>
      <c r="AM93" s="16" t="str">
        <f aca="false">IF(OR($AE93="",$AD93=""),"",$AD93*MAX(N($X93),1))</f>
        <v/>
      </c>
      <c r="AN93" s="10" t="str">
        <f aca="false">IF($C93="","",IF(OR($B93="",$D93="",$H93="",$K93="",$M93=""),"Faltan datos obligatorios",IF($T93="","Estrategia no reconocida",IF(AND($M93&lt;&gt;"Abierta",$N93=""),"Falta fecha cierre",IF(AND(OR($M93="Cerrada",$M93="Rolada"),$O93=""),"Falta prima cierre",IF(AND($N93&lt;&gt;"",$N93&lt;$B93),"Cierre anterior a apertura",IF(AND($M93="Asignada",$R93=""),"Asignada: falta ID lote acciones",IF(AND($R93&lt;&gt;"",ISNA(MATCH($R93,Acciones!$A$2:$A$201,0))),"El ID lote no existe en Acciones",IF($AD93="","Revisa capital en riesgo","OK")))))))))</f>
        <v/>
      </c>
    </row>
    <row r="94" customFormat="false" ht="15" hidden="false" customHeight="true" outlineLevel="0" collapsed="false">
      <c r="A94" s="5"/>
      <c r="B94" s="6"/>
      <c r="C94" s="7"/>
      <c r="D94" s="7"/>
      <c r="E94" s="8"/>
      <c r="F94" s="8"/>
      <c r="G94" s="6"/>
      <c r="H94" s="5"/>
      <c r="I94" s="5" t="n">
        <v>100</v>
      </c>
      <c r="J94" s="8"/>
      <c r="K94" s="8"/>
      <c r="L94" s="9"/>
      <c r="M94" s="7"/>
      <c r="N94" s="6"/>
      <c r="O94" s="8"/>
      <c r="P94" s="9"/>
      <c r="Q94" s="9"/>
      <c r="R94" s="7"/>
      <c r="S94" s="7"/>
      <c r="T94" s="10" t="str">
        <f aca="false">IF($C94="","",IFERROR(INDEX(Listas!$B$2:$B$20,MATCH($D94,Listas!$A$2:$A$20,0)),""))</f>
        <v/>
      </c>
      <c r="U94" s="10" t="str">
        <f aca="false">IF($C94="","",IFERROR(INDEX(Listas!$C$2:$C$20,MATCH($D94,Listas!$A$2:$A$20,0)),""))</f>
        <v/>
      </c>
      <c r="V94" s="10" t="str">
        <f aca="false">IF($C94="","",IFERROR(INDEX(Listas!$D$2:$D$20,MATCH($D94,Listas!$A$2:$A$20,0)),""))</f>
        <v/>
      </c>
      <c r="W94" s="11" t="str">
        <f aca="false">IF(OR($C94="",$B94="",$G94=""),"",$G94-$B94)</f>
        <v/>
      </c>
      <c r="X94" s="11" t="str">
        <f aca="true">IF(OR($C94="",$B94=""),"",IF($N94&lt;&gt;"",$N94,TODAY())-$B94)</f>
        <v/>
      </c>
      <c r="Y94" s="11" t="str">
        <f aca="true">IF(OR($C94="",$M94&lt;&gt;"Abierta",$G94=""),"",MAX($G94-TODAY(),0))</f>
        <v/>
      </c>
      <c r="Z94" s="12" t="str">
        <f aca="false">IF($C94="","",N($K94)*N($H94)*N($I94)*IF($U94="Débito",-1,1))</f>
        <v/>
      </c>
      <c r="AA94" s="13" t="str">
        <f aca="false">IF($C94="","",IF(AND($U94="Débito",$F94&lt;&gt;""),$F94,$E94))</f>
        <v/>
      </c>
      <c r="AB94" s="13" t="str">
        <f aca="false">IF(OR($C94="",$T94="Mixta",$AA94=""),"",IF($V94="Subyacente",IF($J94="","",$J94-$K94),IF($T94="Put",$AA94-$K94,$AA94+$K94)))</f>
        <v/>
      </c>
      <c r="AC94" s="14" t="str">
        <f aca="false">IF(OR($C94="",$T94="Mixta",$J94="",$AA94=""),"",IF($T94="Put",($J94-$AA94)/$J94,($AA94-$J94)/$J94))</f>
        <v/>
      </c>
      <c r="AD94" s="12" t="str">
        <f aca="false">IF($C94="","",IF($Q94&lt;&gt;"",$Q94,IF($V94="Strike",N($E94)*$H94*$I94,IF($V94="Subyacente",IF($J94="","",$J94*$H94*$I94),IF($V94="Ancho",IF($F94="","",ABS($E94-$F94)*$H94*$I94-$K94*$H94*$I94),IF($V94="Prima",$K94*$H94*$I94,""))))))</f>
        <v/>
      </c>
      <c r="AE94" s="12" t="str">
        <f aca="false">IF(OR($C94="",$M94="Abierta",$M94=""),"",(N($K94)-IF(OR($M94="Cerrada",$M94="Rolada"),N($O94),0))*$H94*$I94*IF($U94="Débito",-1,1)-N($L94)-N($P94))</f>
        <v/>
      </c>
      <c r="AF94" s="14" t="str">
        <f aca="false">IF(OR($AE94="",$AD94=""),"",IF($AD94&lt;=0,"",$AE94/$AD94))</f>
        <v/>
      </c>
      <c r="AG94" s="14" t="str">
        <f aca="false">IF($AF94="","",$AF94*365/MAX(N($X94),1))</f>
        <v/>
      </c>
      <c r="AH94" s="14" t="str">
        <f aca="false">IF(OR($C94="",$U94&lt;&gt;"Crédito",$AD94=""),"",IF($AD94&lt;=0,"",($Z94-N($L94))/$AD94))</f>
        <v/>
      </c>
      <c r="AI94" s="14" t="str">
        <f aca="false">IF(OR($AH94="",$W94=""),"",$AH94*365/MAX($W94,1))</f>
        <v/>
      </c>
      <c r="AJ94" s="14" t="str">
        <f aca="false">IF(OR($AE94="",$U94&lt;&gt;"Crédito",N($K94)=0),"",(N($K94)-IF(OR($M94="Cerrada",$M94="Rolada"),N($O94),0))/$K94)</f>
        <v/>
      </c>
      <c r="AK94" s="15" t="str">
        <f aca="false">IF(OR($C94="",$N94=""),"",DATE(YEAR($N94),MONTH($N94),1))</f>
        <v/>
      </c>
      <c r="AL94" s="11" t="str">
        <f aca="false">IF($C94="","",IF($M94="Abierta",0,1))</f>
        <v/>
      </c>
      <c r="AM94" s="16" t="str">
        <f aca="false">IF(OR($AE94="",$AD94=""),"",$AD94*MAX(N($X94),1))</f>
        <v/>
      </c>
      <c r="AN94" s="10" t="str">
        <f aca="false">IF($C94="","",IF(OR($B94="",$D94="",$H94="",$K94="",$M94=""),"Faltan datos obligatorios",IF($T94="","Estrategia no reconocida",IF(AND($M94&lt;&gt;"Abierta",$N94=""),"Falta fecha cierre",IF(AND(OR($M94="Cerrada",$M94="Rolada"),$O94=""),"Falta prima cierre",IF(AND($N94&lt;&gt;"",$N94&lt;$B94),"Cierre anterior a apertura",IF(AND($M94="Asignada",$R94=""),"Asignada: falta ID lote acciones",IF(AND($R94&lt;&gt;"",ISNA(MATCH($R94,Acciones!$A$2:$A$201,0))),"El ID lote no existe en Acciones",IF($AD94="","Revisa capital en riesgo","OK")))))))))</f>
        <v/>
      </c>
    </row>
    <row r="95" customFormat="false" ht="15" hidden="false" customHeight="true" outlineLevel="0" collapsed="false">
      <c r="A95" s="5"/>
      <c r="B95" s="6"/>
      <c r="C95" s="7"/>
      <c r="D95" s="7"/>
      <c r="E95" s="8"/>
      <c r="F95" s="8"/>
      <c r="G95" s="6"/>
      <c r="H95" s="5"/>
      <c r="I95" s="5" t="n">
        <v>100</v>
      </c>
      <c r="J95" s="8"/>
      <c r="K95" s="8"/>
      <c r="L95" s="9"/>
      <c r="M95" s="7"/>
      <c r="N95" s="6"/>
      <c r="O95" s="8"/>
      <c r="P95" s="9"/>
      <c r="Q95" s="9"/>
      <c r="R95" s="7"/>
      <c r="S95" s="7"/>
      <c r="T95" s="10" t="str">
        <f aca="false">IF($C95="","",IFERROR(INDEX(Listas!$B$2:$B$20,MATCH($D95,Listas!$A$2:$A$20,0)),""))</f>
        <v/>
      </c>
      <c r="U95" s="10" t="str">
        <f aca="false">IF($C95="","",IFERROR(INDEX(Listas!$C$2:$C$20,MATCH($D95,Listas!$A$2:$A$20,0)),""))</f>
        <v/>
      </c>
      <c r="V95" s="10" t="str">
        <f aca="false">IF($C95="","",IFERROR(INDEX(Listas!$D$2:$D$20,MATCH($D95,Listas!$A$2:$A$20,0)),""))</f>
        <v/>
      </c>
      <c r="W95" s="11" t="str">
        <f aca="false">IF(OR($C95="",$B95="",$G95=""),"",$G95-$B95)</f>
        <v/>
      </c>
      <c r="X95" s="11" t="str">
        <f aca="true">IF(OR($C95="",$B95=""),"",IF($N95&lt;&gt;"",$N95,TODAY())-$B95)</f>
        <v/>
      </c>
      <c r="Y95" s="11" t="str">
        <f aca="true">IF(OR($C95="",$M95&lt;&gt;"Abierta",$G95=""),"",MAX($G95-TODAY(),0))</f>
        <v/>
      </c>
      <c r="Z95" s="12" t="str">
        <f aca="false">IF($C95="","",N($K95)*N($H95)*N($I95)*IF($U95="Débito",-1,1))</f>
        <v/>
      </c>
      <c r="AA95" s="13" t="str">
        <f aca="false">IF($C95="","",IF(AND($U95="Débito",$F95&lt;&gt;""),$F95,$E95))</f>
        <v/>
      </c>
      <c r="AB95" s="13" t="str">
        <f aca="false">IF(OR($C95="",$T95="Mixta",$AA95=""),"",IF($V95="Subyacente",IF($J95="","",$J95-$K95),IF($T95="Put",$AA95-$K95,$AA95+$K95)))</f>
        <v/>
      </c>
      <c r="AC95" s="14" t="str">
        <f aca="false">IF(OR($C95="",$T95="Mixta",$J95="",$AA95=""),"",IF($T95="Put",($J95-$AA95)/$J95,($AA95-$J95)/$J95))</f>
        <v/>
      </c>
      <c r="AD95" s="12" t="str">
        <f aca="false">IF($C95="","",IF($Q95&lt;&gt;"",$Q95,IF($V95="Strike",N($E95)*$H95*$I95,IF($V95="Subyacente",IF($J95="","",$J95*$H95*$I95),IF($V95="Ancho",IF($F95="","",ABS($E95-$F95)*$H95*$I95-$K95*$H95*$I95),IF($V95="Prima",$K95*$H95*$I95,""))))))</f>
        <v/>
      </c>
      <c r="AE95" s="12" t="str">
        <f aca="false">IF(OR($C95="",$M95="Abierta",$M95=""),"",(N($K95)-IF(OR($M95="Cerrada",$M95="Rolada"),N($O95),0))*$H95*$I95*IF($U95="Débito",-1,1)-N($L95)-N($P95))</f>
        <v/>
      </c>
      <c r="AF95" s="14" t="str">
        <f aca="false">IF(OR($AE95="",$AD95=""),"",IF($AD95&lt;=0,"",$AE95/$AD95))</f>
        <v/>
      </c>
      <c r="AG95" s="14" t="str">
        <f aca="false">IF($AF95="","",$AF95*365/MAX(N($X95),1))</f>
        <v/>
      </c>
      <c r="AH95" s="14" t="str">
        <f aca="false">IF(OR($C95="",$U95&lt;&gt;"Crédito",$AD95=""),"",IF($AD95&lt;=0,"",($Z95-N($L95))/$AD95))</f>
        <v/>
      </c>
      <c r="AI95" s="14" t="str">
        <f aca="false">IF(OR($AH95="",$W95=""),"",$AH95*365/MAX($W95,1))</f>
        <v/>
      </c>
      <c r="AJ95" s="14" t="str">
        <f aca="false">IF(OR($AE95="",$U95&lt;&gt;"Crédito",N($K95)=0),"",(N($K95)-IF(OR($M95="Cerrada",$M95="Rolada"),N($O95),0))/$K95)</f>
        <v/>
      </c>
      <c r="AK95" s="15" t="str">
        <f aca="false">IF(OR($C95="",$N95=""),"",DATE(YEAR($N95),MONTH($N95),1))</f>
        <v/>
      </c>
      <c r="AL95" s="11" t="str">
        <f aca="false">IF($C95="","",IF($M95="Abierta",0,1))</f>
        <v/>
      </c>
      <c r="AM95" s="16" t="str">
        <f aca="false">IF(OR($AE95="",$AD95=""),"",$AD95*MAX(N($X95),1))</f>
        <v/>
      </c>
      <c r="AN95" s="10" t="str">
        <f aca="false">IF($C95="","",IF(OR($B95="",$D95="",$H95="",$K95="",$M95=""),"Faltan datos obligatorios",IF($T95="","Estrategia no reconocida",IF(AND($M95&lt;&gt;"Abierta",$N95=""),"Falta fecha cierre",IF(AND(OR($M95="Cerrada",$M95="Rolada"),$O95=""),"Falta prima cierre",IF(AND($N95&lt;&gt;"",$N95&lt;$B95),"Cierre anterior a apertura",IF(AND($M95="Asignada",$R95=""),"Asignada: falta ID lote acciones",IF(AND($R95&lt;&gt;"",ISNA(MATCH($R95,Acciones!$A$2:$A$201,0))),"El ID lote no existe en Acciones",IF($AD95="","Revisa capital en riesgo","OK")))))))))</f>
        <v/>
      </c>
    </row>
    <row r="96" customFormat="false" ht="15" hidden="false" customHeight="true" outlineLevel="0" collapsed="false">
      <c r="A96" s="5"/>
      <c r="B96" s="6"/>
      <c r="C96" s="7"/>
      <c r="D96" s="7"/>
      <c r="E96" s="8"/>
      <c r="F96" s="8"/>
      <c r="G96" s="6"/>
      <c r="H96" s="5"/>
      <c r="I96" s="5" t="n">
        <v>100</v>
      </c>
      <c r="J96" s="8"/>
      <c r="K96" s="8"/>
      <c r="L96" s="9"/>
      <c r="M96" s="7"/>
      <c r="N96" s="6"/>
      <c r="O96" s="8"/>
      <c r="P96" s="9"/>
      <c r="Q96" s="9"/>
      <c r="R96" s="7"/>
      <c r="S96" s="7"/>
      <c r="T96" s="10" t="str">
        <f aca="false">IF($C96="","",IFERROR(INDEX(Listas!$B$2:$B$20,MATCH($D96,Listas!$A$2:$A$20,0)),""))</f>
        <v/>
      </c>
      <c r="U96" s="10" t="str">
        <f aca="false">IF($C96="","",IFERROR(INDEX(Listas!$C$2:$C$20,MATCH($D96,Listas!$A$2:$A$20,0)),""))</f>
        <v/>
      </c>
      <c r="V96" s="10" t="str">
        <f aca="false">IF($C96="","",IFERROR(INDEX(Listas!$D$2:$D$20,MATCH($D96,Listas!$A$2:$A$20,0)),""))</f>
        <v/>
      </c>
      <c r="W96" s="11" t="str">
        <f aca="false">IF(OR($C96="",$B96="",$G96=""),"",$G96-$B96)</f>
        <v/>
      </c>
      <c r="X96" s="11" t="str">
        <f aca="true">IF(OR($C96="",$B96=""),"",IF($N96&lt;&gt;"",$N96,TODAY())-$B96)</f>
        <v/>
      </c>
      <c r="Y96" s="11" t="str">
        <f aca="true">IF(OR($C96="",$M96&lt;&gt;"Abierta",$G96=""),"",MAX($G96-TODAY(),0))</f>
        <v/>
      </c>
      <c r="Z96" s="12" t="str">
        <f aca="false">IF($C96="","",N($K96)*N($H96)*N($I96)*IF($U96="Débito",-1,1))</f>
        <v/>
      </c>
      <c r="AA96" s="13" t="str">
        <f aca="false">IF($C96="","",IF(AND($U96="Débito",$F96&lt;&gt;""),$F96,$E96))</f>
        <v/>
      </c>
      <c r="AB96" s="13" t="str">
        <f aca="false">IF(OR($C96="",$T96="Mixta",$AA96=""),"",IF($V96="Subyacente",IF($J96="","",$J96-$K96),IF($T96="Put",$AA96-$K96,$AA96+$K96)))</f>
        <v/>
      </c>
      <c r="AC96" s="14" t="str">
        <f aca="false">IF(OR($C96="",$T96="Mixta",$J96="",$AA96=""),"",IF($T96="Put",($J96-$AA96)/$J96,($AA96-$J96)/$J96))</f>
        <v/>
      </c>
      <c r="AD96" s="12" t="str">
        <f aca="false">IF($C96="","",IF($Q96&lt;&gt;"",$Q96,IF($V96="Strike",N($E96)*$H96*$I96,IF($V96="Subyacente",IF($J96="","",$J96*$H96*$I96),IF($V96="Ancho",IF($F96="","",ABS($E96-$F96)*$H96*$I96-$K96*$H96*$I96),IF($V96="Prima",$K96*$H96*$I96,""))))))</f>
        <v/>
      </c>
      <c r="AE96" s="12" t="str">
        <f aca="false">IF(OR($C96="",$M96="Abierta",$M96=""),"",(N($K96)-IF(OR($M96="Cerrada",$M96="Rolada"),N($O96),0))*$H96*$I96*IF($U96="Débito",-1,1)-N($L96)-N($P96))</f>
        <v/>
      </c>
      <c r="AF96" s="14" t="str">
        <f aca="false">IF(OR($AE96="",$AD96=""),"",IF($AD96&lt;=0,"",$AE96/$AD96))</f>
        <v/>
      </c>
      <c r="AG96" s="14" t="str">
        <f aca="false">IF($AF96="","",$AF96*365/MAX(N($X96),1))</f>
        <v/>
      </c>
      <c r="AH96" s="14" t="str">
        <f aca="false">IF(OR($C96="",$U96&lt;&gt;"Crédito",$AD96=""),"",IF($AD96&lt;=0,"",($Z96-N($L96))/$AD96))</f>
        <v/>
      </c>
      <c r="AI96" s="14" t="str">
        <f aca="false">IF(OR($AH96="",$W96=""),"",$AH96*365/MAX($W96,1))</f>
        <v/>
      </c>
      <c r="AJ96" s="14" t="str">
        <f aca="false">IF(OR($AE96="",$U96&lt;&gt;"Crédito",N($K96)=0),"",(N($K96)-IF(OR($M96="Cerrada",$M96="Rolada"),N($O96),0))/$K96)</f>
        <v/>
      </c>
      <c r="AK96" s="15" t="str">
        <f aca="false">IF(OR($C96="",$N96=""),"",DATE(YEAR($N96),MONTH($N96),1))</f>
        <v/>
      </c>
      <c r="AL96" s="11" t="str">
        <f aca="false">IF($C96="","",IF($M96="Abierta",0,1))</f>
        <v/>
      </c>
      <c r="AM96" s="16" t="str">
        <f aca="false">IF(OR($AE96="",$AD96=""),"",$AD96*MAX(N($X96),1))</f>
        <v/>
      </c>
      <c r="AN96" s="10" t="str">
        <f aca="false">IF($C96="","",IF(OR($B96="",$D96="",$H96="",$K96="",$M96=""),"Faltan datos obligatorios",IF($T96="","Estrategia no reconocida",IF(AND($M96&lt;&gt;"Abierta",$N96=""),"Falta fecha cierre",IF(AND(OR($M96="Cerrada",$M96="Rolada"),$O96=""),"Falta prima cierre",IF(AND($N96&lt;&gt;"",$N96&lt;$B96),"Cierre anterior a apertura",IF(AND($M96="Asignada",$R96=""),"Asignada: falta ID lote acciones",IF(AND($R96&lt;&gt;"",ISNA(MATCH($R96,Acciones!$A$2:$A$201,0))),"El ID lote no existe en Acciones",IF($AD96="","Revisa capital en riesgo","OK")))))))))</f>
        <v/>
      </c>
    </row>
    <row r="97" customFormat="false" ht="15" hidden="false" customHeight="true" outlineLevel="0" collapsed="false">
      <c r="A97" s="5"/>
      <c r="B97" s="6"/>
      <c r="C97" s="7"/>
      <c r="D97" s="7"/>
      <c r="E97" s="8"/>
      <c r="F97" s="8"/>
      <c r="G97" s="6"/>
      <c r="H97" s="5"/>
      <c r="I97" s="5" t="n">
        <v>100</v>
      </c>
      <c r="J97" s="8"/>
      <c r="K97" s="8"/>
      <c r="L97" s="9"/>
      <c r="M97" s="7"/>
      <c r="N97" s="6"/>
      <c r="O97" s="8"/>
      <c r="P97" s="9"/>
      <c r="Q97" s="9"/>
      <c r="R97" s="7"/>
      <c r="S97" s="7"/>
      <c r="T97" s="10" t="str">
        <f aca="false">IF($C97="","",IFERROR(INDEX(Listas!$B$2:$B$20,MATCH($D97,Listas!$A$2:$A$20,0)),""))</f>
        <v/>
      </c>
      <c r="U97" s="10" t="str">
        <f aca="false">IF($C97="","",IFERROR(INDEX(Listas!$C$2:$C$20,MATCH($D97,Listas!$A$2:$A$20,0)),""))</f>
        <v/>
      </c>
      <c r="V97" s="10" t="str">
        <f aca="false">IF($C97="","",IFERROR(INDEX(Listas!$D$2:$D$20,MATCH($D97,Listas!$A$2:$A$20,0)),""))</f>
        <v/>
      </c>
      <c r="W97" s="11" t="str">
        <f aca="false">IF(OR($C97="",$B97="",$G97=""),"",$G97-$B97)</f>
        <v/>
      </c>
      <c r="X97" s="11" t="str">
        <f aca="true">IF(OR($C97="",$B97=""),"",IF($N97&lt;&gt;"",$N97,TODAY())-$B97)</f>
        <v/>
      </c>
      <c r="Y97" s="11" t="str">
        <f aca="true">IF(OR($C97="",$M97&lt;&gt;"Abierta",$G97=""),"",MAX($G97-TODAY(),0))</f>
        <v/>
      </c>
      <c r="Z97" s="12" t="str">
        <f aca="false">IF($C97="","",N($K97)*N($H97)*N($I97)*IF($U97="Débito",-1,1))</f>
        <v/>
      </c>
      <c r="AA97" s="13" t="str">
        <f aca="false">IF($C97="","",IF(AND($U97="Débito",$F97&lt;&gt;""),$F97,$E97))</f>
        <v/>
      </c>
      <c r="AB97" s="13" t="str">
        <f aca="false">IF(OR($C97="",$T97="Mixta",$AA97=""),"",IF($V97="Subyacente",IF($J97="","",$J97-$K97),IF($T97="Put",$AA97-$K97,$AA97+$K97)))</f>
        <v/>
      </c>
      <c r="AC97" s="14" t="str">
        <f aca="false">IF(OR($C97="",$T97="Mixta",$J97="",$AA97=""),"",IF($T97="Put",($J97-$AA97)/$J97,($AA97-$J97)/$J97))</f>
        <v/>
      </c>
      <c r="AD97" s="12" t="str">
        <f aca="false">IF($C97="","",IF($Q97&lt;&gt;"",$Q97,IF($V97="Strike",N($E97)*$H97*$I97,IF($V97="Subyacente",IF($J97="","",$J97*$H97*$I97),IF($V97="Ancho",IF($F97="","",ABS($E97-$F97)*$H97*$I97-$K97*$H97*$I97),IF($V97="Prima",$K97*$H97*$I97,""))))))</f>
        <v/>
      </c>
      <c r="AE97" s="12" t="str">
        <f aca="false">IF(OR($C97="",$M97="Abierta",$M97=""),"",(N($K97)-IF(OR($M97="Cerrada",$M97="Rolada"),N($O97),0))*$H97*$I97*IF($U97="Débito",-1,1)-N($L97)-N($P97))</f>
        <v/>
      </c>
      <c r="AF97" s="14" t="str">
        <f aca="false">IF(OR($AE97="",$AD97=""),"",IF($AD97&lt;=0,"",$AE97/$AD97))</f>
        <v/>
      </c>
      <c r="AG97" s="14" t="str">
        <f aca="false">IF($AF97="","",$AF97*365/MAX(N($X97),1))</f>
        <v/>
      </c>
      <c r="AH97" s="14" t="str">
        <f aca="false">IF(OR($C97="",$U97&lt;&gt;"Crédito",$AD97=""),"",IF($AD97&lt;=0,"",($Z97-N($L97))/$AD97))</f>
        <v/>
      </c>
      <c r="AI97" s="14" t="str">
        <f aca="false">IF(OR($AH97="",$W97=""),"",$AH97*365/MAX($W97,1))</f>
        <v/>
      </c>
      <c r="AJ97" s="14" t="str">
        <f aca="false">IF(OR($AE97="",$U97&lt;&gt;"Crédito",N($K97)=0),"",(N($K97)-IF(OR($M97="Cerrada",$M97="Rolada"),N($O97),0))/$K97)</f>
        <v/>
      </c>
      <c r="AK97" s="15" t="str">
        <f aca="false">IF(OR($C97="",$N97=""),"",DATE(YEAR($N97),MONTH($N97),1))</f>
        <v/>
      </c>
      <c r="AL97" s="11" t="str">
        <f aca="false">IF($C97="","",IF($M97="Abierta",0,1))</f>
        <v/>
      </c>
      <c r="AM97" s="16" t="str">
        <f aca="false">IF(OR($AE97="",$AD97=""),"",$AD97*MAX(N($X97),1))</f>
        <v/>
      </c>
      <c r="AN97" s="10" t="str">
        <f aca="false">IF($C97="","",IF(OR($B97="",$D97="",$H97="",$K97="",$M97=""),"Faltan datos obligatorios",IF($T97="","Estrategia no reconocida",IF(AND($M97&lt;&gt;"Abierta",$N97=""),"Falta fecha cierre",IF(AND(OR($M97="Cerrada",$M97="Rolada"),$O97=""),"Falta prima cierre",IF(AND($N97&lt;&gt;"",$N97&lt;$B97),"Cierre anterior a apertura",IF(AND($M97="Asignada",$R97=""),"Asignada: falta ID lote acciones",IF(AND($R97&lt;&gt;"",ISNA(MATCH($R97,Acciones!$A$2:$A$201,0))),"El ID lote no existe en Acciones",IF($AD97="","Revisa capital en riesgo","OK")))))))))</f>
        <v/>
      </c>
    </row>
    <row r="98" customFormat="false" ht="15" hidden="false" customHeight="true" outlineLevel="0" collapsed="false">
      <c r="A98" s="5"/>
      <c r="B98" s="6"/>
      <c r="C98" s="7"/>
      <c r="D98" s="7"/>
      <c r="E98" s="8"/>
      <c r="F98" s="8"/>
      <c r="G98" s="6"/>
      <c r="H98" s="5"/>
      <c r="I98" s="5" t="n">
        <v>100</v>
      </c>
      <c r="J98" s="8"/>
      <c r="K98" s="8"/>
      <c r="L98" s="9"/>
      <c r="M98" s="7"/>
      <c r="N98" s="6"/>
      <c r="O98" s="8"/>
      <c r="P98" s="9"/>
      <c r="Q98" s="9"/>
      <c r="R98" s="7"/>
      <c r="S98" s="7"/>
      <c r="T98" s="10" t="str">
        <f aca="false">IF($C98="","",IFERROR(INDEX(Listas!$B$2:$B$20,MATCH($D98,Listas!$A$2:$A$20,0)),""))</f>
        <v/>
      </c>
      <c r="U98" s="10" t="str">
        <f aca="false">IF($C98="","",IFERROR(INDEX(Listas!$C$2:$C$20,MATCH($D98,Listas!$A$2:$A$20,0)),""))</f>
        <v/>
      </c>
      <c r="V98" s="10" t="str">
        <f aca="false">IF($C98="","",IFERROR(INDEX(Listas!$D$2:$D$20,MATCH($D98,Listas!$A$2:$A$20,0)),""))</f>
        <v/>
      </c>
      <c r="W98" s="11" t="str">
        <f aca="false">IF(OR($C98="",$B98="",$G98=""),"",$G98-$B98)</f>
        <v/>
      </c>
      <c r="X98" s="11" t="str">
        <f aca="true">IF(OR($C98="",$B98=""),"",IF($N98&lt;&gt;"",$N98,TODAY())-$B98)</f>
        <v/>
      </c>
      <c r="Y98" s="11" t="str">
        <f aca="true">IF(OR($C98="",$M98&lt;&gt;"Abierta",$G98=""),"",MAX($G98-TODAY(),0))</f>
        <v/>
      </c>
      <c r="Z98" s="12" t="str">
        <f aca="false">IF($C98="","",N($K98)*N($H98)*N($I98)*IF($U98="Débito",-1,1))</f>
        <v/>
      </c>
      <c r="AA98" s="13" t="str">
        <f aca="false">IF($C98="","",IF(AND($U98="Débito",$F98&lt;&gt;""),$F98,$E98))</f>
        <v/>
      </c>
      <c r="AB98" s="13" t="str">
        <f aca="false">IF(OR($C98="",$T98="Mixta",$AA98=""),"",IF($V98="Subyacente",IF($J98="","",$J98-$K98),IF($T98="Put",$AA98-$K98,$AA98+$K98)))</f>
        <v/>
      </c>
      <c r="AC98" s="14" t="str">
        <f aca="false">IF(OR($C98="",$T98="Mixta",$J98="",$AA98=""),"",IF($T98="Put",($J98-$AA98)/$J98,($AA98-$J98)/$J98))</f>
        <v/>
      </c>
      <c r="AD98" s="12" t="str">
        <f aca="false">IF($C98="","",IF($Q98&lt;&gt;"",$Q98,IF($V98="Strike",N($E98)*$H98*$I98,IF($V98="Subyacente",IF($J98="","",$J98*$H98*$I98),IF($V98="Ancho",IF($F98="","",ABS($E98-$F98)*$H98*$I98-$K98*$H98*$I98),IF($V98="Prima",$K98*$H98*$I98,""))))))</f>
        <v/>
      </c>
      <c r="AE98" s="12" t="str">
        <f aca="false">IF(OR($C98="",$M98="Abierta",$M98=""),"",(N($K98)-IF(OR($M98="Cerrada",$M98="Rolada"),N($O98),0))*$H98*$I98*IF($U98="Débito",-1,1)-N($L98)-N($P98))</f>
        <v/>
      </c>
      <c r="AF98" s="14" t="str">
        <f aca="false">IF(OR($AE98="",$AD98=""),"",IF($AD98&lt;=0,"",$AE98/$AD98))</f>
        <v/>
      </c>
      <c r="AG98" s="14" t="str">
        <f aca="false">IF($AF98="","",$AF98*365/MAX(N($X98),1))</f>
        <v/>
      </c>
      <c r="AH98" s="14" t="str">
        <f aca="false">IF(OR($C98="",$U98&lt;&gt;"Crédito",$AD98=""),"",IF($AD98&lt;=0,"",($Z98-N($L98))/$AD98))</f>
        <v/>
      </c>
      <c r="AI98" s="14" t="str">
        <f aca="false">IF(OR($AH98="",$W98=""),"",$AH98*365/MAX($W98,1))</f>
        <v/>
      </c>
      <c r="AJ98" s="14" t="str">
        <f aca="false">IF(OR($AE98="",$U98&lt;&gt;"Crédito",N($K98)=0),"",(N($K98)-IF(OR($M98="Cerrada",$M98="Rolada"),N($O98),0))/$K98)</f>
        <v/>
      </c>
      <c r="AK98" s="15" t="str">
        <f aca="false">IF(OR($C98="",$N98=""),"",DATE(YEAR($N98),MONTH($N98),1))</f>
        <v/>
      </c>
      <c r="AL98" s="11" t="str">
        <f aca="false">IF($C98="","",IF($M98="Abierta",0,1))</f>
        <v/>
      </c>
      <c r="AM98" s="16" t="str">
        <f aca="false">IF(OR($AE98="",$AD98=""),"",$AD98*MAX(N($X98),1))</f>
        <v/>
      </c>
      <c r="AN98" s="10" t="str">
        <f aca="false">IF($C98="","",IF(OR($B98="",$D98="",$H98="",$K98="",$M98=""),"Faltan datos obligatorios",IF($T98="","Estrategia no reconocida",IF(AND($M98&lt;&gt;"Abierta",$N98=""),"Falta fecha cierre",IF(AND(OR($M98="Cerrada",$M98="Rolada"),$O98=""),"Falta prima cierre",IF(AND($N98&lt;&gt;"",$N98&lt;$B98),"Cierre anterior a apertura",IF(AND($M98="Asignada",$R98=""),"Asignada: falta ID lote acciones",IF(AND($R98&lt;&gt;"",ISNA(MATCH($R98,Acciones!$A$2:$A$201,0))),"El ID lote no existe en Acciones",IF($AD98="","Revisa capital en riesgo","OK")))))))))</f>
        <v/>
      </c>
    </row>
    <row r="99" customFormat="false" ht="15" hidden="false" customHeight="true" outlineLevel="0" collapsed="false">
      <c r="A99" s="5"/>
      <c r="B99" s="6"/>
      <c r="C99" s="7"/>
      <c r="D99" s="7"/>
      <c r="E99" s="8"/>
      <c r="F99" s="8"/>
      <c r="G99" s="6"/>
      <c r="H99" s="5"/>
      <c r="I99" s="5" t="n">
        <v>100</v>
      </c>
      <c r="J99" s="8"/>
      <c r="K99" s="8"/>
      <c r="L99" s="9"/>
      <c r="M99" s="7"/>
      <c r="N99" s="6"/>
      <c r="O99" s="8"/>
      <c r="P99" s="9"/>
      <c r="Q99" s="9"/>
      <c r="R99" s="7"/>
      <c r="S99" s="7"/>
      <c r="T99" s="10" t="str">
        <f aca="false">IF($C99="","",IFERROR(INDEX(Listas!$B$2:$B$20,MATCH($D99,Listas!$A$2:$A$20,0)),""))</f>
        <v/>
      </c>
      <c r="U99" s="10" t="str">
        <f aca="false">IF($C99="","",IFERROR(INDEX(Listas!$C$2:$C$20,MATCH($D99,Listas!$A$2:$A$20,0)),""))</f>
        <v/>
      </c>
      <c r="V99" s="10" t="str">
        <f aca="false">IF($C99="","",IFERROR(INDEX(Listas!$D$2:$D$20,MATCH($D99,Listas!$A$2:$A$20,0)),""))</f>
        <v/>
      </c>
      <c r="W99" s="11" t="str">
        <f aca="false">IF(OR($C99="",$B99="",$G99=""),"",$G99-$B99)</f>
        <v/>
      </c>
      <c r="X99" s="11" t="str">
        <f aca="true">IF(OR($C99="",$B99=""),"",IF($N99&lt;&gt;"",$N99,TODAY())-$B99)</f>
        <v/>
      </c>
      <c r="Y99" s="11" t="str">
        <f aca="true">IF(OR($C99="",$M99&lt;&gt;"Abierta",$G99=""),"",MAX($G99-TODAY(),0))</f>
        <v/>
      </c>
      <c r="Z99" s="12" t="str">
        <f aca="false">IF($C99="","",N($K99)*N($H99)*N($I99)*IF($U99="Débito",-1,1))</f>
        <v/>
      </c>
      <c r="AA99" s="13" t="str">
        <f aca="false">IF($C99="","",IF(AND($U99="Débito",$F99&lt;&gt;""),$F99,$E99))</f>
        <v/>
      </c>
      <c r="AB99" s="13" t="str">
        <f aca="false">IF(OR($C99="",$T99="Mixta",$AA99=""),"",IF($V99="Subyacente",IF($J99="","",$J99-$K99),IF($T99="Put",$AA99-$K99,$AA99+$K99)))</f>
        <v/>
      </c>
      <c r="AC99" s="14" t="str">
        <f aca="false">IF(OR($C99="",$T99="Mixta",$J99="",$AA99=""),"",IF($T99="Put",($J99-$AA99)/$J99,($AA99-$J99)/$J99))</f>
        <v/>
      </c>
      <c r="AD99" s="12" t="str">
        <f aca="false">IF($C99="","",IF($Q99&lt;&gt;"",$Q99,IF($V99="Strike",N($E99)*$H99*$I99,IF($V99="Subyacente",IF($J99="","",$J99*$H99*$I99),IF($V99="Ancho",IF($F99="","",ABS($E99-$F99)*$H99*$I99-$K99*$H99*$I99),IF($V99="Prima",$K99*$H99*$I99,""))))))</f>
        <v/>
      </c>
      <c r="AE99" s="12" t="str">
        <f aca="false">IF(OR($C99="",$M99="Abierta",$M99=""),"",(N($K99)-IF(OR($M99="Cerrada",$M99="Rolada"),N($O99),0))*$H99*$I99*IF($U99="Débito",-1,1)-N($L99)-N($P99))</f>
        <v/>
      </c>
      <c r="AF99" s="14" t="str">
        <f aca="false">IF(OR($AE99="",$AD99=""),"",IF($AD99&lt;=0,"",$AE99/$AD99))</f>
        <v/>
      </c>
      <c r="AG99" s="14" t="str">
        <f aca="false">IF($AF99="","",$AF99*365/MAX(N($X99),1))</f>
        <v/>
      </c>
      <c r="AH99" s="14" t="str">
        <f aca="false">IF(OR($C99="",$U99&lt;&gt;"Crédito",$AD99=""),"",IF($AD99&lt;=0,"",($Z99-N($L99))/$AD99))</f>
        <v/>
      </c>
      <c r="AI99" s="14" t="str">
        <f aca="false">IF(OR($AH99="",$W99=""),"",$AH99*365/MAX($W99,1))</f>
        <v/>
      </c>
      <c r="AJ99" s="14" t="str">
        <f aca="false">IF(OR($AE99="",$U99&lt;&gt;"Crédito",N($K99)=0),"",(N($K99)-IF(OR($M99="Cerrada",$M99="Rolada"),N($O99),0))/$K99)</f>
        <v/>
      </c>
      <c r="AK99" s="15" t="str">
        <f aca="false">IF(OR($C99="",$N99=""),"",DATE(YEAR($N99),MONTH($N99),1))</f>
        <v/>
      </c>
      <c r="AL99" s="11" t="str">
        <f aca="false">IF($C99="","",IF($M99="Abierta",0,1))</f>
        <v/>
      </c>
      <c r="AM99" s="16" t="str">
        <f aca="false">IF(OR($AE99="",$AD99=""),"",$AD99*MAX(N($X99),1))</f>
        <v/>
      </c>
      <c r="AN99" s="10" t="str">
        <f aca="false">IF($C99="","",IF(OR($B99="",$D99="",$H99="",$K99="",$M99=""),"Faltan datos obligatorios",IF($T99="","Estrategia no reconocida",IF(AND($M99&lt;&gt;"Abierta",$N99=""),"Falta fecha cierre",IF(AND(OR($M99="Cerrada",$M99="Rolada"),$O99=""),"Falta prima cierre",IF(AND($N99&lt;&gt;"",$N99&lt;$B99),"Cierre anterior a apertura",IF(AND($M99="Asignada",$R99=""),"Asignada: falta ID lote acciones",IF(AND($R99&lt;&gt;"",ISNA(MATCH($R99,Acciones!$A$2:$A$201,0))),"El ID lote no existe en Acciones",IF($AD99="","Revisa capital en riesgo","OK")))))))))</f>
        <v/>
      </c>
    </row>
    <row r="100" customFormat="false" ht="15" hidden="false" customHeight="true" outlineLevel="0" collapsed="false">
      <c r="A100" s="5"/>
      <c r="B100" s="6"/>
      <c r="C100" s="7"/>
      <c r="D100" s="7"/>
      <c r="E100" s="8"/>
      <c r="F100" s="8"/>
      <c r="G100" s="6"/>
      <c r="H100" s="5"/>
      <c r="I100" s="5" t="n">
        <v>100</v>
      </c>
      <c r="J100" s="8"/>
      <c r="K100" s="8"/>
      <c r="L100" s="9"/>
      <c r="M100" s="7"/>
      <c r="N100" s="6"/>
      <c r="O100" s="8"/>
      <c r="P100" s="9"/>
      <c r="Q100" s="9"/>
      <c r="R100" s="7"/>
      <c r="S100" s="7"/>
      <c r="T100" s="10" t="str">
        <f aca="false">IF($C100="","",IFERROR(INDEX(Listas!$B$2:$B$20,MATCH($D100,Listas!$A$2:$A$20,0)),""))</f>
        <v/>
      </c>
      <c r="U100" s="10" t="str">
        <f aca="false">IF($C100="","",IFERROR(INDEX(Listas!$C$2:$C$20,MATCH($D100,Listas!$A$2:$A$20,0)),""))</f>
        <v/>
      </c>
      <c r="V100" s="10" t="str">
        <f aca="false">IF($C100="","",IFERROR(INDEX(Listas!$D$2:$D$20,MATCH($D100,Listas!$A$2:$A$20,0)),""))</f>
        <v/>
      </c>
      <c r="W100" s="11" t="str">
        <f aca="false">IF(OR($C100="",$B100="",$G100=""),"",$G100-$B100)</f>
        <v/>
      </c>
      <c r="X100" s="11" t="str">
        <f aca="true">IF(OR($C100="",$B100=""),"",IF($N100&lt;&gt;"",$N100,TODAY())-$B100)</f>
        <v/>
      </c>
      <c r="Y100" s="11" t="str">
        <f aca="true">IF(OR($C100="",$M100&lt;&gt;"Abierta",$G100=""),"",MAX($G100-TODAY(),0))</f>
        <v/>
      </c>
      <c r="Z100" s="12" t="str">
        <f aca="false">IF($C100="","",N($K100)*N($H100)*N($I100)*IF($U100="Débito",-1,1))</f>
        <v/>
      </c>
      <c r="AA100" s="13" t="str">
        <f aca="false">IF($C100="","",IF(AND($U100="Débito",$F100&lt;&gt;""),$F100,$E100))</f>
        <v/>
      </c>
      <c r="AB100" s="13" t="str">
        <f aca="false">IF(OR($C100="",$T100="Mixta",$AA100=""),"",IF($V100="Subyacente",IF($J100="","",$J100-$K100),IF($T100="Put",$AA100-$K100,$AA100+$K100)))</f>
        <v/>
      </c>
      <c r="AC100" s="14" t="str">
        <f aca="false">IF(OR($C100="",$T100="Mixta",$J100="",$AA100=""),"",IF($T100="Put",($J100-$AA100)/$J100,($AA100-$J100)/$J100))</f>
        <v/>
      </c>
      <c r="AD100" s="12" t="str">
        <f aca="false">IF($C100="","",IF($Q100&lt;&gt;"",$Q100,IF($V100="Strike",N($E100)*$H100*$I100,IF($V100="Subyacente",IF($J100="","",$J100*$H100*$I100),IF($V100="Ancho",IF($F100="","",ABS($E100-$F100)*$H100*$I100-$K100*$H100*$I100),IF($V100="Prima",$K100*$H100*$I100,""))))))</f>
        <v/>
      </c>
      <c r="AE100" s="12" t="str">
        <f aca="false">IF(OR($C100="",$M100="Abierta",$M100=""),"",(N($K100)-IF(OR($M100="Cerrada",$M100="Rolada"),N($O100),0))*$H100*$I100*IF($U100="Débito",-1,1)-N($L100)-N($P100))</f>
        <v/>
      </c>
      <c r="AF100" s="14" t="str">
        <f aca="false">IF(OR($AE100="",$AD100=""),"",IF($AD100&lt;=0,"",$AE100/$AD100))</f>
        <v/>
      </c>
      <c r="AG100" s="14" t="str">
        <f aca="false">IF($AF100="","",$AF100*365/MAX(N($X100),1))</f>
        <v/>
      </c>
      <c r="AH100" s="14" t="str">
        <f aca="false">IF(OR($C100="",$U100&lt;&gt;"Crédito",$AD100=""),"",IF($AD100&lt;=0,"",($Z100-N($L100))/$AD100))</f>
        <v/>
      </c>
      <c r="AI100" s="14" t="str">
        <f aca="false">IF(OR($AH100="",$W100=""),"",$AH100*365/MAX($W100,1))</f>
        <v/>
      </c>
      <c r="AJ100" s="14" t="str">
        <f aca="false">IF(OR($AE100="",$U100&lt;&gt;"Crédito",N($K100)=0),"",(N($K100)-IF(OR($M100="Cerrada",$M100="Rolada"),N($O100),0))/$K100)</f>
        <v/>
      </c>
      <c r="AK100" s="15" t="str">
        <f aca="false">IF(OR($C100="",$N100=""),"",DATE(YEAR($N100),MONTH($N100),1))</f>
        <v/>
      </c>
      <c r="AL100" s="11" t="str">
        <f aca="false">IF($C100="","",IF($M100="Abierta",0,1))</f>
        <v/>
      </c>
      <c r="AM100" s="16" t="str">
        <f aca="false">IF(OR($AE100="",$AD100=""),"",$AD100*MAX(N($X100),1))</f>
        <v/>
      </c>
      <c r="AN100" s="10" t="str">
        <f aca="false">IF($C100="","",IF(OR($B100="",$D100="",$H100="",$K100="",$M100=""),"Faltan datos obligatorios",IF($T100="","Estrategia no reconocida",IF(AND($M100&lt;&gt;"Abierta",$N100=""),"Falta fecha cierre",IF(AND(OR($M100="Cerrada",$M100="Rolada"),$O100=""),"Falta prima cierre",IF(AND($N100&lt;&gt;"",$N100&lt;$B100),"Cierre anterior a apertura",IF(AND($M100="Asignada",$R100=""),"Asignada: falta ID lote acciones",IF(AND($R100&lt;&gt;"",ISNA(MATCH($R100,Acciones!$A$2:$A$201,0))),"El ID lote no existe en Acciones",IF($AD100="","Revisa capital en riesgo","OK")))))))))</f>
        <v/>
      </c>
    </row>
    <row r="101" customFormat="false" ht="15" hidden="false" customHeight="true" outlineLevel="0" collapsed="false">
      <c r="A101" s="5"/>
      <c r="B101" s="6"/>
      <c r="C101" s="7"/>
      <c r="D101" s="7"/>
      <c r="E101" s="8"/>
      <c r="F101" s="8"/>
      <c r="G101" s="6"/>
      <c r="H101" s="5"/>
      <c r="I101" s="5" t="n">
        <v>100</v>
      </c>
      <c r="J101" s="8"/>
      <c r="K101" s="8"/>
      <c r="L101" s="9"/>
      <c r="M101" s="7"/>
      <c r="N101" s="6"/>
      <c r="O101" s="8"/>
      <c r="P101" s="9"/>
      <c r="Q101" s="9"/>
      <c r="R101" s="7"/>
      <c r="S101" s="7"/>
      <c r="T101" s="10" t="str">
        <f aca="false">IF($C101="","",IFERROR(INDEX(Listas!$B$2:$B$20,MATCH($D101,Listas!$A$2:$A$20,0)),""))</f>
        <v/>
      </c>
      <c r="U101" s="10" t="str">
        <f aca="false">IF($C101="","",IFERROR(INDEX(Listas!$C$2:$C$20,MATCH($D101,Listas!$A$2:$A$20,0)),""))</f>
        <v/>
      </c>
      <c r="V101" s="10" t="str">
        <f aca="false">IF($C101="","",IFERROR(INDEX(Listas!$D$2:$D$20,MATCH($D101,Listas!$A$2:$A$20,0)),""))</f>
        <v/>
      </c>
      <c r="W101" s="11" t="str">
        <f aca="false">IF(OR($C101="",$B101="",$G101=""),"",$G101-$B101)</f>
        <v/>
      </c>
      <c r="X101" s="11" t="str">
        <f aca="true">IF(OR($C101="",$B101=""),"",IF($N101&lt;&gt;"",$N101,TODAY())-$B101)</f>
        <v/>
      </c>
      <c r="Y101" s="11" t="str">
        <f aca="true">IF(OR($C101="",$M101&lt;&gt;"Abierta",$G101=""),"",MAX($G101-TODAY(),0))</f>
        <v/>
      </c>
      <c r="Z101" s="12" t="str">
        <f aca="false">IF($C101="","",N($K101)*N($H101)*N($I101)*IF($U101="Débito",-1,1))</f>
        <v/>
      </c>
      <c r="AA101" s="13" t="str">
        <f aca="false">IF($C101="","",IF(AND($U101="Débito",$F101&lt;&gt;""),$F101,$E101))</f>
        <v/>
      </c>
      <c r="AB101" s="13" t="str">
        <f aca="false">IF(OR($C101="",$T101="Mixta",$AA101=""),"",IF($V101="Subyacente",IF($J101="","",$J101-$K101),IF($T101="Put",$AA101-$K101,$AA101+$K101)))</f>
        <v/>
      </c>
      <c r="AC101" s="14" t="str">
        <f aca="false">IF(OR($C101="",$T101="Mixta",$J101="",$AA101=""),"",IF($T101="Put",($J101-$AA101)/$J101,($AA101-$J101)/$J101))</f>
        <v/>
      </c>
      <c r="AD101" s="12" t="str">
        <f aca="false">IF($C101="","",IF($Q101&lt;&gt;"",$Q101,IF($V101="Strike",N($E101)*$H101*$I101,IF($V101="Subyacente",IF($J101="","",$J101*$H101*$I101),IF($V101="Ancho",IF($F101="","",ABS($E101-$F101)*$H101*$I101-$K101*$H101*$I101),IF($V101="Prima",$K101*$H101*$I101,""))))))</f>
        <v/>
      </c>
      <c r="AE101" s="12" t="str">
        <f aca="false">IF(OR($C101="",$M101="Abierta",$M101=""),"",(N($K101)-IF(OR($M101="Cerrada",$M101="Rolada"),N($O101),0))*$H101*$I101*IF($U101="Débito",-1,1)-N($L101)-N($P101))</f>
        <v/>
      </c>
      <c r="AF101" s="14" t="str">
        <f aca="false">IF(OR($AE101="",$AD101=""),"",IF($AD101&lt;=0,"",$AE101/$AD101))</f>
        <v/>
      </c>
      <c r="AG101" s="14" t="str">
        <f aca="false">IF($AF101="","",$AF101*365/MAX(N($X101),1))</f>
        <v/>
      </c>
      <c r="AH101" s="14" t="str">
        <f aca="false">IF(OR($C101="",$U101&lt;&gt;"Crédito",$AD101=""),"",IF($AD101&lt;=0,"",($Z101-N($L101))/$AD101))</f>
        <v/>
      </c>
      <c r="AI101" s="14" t="str">
        <f aca="false">IF(OR($AH101="",$W101=""),"",$AH101*365/MAX($W101,1))</f>
        <v/>
      </c>
      <c r="AJ101" s="14" t="str">
        <f aca="false">IF(OR($AE101="",$U101&lt;&gt;"Crédito",N($K101)=0),"",(N($K101)-IF(OR($M101="Cerrada",$M101="Rolada"),N($O101),0))/$K101)</f>
        <v/>
      </c>
      <c r="AK101" s="15" t="str">
        <f aca="false">IF(OR($C101="",$N101=""),"",DATE(YEAR($N101),MONTH($N101),1))</f>
        <v/>
      </c>
      <c r="AL101" s="11" t="str">
        <f aca="false">IF($C101="","",IF($M101="Abierta",0,1))</f>
        <v/>
      </c>
      <c r="AM101" s="16" t="str">
        <f aca="false">IF(OR($AE101="",$AD101=""),"",$AD101*MAX(N($X101),1))</f>
        <v/>
      </c>
      <c r="AN101" s="10" t="str">
        <f aca="false">IF($C101="","",IF(OR($B101="",$D101="",$H101="",$K101="",$M101=""),"Faltan datos obligatorios",IF($T101="","Estrategia no reconocida",IF(AND($M101&lt;&gt;"Abierta",$N101=""),"Falta fecha cierre",IF(AND(OR($M101="Cerrada",$M101="Rolada"),$O101=""),"Falta prima cierre",IF(AND($N101&lt;&gt;"",$N101&lt;$B101),"Cierre anterior a apertura",IF(AND($M101="Asignada",$R101=""),"Asignada: falta ID lote acciones",IF(AND($R101&lt;&gt;"",ISNA(MATCH($R101,Acciones!$A$2:$A$201,0))),"El ID lote no existe en Acciones",IF($AD101="","Revisa capital en riesgo","OK")))))))))</f>
        <v/>
      </c>
    </row>
    <row r="102" customFormat="false" ht="15" hidden="false" customHeight="true" outlineLevel="0" collapsed="false">
      <c r="A102" s="5"/>
      <c r="B102" s="6"/>
      <c r="C102" s="7"/>
      <c r="D102" s="7"/>
      <c r="E102" s="8"/>
      <c r="F102" s="8"/>
      <c r="G102" s="6"/>
      <c r="H102" s="5"/>
      <c r="I102" s="5" t="n">
        <v>100</v>
      </c>
      <c r="J102" s="8"/>
      <c r="K102" s="8"/>
      <c r="L102" s="9"/>
      <c r="M102" s="7"/>
      <c r="N102" s="6"/>
      <c r="O102" s="8"/>
      <c r="P102" s="9"/>
      <c r="Q102" s="9"/>
      <c r="R102" s="7"/>
      <c r="S102" s="7"/>
      <c r="T102" s="10" t="str">
        <f aca="false">IF($C102="","",IFERROR(INDEX(Listas!$B$2:$B$20,MATCH($D102,Listas!$A$2:$A$20,0)),""))</f>
        <v/>
      </c>
      <c r="U102" s="10" t="str">
        <f aca="false">IF($C102="","",IFERROR(INDEX(Listas!$C$2:$C$20,MATCH($D102,Listas!$A$2:$A$20,0)),""))</f>
        <v/>
      </c>
      <c r="V102" s="10" t="str">
        <f aca="false">IF($C102="","",IFERROR(INDEX(Listas!$D$2:$D$20,MATCH($D102,Listas!$A$2:$A$20,0)),""))</f>
        <v/>
      </c>
      <c r="W102" s="11" t="str">
        <f aca="false">IF(OR($C102="",$B102="",$G102=""),"",$G102-$B102)</f>
        <v/>
      </c>
      <c r="X102" s="11" t="str">
        <f aca="true">IF(OR($C102="",$B102=""),"",IF($N102&lt;&gt;"",$N102,TODAY())-$B102)</f>
        <v/>
      </c>
      <c r="Y102" s="11" t="str">
        <f aca="true">IF(OR($C102="",$M102&lt;&gt;"Abierta",$G102=""),"",MAX($G102-TODAY(),0))</f>
        <v/>
      </c>
      <c r="Z102" s="12" t="str">
        <f aca="false">IF($C102="","",N($K102)*N($H102)*N($I102)*IF($U102="Débito",-1,1))</f>
        <v/>
      </c>
      <c r="AA102" s="13" t="str">
        <f aca="false">IF($C102="","",IF(AND($U102="Débito",$F102&lt;&gt;""),$F102,$E102))</f>
        <v/>
      </c>
      <c r="AB102" s="13" t="str">
        <f aca="false">IF(OR($C102="",$T102="Mixta",$AA102=""),"",IF($V102="Subyacente",IF($J102="","",$J102-$K102),IF($T102="Put",$AA102-$K102,$AA102+$K102)))</f>
        <v/>
      </c>
      <c r="AC102" s="14" t="str">
        <f aca="false">IF(OR($C102="",$T102="Mixta",$J102="",$AA102=""),"",IF($T102="Put",($J102-$AA102)/$J102,($AA102-$J102)/$J102))</f>
        <v/>
      </c>
      <c r="AD102" s="12" t="str">
        <f aca="false">IF($C102="","",IF($Q102&lt;&gt;"",$Q102,IF($V102="Strike",N($E102)*$H102*$I102,IF($V102="Subyacente",IF($J102="","",$J102*$H102*$I102),IF($V102="Ancho",IF($F102="","",ABS($E102-$F102)*$H102*$I102-$K102*$H102*$I102),IF($V102="Prima",$K102*$H102*$I102,""))))))</f>
        <v/>
      </c>
      <c r="AE102" s="12" t="str">
        <f aca="false">IF(OR($C102="",$M102="Abierta",$M102=""),"",(N($K102)-IF(OR($M102="Cerrada",$M102="Rolada"),N($O102),0))*$H102*$I102*IF($U102="Débito",-1,1)-N($L102)-N($P102))</f>
        <v/>
      </c>
      <c r="AF102" s="14" t="str">
        <f aca="false">IF(OR($AE102="",$AD102=""),"",IF($AD102&lt;=0,"",$AE102/$AD102))</f>
        <v/>
      </c>
      <c r="AG102" s="14" t="str">
        <f aca="false">IF($AF102="","",$AF102*365/MAX(N($X102),1))</f>
        <v/>
      </c>
      <c r="AH102" s="14" t="str">
        <f aca="false">IF(OR($C102="",$U102&lt;&gt;"Crédito",$AD102=""),"",IF($AD102&lt;=0,"",($Z102-N($L102))/$AD102))</f>
        <v/>
      </c>
      <c r="AI102" s="14" t="str">
        <f aca="false">IF(OR($AH102="",$W102=""),"",$AH102*365/MAX($W102,1))</f>
        <v/>
      </c>
      <c r="AJ102" s="14" t="str">
        <f aca="false">IF(OR($AE102="",$U102&lt;&gt;"Crédito",N($K102)=0),"",(N($K102)-IF(OR($M102="Cerrada",$M102="Rolada"),N($O102),0))/$K102)</f>
        <v/>
      </c>
      <c r="AK102" s="15" t="str">
        <f aca="false">IF(OR($C102="",$N102=""),"",DATE(YEAR($N102),MONTH($N102),1))</f>
        <v/>
      </c>
      <c r="AL102" s="11" t="str">
        <f aca="false">IF($C102="","",IF($M102="Abierta",0,1))</f>
        <v/>
      </c>
      <c r="AM102" s="16" t="str">
        <f aca="false">IF(OR($AE102="",$AD102=""),"",$AD102*MAX(N($X102),1))</f>
        <v/>
      </c>
      <c r="AN102" s="10" t="str">
        <f aca="false">IF($C102="","",IF(OR($B102="",$D102="",$H102="",$K102="",$M102=""),"Faltan datos obligatorios",IF($T102="","Estrategia no reconocida",IF(AND($M102&lt;&gt;"Abierta",$N102=""),"Falta fecha cierre",IF(AND(OR($M102="Cerrada",$M102="Rolada"),$O102=""),"Falta prima cierre",IF(AND($N102&lt;&gt;"",$N102&lt;$B102),"Cierre anterior a apertura",IF(AND($M102="Asignada",$R102=""),"Asignada: falta ID lote acciones",IF(AND($R102&lt;&gt;"",ISNA(MATCH($R102,Acciones!$A$2:$A$201,0))),"El ID lote no existe en Acciones",IF($AD102="","Revisa capital en riesgo","OK")))))))))</f>
        <v/>
      </c>
    </row>
    <row r="103" customFormat="false" ht="15" hidden="false" customHeight="true" outlineLevel="0" collapsed="false">
      <c r="A103" s="5"/>
      <c r="B103" s="6"/>
      <c r="C103" s="7"/>
      <c r="D103" s="7"/>
      <c r="E103" s="8"/>
      <c r="F103" s="8"/>
      <c r="G103" s="6"/>
      <c r="H103" s="5"/>
      <c r="I103" s="5" t="n">
        <v>100</v>
      </c>
      <c r="J103" s="8"/>
      <c r="K103" s="8"/>
      <c r="L103" s="9"/>
      <c r="M103" s="7"/>
      <c r="N103" s="6"/>
      <c r="O103" s="8"/>
      <c r="P103" s="9"/>
      <c r="Q103" s="9"/>
      <c r="R103" s="7"/>
      <c r="S103" s="7"/>
      <c r="T103" s="10" t="str">
        <f aca="false">IF($C103="","",IFERROR(INDEX(Listas!$B$2:$B$20,MATCH($D103,Listas!$A$2:$A$20,0)),""))</f>
        <v/>
      </c>
      <c r="U103" s="10" t="str">
        <f aca="false">IF($C103="","",IFERROR(INDEX(Listas!$C$2:$C$20,MATCH($D103,Listas!$A$2:$A$20,0)),""))</f>
        <v/>
      </c>
      <c r="V103" s="10" t="str">
        <f aca="false">IF($C103="","",IFERROR(INDEX(Listas!$D$2:$D$20,MATCH($D103,Listas!$A$2:$A$20,0)),""))</f>
        <v/>
      </c>
      <c r="W103" s="11" t="str">
        <f aca="false">IF(OR($C103="",$B103="",$G103=""),"",$G103-$B103)</f>
        <v/>
      </c>
      <c r="X103" s="11" t="str">
        <f aca="true">IF(OR($C103="",$B103=""),"",IF($N103&lt;&gt;"",$N103,TODAY())-$B103)</f>
        <v/>
      </c>
      <c r="Y103" s="11" t="str">
        <f aca="true">IF(OR($C103="",$M103&lt;&gt;"Abierta",$G103=""),"",MAX($G103-TODAY(),0))</f>
        <v/>
      </c>
      <c r="Z103" s="12" t="str">
        <f aca="false">IF($C103="","",N($K103)*N($H103)*N($I103)*IF($U103="Débito",-1,1))</f>
        <v/>
      </c>
      <c r="AA103" s="13" t="str">
        <f aca="false">IF($C103="","",IF(AND($U103="Débito",$F103&lt;&gt;""),$F103,$E103))</f>
        <v/>
      </c>
      <c r="AB103" s="13" t="str">
        <f aca="false">IF(OR($C103="",$T103="Mixta",$AA103=""),"",IF($V103="Subyacente",IF($J103="","",$J103-$K103),IF($T103="Put",$AA103-$K103,$AA103+$K103)))</f>
        <v/>
      </c>
      <c r="AC103" s="14" t="str">
        <f aca="false">IF(OR($C103="",$T103="Mixta",$J103="",$AA103=""),"",IF($T103="Put",($J103-$AA103)/$J103,($AA103-$J103)/$J103))</f>
        <v/>
      </c>
      <c r="AD103" s="12" t="str">
        <f aca="false">IF($C103="","",IF($Q103&lt;&gt;"",$Q103,IF($V103="Strike",N($E103)*$H103*$I103,IF($V103="Subyacente",IF($J103="","",$J103*$H103*$I103),IF($V103="Ancho",IF($F103="","",ABS($E103-$F103)*$H103*$I103-$K103*$H103*$I103),IF($V103="Prima",$K103*$H103*$I103,""))))))</f>
        <v/>
      </c>
      <c r="AE103" s="12" t="str">
        <f aca="false">IF(OR($C103="",$M103="Abierta",$M103=""),"",(N($K103)-IF(OR($M103="Cerrada",$M103="Rolada"),N($O103),0))*$H103*$I103*IF($U103="Débito",-1,1)-N($L103)-N($P103))</f>
        <v/>
      </c>
      <c r="AF103" s="14" t="str">
        <f aca="false">IF(OR($AE103="",$AD103=""),"",IF($AD103&lt;=0,"",$AE103/$AD103))</f>
        <v/>
      </c>
      <c r="AG103" s="14" t="str">
        <f aca="false">IF($AF103="","",$AF103*365/MAX(N($X103),1))</f>
        <v/>
      </c>
      <c r="AH103" s="14" t="str">
        <f aca="false">IF(OR($C103="",$U103&lt;&gt;"Crédito",$AD103=""),"",IF($AD103&lt;=0,"",($Z103-N($L103))/$AD103))</f>
        <v/>
      </c>
      <c r="AI103" s="14" t="str">
        <f aca="false">IF(OR($AH103="",$W103=""),"",$AH103*365/MAX($W103,1))</f>
        <v/>
      </c>
      <c r="AJ103" s="14" t="str">
        <f aca="false">IF(OR($AE103="",$U103&lt;&gt;"Crédito",N($K103)=0),"",(N($K103)-IF(OR($M103="Cerrada",$M103="Rolada"),N($O103),0))/$K103)</f>
        <v/>
      </c>
      <c r="AK103" s="15" t="str">
        <f aca="false">IF(OR($C103="",$N103=""),"",DATE(YEAR($N103),MONTH($N103),1))</f>
        <v/>
      </c>
      <c r="AL103" s="11" t="str">
        <f aca="false">IF($C103="","",IF($M103="Abierta",0,1))</f>
        <v/>
      </c>
      <c r="AM103" s="16" t="str">
        <f aca="false">IF(OR($AE103="",$AD103=""),"",$AD103*MAX(N($X103),1))</f>
        <v/>
      </c>
      <c r="AN103" s="10" t="str">
        <f aca="false">IF($C103="","",IF(OR($B103="",$D103="",$H103="",$K103="",$M103=""),"Faltan datos obligatorios",IF($T103="","Estrategia no reconocida",IF(AND($M103&lt;&gt;"Abierta",$N103=""),"Falta fecha cierre",IF(AND(OR($M103="Cerrada",$M103="Rolada"),$O103=""),"Falta prima cierre",IF(AND($N103&lt;&gt;"",$N103&lt;$B103),"Cierre anterior a apertura",IF(AND($M103="Asignada",$R103=""),"Asignada: falta ID lote acciones",IF(AND($R103&lt;&gt;"",ISNA(MATCH($R103,Acciones!$A$2:$A$201,0))),"El ID lote no existe en Acciones",IF($AD103="","Revisa capital en riesgo","OK")))))))))</f>
        <v/>
      </c>
    </row>
    <row r="104" customFormat="false" ht="15" hidden="false" customHeight="true" outlineLevel="0" collapsed="false">
      <c r="A104" s="5"/>
      <c r="B104" s="6"/>
      <c r="C104" s="7"/>
      <c r="D104" s="7"/>
      <c r="E104" s="8"/>
      <c r="F104" s="8"/>
      <c r="G104" s="6"/>
      <c r="H104" s="5"/>
      <c r="I104" s="5" t="n">
        <v>100</v>
      </c>
      <c r="J104" s="8"/>
      <c r="K104" s="8"/>
      <c r="L104" s="9"/>
      <c r="M104" s="7"/>
      <c r="N104" s="6"/>
      <c r="O104" s="8"/>
      <c r="P104" s="9"/>
      <c r="Q104" s="9"/>
      <c r="R104" s="7"/>
      <c r="S104" s="7"/>
      <c r="T104" s="10" t="str">
        <f aca="false">IF($C104="","",IFERROR(INDEX(Listas!$B$2:$B$20,MATCH($D104,Listas!$A$2:$A$20,0)),""))</f>
        <v/>
      </c>
      <c r="U104" s="10" t="str">
        <f aca="false">IF($C104="","",IFERROR(INDEX(Listas!$C$2:$C$20,MATCH($D104,Listas!$A$2:$A$20,0)),""))</f>
        <v/>
      </c>
      <c r="V104" s="10" t="str">
        <f aca="false">IF($C104="","",IFERROR(INDEX(Listas!$D$2:$D$20,MATCH($D104,Listas!$A$2:$A$20,0)),""))</f>
        <v/>
      </c>
      <c r="W104" s="11" t="str">
        <f aca="false">IF(OR($C104="",$B104="",$G104=""),"",$G104-$B104)</f>
        <v/>
      </c>
      <c r="X104" s="11" t="str">
        <f aca="true">IF(OR($C104="",$B104=""),"",IF($N104&lt;&gt;"",$N104,TODAY())-$B104)</f>
        <v/>
      </c>
      <c r="Y104" s="11" t="str">
        <f aca="true">IF(OR($C104="",$M104&lt;&gt;"Abierta",$G104=""),"",MAX($G104-TODAY(),0))</f>
        <v/>
      </c>
      <c r="Z104" s="12" t="str">
        <f aca="false">IF($C104="","",N($K104)*N($H104)*N($I104)*IF($U104="Débito",-1,1))</f>
        <v/>
      </c>
      <c r="AA104" s="13" t="str">
        <f aca="false">IF($C104="","",IF(AND($U104="Débito",$F104&lt;&gt;""),$F104,$E104))</f>
        <v/>
      </c>
      <c r="AB104" s="13" t="str">
        <f aca="false">IF(OR($C104="",$T104="Mixta",$AA104=""),"",IF($V104="Subyacente",IF($J104="","",$J104-$K104),IF($T104="Put",$AA104-$K104,$AA104+$K104)))</f>
        <v/>
      </c>
      <c r="AC104" s="14" t="str">
        <f aca="false">IF(OR($C104="",$T104="Mixta",$J104="",$AA104=""),"",IF($T104="Put",($J104-$AA104)/$J104,($AA104-$J104)/$J104))</f>
        <v/>
      </c>
      <c r="AD104" s="12" t="str">
        <f aca="false">IF($C104="","",IF($Q104&lt;&gt;"",$Q104,IF($V104="Strike",N($E104)*$H104*$I104,IF($V104="Subyacente",IF($J104="","",$J104*$H104*$I104),IF($V104="Ancho",IF($F104="","",ABS($E104-$F104)*$H104*$I104-$K104*$H104*$I104),IF($V104="Prima",$K104*$H104*$I104,""))))))</f>
        <v/>
      </c>
      <c r="AE104" s="12" t="str">
        <f aca="false">IF(OR($C104="",$M104="Abierta",$M104=""),"",(N($K104)-IF(OR($M104="Cerrada",$M104="Rolada"),N($O104),0))*$H104*$I104*IF($U104="Débito",-1,1)-N($L104)-N($P104))</f>
        <v/>
      </c>
      <c r="AF104" s="14" t="str">
        <f aca="false">IF(OR($AE104="",$AD104=""),"",IF($AD104&lt;=0,"",$AE104/$AD104))</f>
        <v/>
      </c>
      <c r="AG104" s="14" t="str">
        <f aca="false">IF($AF104="","",$AF104*365/MAX(N($X104),1))</f>
        <v/>
      </c>
      <c r="AH104" s="14" t="str">
        <f aca="false">IF(OR($C104="",$U104&lt;&gt;"Crédito",$AD104=""),"",IF($AD104&lt;=0,"",($Z104-N($L104))/$AD104))</f>
        <v/>
      </c>
      <c r="AI104" s="14" t="str">
        <f aca="false">IF(OR($AH104="",$W104=""),"",$AH104*365/MAX($W104,1))</f>
        <v/>
      </c>
      <c r="AJ104" s="14" t="str">
        <f aca="false">IF(OR($AE104="",$U104&lt;&gt;"Crédito",N($K104)=0),"",(N($K104)-IF(OR($M104="Cerrada",$M104="Rolada"),N($O104),0))/$K104)</f>
        <v/>
      </c>
      <c r="AK104" s="15" t="str">
        <f aca="false">IF(OR($C104="",$N104=""),"",DATE(YEAR($N104),MONTH($N104),1))</f>
        <v/>
      </c>
      <c r="AL104" s="11" t="str">
        <f aca="false">IF($C104="","",IF($M104="Abierta",0,1))</f>
        <v/>
      </c>
      <c r="AM104" s="16" t="str">
        <f aca="false">IF(OR($AE104="",$AD104=""),"",$AD104*MAX(N($X104),1))</f>
        <v/>
      </c>
      <c r="AN104" s="10" t="str">
        <f aca="false">IF($C104="","",IF(OR($B104="",$D104="",$H104="",$K104="",$M104=""),"Faltan datos obligatorios",IF($T104="","Estrategia no reconocida",IF(AND($M104&lt;&gt;"Abierta",$N104=""),"Falta fecha cierre",IF(AND(OR($M104="Cerrada",$M104="Rolada"),$O104=""),"Falta prima cierre",IF(AND($N104&lt;&gt;"",$N104&lt;$B104),"Cierre anterior a apertura",IF(AND($M104="Asignada",$R104=""),"Asignada: falta ID lote acciones",IF(AND($R104&lt;&gt;"",ISNA(MATCH($R104,Acciones!$A$2:$A$201,0))),"El ID lote no existe en Acciones",IF($AD104="","Revisa capital en riesgo","OK")))))))))</f>
        <v/>
      </c>
    </row>
    <row r="105" customFormat="false" ht="15" hidden="false" customHeight="true" outlineLevel="0" collapsed="false">
      <c r="A105" s="5"/>
      <c r="B105" s="6"/>
      <c r="C105" s="7"/>
      <c r="D105" s="7"/>
      <c r="E105" s="8"/>
      <c r="F105" s="8"/>
      <c r="G105" s="6"/>
      <c r="H105" s="5"/>
      <c r="I105" s="5" t="n">
        <v>100</v>
      </c>
      <c r="J105" s="8"/>
      <c r="K105" s="8"/>
      <c r="L105" s="9"/>
      <c r="M105" s="7"/>
      <c r="N105" s="6"/>
      <c r="O105" s="8"/>
      <c r="P105" s="9"/>
      <c r="Q105" s="9"/>
      <c r="R105" s="7"/>
      <c r="S105" s="7"/>
      <c r="T105" s="10" t="str">
        <f aca="false">IF($C105="","",IFERROR(INDEX(Listas!$B$2:$B$20,MATCH($D105,Listas!$A$2:$A$20,0)),""))</f>
        <v/>
      </c>
      <c r="U105" s="10" t="str">
        <f aca="false">IF($C105="","",IFERROR(INDEX(Listas!$C$2:$C$20,MATCH($D105,Listas!$A$2:$A$20,0)),""))</f>
        <v/>
      </c>
      <c r="V105" s="10" t="str">
        <f aca="false">IF($C105="","",IFERROR(INDEX(Listas!$D$2:$D$20,MATCH($D105,Listas!$A$2:$A$20,0)),""))</f>
        <v/>
      </c>
      <c r="W105" s="11" t="str">
        <f aca="false">IF(OR($C105="",$B105="",$G105=""),"",$G105-$B105)</f>
        <v/>
      </c>
      <c r="X105" s="11" t="str">
        <f aca="true">IF(OR($C105="",$B105=""),"",IF($N105&lt;&gt;"",$N105,TODAY())-$B105)</f>
        <v/>
      </c>
      <c r="Y105" s="11" t="str">
        <f aca="true">IF(OR($C105="",$M105&lt;&gt;"Abierta",$G105=""),"",MAX($G105-TODAY(),0))</f>
        <v/>
      </c>
      <c r="Z105" s="12" t="str">
        <f aca="false">IF($C105="","",N($K105)*N($H105)*N($I105)*IF($U105="Débito",-1,1))</f>
        <v/>
      </c>
      <c r="AA105" s="13" t="str">
        <f aca="false">IF($C105="","",IF(AND($U105="Débito",$F105&lt;&gt;""),$F105,$E105))</f>
        <v/>
      </c>
      <c r="AB105" s="13" t="str">
        <f aca="false">IF(OR($C105="",$T105="Mixta",$AA105=""),"",IF($V105="Subyacente",IF($J105="","",$J105-$K105),IF($T105="Put",$AA105-$K105,$AA105+$K105)))</f>
        <v/>
      </c>
      <c r="AC105" s="14" t="str">
        <f aca="false">IF(OR($C105="",$T105="Mixta",$J105="",$AA105=""),"",IF($T105="Put",($J105-$AA105)/$J105,($AA105-$J105)/$J105))</f>
        <v/>
      </c>
      <c r="AD105" s="12" t="str">
        <f aca="false">IF($C105="","",IF($Q105&lt;&gt;"",$Q105,IF($V105="Strike",N($E105)*$H105*$I105,IF($V105="Subyacente",IF($J105="","",$J105*$H105*$I105),IF($V105="Ancho",IF($F105="","",ABS($E105-$F105)*$H105*$I105-$K105*$H105*$I105),IF($V105="Prima",$K105*$H105*$I105,""))))))</f>
        <v/>
      </c>
      <c r="AE105" s="12" t="str">
        <f aca="false">IF(OR($C105="",$M105="Abierta",$M105=""),"",(N($K105)-IF(OR($M105="Cerrada",$M105="Rolada"),N($O105),0))*$H105*$I105*IF($U105="Débito",-1,1)-N($L105)-N($P105))</f>
        <v/>
      </c>
      <c r="AF105" s="14" t="str">
        <f aca="false">IF(OR($AE105="",$AD105=""),"",IF($AD105&lt;=0,"",$AE105/$AD105))</f>
        <v/>
      </c>
      <c r="AG105" s="14" t="str">
        <f aca="false">IF($AF105="","",$AF105*365/MAX(N($X105),1))</f>
        <v/>
      </c>
      <c r="AH105" s="14" t="str">
        <f aca="false">IF(OR($C105="",$U105&lt;&gt;"Crédito",$AD105=""),"",IF($AD105&lt;=0,"",($Z105-N($L105))/$AD105))</f>
        <v/>
      </c>
      <c r="AI105" s="14" t="str">
        <f aca="false">IF(OR($AH105="",$W105=""),"",$AH105*365/MAX($W105,1))</f>
        <v/>
      </c>
      <c r="AJ105" s="14" t="str">
        <f aca="false">IF(OR($AE105="",$U105&lt;&gt;"Crédito",N($K105)=0),"",(N($K105)-IF(OR($M105="Cerrada",$M105="Rolada"),N($O105),0))/$K105)</f>
        <v/>
      </c>
      <c r="AK105" s="15" t="str">
        <f aca="false">IF(OR($C105="",$N105=""),"",DATE(YEAR($N105),MONTH($N105),1))</f>
        <v/>
      </c>
      <c r="AL105" s="11" t="str">
        <f aca="false">IF($C105="","",IF($M105="Abierta",0,1))</f>
        <v/>
      </c>
      <c r="AM105" s="16" t="str">
        <f aca="false">IF(OR($AE105="",$AD105=""),"",$AD105*MAX(N($X105),1))</f>
        <v/>
      </c>
      <c r="AN105" s="10" t="str">
        <f aca="false">IF($C105="","",IF(OR($B105="",$D105="",$H105="",$K105="",$M105=""),"Faltan datos obligatorios",IF($T105="","Estrategia no reconocida",IF(AND($M105&lt;&gt;"Abierta",$N105=""),"Falta fecha cierre",IF(AND(OR($M105="Cerrada",$M105="Rolada"),$O105=""),"Falta prima cierre",IF(AND($N105&lt;&gt;"",$N105&lt;$B105),"Cierre anterior a apertura",IF(AND($M105="Asignada",$R105=""),"Asignada: falta ID lote acciones",IF(AND($R105&lt;&gt;"",ISNA(MATCH($R105,Acciones!$A$2:$A$201,0))),"El ID lote no existe en Acciones",IF($AD105="","Revisa capital en riesgo","OK")))))))))</f>
        <v/>
      </c>
    </row>
    <row r="106" customFormat="false" ht="15" hidden="false" customHeight="true" outlineLevel="0" collapsed="false">
      <c r="A106" s="5"/>
      <c r="B106" s="6"/>
      <c r="C106" s="7"/>
      <c r="D106" s="7"/>
      <c r="E106" s="8"/>
      <c r="F106" s="8"/>
      <c r="G106" s="6"/>
      <c r="H106" s="5"/>
      <c r="I106" s="5" t="n">
        <v>100</v>
      </c>
      <c r="J106" s="8"/>
      <c r="K106" s="8"/>
      <c r="L106" s="9"/>
      <c r="M106" s="7"/>
      <c r="N106" s="6"/>
      <c r="O106" s="8"/>
      <c r="P106" s="9"/>
      <c r="Q106" s="9"/>
      <c r="R106" s="7"/>
      <c r="S106" s="7"/>
      <c r="T106" s="10" t="str">
        <f aca="false">IF($C106="","",IFERROR(INDEX(Listas!$B$2:$B$20,MATCH($D106,Listas!$A$2:$A$20,0)),""))</f>
        <v/>
      </c>
      <c r="U106" s="10" t="str">
        <f aca="false">IF($C106="","",IFERROR(INDEX(Listas!$C$2:$C$20,MATCH($D106,Listas!$A$2:$A$20,0)),""))</f>
        <v/>
      </c>
      <c r="V106" s="10" t="str">
        <f aca="false">IF($C106="","",IFERROR(INDEX(Listas!$D$2:$D$20,MATCH($D106,Listas!$A$2:$A$20,0)),""))</f>
        <v/>
      </c>
      <c r="W106" s="11" t="str">
        <f aca="false">IF(OR($C106="",$B106="",$G106=""),"",$G106-$B106)</f>
        <v/>
      </c>
      <c r="X106" s="11" t="str">
        <f aca="true">IF(OR($C106="",$B106=""),"",IF($N106&lt;&gt;"",$N106,TODAY())-$B106)</f>
        <v/>
      </c>
      <c r="Y106" s="11" t="str">
        <f aca="true">IF(OR($C106="",$M106&lt;&gt;"Abierta",$G106=""),"",MAX($G106-TODAY(),0))</f>
        <v/>
      </c>
      <c r="Z106" s="12" t="str">
        <f aca="false">IF($C106="","",N($K106)*N($H106)*N($I106)*IF($U106="Débito",-1,1))</f>
        <v/>
      </c>
      <c r="AA106" s="13" t="str">
        <f aca="false">IF($C106="","",IF(AND($U106="Débito",$F106&lt;&gt;""),$F106,$E106))</f>
        <v/>
      </c>
      <c r="AB106" s="13" t="str">
        <f aca="false">IF(OR($C106="",$T106="Mixta",$AA106=""),"",IF($V106="Subyacente",IF($J106="","",$J106-$K106),IF($T106="Put",$AA106-$K106,$AA106+$K106)))</f>
        <v/>
      </c>
      <c r="AC106" s="14" t="str">
        <f aca="false">IF(OR($C106="",$T106="Mixta",$J106="",$AA106=""),"",IF($T106="Put",($J106-$AA106)/$J106,($AA106-$J106)/$J106))</f>
        <v/>
      </c>
      <c r="AD106" s="12" t="str">
        <f aca="false">IF($C106="","",IF($Q106&lt;&gt;"",$Q106,IF($V106="Strike",N($E106)*$H106*$I106,IF($V106="Subyacente",IF($J106="","",$J106*$H106*$I106),IF($V106="Ancho",IF($F106="","",ABS($E106-$F106)*$H106*$I106-$K106*$H106*$I106),IF($V106="Prima",$K106*$H106*$I106,""))))))</f>
        <v/>
      </c>
      <c r="AE106" s="12" t="str">
        <f aca="false">IF(OR($C106="",$M106="Abierta",$M106=""),"",(N($K106)-IF(OR($M106="Cerrada",$M106="Rolada"),N($O106),0))*$H106*$I106*IF($U106="Débito",-1,1)-N($L106)-N($P106))</f>
        <v/>
      </c>
      <c r="AF106" s="14" t="str">
        <f aca="false">IF(OR($AE106="",$AD106=""),"",IF($AD106&lt;=0,"",$AE106/$AD106))</f>
        <v/>
      </c>
      <c r="AG106" s="14" t="str">
        <f aca="false">IF($AF106="","",$AF106*365/MAX(N($X106),1))</f>
        <v/>
      </c>
      <c r="AH106" s="14" t="str">
        <f aca="false">IF(OR($C106="",$U106&lt;&gt;"Crédito",$AD106=""),"",IF($AD106&lt;=0,"",($Z106-N($L106))/$AD106))</f>
        <v/>
      </c>
      <c r="AI106" s="14" t="str">
        <f aca="false">IF(OR($AH106="",$W106=""),"",$AH106*365/MAX($W106,1))</f>
        <v/>
      </c>
      <c r="AJ106" s="14" t="str">
        <f aca="false">IF(OR($AE106="",$U106&lt;&gt;"Crédito",N($K106)=0),"",(N($K106)-IF(OR($M106="Cerrada",$M106="Rolada"),N($O106),0))/$K106)</f>
        <v/>
      </c>
      <c r="AK106" s="15" t="str">
        <f aca="false">IF(OR($C106="",$N106=""),"",DATE(YEAR($N106),MONTH($N106),1))</f>
        <v/>
      </c>
      <c r="AL106" s="11" t="str">
        <f aca="false">IF($C106="","",IF($M106="Abierta",0,1))</f>
        <v/>
      </c>
      <c r="AM106" s="16" t="str">
        <f aca="false">IF(OR($AE106="",$AD106=""),"",$AD106*MAX(N($X106),1))</f>
        <v/>
      </c>
      <c r="AN106" s="10" t="str">
        <f aca="false">IF($C106="","",IF(OR($B106="",$D106="",$H106="",$K106="",$M106=""),"Faltan datos obligatorios",IF($T106="","Estrategia no reconocida",IF(AND($M106&lt;&gt;"Abierta",$N106=""),"Falta fecha cierre",IF(AND(OR($M106="Cerrada",$M106="Rolada"),$O106=""),"Falta prima cierre",IF(AND($N106&lt;&gt;"",$N106&lt;$B106),"Cierre anterior a apertura",IF(AND($M106="Asignada",$R106=""),"Asignada: falta ID lote acciones",IF(AND($R106&lt;&gt;"",ISNA(MATCH($R106,Acciones!$A$2:$A$201,0))),"El ID lote no existe en Acciones",IF($AD106="","Revisa capital en riesgo","OK")))))))))</f>
        <v/>
      </c>
    </row>
    <row r="107" customFormat="false" ht="15" hidden="false" customHeight="true" outlineLevel="0" collapsed="false">
      <c r="A107" s="5"/>
      <c r="B107" s="6"/>
      <c r="C107" s="7"/>
      <c r="D107" s="7"/>
      <c r="E107" s="8"/>
      <c r="F107" s="8"/>
      <c r="G107" s="6"/>
      <c r="H107" s="5"/>
      <c r="I107" s="5" t="n">
        <v>100</v>
      </c>
      <c r="J107" s="8"/>
      <c r="K107" s="8"/>
      <c r="L107" s="9"/>
      <c r="M107" s="7"/>
      <c r="N107" s="6"/>
      <c r="O107" s="8"/>
      <c r="P107" s="9"/>
      <c r="Q107" s="9"/>
      <c r="R107" s="7"/>
      <c r="S107" s="7"/>
      <c r="T107" s="10" t="str">
        <f aca="false">IF($C107="","",IFERROR(INDEX(Listas!$B$2:$B$20,MATCH($D107,Listas!$A$2:$A$20,0)),""))</f>
        <v/>
      </c>
      <c r="U107" s="10" t="str">
        <f aca="false">IF($C107="","",IFERROR(INDEX(Listas!$C$2:$C$20,MATCH($D107,Listas!$A$2:$A$20,0)),""))</f>
        <v/>
      </c>
      <c r="V107" s="10" t="str">
        <f aca="false">IF($C107="","",IFERROR(INDEX(Listas!$D$2:$D$20,MATCH($D107,Listas!$A$2:$A$20,0)),""))</f>
        <v/>
      </c>
      <c r="W107" s="11" t="str">
        <f aca="false">IF(OR($C107="",$B107="",$G107=""),"",$G107-$B107)</f>
        <v/>
      </c>
      <c r="X107" s="11" t="str">
        <f aca="true">IF(OR($C107="",$B107=""),"",IF($N107&lt;&gt;"",$N107,TODAY())-$B107)</f>
        <v/>
      </c>
      <c r="Y107" s="11" t="str">
        <f aca="true">IF(OR($C107="",$M107&lt;&gt;"Abierta",$G107=""),"",MAX($G107-TODAY(),0))</f>
        <v/>
      </c>
      <c r="Z107" s="12" t="str">
        <f aca="false">IF($C107="","",N($K107)*N($H107)*N($I107)*IF($U107="Débito",-1,1))</f>
        <v/>
      </c>
      <c r="AA107" s="13" t="str">
        <f aca="false">IF($C107="","",IF(AND($U107="Débito",$F107&lt;&gt;""),$F107,$E107))</f>
        <v/>
      </c>
      <c r="AB107" s="13" t="str">
        <f aca="false">IF(OR($C107="",$T107="Mixta",$AA107=""),"",IF($V107="Subyacente",IF($J107="","",$J107-$K107),IF($T107="Put",$AA107-$K107,$AA107+$K107)))</f>
        <v/>
      </c>
      <c r="AC107" s="14" t="str">
        <f aca="false">IF(OR($C107="",$T107="Mixta",$J107="",$AA107=""),"",IF($T107="Put",($J107-$AA107)/$J107,($AA107-$J107)/$J107))</f>
        <v/>
      </c>
      <c r="AD107" s="12" t="str">
        <f aca="false">IF($C107="","",IF($Q107&lt;&gt;"",$Q107,IF($V107="Strike",N($E107)*$H107*$I107,IF($V107="Subyacente",IF($J107="","",$J107*$H107*$I107),IF($V107="Ancho",IF($F107="","",ABS($E107-$F107)*$H107*$I107-$K107*$H107*$I107),IF($V107="Prima",$K107*$H107*$I107,""))))))</f>
        <v/>
      </c>
      <c r="AE107" s="12" t="str">
        <f aca="false">IF(OR($C107="",$M107="Abierta",$M107=""),"",(N($K107)-IF(OR($M107="Cerrada",$M107="Rolada"),N($O107),0))*$H107*$I107*IF($U107="Débito",-1,1)-N($L107)-N($P107))</f>
        <v/>
      </c>
      <c r="AF107" s="14" t="str">
        <f aca="false">IF(OR($AE107="",$AD107=""),"",IF($AD107&lt;=0,"",$AE107/$AD107))</f>
        <v/>
      </c>
      <c r="AG107" s="14" t="str">
        <f aca="false">IF($AF107="","",$AF107*365/MAX(N($X107),1))</f>
        <v/>
      </c>
      <c r="AH107" s="14" t="str">
        <f aca="false">IF(OR($C107="",$U107&lt;&gt;"Crédito",$AD107=""),"",IF($AD107&lt;=0,"",($Z107-N($L107))/$AD107))</f>
        <v/>
      </c>
      <c r="AI107" s="14" t="str">
        <f aca="false">IF(OR($AH107="",$W107=""),"",$AH107*365/MAX($W107,1))</f>
        <v/>
      </c>
      <c r="AJ107" s="14" t="str">
        <f aca="false">IF(OR($AE107="",$U107&lt;&gt;"Crédito",N($K107)=0),"",(N($K107)-IF(OR($M107="Cerrada",$M107="Rolada"),N($O107),0))/$K107)</f>
        <v/>
      </c>
      <c r="AK107" s="15" t="str">
        <f aca="false">IF(OR($C107="",$N107=""),"",DATE(YEAR($N107),MONTH($N107),1))</f>
        <v/>
      </c>
      <c r="AL107" s="11" t="str">
        <f aca="false">IF($C107="","",IF($M107="Abierta",0,1))</f>
        <v/>
      </c>
      <c r="AM107" s="16" t="str">
        <f aca="false">IF(OR($AE107="",$AD107=""),"",$AD107*MAX(N($X107),1))</f>
        <v/>
      </c>
      <c r="AN107" s="10" t="str">
        <f aca="false">IF($C107="","",IF(OR($B107="",$D107="",$H107="",$K107="",$M107=""),"Faltan datos obligatorios",IF($T107="","Estrategia no reconocida",IF(AND($M107&lt;&gt;"Abierta",$N107=""),"Falta fecha cierre",IF(AND(OR($M107="Cerrada",$M107="Rolada"),$O107=""),"Falta prima cierre",IF(AND($N107&lt;&gt;"",$N107&lt;$B107),"Cierre anterior a apertura",IF(AND($M107="Asignada",$R107=""),"Asignada: falta ID lote acciones",IF(AND($R107&lt;&gt;"",ISNA(MATCH($R107,Acciones!$A$2:$A$201,0))),"El ID lote no existe en Acciones",IF($AD107="","Revisa capital en riesgo","OK")))))))))</f>
        <v/>
      </c>
    </row>
    <row r="108" customFormat="false" ht="15" hidden="false" customHeight="true" outlineLevel="0" collapsed="false">
      <c r="A108" s="5"/>
      <c r="B108" s="6"/>
      <c r="C108" s="7"/>
      <c r="D108" s="7"/>
      <c r="E108" s="8"/>
      <c r="F108" s="8"/>
      <c r="G108" s="6"/>
      <c r="H108" s="5"/>
      <c r="I108" s="5" t="n">
        <v>100</v>
      </c>
      <c r="J108" s="8"/>
      <c r="K108" s="8"/>
      <c r="L108" s="9"/>
      <c r="M108" s="7"/>
      <c r="N108" s="6"/>
      <c r="O108" s="8"/>
      <c r="P108" s="9"/>
      <c r="Q108" s="9"/>
      <c r="R108" s="7"/>
      <c r="S108" s="7"/>
      <c r="T108" s="10" t="str">
        <f aca="false">IF($C108="","",IFERROR(INDEX(Listas!$B$2:$B$20,MATCH($D108,Listas!$A$2:$A$20,0)),""))</f>
        <v/>
      </c>
      <c r="U108" s="10" t="str">
        <f aca="false">IF($C108="","",IFERROR(INDEX(Listas!$C$2:$C$20,MATCH($D108,Listas!$A$2:$A$20,0)),""))</f>
        <v/>
      </c>
      <c r="V108" s="10" t="str">
        <f aca="false">IF($C108="","",IFERROR(INDEX(Listas!$D$2:$D$20,MATCH($D108,Listas!$A$2:$A$20,0)),""))</f>
        <v/>
      </c>
      <c r="W108" s="11" t="str">
        <f aca="false">IF(OR($C108="",$B108="",$G108=""),"",$G108-$B108)</f>
        <v/>
      </c>
      <c r="X108" s="11" t="str">
        <f aca="true">IF(OR($C108="",$B108=""),"",IF($N108&lt;&gt;"",$N108,TODAY())-$B108)</f>
        <v/>
      </c>
      <c r="Y108" s="11" t="str">
        <f aca="true">IF(OR($C108="",$M108&lt;&gt;"Abierta",$G108=""),"",MAX($G108-TODAY(),0))</f>
        <v/>
      </c>
      <c r="Z108" s="12" t="str">
        <f aca="false">IF($C108="","",N($K108)*N($H108)*N($I108)*IF($U108="Débito",-1,1))</f>
        <v/>
      </c>
      <c r="AA108" s="13" t="str">
        <f aca="false">IF($C108="","",IF(AND($U108="Débito",$F108&lt;&gt;""),$F108,$E108))</f>
        <v/>
      </c>
      <c r="AB108" s="13" t="str">
        <f aca="false">IF(OR($C108="",$T108="Mixta",$AA108=""),"",IF($V108="Subyacente",IF($J108="","",$J108-$K108),IF($T108="Put",$AA108-$K108,$AA108+$K108)))</f>
        <v/>
      </c>
      <c r="AC108" s="14" t="str">
        <f aca="false">IF(OR($C108="",$T108="Mixta",$J108="",$AA108=""),"",IF($T108="Put",($J108-$AA108)/$J108,($AA108-$J108)/$J108))</f>
        <v/>
      </c>
      <c r="AD108" s="12" t="str">
        <f aca="false">IF($C108="","",IF($Q108&lt;&gt;"",$Q108,IF($V108="Strike",N($E108)*$H108*$I108,IF($V108="Subyacente",IF($J108="","",$J108*$H108*$I108),IF($V108="Ancho",IF($F108="","",ABS($E108-$F108)*$H108*$I108-$K108*$H108*$I108),IF($V108="Prima",$K108*$H108*$I108,""))))))</f>
        <v/>
      </c>
      <c r="AE108" s="12" t="str">
        <f aca="false">IF(OR($C108="",$M108="Abierta",$M108=""),"",(N($K108)-IF(OR($M108="Cerrada",$M108="Rolada"),N($O108),0))*$H108*$I108*IF($U108="Débito",-1,1)-N($L108)-N($P108))</f>
        <v/>
      </c>
      <c r="AF108" s="14" t="str">
        <f aca="false">IF(OR($AE108="",$AD108=""),"",IF($AD108&lt;=0,"",$AE108/$AD108))</f>
        <v/>
      </c>
      <c r="AG108" s="14" t="str">
        <f aca="false">IF($AF108="","",$AF108*365/MAX(N($X108),1))</f>
        <v/>
      </c>
      <c r="AH108" s="14" t="str">
        <f aca="false">IF(OR($C108="",$U108&lt;&gt;"Crédito",$AD108=""),"",IF($AD108&lt;=0,"",($Z108-N($L108))/$AD108))</f>
        <v/>
      </c>
      <c r="AI108" s="14" t="str">
        <f aca="false">IF(OR($AH108="",$W108=""),"",$AH108*365/MAX($W108,1))</f>
        <v/>
      </c>
      <c r="AJ108" s="14" t="str">
        <f aca="false">IF(OR($AE108="",$U108&lt;&gt;"Crédito",N($K108)=0),"",(N($K108)-IF(OR($M108="Cerrada",$M108="Rolada"),N($O108),0))/$K108)</f>
        <v/>
      </c>
      <c r="AK108" s="15" t="str">
        <f aca="false">IF(OR($C108="",$N108=""),"",DATE(YEAR($N108),MONTH($N108),1))</f>
        <v/>
      </c>
      <c r="AL108" s="11" t="str">
        <f aca="false">IF($C108="","",IF($M108="Abierta",0,1))</f>
        <v/>
      </c>
      <c r="AM108" s="16" t="str">
        <f aca="false">IF(OR($AE108="",$AD108=""),"",$AD108*MAX(N($X108),1))</f>
        <v/>
      </c>
      <c r="AN108" s="10" t="str">
        <f aca="false">IF($C108="","",IF(OR($B108="",$D108="",$H108="",$K108="",$M108=""),"Faltan datos obligatorios",IF($T108="","Estrategia no reconocida",IF(AND($M108&lt;&gt;"Abierta",$N108=""),"Falta fecha cierre",IF(AND(OR($M108="Cerrada",$M108="Rolada"),$O108=""),"Falta prima cierre",IF(AND($N108&lt;&gt;"",$N108&lt;$B108),"Cierre anterior a apertura",IF(AND($M108="Asignada",$R108=""),"Asignada: falta ID lote acciones",IF(AND($R108&lt;&gt;"",ISNA(MATCH($R108,Acciones!$A$2:$A$201,0))),"El ID lote no existe en Acciones",IF($AD108="","Revisa capital en riesgo","OK")))))))))</f>
        <v/>
      </c>
    </row>
    <row r="109" customFormat="false" ht="15" hidden="false" customHeight="true" outlineLevel="0" collapsed="false">
      <c r="A109" s="5"/>
      <c r="B109" s="6"/>
      <c r="C109" s="7"/>
      <c r="D109" s="7"/>
      <c r="E109" s="8"/>
      <c r="F109" s="8"/>
      <c r="G109" s="6"/>
      <c r="H109" s="5"/>
      <c r="I109" s="5" t="n">
        <v>100</v>
      </c>
      <c r="J109" s="8"/>
      <c r="K109" s="8"/>
      <c r="L109" s="9"/>
      <c r="M109" s="7"/>
      <c r="N109" s="6"/>
      <c r="O109" s="8"/>
      <c r="P109" s="9"/>
      <c r="Q109" s="9"/>
      <c r="R109" s="7"/>
      <c r="S109" s="7"/>
      <c r="T109" s="10" t="str">
        <f aca="false">IF($C109="","",IFERROR(INDEX(Listas!$B$2:$B$20,MATCH($D109,Listas!$A$2:$A$20,0)),""))</f>
        <v/>
      </c>
      <c r="U109" s="10" t="str">
        <f aca="false">IF($C109="","",IFERROR(INDEX(Listas!$C$2:$C$20,MATCH($D109,Listas!$A$2:$A$20,0)),""))</f>
        <v/>
      </c>
      <c r="V109" s="10" t="str">
        <f aca="false">IF($C109="","",IFERROR(INDEX(Listas!$D$2:$D$20,MATCH($D109,Listas!$A$2:$A$20,0)),""))</f>
        <v/>
      </c>
      <c r="W109" s="11" t="str">
        <f aca="false">IF(OR($C109="",$B109="",$G109=""),"",$G109-$B109)</f>
        <v/>
      </c>
      <c r="X109" s="11" t="str">
        <f aca="true">IF(OR($C109="",$B109=""),"",IF($N109&lt;&gt;"",$N109,TODAY())-$B109)</f>
        <v/>
      </c>
      <c r="Y109" s="11" t="str">
        <f aca="true">IF(OR($C109="",$M109&lt;&gt;"Abierta",$G109=""),"",MAX($G109-TODAY(),0))</f>
        <v/>
      </c>
      <c r="Z109" s="12" t="str">
        <f aca="false">IF($C109="","",N($K109)*N($H109)*N($I109)*IF($U109="Débito",-1,1))</f>
        <v/>
      </c>
      <c r="AA109" s="13" t="str">
        <f aca="false">IF($C109="","",IF(AND($U109="Débito",$F109&lt;&gt;""),$F109,$E109))</f>
        <v/>
      </c>
      <c r="AB109" s="13" t="str">
        <f aca="false">IF(OR($C109="",$T109="Mixta",$AA109=""),"",IF($V109="Subyacente",IF($J109="","",$J109-$K109),IF($T109="Put",$AA109-$K109,$AA109+$K109)))</f>
        <v/>
      </c>
      <c r="AC109" s="14" t="str">
        <f aca="false">IF(OR($C109="",$T109="Mixta",$J109="",$AA109=""),"",IF($T109="Put",($J109-$AA109)/$J109,($AA109-$J109)/$J109))</f>
        <v/>
      </c>
      <c r="AD109" s="12" t="str">
        <f aca="false">IF($C109="","",IF($Q109&lt;&gt;"",$Q109,IF($V109="Strike",N($E109)*$H109*$I109,IF($V109="Subyacente",IF($J109="","",$J109*$H109*$I109),IF($V109="Ancho",IF($F109="","",ABS($E109-$F109)*$H109*$I109-$K109*$H109*$I109),IF($V109="Prima",$K109*$H109*$I109,""))))))</f>
        <v/>
      </c>
      <c r="AE109" s="12" t="str">
        <f aca="false">IF(OR($C109="",$M109="Abierta",$M109=""),"",(N($K109)-IF(OR($M109="Cerrada",$M109="Rolada"),N($O109),0))*$H109*$I109*IF($U109="Débito",-1,1)-N($L109)-N($P109))</f>
        <v/>
      </c>
      <c r="AF109" s="14" t="str">
        <f aca="false">IF(OR($AE109="",$AD109=""),"",IF($AD109&lt;=0,"",$AE109/$AD109))</f>
        <v/>
      </c>
      <c r="AG109" s="14" t="str">
        <f aca="false">IF($AF109="","",$AF109*365/MAX(N($X109),1))</f>
        <v/>
      </c>
      <c r="AH109" s="14" t="str">
        <f aca="false">IF(OR($C109="",$U109&lt;&gt;"Crédito",$AD109=""),"",IF($AD109&lt;=0,"",($Z109-N($L109))/$AD109))</f>
        <v/>
      </c>
      <c r="AI109" s="14" t="str">
        <f aca="false">IF(OR($AH109="",$W109=""),"",$AH109*365/MAX($W109,1))</f>
        <v/>
      </c>
      <c r="AJ109" s="14" t="str">
        <f aca="false">IF(OR($AE109="",$U109&lt;&gt;"Crédito",N($K109)=0),"",(N($K109)-IF(OR($M109="Cerrada",$M109="Rolada"),N($O109),0))/$K109)</f>
        <v/>
      </c>
      <c r="AK109" s="15" t="str">
        <f aca="false">IF(OR($C109="",$N109=""),"",DATE(YEAR($N109),MONTH($N109),1))</f>
        <v/>
      </c>
      <c r="AL109" s="11" t="str">
        <f aca="false">IF($C109="","",IF($M109="Abierta",0,1))</f>
        <v/>
      </c>
      <c r="AM109" s="16" t="str">
        <f aca="false">IF(OR($AE109="",$AD109=""),"",$AD109*MAX(N($X109),1))</f>
        <v/>
      </c>
      <c r="AN109" s="10" t="str">
        <f aca="false">IF($C109="","",IF(OR($B109="",$D109="",$H109="",$K109="",$M109=""),"Faltan datos obligatorios",IF($T109="","Estrategia no reconocida",IF(AND($M109&lt;&gt;"Abierta",$N109=""),"Falta fecha cierre",IF(AND(OR($M109="Cerrada",$M109="Rolada"),$O109=""),"Falta prima cierre",IF(AND($N109&lt;&gt;"",$N109&lt;$B109),"Cierre anterior a apertura",IF(AND($M109="Asignada",$R109=""),"Asignada: falta ID lote acciones",IF(AND($R109&lt;&gt;"",ISNA(MATCH($R109,Acciones!$A$2:$A$201,0))),"El ID lote no existe en Acciones",IF($AD109="","Revisa capital en riesgo","OK")))))))))</f>
        <v/>
      </c>
    </row>
    <row r="110" customFormat="false" ht="15" hidden="false" customHeight="true" outlineLevel="0" collapsed="false">
      <c r="A110" s="5"/>
      <c r="B110" s="6"/>
      <c r="C110" s="7"/>
      <c r="D110" s="7"/>
      <c r="E110" s="8"/>
      <c r="F110" s="8"/>
      <c r="G110" s="6"/>
      <c r="H110" s="5"/>
      <c r="I110" s="5" t="n">
        <v>100</v>
      </c>
      <c r="J110" s="8"/>
      <c r="K110" s="8"/>
      <c r="L110" s="9"/>
      <c r="M110" s="7"/>
      <c r="N110" s="6"/>
      <c r="O110" s="8"/>
      <c r="P110" s="9"/>
      <c r="Q110" s="9"/>
      <c r="R110" s="7"/>
      <c r="S110" s="7"/>
      <c r="T110" s="10" t="str">
        <f aca="false">IF($C110="","",IFERROR(INDEX(Listas!$B$2:$B$20,MATCH($D110,Listas!$A$2:$A$20,0)),""))</f>
        <v/>
      </c>
      <c r="U110" s="10" t="str">
        <f aca="false">IF($C110="","",IFERROR(INDEX(Listas!$C$2:$C$20,MATCH($D110,Listas!$A$2:$A$20,0)),""))</f>
        <v/>
      </c>
      <c r="V110" s="10" t="str">
        <f aca="false">IF($C110="","",IFERROR(INDEX(Listas!$D$2:$D$20,MATCH($D110,Listas!$A$2:$A$20,0)),""))</f>
        <v/>
      </c>
      <c r="W110" s="11" t="str">
        <f aca="false">IF(OR($C110="",$B110="",$G110=""),"",$G110-$B110)</f>
        <v/>
      </c>
      <c r="X110" s="11" t="str">
        <f aca="true">IF(OR($C110="",$B110=""),"",IF($N110&lt;&gt;"",$N110,TODAY())-$B110)</f>
        <v/>
      </c>
      <c r="Y110" s="11" t="str">
        <f aca="true">IF(OR($C110="",$M110&lt;&gt;"Abierta",$G110=""),"",MAX($G110-TODAY(),0))</f>
        <v/>
      </c>
      <c r="Z110" s="12" t="str">
        <f aca="false">IF($C110="","",N($K110)*N($H110)*N($I110)*IF($U110="Débito",-1,1))</f>
        <v/>
      </c>
      <c r="AA110" s="13" t="str">
        <f aca="false">IF($C110="","",IF(AND($U110="Débito",$F110&lt;&gt;""),$F110,$E110))</f>
        <v/>
      </c>
      <c r="AB110" s="13" t="str">
        <f aca="false">IF(OR($C110="",$T110="Mixta",$AA110=""),"",IF($V110="Subyacente",IF($J110="","",$J110-$K110),IF($T110="Put",$AA110-$K110,$AA110+$K110)))</f>
        <v/>
      </c>
      <c r="AC110" s="14" t="str">
        <f aca="false">IF(OR($C110="",$T110="Mixta",$J110="",$AA110=""),"",IF($T110="Put",($J110-$AA110)/$J110,($AA110-$J110)/$J110))</f>
        <v/>
      </c>
      <c r="AD110" s="12" t="str">
        <f aca="false">IF($C110="","",IF($Q110&lt;&gt;"",$Q110,IF($V110="Strike",N($E110)*$H110*$I110,IF($V110="Subyacente",IF($J110="","",$J110*$H110*$I110),IF($V110="Ancho",IF($F110="","",ABS($E110-$F110)*$H110*$I110-$K110*$H110*$I110),IF($V110="Prima",$K110*$H110*$I110,""))))))</f>
        <v/>
      </c>
      <c r="AE110" s="12" t="str">
        <f aca="false">IF(OR($C110="",$M110="Abierta",$M110=""),"",(N($K110)-IF(OR($M110="Cerrada",$M110="Rolada"),N($O110),0))*$H110*$I110*IF($U110="Débito",-1,1)-N($L110)-N($P110))</f>
        <v/>
      </c>
      <c r="AF110" s="14" t="str">
        <f aca="false">IF(OR($AE110="",$AD110=""),"",IF($AD110&lt;=0,"",$AE110/$AD110))</f>
        <v/>
      </c>
      <c r="AG110" s="14" t="str">
        <f aca="false">IF($AF110="","",$AF110*365/MAX(N($X110),1))</f>
        <v/>
      </c>
      <c r="AH110" s="14" t="str">
        <f aca="false">IF(OR($C110="",$U110&lt;&gt;"Crédito",$AD110=""),"",IF($AD110&lt;=0,"",($Z110-N($L110))/$AD110))</f>
        <v/>
      </c>
      <c r="AI110" s="14" t="str">
        <f aca="false">IF(OR($AH110="",$W110=""),"",$AH110*365/MAX($W110,1))</f>
        <v/>
      </c>
      <c r="AJ110" s="14" t="str">
        <f aca="false">IF(OR($AE110="",$U110&lt;&gt;"Crédito",N($K110)=0),"",(N($K110)-IF(OR($M110="Cerrada",$M110="Rolada"),N($O110),0))/$K110)</f>
        <v/>
      </c>
      <c r="AK110" s="15" t="str">
        <f aca="false">IF(OR($C110="",$N110=""),"",DATE(YEAR($N110),MONTH($N110),1))</f>
        <v/>
      </c>
      <c r="AL110" s="11" t="str">
        <f aca="false">IF($C110="","",IF($M110="Abierta",0,1))</f>
        <v/>
      </c>
      <c r="AM110" s="16" t="str">
        <f aca="false">IF(OR($AE110="",$AD110=""),"",$AD110*MAX(N($X110),1))</f>
        <v/>
      </c>
      <c r="AN110" s="10" t="str">
        <f aca="false">IF($C110="","",IF(OR($B110="",$D110="",$H110="",$K110="",$M110=""),"Faltan datos obligatorios",IF($T110="","Estrategia no reconocida",IF(AND($M110&lt;&gt;"Abierta",$N110=""),"Falta fecha cierre",IF(AND(OR($M110="Cerrada",$M110="Rolada"),$O110=""),"Falta prima cierre",IF(AND($N110&lt;&gt;"",$N110&lt;$B110),"Cierre anterior a apertura",IF(AND($M110="Asignada",$R110=""),"Asignada: falta ID lote acciones",IF(AND($R110&lt;&gt;"",ISNA(MATCH($R110,Acciones!$A$2:$A$201,0))),"El ID lote no existe en Acciones",IF($AD110="","Revisa capital en riesgo","OK")))))))))</f>
        <v/>
      </c>
    </row>
    <row r="111" customFormat="false" ht="15" hidden="false" customHeight="true" outlineLevel="0" collapsed="false">
      <c r="A111" s="5"/>
      <c r="B111" s="6"/>
      <c r="C111" s="7"/>
      <c r="D111" s="7"/>
      <c r="E111" s="8"/>
      <c r="F111" s="8"/>
      <c r="G111" s="6"/>
      <c r="H111" s="5"/>
      <c r="I111" s="5" t="n">
        <v>100</v>
      </c>
      <c r="J111" s="8"/>
      <c r="K111" s="8"/>
      <c r="L111" s="9"/>
      <c r="M111" s="7"/>
      <c r="N111" s="6"/>
      <c r="O111" s="8"/>
      <c r="P111" s="9"/>
      <c r="Q111" s="9"/>
      <c r="R111" s="7"/>
      <c r="S111" s="7"/>
      <c r="T111" s="10" t="str">
        <f aca="false">IF($C111="","",IFERROR(INDEX(Listas!$B$2:$B$20,MATCH($D111,Listas!$A$2:$A$20,0)),""))</f>
        <v/>
      </c>
      <c r="U111" s="10" t="str">
        <f aca="false">IF($C111="","",IFERROR(INDEX(Listas!$C$2:$C$20,MATCH($D111,Listas!$A$2:$A$20,0)),""))</f>
        <v/>
      </c>
      <c r="V111" s="10" t="str">
        <f aca="false">IF($C111="","",IFERROR(INDEX(Listas!$D$2:$D$20,MATCH($D111,Listas!$A$2:$A$20,0)),""))</f>
        <v/>
      </c>
      <c r="W111" s="11" t="str">
        <f aca="false">IF(OR($C111="",$B111="",$G111=""),"",$G111-$B111)</f>
        <v/>
      </c>
      <c r="X111" s="11" t="str">
        <f aca="true">IF(OR($C111="",$B111=""),"",IF($N111&lt;&gt;"",$N111,TODAY())-$B111)</f>
        <v/>
      </c>
      <c r="Y111" s="11" t="str">
        <f aca="true">IF(OR($C111="",$M111&lt;&gt;"Abierta",$G111=""),"",MAX($G111-TODAY(),0))</f>
        <v/>
      </c>
      <c r="Z111" s="12" t="str">
        <f aca="false">IF($C111="","",N($K111)*N($H111)*N($I111)*IF($U111="Débito",-1,1))</f>
        <v/>
      </c>
      <c r="AA111" s="13" t="str">
        <f aca="false">IF($C111="","",IF(AND($U111="Débito",$F111&lt;&gt;""),$F111,$E111))</f>
        <v/>
      </c>
      <c r="AB111" s="13" t="str">
        <f aca="false">IF(OR($C111="",$T111="Mixta",$AA111=""),"",IF($V111="Subyacente",IF($J111="","",$J111-$K111),IF($T111="Put",$AA111-$K111,$AA111+$K111)))</f>
        <v/>
      </c>
      <c r="AC111" s="14" t="str">
        <f aca="false">IF(OR($C111="",$T111="Mixta",$J111="",$AA111=""),"",IF($T111="Put",($J111-$AA111)/$J111,($AA111-$J111)/$J111))</f>
        <v/>
      </c>
      <c r="AD111" s="12" t="str">
        <f aca="false">IF($C111="","",IF($Q111&lt;&gt;"",$Q111,IF($V111="Strike",N($E111)*$H111*$I111,IF($V111="Subyacente",IF($J111="","",$J111*$H111*$I111),IF($V111="Ancho",IF($F111="","",ABS($E111-$F111)*$H111*$I111-$K111*$H111*$I111),IF($V111="Prima",$K111*$H111*$I111,""))))))</f>
        <v/>
      </c>
      <c r="AE111" s="12" t="str">
        <f aca="false">IF(OR($C111="",$M111="Abierta",$M111=""),"",(N($K111)-IF(OR($M111="Cerrada",$M111="Rolada"),N($O111),0))*$H111*$I111*IF($U111="Débito",-1,1)-N($L111)-N($P111))</f>
        <v/>
      </c>
      <c r="AF111" s="14" t="str">
        <f aca="false">IF(OR($AE111="",$AD111=""),"",IF($AD111&lt;=0,"",$AE111/$AD111))</f>
        <v/>
      </c>
      <c r="AG111" s="14" t="str">
        <f aca="false">IF($AF111="","",$AF111*365/MAX(N($X111),1))</f>
        <v/>
      </c>
      <c r="AH111" s="14" t="str">
        <f aca="false">IF(OR($C111="",$U111&lt;&gt;"Crédito",$AD111=""),"",IF($AD111&lt;=0,"",($Z111-N($L111))/$AD111))</f>
        <v/>
      </c>
      <c r="AI111" s="14" t="str">
        <f aca="false">IF(OR($AH111="",$W111=""),"",$AH111*365/MAX($W111,1))</f>
        <v/>
      </c>
      <c r="AJ111" s="14" t="str">
        <f aca="false">IF(OR($AE111="",$U111&lt;&gt;"Crédito",N($K111)=0),"",(N($K111)-IF(OR($M111="Cerrada",$M111="Rolada"),N($O111),0))/$K111)</f>
        <v/>
      </c>
      <c r="AK111" s="15" t="str">
        <f aca="false">IF(OR($C111="",$N111=""),"",DATE(YEAR($N111),MONTH($N111),1))</f>
        <v/>
      </c>
      <c r="AL111" s="11" t="str">
        <f aca="false">IF($C111="","",IF($M111="Abierta",0,1))</f>
        <v/>
      </c>
      <c r="AM111" s="16" t="str">
        <f aca="false">IF(OR($AE111="",$AD111=""),"",$AD111*MAX(N($X111),1))</f>
        <v/>
      </c>
      <c r="AN111" s="10" t="str">
        <f aca="false">IF($C111="","",IF(OR($B111="",$D111="",$H111="",$K111="",$M111=""),"Faltan datos obligatorios",IF($T111="","Estrategia no reconocida",IF(AND($M111&lt;&gt;"Abierta",$N111=""),"Falta fecha cierre",IF(AND(OR($M111="Cerrada",$M111="Rolada"),$O111=""),"Falta prima cierre",IF(AND($N111&lt;&gt;"",$N111&lt;$B111),"Cierre anterior a apertura",IF(AND($M111="Asignada",$R111=""),"Asignada: falta ID lote acciones",IF(AND($R111&lt;&gt;"",ISNA(MATCH($R111,Acciones!$A$2:$A$201,0))),"El ID lote no existe en Acciones",IF($AD111="","Revisa capital en riesgo","OK")))))))))</f>
        <v/>
      </c>
    </row>
    <row r="112" customFormat="false" ht="15" hidden="false" customHeight="true" outlineLevel="0" collapsed="false">
      <c r="A112" s="5"/>
      <c r="B112" s="6"/>
      <c r="C112" s="7"/>
      <c r="D112" s="7"/>
      <c r="E112" s="8"/>
      <c r="F112" s="8"/>
      <c r="G112" s="6"/>
      <c r="H112" s="5"/>
      <c r="I112" s="5" t="n">
        <v>100</v>
      </c>
      <c r="J112" s="8"/>
      <c r="K112" s="8"/>
      <c r="L112" s="9"/>
      <c r="M112" s="7"/>
      <c r="N112" s="6"/>
      <c r="O112" s="8"/>
      <c r="P112" s="9"/>
      <c r="Q112" s="9"/>
      <c r="R112" s="7"/>
      <c r="S112" s="7"/>
      <c r="T112" s="10" t="str">
        <f aca="false">IF($C112="","",IFERROR(INDEX(Listas!$B$2:$B$20,MATCH($D112,Listas!$A$2:$A$20,0)),""))</f>
        <v/>
      </c>
      <c r="U112" s="10" t="str">
        <f aca="false">IF($C112="","",IFERROR(INDEX(Listas!$C$2:$C$20,MATCH($D112,Listas!$A$2:$A$20,0)),""))</f>
        <v/>
      </c>
      <c r="V112" s="10" t="str">
        <f aca="false">IF($C112="","",IFERROR(INDEX(Listas!$D$2:$D$20,MATCH($D112,Listas!$A$2:$A$20,0)),""))</f>
        <v/>
      </c>
      <c r="W112" s="11" t="str">
        <f aca="false">IF(OR($C112="",$B112="",$G112=""),"",$G112-$B112)</f>
        <v/>
      </c>
      <c r="X112" s="11" t="str">
        <f aca="true">IF(OR($C112="",$B112=""),"",IF($N112&lt;&gt;"",$N112,TODAY())-$B112)</f>
        <v/>
      </c>
      <c r="Y112" s="11" t="str">
        <f aca="true">IF(OR($C112="",$M112&lt;&gt;"Abierta",$G112=""),"",MAX($G112-TODAY(),0))</f>
        <v/>
      </c>
      <c r="Z112" s="12" t="str">
        <f aca="false">IF($C112="","",N($K112)*N($H112)*N($I112)*IF($U112="Débito",-1,1))</f>
        <v/>
      </c>
      <c r="AA112" s="13" t="str">
        <f aca="false">IF($C112="","",IF(AND($U112="Débito",$F112&lt;&gt;""),$F112,$E112))</f>
        <v/>
      </c>
      <c r="AB112" s="13" t="str">
        <f aca="false">IF(OR($C112="",$T112="Mixta",$AA112=""),"",IF($V112="Subyacente",IF($J112="","",$J112-$K112),IF($T112="Put",$AA112-$K112,$AA112+$K112)))</f>
        <v/>
      </c>
      <c r="AC112" s="14" t="str">
        <f aca="false">IF(OR($C112="",$T112="Mixta",$J112="",$AA112=""),"",IF($T112="Put",($J112-$AA112)/$J112,($AA112-$J112)/$J112))</f>
        <v/>
      </c>
      <c r="AD112" s="12" t="str">
        <f aca="false">IF($C112="","",IF($Q112&lt;&gt;"",$Q112,IF($V112="Strike",N($E112)*$H112*$I112,IF($V112="Subyacente",IF($J112="","",$J112*$H112*$I112),IF($V112="Ancho",IF($F112="","",ABS($E112-$F112)*$H112*$I112-$K112*$H112*$I112),IF($V112="Prima",$K112*$H112*$I112,""))))))</f>
        <v/>
      </c>
      <c r="AE112" s="12" t="str">
        <f aca="false">IF(OR($C112="",$M112="Abierta",$M112=""),"",(N($K112)-IF(OR($M112="Cerrada",$M112="Rolada"),N($O112),0))*$H112*$I112*IF($U112="Débito",-1,1)-N($L112)-N($P112))</f>
        <v/>
      </c>
      <c r="AF112" s="14" t="str">
        <f aca="false">IF(OR($AE112="",$AD112=""),"",IF($AD112&lt;=0,"",$AE112/$AD112))</f>
        <v/>
      </c>
      <c r="AG112" s="14" t="str">
        <f aca="false">IF($AF112="","",$AF112*365/MAX(N($X112),1))</f>
        <v/>
      </c>
      <c r="AH112" s="14" t="str">
        <f aca="false">IF(OR($C112="",$U112&lt;&gt;"Crédito",$AD112=""),"",IF($AD112&lt;=0,"",($Z112-N($L112))/$AD112))</f>
        <v/>
      </c>
      <c r="AI112" s="14" t="str">
        <f aca="false">IF(OR($AH112="",$W112=""),"",$AH112*365/MAX($W112,1))</f>
        <v/>
      </c>
      <c r="AJ112" s="14" t="str">
        <f aca="false">IF(OR($AE112="",$U112&lt;&gt;"Crédito",N($K112)=0),"",(N($K112)-IF(OR($M112="Cerrada",$M112="Rolada"),N($O112),0))/$K112)</f>
        <v/>
      </c>
      <c r="AK112" s="15" t="str">
        <f aca="false">IF(OR($C112="",$N112=""),"",DATE(YEAR($N112),MONTH($N112),1))</f>
        <v/>
      </c>
      <c r="AL112" s="11" t="str">
        <f aca="false">IF($C112="","",IF($M112="Abierta",0,1))</f>
        <v/>
      </c>
      <c r="AM112" s="16" t="str">
        <f aca="false">IF(OR($AE112="",$AD112=""),"",$AD112*MAX(N($X112),1))</f>
        <v/>
      </c>
      <c r="AN112" s="10" t="str">
        <f aca="false">IF($C112="","",IF(OR($B112="",$D112="",$H112="",$K112="",$M112=""),"Faltan datos obligatorios",IF($T112="","Estrategia no reconocida",IF(AND($M112&lt;&gt;"Abierta",$N112=""),"Falta fecha cierre",IF(AND(OR($M112="Cerrada",$M112="Rolada"),$O112=""),"Falta prima cierre",IF(AND($N112&lt;&gt;"",$N112&lt;$B112),"Cierre anterior a apertura",IF(AND($M112="Asignada",$R112=""),"Asignada: falta ID lote acciones",IF(AND($R112&lt;&gt;"",ISNA(MATCH($R112,Acciones!$A$2:$A$201,0))),"El ID lote no existe en Acciones",IF($AD112="","Revisa capital en riesgo","OK")))))))))</f>
        <v/>
      </c>
    </row>
    <row r="113" customFormat="false" ht="15" hidden="false" customHeight="true" outlineLevel="0" collapsed="false">
      <c r="A113" s="5"/>
      <c r="B113" s="6"/>
      <c r="C113" s="7"/>
      <c r="D113" s="7"/>
      <c r="E113" s="8"/>
      <c r="F113" s="8"/>
      <c r="G113" s="6"/>
      <c r="H113" s="5"/>
      <c r="I113" s="5" t="n">
        <v>100</v>
      </c>
      <c r="J113" s="8"/>
      <c r="K113" s="8"/>
      <c r="L113" s="9"/>
      <c r="M113" s="7"/>
      <c r="N113" s="6"/>
      <c r="O113" s="8"/>
      <c r="P113" s="9"/>
      <c r="Q113" s="9"/>
      <c r="R113" s="7"/>
      <c r="S113" s="7"/>
      <c r="T113" s="10" t="str">
        <f aca="false">IF($C113="","",IFERROR(INDEX(Listas!$B$2:$B$20,MATCH($D113,Listas!$A$2:$A$20,0)),""))</f>
        <v/>
      </c>
      <c r="U113" s="10" t="str">
        <f aca="false">IF($C113="","",IFERROR(INDEX(Listas!$C$2:$C$20,MATCH($D113,Listas!$A$2:$A$20,0)),""))</f>
        <v/>
      </c>
      <c r="V113" s="10" t="str">
        <f aca="false">IF($C113="","",IFERROR(INDEX(Listas!$D$2:$D$20,MATCH($D113,Listas!$A$2:$A$20,0)),""))</f>
        <v/>
      </c>
      <c r="W113" s="11" t="str">
        <f aca="false">IF(OR($C113="",$B113="",$G113=""),"",$G113-$B113)</f>
        <v/>
      </c>
      <c r="X113" s="11" t="str">
        <f aca="true">IF(OR($C113="",$B113=""),"",IF($N113&lt;&gt;"",$N113,TODAY())-$B113)</f>
        <v/>
      </c>
      <c r="Y113" s="11" t="str">
        <f aca="true">IF(OR($C113="",$M113&lt;&gt;"Abierta",$G113=""),"",MAX($G113-TODAY(),0))</f>
        <v/>
      </c>
      <c r="Z113" s="12" t="str">
        <f aca="false">IF($C113="","",N($K113)*N($H113)*N($I113)*IF($U113="Débito",-1,1))</f>
        <v/>
      </c>
      <c r="AA113" s="13" t="str">
        <f aca="false">IF($C113="","",IF(AND($U113="Débito",$F113&lt;&gt;""),$F113,$E113))</f>
        <v/>
      </c>
      <c r="AB113" s="13" t="str">
        <f aca="false">IF(OR($C113="",$T113="Mixta",$AA113=""),"",IF($V113="Subyacente",IF($J113="","",$J113-$K113),IF($T113="Put",$AA113-$K113,$AA113+$K113)))</f>
        <v/>
      </c>
      <c r="AC113" s="14" t="str">
        <f aca="false">IF(OR($C113="",$T113="Mixta",$J113="",$AA113=""),"",IF($T113="Put",($J113-$AA113)/$J113,($AA113-$J113)/$J113))</f>
        <v/>
      </c>
      <c r="AD113" s="12" t="str">
        <f aca="false">IF($C113="","",IF($Q113&lt;&gt;"",$Q113,IF($V113="Strike",N($E113)*$H113*$I113,IF($V113="Subyacente",IF($J113="","",$J113*$H113*$I113),IF($V113="Ancho",IF($F113="","",ABS($E113-$F113)*$H113*$I113-$K113*$H113*$I113),IF($V113="Prima",$K113*$H113*$I113,""))))))</f>
        <v/>
      </c>
      <c r="AE113" s="12" t="str">
        <f aca="false">IF(OR($C113="",$M113="Abierta",$M113=""),"",(N($K113)-IF(OR($M113="Cerrada",$M113="Rolada"),N($O113),0))*$H113*$I113*IF($U113="Débito",-1,1)-N($L113)-N($P113))</f>
        <v/>
      </c>
      <c r="AF113" s="14" t="str">
        <f aca="false">IF(OR($AE113="",$AD113=""),"",IF($AD113&lt;=0,"",$AE113/$AD113))</f>
        <v/>
      </c>
      <c r="AG113" s="14" t="str">
        <f aca="false">IF($AF113="","",$AF113*365/MAX(N($X113),1))</f>
        <v/>
      </c>
      <c r="AH113" s="14" t="str">
        <f aca="false">IF(OR($C113="",$U113&lt;&gt;"Crédito",$AD113=""),"",IF($AD113&lt;=0,"",($Z113-N($L113))/$AD113))</f>
        <v/>
      </c>
      <c r="AI113" s="14" t="str">
        <f aca="false">IF(OR($AH113="",$W113=""),"",$AH113*365/MAX($W113,1))</f>
        <v/>
      </c>
      <c r="AJ113" s="14" t="str">
        <f aca="false">IF(OR($AE113="",$U113&lt;&gt;"Crédito",N($K113)=0),"",(N($K113)-IF(OR($M113="Cerrada",$M113="Rolada"),N($O113),0))/$K113)</f>
        <v/>
      </c>
      <c r="AK113" s="15" t="str">
        <f aca="false">IF(OR($C113="",$N113=""),"",DATE(YEAR($N113),MONTH($N113),1))</f>
        <v/>
      </c>
      <c r="AL113" s="11" t="str">
        <f aca="false">IF($C113="","",IF($M113="Abierta",0,1))</f>
        <v/>
      </c>
      <c r="AM113" s="16" t="str">
        <f aca="false">IF(OR($AE113="",$AD113=""),"",$AD113*MAX(N($X113),1))</f>
        <v/>
      </c>
      <c r="AN113" s="10" t="str">
        <f aca="false">IF($C113="","",IF(OR($B113="",$D113="",$H113="",$K113="",$M113=""),"Faltan datos obligatorios",IF($T113="","Estrategia no reconocida",IF(AND($M113&lt;&gt;"Abierta",$N113=""),"Falta fecha cierre",IF(AND(OR($M113="Cerrada",$M113="Rolada"),$O113=""),"Falta prima cierre",IF(AND($N113&lt;&gt;"",$N113&lt;$B113),"Cierre anterior a apertura",IF(AND($M113="Asignada",$R113=""),"Asignada: falta ID lote acciones",IF(AND($R113&lt;&gt;"",ISNA(MATCH($R113,Acciones!$A$2:$A$201,0))),"El ID lote no existe en Acciones",IF($AD113="","Revisa capital en riesgo","OK")))))))))</f>
        <v/>
      </c>
    </row>
    <row r="114" customFormat="false" ht="15" hidden="false" customHeight="true" outlineLevel="0" collapsed="false">
      <c r="A114" s="5"/>
      <c r="B114" s="6"/>
      <c r="C114" s="7"/>
      <c r="D114" s="7"/>
      <c r="E114" s="8"/>
      <c r="F114" s="8"/>
      <c r="G114" s="6"/>
      <c r="H114" s="5"/>
      <c r="I114" s="5" t="n">
        <v>100</v>
      </c>
      <c r="J114" s="8"/>
      <c r="K114" s="8"/>
      <c r="L114" s="9"/>
      <c r="M114" s="7"/>
      <c r="N114" s="6"/>
      <c r="O114" s="8"/>
      <c r="P114" s="9"/>
      <c r="Q114" s="9"/>
      <c r="R114" s="7"/>
      <c r="S114" s="7"/>
      <c r="T114" s="10" t="str">
        <f aca="false">IF($C114="","",IFERROR(INDEX(Listas!$B$2:$B$20,MATCH($D114,Listas!$A$2:$A$20,0)),""))</f>
        <v/>
      </c>
      <c r="U114" s="10" t="str">
        <f aca="false">IF($C114="","",IFERROR(INDEX(Listas!$C$2:$C$20,MATCH($D114,Listas!$A$2:$A$20,0)),""))</f>
        <v/>
      </c>
      <c r="V114" s="10" t="str">
        <f aca="false">IF($C114="","",IFERROR(INDEX(Listas!$D$2:$D$20,MATCH($D114,Listas!$A$2:$A$20,0)),""))</f>
        <v/>
      </c>
      <c r="W114" s="11" t="str">
        <f aca="false">IF(OR($C114="",$B114="",$G114=""),"",$G114-$B114)</f>
        <v/>
      </c>
      <c r="X114" s="11" t="str">
        <f aca="true">IF(OR($C114="",$B114=""),"",IF($N114&lt;&gt;"",$N114,TODAY())-$B114)</f>
        <v/>
      </c>
      <c r="Y114" s="11" t="str">
        <f aca="true">IF(OR($C114="",$M114&lt;&gt;"Abierta",$G114=""),"",MAX($G114-TODAY(),0))</f>
        <v/>
      </c>
      <c r="Z114" s="12" t="str">
        <f aca="false">IF($C114="","",N($K114)*N($H114)*N($I114)*IF($U114="Débito",-1,1))</f>
        <v/>
      </c>
      <c r="AA114" s="13" t="str">
        <f aca="false">IF($C114="","",IF(AND($U114="Débito",$F114&lt;&gt;""),$F114,$E114))</f>
        <v/>
      </c>
      <c r="AB114" s="13" t="str">
        <f aca="false">IF(OR($C114="",$T114="Mixta",$AA114=""),"",IF($V114="Subyacente",IF($J114="","",$J114-$K114),IF($T114="Put",$AA114-$K114,$AA114+$K114)))</f>
        <v/>
      </c>
      <c r="AC114" s="14" t="str">
        <f aca="false">IF(OR($C114="",$T114="Mixta",$J114="",$AA114=""),"",IF($T114="Put",($J114-$AA114)/$J114,($AA114-$J114)/$J114))</f>
        <v/>
      </c>
      <c r="AD114" s="12" t="str">
        <f aca="false">IF($C114="","",IF($Q114&lt;&gt;"",$Q114,IF($V114="Strike",N($E114)*$H114*$I114,IF($V114="Subyacente",IF($J114="","",$J114*$H114*$I114),IF($V114="Ancho",IF($F114="","",ABS($E114-$F114)*$H114*$I114-$K114*$H114*$I114),IF($V114="Prima",$K114*$H114*$I114,""))))))</f>
        <v/>
      </c>
      <c r="AE114" s="12" t="str">
        <f aca="false">IF(OR($C114="",$M114="Abierta",$M114=""),"",(N($K114)-IF(OR($M114="Cerrada",$M114="Rolada"),N($O114),0))*$H114*$I114*IF($U114="Débito",-1,1)-N($L114)-N($P114))</f>
        <v/>
      </c>
      <c r="AF114" s="14" t="str">
        <f aca="false">IF(OR($AE114="",$AD114=""),"",IF($AD114&lt;=0,"",$AE114/$AD114))</f>
        <v/>
      </c>
      <c r="AG114" s="14" t="str">
        <f aca="false">IF($AF114="","",$AF114*365/MAX(N($X114),1))</f>
        <v/>
      </c>
      <c r="AH114" s="14" t="str">
        <f aca="false">IF(OR($C114="",$U114&lt;&gt;"Crédito",$AD114=""),"",IF($AD114&lt;=0,"",($Z114-N($L114))/$AD114))</f>
        <v/>
      </c>
      <c r="AI114" s="14" t="str">
        <f aca="false">IF(OR($AH114="",$W114=""),"",$AH114*365/MAX($W114,1))</f>
        <v/>
      </c>
      <c r="AJ114" s="14" t="str">
        <f aca="false">IF(OR($AE114="",$U114&lt;&gt;"Crédito",N($K114)=0),"",(N($K114)-IF(OR($M114="Cerrada",$M114="Rolada"),N($O114),0))/$K114)</f>
        <v/>
      </c>
      <c r="AK114" s="15" t="str">
        <f aca="false">IF(OR($C114="",$N114=""),"",DATE(YEAR($N114),MONTH($N114),1))</f>
        <v/>
      </c>
      <c r="AL114" s="11" t="str">
        <f aca="false">IF($C114="","",IF($M114="Abierta",0,1))</f>
        <v/>
      </c>
      <c r="AM114" s="16" t="str">
        <f aca="false">IF(OR($AE114="",$AD114=""),"",$AD114*MAX(N($X114),1))</f>
        <v/>
      </c>
      <c r="AN114" s="10" t="str">
        <f aca="false">IF($C114="","",IF(OR($B114="",$D114="",$H114="",$K114="",$M114=""),"Faltan datos obligatorios",IF($T114="","Estrategia no reconocida",IF(AND($M114&lt;&gt;"Abierta",$N114=""),"Falta fecha cierre",IF(AND(OR($M114="Cerrada",$M114="Rolada"),$O114=""),"Falta prima cierre",IF(AND($N114&lt;&gt;"",$N114&lt;$B114),"Cierre anterior a apertura",IF(AND($M114="Asignada",$R114=""),"Asignada: falta ID lote acciones",IF(AND($R114&lt;&gt;"",ISNA(MATCH($R114,Acciones!$A$2:$A$201,0))),"El ID lote no existe en Acciones",IF($AD114="","Revisa capital en riesgo","OK")))))))))</f>
        <v/>
      </c>
    </row>
    <row r="115" customFormat="false" ht="15" hidden="false" customHeight="true" outlineLevel="0" collapsed="false">
      <c r="A115" s="5"/>
      <c r="B115" s="6"/>
      <c r="C115" s="7"/>
      <c r="D115" s="7"/>
      <c r="E115" s="8"/>
      <c r="F115" s="8"/>
      <c r="G115" s="6"/>
      <c r="H115" s="5"/>
      <c r="I115" s="5" t="n">
        <v>100</v>
      </c>
      <c r="J115" s="8"/>
      <c r="K115" s="8"/>
      <c r="L115" s="9"/>
      <c r="M115" s="7"/>
      <c r="N115" s="6"/>
      <c r="O115" s="8"/>
      <c r="P115" s="9"/>
      <c r="Q115" s="9"/>
      <c r="R115" s="7"/>
      <c r="S115" s="7"/>
      <c r="T115" s="10" t="str">
        <f aca="false">IF($C115="","",IFERROR(INDEX(Listas!$B$2:$B$20,MATCH($D115,Listas!$A$2:$A$20,0)),""))</f>
        <v/>
      </c>
      <c r="U115" s="10" t="str">
        <f aca="false">IF($C115="","",IFERROR(INDEX(Listas!$C$2:$C$20,MATCH($D115,Listas!$A$2:$A$20,0)),""))</f>
        <v/>
      </c>
      <c r="V115" s="10" t="str">
        <f aca="false">IF($C115="","",IFERROR(INDEX(Listas!$D$2:$D$20,MATCH($D115,Listas!$A$2:$A$20,0)),""))</f>
        <v/>
      </c>
      <c r="W115" s="11" t="str">
        <f aca="false">IF(OR($C115="",$B115="",$G115=""),"",$G115-$B115)</f>
        <v/>
      </c>
      <c r="X115" s="11" t="str">
        <f aca="true">IF(OR($C115="",$B115=""),"",IF($N115&lt;&gt;"",$N115,TODAY())-$B115)</f>
        <v/>
      </c>
      <c r="Y115" s="11" t="str">
        <f aca="true">IF(OR($C115="",$M115&lt;&gt;"Abierta",$G115=""),"",MAX($G115-TODAY(),0))</f>
        <v/>
      </c>
      <c r="Z115" s="12" t="str">
        <f aca="false">IF($C115="","",N($K115)*N($H115)*N($I115)*IF($U115="Débito",-1,1))</f>
        <v/>
      </c>
      <c r="AA115" s="13" t="str">
        <f aca="false">IF($C115="","",IF(AND($U115="Débito",$F115&lt;&gt;""),$F115,$E115))</f>
        <v/>
      </c>
      <c r="AB115" s="13" t="str">
        <f aca="false">IF(OR($C115="",$T115="Mixta",$AA115=""),"",IF($V115="Subyacente",IF($J115="","",$J115-$K115),IF($T115="Put",$AA115-$K115,$AA115+$K115)))</f>
        <v/>
      </c>
      <c r="AC115" s="14" t="str">
        <f aca="false">IF(OR($C115="",$T115="Mixta",$J115="",$AA115=""),"",IF($T115="Put",($J115-$AA115)/$J115,($AA115-$J115)/$J115))</f>
        <v/>
      </c>
      <c r="AD115" s="12" t="str">
        <f aca="false">IF($C115="","",IF($Q115&lt;&gt;"",$Q115,IF($V115="Strike",N($E115)*$H115*$I115,IF($V115="Subyacente",IF($J115="","",$J115*$H115*$I115),IF($V115="Ancho",IF($F115="","",ABS($E115-$F115)*$H115*$I115-$K115*$H115*$I115),IF($V115="Prima",$K115*$H115*$I115,""))))))</f>
        <v/>
      </c>
      <c r="AE115" s="12" t="str">
        <f aca="false">IF(OR($C115="",$M115="Abierta",$M115=""),"",(N($K115)-IF(OR($M115="Cerrada",$M115="Rolada"),N($O115),0))*$H115*$I115*IF($U115="Débito",-1,1)-N($L115)-N($P115))</f>
        <v/>
      </c>
      <c r="AF115" s="14" t="str">
        <f aca="false">IF(OR($AE115="",$AD115=""),"",IF($AD115&lt;=0,"",$AE115/$AD115))</f>
        <v/>
      </c>
      <c r="AG115" s="14" t="str">
        <f aca="false">IF($AF115="","",$AF115*365/MAX(N($X115),1))</f>
        <v/>
      </c>
      <c r="AH115" s="14" t="str">
        <f aca="false">IF(OR($C115="",$U115&lt;&gt;"Crédito",$AD115=""),"",IF($AD115&lt;=0,"",($Z115-N($L115))/$AD115))</f>
        <v/>
      </c>
      <c r="AI115" s="14" t="str">
        <f aca="false">IF(OR($AH115="",$W115=""),"",$AH115*365/MAX($W115,1))</f>
        <v/>
      </c>
      <c r="AJ115" s="14" t="str">
        <f aca="false">IF(OR($AE115="",$U115&lt;&gt;"Crédito",N($K115)=0),"",(N($K115)-IF(OR($M115="Cerrada",$M115="Rolada"),N($O115),0))/$K115)</f>
        <v/>
      </c>
      <c r="AK115" s="15" t="str">
        <f aca="false">IF(OR($C115="",$N115=""),"",DATE(YEAR($N115),MONTH($N115),1))</f>
        <v/>
      </c>
      <c r="AL115" s="11" t="str">
        <f aca="false">IF($C115="","",IF($M115="Abierta",0,1))</f>
        <v/>
      </c>
      <c r="AM115" s="16" t="str">
        <f aca="false">IF(OR($AE115="",$AD115=""),"",$AD115*MAX(N($X115),1))</f>
        <v/>
      </c>
      <c r="AN115" s="10" t="str">
        <f aca="false">IF($C115="","",IF(OR($B115="",$D115="",$H115="",$K115="",$M115=""),"Faltan datos obligatorios",IF($T115="","Estrategia no reconocida",IF(AND($M115&lt;&gt;"Abierta",$N115=""),"Falta fecha cierre",IF(AND(OR($M115="Cerrada",$M115="Rolada"),$O115=""),"Falta prima cierre",IF(AND($N115&lt;&gt;"",$N115&lt;$B115),"Cierre anterior a apertura",IF(AND($M115="Asignada",$R115=""),"Asignada: falta ID lote acciones",IF(AND($R115&lt;&gt;"",ISNA(MATCH($R115,Acciones!$A$2:$A$201,0))),"El ID lote no existe en Acciones",IF($AD115="","Revisa capital en riesgo","OK")))))))))</f>
        <v/>
      </c>
    </row>
    <row r="116" customFormat="false" ht="15" hidden="false" customHeight="true" outlineLevel="0" collapsed="false">
      <c r="A116" s="5"/>
      <c r="B116" s="6"/>
      <c r="C116" s="7"/>
      <c r="D116" s="7"/>
      <c r="E116" s="8"/>
      <c r="F116" s="8"/>
      <c r="G116" s="6"/>
      <c r="H116" s="5"/>
      <c r="I116" s="5" t="n">
        <v>100</v>
      </c>
      <c r="J116" s="8"/>
      <c r="K116" s="8"/>
      <c r="L116" s="9"/>
      <c r="M116" s="7"/>
      <c r="N116" s="6"/>
      <c r="O116" s="8"/>
      <c r="P116" s="9"/>
      <c r="Q116" s="9"/>
      <c r="R116" s="7"/>
      <c r="S116" s="7"/>
      <c r="T116" s="10" t="str">
        <f aca="false">IF($C116="","",IFERROR(INDEX(Listas!$B$2:$B$20,MATCH($D116,Listas!$A$2:$A$20,0)),""))</f>
        <v/>
      </c>
      <c r="U116" s="10" t="str">
        <f aca="false">IF($C116="","",IFERROR(INDEX(Listas!$C$2:$C$20,MATCH($D116,Listas!$A$2:$A$20,0)),""))</f>
        <v/>
      </c>
      <c r="V116" s="10" t="str">
        <f aca="false">IF($C116="","",IFERROR(INDEX(Listas!$D$2:$D$20,MATCH($D116,Listas!$A$2:$A$20,0)),""))</f>
        <v/>
      </c>
      <c r="W116" s="11" t="str">
        <f aca="false">IF(OR($C116="",$B116="",$G116=""),"",$G116-$B116)</f>
        <v/>
      </c>
      <c r="X116" s="11" t="str">
        <f aca="true">IF(OR($C116="",$B116=""),"",IF($N116&lt;&gt;"",$N116,TODAY())-$B116)</f>
        <v/>
      </c>
      <c r="Y116" s="11" t="str">
        <f aca="true">IF(OR($C116="",$M116&lt;&gt;"Abierta",$G116=""),"",MAX($G116-TODAY(),0))</f>
        <v/>
      </c>
      <c r="Z116" s="12" t="str">
        <f aca="false">IF($C116="","",N($K116)*N($H116)*N($I116)*IF($U116="Débito",-1,1))</f>
        <v/>
      </c>
      <c r="AA116" s="13" t="str">
        <f aca="false">IF($C116="","",IF(AND($U116="Débito",$F116&lt;&gt;""),$F116,$E116))</f>
        <v/>
      </c>
      <c r="AB116" s="13" t="str">
        <f aca="false">IF(OR($C116="",$T116="Mixta",$AA116=""),"",IF($V116="Subyacente",IF($J116="","",$J116-$K116),IF($T116="Put",$AA116-$K116,$AA116+$K116)))</f>
        <v/>
      </c>
      <c r="AC116" s="14" t="str">
        <f aca="false">IF(OR($C116="",$T116="Mixta",$J116="",$AA116=""),"",IF($T116="Put",($J116-$AA116)/$J116,($AA116-$J116)/$J116))</f>
        <v/>
      </c>
      <c r="AD116" s="12" t="str">
        <f aca="false">IF($C116="","",IF($Q116&lt;&gt;"",$Q116,IF($V116="Strike",N($E116)*$H116*$I116,IF($V116="Subyacente",IF($J116="","",$J116*$H116*$I116),IF($V116="Ancho",IF($F116="","",ABS($E116-$F116)*$H116*$I116-$K116*$H116*$I116),IF($V116="Prima",$K116*$H116*$I116,""))))))</f>
        <v/>
      </c>
      <c r="AE116" s="12" t="str">
        <f aca="false">IF(OR($C116="",$M116="Abierta",$M116=""),"",(N($K116)-IF(OR($M116="Cerrada",$M116="Rolada"),N($O116),0))*$H116*$I116*IF($U116="Débito",-1,1)-N($L116)-N($P116))</f>
        <v/>
      </c>
      <c r="AF116" s="14" t="str">
        <f aca="false">IF(OR($AE116="",$AD116=""),"",IF($AD116&lt;=0,"",$AE116/$AD116))</f>
        <v/>
      </c>
      <c r="AG116" s="14" t="str">
        <f aca="false">IF($AF116="","",$AF116*365/MAX(N($X116),1))</f>
        <v/>
      </c>
      <c r="AH116" s="14" t="str">
        <f aca="false">IF(OR($C116="",$U116&lt;&gt;"Crédito",$AD116=""),"",IF($AD116&lt;=0,"",($Z116-N($L116))/$AD116))</f>
        <v/>
      </c>
      <c r="AI116" s="14" t="str">
        <f aca="false">IF(OR($AH116="",$W116=""),"",$AH116*365/MAX($W116,1))</f>
        <v/>
      </c>
      <c r="AJ116" s="14" t="str">
        <f aca="false">IF(OR($AE116="",$U116&lt;&gt;"Crédito",N($K116)=0),"",(N($K116)-IF(OR($M116="Cerrada",$M116="Rolada"),N($O116),0))/$K116)</f>
        <v/>
      </c>
      <c r="AK116" s="15" t="str">
        <f aca="false">IF(OR($C116="",$N116=""),"",DATE(YEAR($N116),MONTH($N116),1))</f>
        <v/>
      </c>
      <c r="AL116" s="11" t="str">
        <f aca="false">IF($C116="","",IF($M116="Abierta",0,1))</f>
        <v/>
      </c>
      <c r="AM116" s="16" t="str">
        <f aca="false">IF(OR($AE116="",$AD116=""),"",$AD116*MAX(N($X116),1))</f>
        <v/>
      </c>
      <c r="AN116" s="10" t="str">
        <f aca="false">IF($C116="","",IF(OR($B116="",$D116="",$H116="",$K116="",$M116=""),"Faltan datos obligatorios",IF($T116="","Estrategia no reconocida",IF(AND($M116&lt;&gt;"Abierta",$N116=""),"Falta fecha cierre",IF(AND(OR($M116="Cerrada",$M116="Rolada"),$O116=""),"Falta prima cierre",IF(AND($N116&lt;&gt;"",$N116&lt;$B116),"Cierre anterior a apertura",IF(AND($M116="Asignada",$R116=""),"Asignada: falta ID lote acciones",IF(AND($R116&lt;&gt;"",ISNA(MATCH($R116,Acciones!$A$2:$A$201,0))),"El ID lote no existe en Acciones",IF($AD116="","Revisa capital en riesgo","OK")))))))))</f>
        <v/>
      </c>
    </row>
    <row r="117" customFormat="false" ht="15" hidden="false" customHeight="true" outlineLevel="0" collapsed="false">
      <c r="A117" s="5"/>
      <c r="B117" s="6"/>
      <c r="C117" s="7"/>
      <c r="D117" s="7"/>
      <c r="E117" s="8"/>
      <c r="F117" s="8"/>
      <c r="G117" s="6"/>
      <c r="H117" s="5"/>
      <c r="I117" s="5" t="n">
        <v>100</v>
      </c>
      <c r="J117" s="8"/>
      <c r="K117" s="8"/>
      <c r="L117" s="9"/>
      <c r="M117" s="7"/>
      <c r="N117" s="6"/>
      <c r="O117" s="8"/>
      <c r="P117" s="9"/>
      <c r="Q117" s="9"/>
      <c r="R117" s="7"/>
      <c r="S117" s="7"/>
      <c r="T117" s="10" t="str">
        <f aca="false">IF($C117="","",IFERROR(INDEX(Listas!$B$2:$B$20,MATCH($D117,Listas!$A$2:$A$20,0)),""))</f>
        <v/>
      </c>
      <c r="U117" s="10" t="str">
        <f aca="false">IF($C117="","",IFERROR(INDEX(Listas!$C$2:$C$20,MATCH($D117,Listas!$A$2:$A$20,0)),""))</f>
        <v/>
      </c>
      <c r="V117" s="10" t="str">
        <f aca="false">IF($C117="","",IFERROR(INDEX(Listas!$D$2:$D$20,MATCH($D117,Listas!$A$2:$A$20,0)),""))</f>
        <v/>
      </c>
      <c r="W117" s="11" t="str">
        <f aca="false">IF(OR($C117="",$B117="",$G117=""),"",$G117-$B117)</f>
        <v/>
      </c>
      <c r="X117" s="11" t="str">
        <f aca="true">IF(OR($C117="",$B117=""),"",IF($N117&lt;&gt;"",$N117,TODAY())-$B117)</f>
        <v/>
      </c>
      <c r="Y117" s="11" t="str">
        <f aca="true">IF(OR($C117="",$M117&lt;&gt;"Abierta",$G117=""),"",MAX($G117-TODAY(),0))</f>
        <v/>
      </c>
      <c r="Z117" s="12" t="str">
        <f aca="false">IF($C117="","",N($K117)*N($H117)*N($I117)*IF($U117="Débito",-1,1))</f>
        <v/>
      </c>
      <c r="AA117" s="13" t="str">
        <f aca="false">IF($C117="","",IF(AND($U117="Débito",$F117&lt;&gt;""),$F117,$E117))</f>
        <v/>
      </c>
      <c r="AB117" s="13" t="str">
        <f aca="false">IF(OR($C117="",$T117="Mixta",$AA117=""),"",IF($V117="Subyacente",IF($J117="","",$J117-$K117),IF($T117="Put",$AA117-$K117,$AA117+$K117)))</f>
        <v/>
      </c>
      <c r="AC117" s="14" t="str">
        <f aca="false">IF(OR($C117="",$T117="Mixta",$J117="",$AA117=""),"",IF($T117="Put",($J117-$AA117)/$J117,($AA117-$J117)/$J117))</f>
        <v/>
      </c>
      <c r="AD117" s="12" t="str">
        <f aca="false">IF($C117="","",IF($Q117&lt;&gt;"",$Q117,IF($V117="Strike",N($E117)*$H117*$I117,IF($V117="Subyacente",IF($J117="","",$J117*$H117*$I117),IF($V117="Ancho",IF($F117="","",ABS($E117-$F117)*$H117*$I117-$K117*$H117*$I117),IF($V117="Prima",$K117*$H117*$I117,""))))))</f>
        <v/>
      </c>
      <c r="AE117" s="12" t="str">
        <f aca="false">IF(OR($C117="",$M117="Abierta",$M117=""),"",(N($K117)-IF(OR($M117="Cerrada",$M117="Rolada"),N($O117),0))*$H117*$I117*IF($U117="Débito",-1,1)-N($L117)-N($P117))</f>
        <v/>
      </c>
      <c r="AF117" s="14" t="str">
        <f aca="false">IF(OR($AE117="",$AD117=""),"",IF($AD117&lt;=0,"",$AE117/$AD117))</f>
        <v/>
      </c>
      <c r="AG117" s="14" t="str">
        <f aca="false">IF($AF117="","",$AF117*365/MAX(N($X117),1))</f>
        <v/>
      </c>
      <c r="AH117" s="14" t="str">
        <f aca="false">IF(OR($C117="",$U117&lt;&gt;"Crédito",$AD117=""),"",IF($AD117&lt;=0,"",($Z117-N($L117))/$AD117))</f>
        <v/>
      </c>
      <c r="AI117" s="14" t="str">
        <f aca="false">IF(OR($AH117="",$W117=""),"",$AH117*365/MAX($W117,1))</f>
        <v/>
      </c>
      <c r="AJ117" s="14" t="str">
        <f aca="false">IF(OR($AE117="",$U117&lt;&gt;"Crédito",N($K117)=0),"",(N($K117)-IF(OR($M117="Cerrada",$M117="Rolada"),N($O117),0))/$K117)</f>
        <v/>
      </c>
      <c r="AK117" s="15" t="str">
        <f aca="false">IF(OR($C117="",$N117=""),"",DATE(YEAR($N117),MONTH($N117),1))</f>
        <v/>
      </c>
      <c r="AL117" s="11" t="str">
        <f aca="false">IF($C117="","",IF($M117="Abierta",0,1))</f>
        <v/>
      </c>
      <c r="AM117" s="16" t="str">
        <f aca="false">IF(OR($AE117="",$AD117=""),"",$AD117*MAX(N($X117),1))</f>
        <v/>
      </c>
      <c r="AN117" s="10" t="str">
        <f aca="false">IF($C117="","",IF(OR($B117="",$D117="",$H117="",$K117="",$M117=""),"Faltan datos obligatorios",IF($T117="","Estrategia no reconocida",IF(AND($M117&lt;&gt;"Abierta",$N117=""),"Falta fecha cierre",IF(AND(OR($M117="Cerrada",$M117="Rolada"),$O117=""),"Falta prima cierre",IF(AND($N117&lt;&gt;"",$N117&lt;$B117),"Cierre anterior a apertura",IF(AND($M117="Asignada",$R117=""),"Asignada: falta ID lote acciones",IF(AND($R117&lt;&gt;"",ISNA(MATCH($R117,Acciones!$A$2:$A$201,0))),"El ID lote no existe en Acciones",IF($AD117="","Revisa capital en riesgo","OK")))))))))</f>
        <v/>
      </c>
    </row>
    <row r="118" customFormat="false" ht="15" hidden="false" customHeight="true" outlineLevel="0" collapsed="false">
      <c r="A118" s="5"/>
      <c r="B118" s="6"/>
      <c r="C118" s="7"/>
      <c r="D118" s="7"/>
      <c r="E118" s="8"/>
      <c r="F118" s="8"/>
      <c r="G118" s="6"/>
      <c r="H118" s="5"/>
      <c r="I118" s="5" t="n">
        <v>100</v>
      </c>
      <c r="J118" s="8"/>
      <c r="K118" s="8"/>
      <c r="L118" s="9"/>
      <c r="M118" s="7"/>
      <c r="N118" s="6"/>
      <c r="O118" s="8"/>
      <c r="P118" s="9"/>
      <c r="Q118" s="9"/>
      <c r="R118" s="7"/>
      <c r="S118" s="7"/>
      <c r="T118" s="10" t="str">
        <f aca="false">IF($C118="","",IFERROR(INDEX(Listas!$B$2:$B$20,MATCH($D118,Listas!$A$2:$A$20,0)),""))</f>
        <v/>
      </c>
      <c r="U118" s="10" t="str">
        <f aca="false">IF($C118="","",IFERROR(INDEX(Listas!$C$2:$C$20,MATCH($D118,Listas!$A$2:$A$20,0)),""))</f>
        <v/>
      </c>
      <c r="V118" s="10" t="str">
        <f aca="false">IF($C118="","",IFERROR(INDEX(Listas!$D$2:$D$20,MATCH($D118,Listas!$A$2:$A$20,0)),""))</f>
        <v/>
      </c>
      <c r="W118" s="11" t="str">
        <f aca="false">IF(OR($C118="",$B118="",$G118=""),"",$G118-$B118)</f>
        <v/>
      </c>
      <c r="X118" s="11" t="str">
        <f aca="true">IF(OR($C118="",$B118=""),"",IF($N118&lt;&gt;"",$N118,TODAY())-$B118)</f>
        <v/>
      </c>
      <c r="Y118" s="11" t="str">
        <f aca="true">IF(OR($C118="",$M118&lt;&gt;"Abierta",$G118=""),"",MAX($G118-TODAY(),0))</f>
        <v/>
      </c>
      <c r="Z118" s="12" t="str">
        <f aca="false">IF($C118="","",N($K118)*N($H118)*N($I118)*IF($U118="Débito",-1,1))</f>
        <v/>
      </c>
      <c r="AA118" s="13" t="str">
        <f aca="false">IF($C118="","",IF(AND($U118="Débito",$F118&lt;&gt;""),$F118,$E118))</f>
        <v/>
      </c>
      <c r="AB118" s="13" t="str">
        <f aca="false">IF(OR($C118="",$T118="Mixta",$AA118=""),"",IF($V118="Subyacente",IF($J118="","",$J118-$K118),IF($T118="Put",$AA118-$K118,$AA118+$K118)))</f>
        <v/>
      </c>
      <c r="AC118" s="14" t="str">
        <f aca="false">IF(OR($C118="",$T118="Mixta",$J118="",$AA118=""),"",IF($T118="Put",($J118-$AA118)/$J118,($AA118-$J118)/$J118))</f>
        <v/>
      </c>
      <c r="AD118" s="12" t="str">
        <f aca="false">IF($C118="","",IF($Q118&lt;&gt;"",$Q118,IF($V118="Strike",N($E118)*$H118*$I118,IF($V118="Subyacente",IF($J118="","",$J118*$H118*$I118),IF($V118="Ancho",IF($F118="","",ABS($E118-$F118)*$H118*$I118-$K118*$H118*$I118),IF($V118="Prima",$K118*$H118*$I118,""))))))</f>
        <v/>
      </c>
      <c r="AE118" s="12" t="str">
        <f aca="false">IF(OR($C118="",$M118="Abierta",$M118=""),"",(N($K118)-IF(OR($M118="Cerrada",$M118="Rolada"),N($O118),0))*$H118*$I118*IF($U118="Débito",-1,1)-N($L118)-N($P118))</f>
        <v/>
      </c>
      <c r="AF118" s="14" t="str">
        <f aca="false">IF(OR($AE118="",$AD118=""),"",IF($AD118&lt;=0,"",$AE118/$AD118))</f>
        <v/>
      </c>
      <c r="AG118" s="14" t="str">
        <f aca="false">IF($AF118="","",$AF118*365/MAX(N($X118),1))</f>
        <v/>
      </c>
      <c r="AH118" s="14" t="str">
        <f aca="false">IF(OR($C118="",$U118&lt;&gt;"Crédito",$AD118=""),"",IF($AD118&lt;=0,"",($Z118-N($L118))/$AD118))</f>
        <v/>
      </c>
      <c r="AI118" s="14" t="str">
        <f aca="false">IF(OR($AH118="",$W118=""),"",$AH118*365/MAX($W118,1))</f>
        <v/>
      </c>
      <c r="AJ118" s="14" t="str">
        <f aca="false">IF(OR($AE118="",$U118&lt;&gt;"Crédito",N($K118)=0),"",(N($K118)-IF(OR($M118="Cerrada",$M118="Rolada"),N($O118),0))/$K118)</f>
        <v/>
      </c>
      <c r="AK118" s="15" t="str">
        <f aca="false">IF(OR($C118="",$N118=""),"",DATE(YEAR($N118),MONTH($N118),1))</f>
        <v/>
      </c>
      <c r="AL118" s="11" t="str">
        <f aca="false">IF($C118="","",IF($M118="Abierta",0,1))</f>
        <v/>
      </c>
      <c r="AM118" s="16" t="str">
        <f aca="false">IF(OR($AE118="",$AD118=""),"",$AD118*MAX(N($X118),1))</f>
        <v/>
      </c>
      <c r="AN118" s="10" t="str">
        <f aca="false">IF($C118="","",IF(OR($B118="",$D118="",$H118="",$K118="",$M118=""),"Faltan datos obligatorios",IF($T118="","Estrategia no reconocida",IF(AND($M118&lt;&gt;"Abierta",$N118=""),"Falta fecha cierre",IF(AND(OR($M118="Cerrada",$M118="Rolada"),$O118=""),"Falta prima cierre",IF(AND($N118&lt;&gt;"",$N118&lt;$B118),"Cierre anterior a apertura",IF(AND($M118="Asignada",$R118=""),"Asignada: falta ID lote acciones",IF(AND($R118&lt;&gt;"",ISNA(MATCH($R118,Acciones!$A$2:$A$201,0))),"El ID lote no existe en Acciones",IF($AD118="","Revisa capital en riesgo","OK")))))))))</f>
        <v/>
      </c>
    </row>
    <row r="119" customFormat="false" ht="15" hidden="false" customHeight="true" outlineLevel="0" collapsed="false">
      <c r="A119" s="5"/>
      <c r="B119" s="6"/>
      <c r="C119" s="7"/>
      <c r="D119" s="7"/>
      <c r="E119" s="8"/>
      <c r="F119" s="8"/>
      <c r="G119" s="6"/>
      <c r="H119" s="5"/>
      <c r="I119" s="5" t="n">
        <v>100</v>
      </c>
      <c r="J119" s="8"/>
      <c r="K119" s="8"/>
      <c r="L119" s="9"/>
      <c r="M119" s="7"/>
      <c r="N119" s="6"/>
      <c r="O119" s="8"/>
      <c r="P119" s="9"/>
      <c r="Q119" s="9"/>
      <c r="R119" s="7"/>
      <c r="S119" s="7"/>
      <c r="T119" s="10" t="str">
        <f aca="false">IF($C119="","",IFERROR(INDEX(Listas!$B$2:$B$20,MATCH($D119,Listas!$A$2:$A$20,0)),""))</f>
        <v/>
      </c>
      <c r="U119" s="10" t="str">
        <f aca="false">IF($C119="","",IFERROR(INDEX(Listas!$C$2:$C$20,MATCH($D119,Listas!$A$2:$A$20,0)),""))</f>
        <v/>
      </c>
      <c r="V119" s="10" t="str">
        <f aca="false">IF($C119="","",IFERROR(INDEX(Listas!$D$2:$D$20,MATCH($D119,Listas!$A$2:$A$20,0)),""))</f>
        <v/>
      </c>
      <c r="W119" s="11" t="str">
        <f aca="false">IF(OR($C119="",$B119="",$G119=""),"",$G119-$B119)</f>
        <v/>
      </c>
      <c r="X119" s="11" t="str">
        <f aca="true">IF(OR($C119="",$B119=""),"",IF($N119&lt;&gt;"",$N119,TODAY())-$B119)</f>
        <v/>
      </c>
      <c r="Y119" s="11" t="str">
        <f aca="true">IF(OR($C119="",$M119&lt;&gt;"Abierta",$G119=""),"",MAX($G119-TODAY(),0))</f>
        <v/>
      </c>
      <c r="Z119" s="12" t="str">
        <f aca="false">IF($C119="","",N($K119)*N($H119)*N($I119)*IF($U119="Débito",-1,1))</f>
        <v/>
      </c>
      <c r="AA119" s="13" t="str">
        <f aca="false">IF($C119="","",IF(AND($U119="Débito",$F119&lt;&gt;""),$F119,$E119))</f>
        <v/>
      </c>
      <c r="AB119" s="13" t="str">
        <f aca="false">IF(OR($C119="",$T119="Mixta",$AA119=""),"",IF($V119="Subyacente",IF($J119="","",$J119-$K119),IF($T119="Put",$AA119-$K119,$AA119+$K119)))</f>
        <v/>
      </c>
      <c r="AC119" s="14" t="str">
        <f aca="false">IF(OR($C119="",$T119="Mixta",$J119="",$AA119=""),"",IF($T119="Put",($J119-$AA119)/$J119,($AA119-$J119)/$J119))</f>
        <v/>
      </c>
      <c r="AD119" s="12" t="str">
        <f aca="false">IF($C119="","",IF($Q119&lt;&gt;"",$Q119,IF($V119="Strike",N($E119)*$H119*$I119,IF($V119="Subyacente",IF($J119="","",$J119*$H119*$I119),IF($V119="Ancho",IF($F119="","",ABS($E119-$F119)*$H119*$I119-$K119*$H119*$I119),IF($V119="Prima",$K119*$H119*$I119,""))))))</f>
        <v/>
      </c>
      <c r="AE119" s="12" t="str">
        <f aca="false">IF(OR($C119="",$M119="Abierta",$M119=""),"",(N($K119)-IF(OR($M119="Cerrada",$M119="Rolada"),N($O119),0))*$H119*$I119*IF($U119="Débito",-1,1)-N($L119)-N($P119))</f>
        <v/>
      </c>
      <c r="AF119" s="14" t="str">
        <f aca="false">IF(OR($AE119="",$AD119=""),"",IF($AD119&lt;=0,"",$AE119/$AD119))</f>
        <v/>
      </c>
      <c r="AG119" s="14" t="str">
        <f aca="false">IF($AF119="","",$AF119*365/MAX(N($X119),1))</f>
        <v/>
      </c>
      <c r="AH119" s="14" t="str">
        <f aca="false">IF(OR($C119="",$U119&lt;&gt;"Crédito",$AD119=""),"",IF($AD119&lt;=0,"",($Z119-N($L119))/$AD119))</f>
        <v/>
      </c>
      <c r="AI119" s="14" t="str">
        <f aca="false">IF(OR($AH119="",$W119=""),"",$AH119*365/MAX($W119,1))</f>
        <v/>
      </c>
      <c r="AJ119" s="14" t="str">
        <f aca="false">IF(OR($AE119="",$U119&lt;&gt;"Crédito",N($K119)=0),"",(N($K119)-IF(OR($M119="Cerrada",$M119="Rolada"),N($O119),0))/$K119)</f>
        <v/>
      </c>
      <c r="AK119" s="15" t="str">
        <f aca="false">IF(OR($C119="",$N119=""),"",DATE(YEAR($N119),MONTH($N119),1))</f>
        <v/>
      </c>
      <c r="AL119" s="11" t="str">
        <f aca="false">IF($C119="","",IF($M119="Abierta",0,1))</f>
        <v/>
      </c>
      <c r="AM119" s="16" t="str">
        <f aca="false">IF(OR($AE119="",$AD119=""),"",$AD119*MAX(N($X119),1))</f>
        <v/>
      </c>
      <c r="AN119" s="10" t="str">
        <f aca="false">IF($C119="","",IF(OR($B119="",$D119="",$H119="",$K119="",$M119=""),"Faltan datos obligatorios",IF($T119="","Estrategia no reconocida",IF(AND($M119&lt;&gt;"Abierta",$N119=""),"Falta fecha cierre",IF(AND(OR($M119="Cerrada",$M119="Rolada"),$O119=""),"Falta prima cierre",IF(AND($N119&lt;&gt;"",$N119&lt;$B119),"Cierre anterior a apertura",IF(AND($M119="Asignada",$R119=""),"Asignada: falta ID lote acciones",IF(AND($R119&lt;&gt;"",ISNA(MATCH($R119,Acciones!$A$2:$A$201,0))),"El ID lote no existe en Acciones",IF($AD119="","Revisa capital en riesgo","OK")))))))))</f>
        <v/>
      </c>
    </row>
    <row r="120" customFormat="false" ht="15" hidden="false" customHeight="true" outlineLevel="0" collapsed="false">
      <c r="A120" s="5"/>
      <c r="B120" s="6"/>
      <c r="C120" s="7"/>
      <c r="D120" s="7"/>
      <c r="E120" s="8"/>
      <c r="F120" s="8"/>
      <c r="G120" s="6"/>
      <c r="H120" s="5"/>
      <c r="I120" s="5" t="n">
        <v>100</v>
      </c>
      <c r="J120" s="8"/>
      <c r="K120" s="8"/>
      <c r="L120" s="9"/>
      <c r="M120" s="7"/>
      <c r="N120" s="6"/>
      <c r="O120" s="8"/>
      <c r="P120" s="9"/>
      <c r="Q120" s="9"/>
      <c r="R120" s="7"/>
      <c r="S120" s="7"/>
      <c r="T120" s="10" t="str">
        <f aca="false">IF($C120="","",IFERROR(INDEX(Listas!$B$2:$B$20,MATCH($D120,Listas!$A$2:$A$20,0)),""))</f>
        <v/>
      </c>
      <c r="U120" s="10" t="str">
        <f aca="false">IF($C120="","",IFERROR(INDEX(Listas!$C$2:$C$20,MATCH($D120,Listas!$A$2:$A$20,0)),""))</f>
        <v/>
      </c>
      <c r="V120" s="10" t="str">
        <f aca="false">IF($C120="","",IFERROR(INDEX(Listas!$D$2:$D$20,MATCH($D120,Listas!$A$2:$A$20,0)),""))</f>
        <v/>
      </c>
      <c r="W120" s="11" t="str">
        <f aca="false">IF(OR($C120="",$B120="",$G120=""),"",$G120-$B120)</f>
        <v/>
      </c>
      <c r="X120" s="11" t="str">
        <f aca="true">IF(OR($C120="",$B120=""),"",IF($N120&lt;&gt;"",$N120,TODAY())-$B120)</f>
        <v/>
      </c>
      <c r="Y120" s="11" t="str">
        <f aca="true">IF(OR($C120="",$M120&lt;&gt;"Abierta",$G120=""),"",MAX($G120-TODAY(),0))</f>
        <v/>
      </c>
      <c r="Z120" s="12" t="str">
        <f aca="false">IF($C120="","",N($K120)*N($H120)*N($I120)*IF($U120="Débito",-1,1))</f>
        <v/>
      </c>
      <c r="AA120" s="13" t="str">
        <f aca="false">IF($C120="","",IF(AND($U120="Débito",$F120&lt;&gt;""),$F120,$E120))</f>
        <v/>
      </c>
      <c r="AB120" s="13" t="str">
        <f aca="false">IF(OR($C120="",$T120="Mixta",$AA120=""),"",IF($V120="Subyacente",IF($J120="","",$J120-$K120),IF($T120="Put",$AA120-$K120,$AA120+$K120)))</f>
        <v/>
      </c>
      <c r="AC120" s="14" t="str">
        <f aca="false">IF(OR($C120="",$T120="Mixta",$J120="",$AA120=""),"",IF($T120="Put",($J120-$AA120)/$J120,($AA120-$J120)/$J120))</f>
        <v/>
      </c>
      <c r="AD120" s="12" t="str">
        <f aca="false">IF($C120="","",IF($Q120&lt;&gt;"",$Q120,IF($V120="Strike",N($E120)*$H120*$I120,IF($V120="Subyacente",IF($J120="","",$J120*$H120*$I120),IF($V120="Ancho",IF($F120="","",ABS($E120-$F120)*$H120*$I120-$K120*$H120*$I120),IF($V120="Prima",$K120*$H120*$I120,""))))))</f>
        <v/>
      </c>
      <c r="AE120" s="12" t="str">
        <f aca="false">IF(OR($C120="",$M120="Abierta",$M120=""),"",(N($K120)-IF(OR($M120="Cerrada",$M120="Rolada"),N($O120),0))*$H120*$I120*IF($U120="Débito",-1,1)-N($L120)-N($P120))</f>
        <v/>
      </c>
      <c r="AF120" s="14" t="str">
        <f aca="false">IF(OR($AE120="",$AD120=""),"",IF($AD120&lt;=0,"",$AE120/$AD120))</f>
        <v/>
      </c>
      <c r="AG120" s="14" t="str">
        <f aca="false">IF($AF120="","",$AF120*365/MAX(N($X120),1))</f>
        <v/>
      </c>
      <c r="AH120" s="14" t="str">
        <f aca="false">IF(OR($C120="",$U120&lt;&gt;"Crédito",$AD120=""),"",IF($AD120&lt;=0,"",($Z120-N($L120))/$AD120))</f>
        <v/>
      </c>
      <c r="AI120" s="14" t="str">
        <f aca="false">IF(OR($AH120="",$W120=""),"",$AH120*365/MAX($W120,1))</f>
        <v/>
      </c>
      <c r="AJ120" s="14" t="str">
        <f aca="false">IF(OR($AE120="",$U120&lt;&gt;"Crédito",N($K120)=0),"",(N($K120)-IF(OR($M120="Cerrada",$M120="Rolada"),N($O120),0))/$K120)</f>
        <v/>
      </c>
      <c r="AK120" s="15" t="str">
        <f aca="false">IF(OR($C120="",$N120=""),"",DATE(YEAR($N120),MONTH($N120),1))</f>
        <v/>
      </c>
      <c r="AL120" s="11" t="str">
        <f aca="false">IF($C120="","",IF($M120="Abierta",0,1))</f>
        <v/>
      </c>
      <c r="AM120" s="16" t="str">
        <f aca="false">IF(OR($AE120="",$AD120=""),"",$AD120*MAX(N($X120),1))</f>
        <v/>
      </c>
      <c r="AN120" s="10" t="str">
        <f aca="false">IF($C120="","",IF(OR($B120="",$D120="",$H120="",$K120="",$M120=""),"Faltan datos obligatorios",IF($T120="","Estrategia no reconocida",IF(AND($M120&lt;&gt;"Abierta",$N120=""),"Falta fecha cierre",IF(AND(OR($M120="Cerrada",$M120="Rolada"),$O120=""),"Falta prima cierre",IF(AND($N120&lt;&gt;"",$N120&lt;$B120),"Cierre anterior a apertura",IF(AND($M120="Asignada",$R120=""),"Asignada: falta ID lote acciones",IF(AND($R120&lt;&gt;"",ISNA(MATCH($R120,Acciones!$A$2:$A$201,0))),"El ID lote no existe en Acciones",IF($AD120="","Revisa capital en riesgo","OK")))))))))</f>
        <v/>
      </c>
    </row>
    <row r="121" customFormat="false" ht="15" hidden="false" customHeight="true" outlineLevel="0" collapsed="false">
      <c r="A121" s="5"/>
      <c r="B121" s="6"/>
      <c r="C121" s="7"/>
      <c r="D121" s="7"/>
      <c r="E121" s="8"/>
      <c r="F121" s="8"/>
      <c r="G121" s="6"/>
      <c r="H121" s="5"/>
      <c r="I121" s="5" t="n">
        <v>100</v>
      </c>
      <c r="J121" s="8"/>
      <c r="K121" s="8"/>
      <c r="L121" s="9"/>
      <c r="M121" s="7"/>
      <c r="N121" s="6"/>
      <c r="O121" s="8"/>
      <c r="P121" s="9"/>
      <c r="Q121" s="9"/>
      <c r="R121" s="7"/>
      <c r="S121" s="7"/>
      <c r="T121" s="10" t="str">
        <f aca="false">IF($C121="","",IFERROR(INDEX(Listas!$B$2:$B$20,MATCH($D121,Listas!$A$2:$A$20,0)),""))</f>
        <v/>
      </c>
      <c r="U121" s="10" t="str">
        <f aca="false">IF($C121="","",IFERROR(INDEX(Listas!$C$2:$C$20,MATCH($D121,Listas!$A$2:$A$20,0)),""))</f>
        <v/>
      </c>
      <c r="V121" s="10" t="str">
        <f aca="false">IF($C121="","",IFERROR(INDEX(Listas!$D$2:$D$20,MATCH($D121,Listas!$A$2:$A$20,0)),""))</f>
        <v/>
      </c>
      <c r="W121" s="11" t="str">
        <f aca="false">IF(OR($C121="",$B121="",$G121=""),"",$G121-$B121)</f>
        <v/>
      </c>
      <c r="X121" s="11" t="str">
        <f aca="true">IF(OR($C121="",$B121=""),"",IF($N121&lt;&gt;"",$N121,TODAY())-$B121)</f>
        <v/>
      </c>
      <c r="Y121" s="11" t="str">
        <f aca="true">IF(OR($C121="",$M121&lt;&gt;"Abierta",$G121=""),"",MAX($G121-TODAY(),0))</f>
        <v/>
      </c>
      <c r="Z121" s="12" t="str">
        <f aca="false">IF($C121="","",N($K121)*N($H121)*N($I121)*IF($U121="Débito",-1,1))</f>
        <v/>
      </c>
      <c r="AA121" s="13" t="str">
        <f aca="false">IF($C121="","",IF(AND($U121="Débito",$F121&lt;&gt;""),$F121,$E121))</f>
        <v/>
      </c>
      <c r="AB121" s="13" t="str">
        <f aca="false">IF(OR($C121="",$T121="Mixta",$AA121=""),"",IF($V121="Subyacente",IF($J121="","",$J121-$K121),IF($T121="Put",$AA121-$K121,$AA121+$K121)))</f>
        <v/>
      </c>
      <c r="AC121" s="14" t="str">
        <f aca="false">IF(OR($C121="",$T121="Mixta",$J121="",$AA121=""),"",IF($T121="Put",($J121-$AA121)/$J121,($AA121-$J121)/$J121))</f>
        <v/>
      </c>
      <c r="AD121" s="12" t="str">
        <f aca="false">IF($C121="","",IF($Q121&lt;&gt;"",$Q121,IF($V121="Strike",N($E121)*$H121*$I121,IF($V121="Subyacente",IF($J121="","",$J121*$H121*$I121),IF($V121="Ancho",IF($F121="","",ABS($E121-$F121)*$H121*$I121-$K121*$H121*$I121),IF($V121="Prima",$K121*$H121*$I121,""))))))</f>
        <v/>
      </c>
      <c r="AE121" s="12" t="str">
        <f aca="false">IF(OR($C121="",$M121="Abierta",$M121=""),"",(N($K121)-IF(OR($M121="Cerrada",$M121="Rolada"),N($O121),0))*$H121*$I121*IF($U121="Débito",-1,1)-N($L121)-N($P121))</f>
        <v/>
      </c>
      <c r="AF121" s="14" t="str">
        <f aca="false">IF(OR($AE121="",$AD121=""),"",IF($AD121&lt;=0,"",$AE121/$AD121))</f>
        <v/>
      </c>
      <c r="AG121" s="14" t="str">
        <f aca="false">IF($AF121="","",$AF121*365/MAX(N($X121),1))</f>
        <v/>
      </c>
      <c r="AH121" s="14" t="str">
        <f aca="false">IF(OR($C121="",$U121&lt;&gt;"Crédito",$AD121=""),"",IF($AD121&lt;=0,"",($Z121-N($L121))/$AD121))</f>
        <v/>
      </c>
      <c r="AI121" s="14" t="str">
        <f aca="false">IF(OR($AH121="",$W121=""),"",$AH121*365/MAX($W121,1))</f>
        <v/>
      </c>
      <c r="AJ121" s="14" t="str">
        <f aca="false">IF(OR($AE121="",$U121&lt;&gt;"Crédito",N($K121)=0),"",(N($K121)-IF(OR($M121="Cerrada",$M121="Rolada"),N($O121),0))/$K121)</f>
        <v/>
      </c>
      <c r="AK121" s="15" t="str">
        <f aca="false">IF(OR($C121="",$N121=""),"",DATE(YEAR($N121),MONTH($N121),1))</f>
        <v/>
      </c>
      <c r="AL121" s="11" t="str">
        <f aca="false">IF($C121="","",IF($M121="Abierta",0,1))</f>
        <v/>
      </c>
      <c r="AM121" s="16" t="str">
        <f aca="false">IF(OR($AE121="",$AD121=""),"",$AD121*MAX(N($X121),1))</f>
        <v/>
      </c>
      <c r="AN121" s="10" t="str">
        <f aca="false">IF($C121="","",IF(OR($B121="",$D121="",$H121="",$K121="",$M121=""),"Faltan datos obligatorios",IF($T121="","Estrategia no reconocida",IF(AND($M121&lt;&gt;"Abierta",$N121=""),"Falta fecha cierre",IF(AND(OR($M121="Cerrada",$M121="Rolada"),$O121=""),"Falta prima cierre",IF(AND($N121&lt;&gt;"",$N121&lt;$B121),"Cierre anterior a apertura",IF(AND($M121="Asignada",$R121=""),"Asignada: falta ID lote acciones",IF(AND($R121&lt;&gt;"",ISNA(MATCH($R121,Acciones!$A$2:$A$201,0))),"El ID lote no existe en Acciones",IF($AD121="","Revisa capital en riesgo","OK")))))))))</f>
        <v/>
      </c>
    </row>
    <row r="122" customFormat="false" ht="15" hidden="false" customHeight="true" outlineLevel="0" collapsed="false">
      <c r="A122" s="5"/>
      <c r="B122" s="6"/>
      <c r="C122" s="7"/>
      <c r="D122" s="7"/>
      <c r="E122" s="8"/>
      <c r="F122" s="8"/>
      <c r="G122" s="6"/>
      <c r="H122" s="5"/>
      <c r="I122" s="5" t="n">
        <v>100</v>
      </c>
      <c r="J122" s="8"/>
      <c r="K122" s="8"/>
      <c r="L122" s="9"/>
      <c r="M122" s="7"/>
      <c r="N122" s="6"/>
      <c r="O122" s="8"/>
      <c r="P122" s="9"/>
      <c r="Q122" s="9"/>
      <c r="R122" s="7"/>
      <c r="S122" s="7"/>
      <c r="T122" s="10" t="str">
        <f aca="false">IF($C122="","",IFERROR(INDEX(Listas!$B$2:$B$20,MATCH($D122,Listas!$A$2:$A$20,0)),""))</f>
        <v/>
      </c>
      <c r="U122" s="10" t="str">
        <f aca="false">IF($C122="","",IFERROR(INDEX(Listas!$C$2:$C$20,MATCH($D122,Listas!$A$2:$A$20,0)),""))</f>
        <v/>
      </c>
      <c r="V122" s="10" t="str">
        <f aca="false">IF($C122="","",IFERROR(INDEX(Listas!$D$2:$D$20,MATCH($D122,Listas!$A$2:$A$20,0)),""))</f>
        <v/>
      </c>
      <c r="W122" s="11" t="str">
        <f aca="false">IF(OR($C122="",$B122="",$G122=""),"",$G122-$B122)</f>
        <v/>
      </c>
      <c r="X122" s="11" t="str">
        <f aca="true">IF(OR($C122="",$B122=""),"",IF($N122&lt;&gt;"",$N122,TODAY())-$B122)</f>
        <v/>
      </c>
      <c r="Y122" s="11" t="str">
        <f aca="true">IF(OR($C122="",$M122&lt;&gt;"Abierta",$G122=""),"",MAX($G122-TODAY(),0))</f>
        <v/>
      </c>
      <c r="Z122" s="12" t="str">
        <f aca="false">IF($C122="","",N($K122)*N($H122)*N($I122)*IF($U122="Débito",-1,1))</f>
        <v/>
      </c>
      <c r="AA122" s="13" t="str">
        <f aca="false">IF($C122="","",IF(AND($U122="Débito",$F122&lt;&gt;""),$F122,$E122))</f>
        <v/>
      </c>
      <c r="AB122" s="13" t="str">
        <f aca="false">IF(OR($C122="",$T122="Mixta",$AA122=""),"",IF($V122="Subyacente",IF($J122="","",$J122-$K122),IF($T122="Put",$AA122-$K122,$AA122+$K122)))</f>
        <v/>
      </c>
      <c r="AC122" s="14" t="str">
        <f aca="false">IF(OR($C122="",$T122="Mixta",$J122="",$AA122=""),"",IF($T122="Put",($J122-$AA122)/$J122,($AA122-$J122)/$J122))</f>
        <v/>
      </c>
      <c r="AD122" s="12" t="str">
        <f aca="false">IF($C122="","",IF($Q122&lt;&gt;"",$Q122,IF($V122="Strike",N($E122)*$H122*$I122,IF($V122="Subyacente",IF($J122="","",$J122*$H122*$I122),IF($V122="Ancho",IF($F122="","",ABS($E122-$F122)*$H122*$I122-$K122*$H122*$I122),IF($V122="Prima",$K122*$H122*$I122,""))))))</f>
        <v/>
      </c>
      <c r="AE122" s="12" t="str">
        <f aca="false">IF(OR($C122="",$M122="Abierta",$M122=""),"",(N($K122)-IF(OR($M122="Cerrada",$M122="Rolada"),N($O122),0))*$H122*$I122*IF($U122="Débito",-1,1)-N($L122)-N($P122))</f>
        <v/>
      </c>
      <c r="AF122" s="14" t="str">
        <f aca="false">IF(OR($AE122="",$AD122=""),"",IF($AD122&lt;=0,"",$AE122/$AD122))</f>
        <v/>
      </c>
      <c r="AG122" s="14" t="str">
        <f aca="false">IF($AF122="","",$AF122*365/MAX(N($X122),1))</f>
        <v/>
      </c>
      <c r="AH122" s="14" t="str">
        <f aca="false">IF(OR($C122="",$U122&lt;&gt;"Crédito",$AD122=""),"",IF($AD122&lt;=0,"",($Z122-N($L122))/$AD122))</f>
        <v/>
      </c>
      <c r="AI122" s="14" t="str">
        <f aca="false">IF(OR($AH122="",$W122=""),"",$AH122*365/MAX($W122,1))</f>
        <v/>
      </c>
      <c r="AJ122" s="14" t="str">
        <f aca="false">IF(OR($AE122="",$U122&lt;&gt;"Crédito",N($K122)=0),"",(N($K122)-IF(OR($M122="Cerrada",$M122="Rolada"),N($O122),0))/$K122)</f>
        <v/>
      </c>
      <c r="AK122" s="15" t="str">
        <f aca="false">IF(OR($C122="",$N122=""),"",DATE(YEAR($N122),MONTH($N122),1))</f>
        <v/>
      </c>
      <c r="AL122" s="11" t="str">
        <f aca="false">IF($C122="","",IF($M122="Abierta",0,1))</f>
        <v/>
      </c>
      <c r="AM122" s="16" t="str">
        <f aca="false">IF(OR($AE122="",$AD122=""),"",$AD122*MAX(N($X122),1))</f>
        <v/>
      </c>
      <c r="AN122" s="10" t="str">
        <f aca="false">IF($C122="","",IF(OR($B122="",$D122="",$H122="",$K122="",$M122=""),"Faltan datos obligatorios",IF($T122="","Estrategia no reconocida",IF(AND($M122&lt;&gt;"Abierta",$N122=""),"Falta fecha cierre",IF(AND(OR($M122="Cerrada",$M122="Rolada"),$O122=""),"Falta prima cierre",IF(AND($N122&lt;&gt;"",$N122&lt;$B122),"Cierre anterior a apertura",IF(AND($M122="Asignada",$R122=""),"Asignada: falta ID lote acciones",IF(AND($R122&lt;&gt;"",ISNA(MATCH($R122,Acciones!$A$2:$A$201,0))),"El ID lote no existe en Acciones",IF($AD122="","Revisa capital en riesgo","OK")))))))))</f>
        <v/>
      </c>
    </row>
    <row r="123" customFormat="false" ht="15" hidden="false" customHeight="true" outlineLevel="0" collapsed="false">
      <c r="A123" s="5"/>
      <c r="B123" s="6"/>
      <c r="C123" s="7"/>
      <c r="D123" s="7"/>
      <c r="E123" s="8"/>
      <c r="F123" s="8"/>
      <c r="G123" s="6"/>
      <c r="H123" s="5"/>
      <c r="I123" s="5" t="n">
        <v>100</v>
      </c>
      <c r="J123" s="8"/>
      <c r="K123" s="8"/>
      <c r="L123" s="9"/>
      <c r="M123" s="7"/>
      <c r="N123" s="6"/>
      <c r="O123" s="8"/>
      <c r="P123" s="9"/>
      <c r="Q123" s="9"/>
      <c r="R123" s="7"/>
      <c r="S123" s="7"/>
      <c r="T123" s="10" t="str">
        <f aca="false">IF($C123="","",IFERROR(INDEX(Listas!$B$2:$B$20,MATCH($D123,Listas!$A$2:$A$20,0)),""))</f>
        <v/>
      </c>
      <c r="U123" s="10" t="str">
        <f aca="false">IF($C123="","",IFERROR(INDEX(Listas!$C$2:$C$20,MATCH($D123,Listas!$A$2:$A$20,0)),""))</f>
        <v/>
      </c>
      <c r="V123" s="10" t="str">
        <f aca="false">IF($C123="","",IFERROR(INDEX(Listas!$D$2:$D$20,MATCH($D123,Listas!$A$2:$A$20,0)),""))</f>
        <v/>
      </c>
      <c r="W123" s="11" t="str">
        <f aca="false">IF(OR($C123="",$B123="",$G123=""),"",$G123-$B123)</f>
        <v/>
      </c>
      <c r="X123" s="11" t="str">
        <f aca="true">IF(OR($C123="",$B123=""),"",IF($N123&lt;&gt;"",$N123,TODAY())-$B123)</f>
        <v/>
      </c>
      <c r="Y123" s="11" t="str">
        <f aca="true">IF(OR($C123="",$M123&lt;&gt;"Abierta",$G123=""),"",MAX($G123-TODAY(),0))</f>
        <v/>
      </c>
      <c r="Z123" s="12" t="str">
        <f aca="false">IF($C123="","",N($K123)*N($H123)*N($I123)*IF($U123="Débito",-1,1))</f>
        <v/>
      </c>
      <c r="AA123" s="13" t="str">
        <f aca="false">IF($C123="","",IF(AND($U123="Débito",$F123&lt;&gt;""),$F123,$E123))</f>
        <v/>
      </c>
      <c r="AB123" s="13" t="str">
        <f aca="false">IF(OR($C123="",$T123="Mixta",$AA123=""),"",IF($V123="Subyacente",IF($J123="","",$J123-$K123),IF($T123="Put",$AA123-$K123,$AA123+$K123)))</f>
        <v/>
      </c>
      <c r="AC123" s="14" t="str">
        <f aca="false">IF(OR($C123="",$T123="Mixta",$J123="",$AA123=""),"",IF($T123="Put",($J123-$AA123)/$J123,($AA123-$J123)/$J123))</f>
        <v/>
      </c>
      <c r="AD123" s="12" t="str">
        <f aca="false">IF($C123="","",IF($Q123&lt;&gt;"",$Q123,IF($V123="Strike",N($E123)*$H123*$I123,IF($V123="Subyacente",IF($J123="","",$J123*$H123*$I123),IF($V123="Ancho",IF($F123="","",ABS($E123-$F123)*$H123*$I123-$K123*$H123*$I123),IF($V123="Prima",$K123*$H123*$I123,""))))))</f>
        <v/>
      </c>
      <c r="AE123" s="12" t="str">
        <f aca="false">IF(OR($C123="",$M123="Abierta",$M123=""),"",(N($K123)-IF(OR($M123="Cerrada",$M123="Rolada"),N($O123),0))*$H123*$I123*IF($U123="Débito",-1,1)-N($L123)-N($P123))</f>
        <v/>
      </c>
      <c r="AF123" s="14" t="str">
        <f aca="false">IF(OR($AE123="",$AD123=""),"",IF($AD123&lt;=0,"",$AE123/$AD123))</f>
        <v/>
      </c>
      <c r="AG123" s="14" t="str">
        <f aca="false">IF($AF123="","",$AF123*365/MAX(N($X123),1))</f>
        <v/>
      </c>
      <c r="AH123" s="14" t="str">
        <f aca="false">IF(OR($C123="",$U123&lt;&gt;"Crédito",$AD123=""),"",IF($AD123&lt;=0,"",($Z123-N($L123))/$AD123))</f>
        <v/>
      </c>
      <c r="AI123" s="14" t="str">
        <f aca="false">IF(OR($AH123="",$W123=""),"",$AH123*365/MAX($W123,1))</f>
        <v/>
      </c>
      <c r="AJ123" s="14" t="str">
        <f aca="false">IF(OR($AE123="",$U123&lt;&gt;"Crédito",N($K123)=0),"",(N($K123)-IF(OR($M123="Cerrada",$M123="Rolada"),N($O123),0))/$K123)</f>
        <v/>
      </c>
      <c r="AK123" s="15" t="str">
        <f aca="false">IF(OR($C123="",$N123=""),"",DATE(YEAR($N123),MONTH($N123),1))</f>
        <v/>
      </c>
      <c r="AL123" s="11" t="str">
        <f aca="false">IF($C123="","",IF($M123="Abierta",0,1))</f>
        <v/>
      </c>
      <c r="AM123" s="16" t="str">
        <f aca="false">IF(OR($AE123="",$AD123=""),"",$AD123*MAX(N($X123),1))</f>
        <v/>
      </c>
      <c r="AN123" s="10" t="str">
        <f aca="false">IF($C123="","",IF(OR($B123="",$D123="",$H123="",$K123="",$M123=""),"Faltan datos obligatorios",IF($T123="","Estrategia no reconocida",IF(AND($M123&lt;&gt;"Abierta",$N123=""),"Falta fecha cierre",IF(AND(OR($M123="Cerrada",$M123="Rolada"),$O123=""),"Falta prima cierre",IF(AND($N123&lt;&gt;"",$N123&lt;$B123),"Cierre anterior a apertura",IF(AND($M123="Asignada",$R123=""),"Asignada: falta ID lote acciones",IF(AND($R123&lt;&gt;"",ISNA(MATCH($R123,Acciones!$A$2:$A$201,0))),"El ID lote no existe en Acciones",IF($AD123="","Revisa capital en riesgo","OK")))))))))</f>
        <v/>
      </c>
    </row>
    <row r="124" customFormat="false" ht="15" hidden="false" customHeight="true" outlineLevel="0" collapsed="false">
      <c r="A124" s="5"/>
      <c r="B124" s="6"/>
      <c r="C124" s="7"/>
      <c r="D124" s="7"/>
      <c r="E124" s="8"/>
      <c r="F124" s="8"/>
      <c r="G124" s="6"/>
      <c r="H124" s="5"/>
      <c r="I124" s="5" t="n">
        <v>100</v>
      </c>
      <c r="J124" s="8"/>
      <c r="K124" s="8"/>
      <c r="L124" s="9"/>
      <c r="M124" s="7"/>
      <c r="N124" s="6"/>
      <c r="O124" s="8"/>
      <c r="P124" s="9"/>
      <c r="Q124" s="9"/>
      <c r="R124" s="7"/>
      <c r="S124" s="7"/>
      <c r="T124" s="10" t="str">
        <f aca="false">IF($C124="","",IFERROR(INDEX(Listas!$B$2:$B$20,MATCH($D124,Listas!$A$2:$A$20,0)),""))</f>
        <v/>
      </c>
      <c r="U124" s="10" t="str">
        <f aca="false">IF($C124="","",IFERROR(INDEX(Listas!$C$2:$C$20,MATCH($D124,Listas!$A$2:$A$20,0)),""))</f>
        <v/>
      </c>
      <c r="V124" s="10" t="str">
        <f aca="false">IF($C124="","",IFERROR(INDEX(Listas!$D$2:$D$20,MATCH($D124,Listas!$A$2:$A$20,0)),""))</f>
        <v/>
      </c>
      <c r="W124" s="11" t="str">
        <f aca="false">IF(OR($C124="",$B124="",$G124=""),"",$G124-$B124)</f>
        <v/>
      </c>
      <c r="X124" s="11" t="str">
        <f aca="true">IF(OR($C124="",$B124=""),"",IF($N124&lt;&gt;"",$N124,TODAY())-$B124)</f>
        <v/>
      </c>
      <c r="Y124" s="11" t="str">
        <f aca="true">IF(OR($C124="",$M124&lt;&gt;"Abierta",$G124=""),"",MAX($G124-TODAY(),0))</f>
        <v/>
      </c>
      <c r="Z124" s="12" t="str">
        <f aca="false">IF($C124="","",N($K124)*N($H124)*N($I124)*IF($U124="Débito",-1,1))</f>
        <v/>
      </c>
      <c r="AA124" s="13" t="str">
        <f aca="false">IF($C124="","",IF(AND($U124="Débito",$F124&lt;&gt;""),$F124,$E124))</f>
        <v/>
      </c>
      <c r="AB124" s="13" t="str">
        <f aca="false">IF(OR($C124="",$T124="Mixta",$AA124=""),"",IF($V124="Subyacente",IF($J124="","",$J124-$K124),IF($T124="Put",$AA124-$K124,$AA124+$K124)))</f>
        <v/>
      </c>
      <c r="AC124" s="14" t="str">
        <f aca="false">IF(OR($C124="",$T124="Mixta",$J124="",$AA124=""),"",IF($T124="Put",($J124-$AA124)/$J124,($AA124-$J124)/$J124))</f>
        <v/>
      </c>
      <c r="AD124" s="12" t="str">
        <f aca="false">IF($C124="","",IF($Q124&lt;&gt;"",$Q124,IF($V124="Strike",N($E124)*$H124*$I124,IF($V124="Subyacente",IF($J124="","",$J124*$H124*$I124),IF($V124="Ancho",IF($F124="","",ABS($E124-$F124)*$H124*$I124-$K124*$H124*$I124),IF($V124="Prima",$K124*$H124*$I124,""))))))</f>
        <v/>
      </c>
      <c r="AE124" s="12" t="str">
        <f aca="false">IF(OR($C124="",$M124="Abierta",$M124=""),"",(N($K124)-IF(OR($M124="Cerrada",$M124="Rolada"),N($O124),0))*$H124*$I124*IF($U124="Débito",-1,1)-N($L124)-N($P124))</f>
        <v/>
      </c>
      <c r="AF124" s="14" t="str">
        <f aca="false">IF(OR($AE124="",$AD124=""),"",IF($AD124&lt;=0,"",$AE124/$AD124))</f>
        <v/>
      </c>
      <c r="AG124" s="14" t="str">
        <f aca="false">IF($AF124="","",$AF124*365/MAX(N($X124),1))</f>
        <v/>
      </c>
      <c r="AH124" s="14" t="str">
        <f aca="false">IF(OR($C124="",$U124&lt;&gt;"Crédito",$AD124=""),"",IF($AD124&lt;=0,"",($Z124-N($L124))/$AD124))</f>
        <v/>
      </c>
      <c r="AI124" s="14" t="str">
        <f aca="false">IF(OR($AH124="",$W124=""),"",$AH124*365/MAX($W124,1))</f>
        <v/>
      </c>
      <c r="AJ124" s="14" t="str">
        <f aca="false">IF(OR($AE124="",$U124&lt;&gt;"Crédito",N($K124)=0),"",(N($K124)-IF(OR($M124="Cerrada",$M124="Rolada"),N($O124),0))/$K124)</f>
        <v/>
      </c>
      <c r="AK124" s="15" t="str">
        <f aca="false">IF(OR($C124="",$N124=""),"",DATE(YEAR($N124),MONTH($N124),1))</f>
        <v/>
      </c>
      <c r="AL124" s="11" t="str">
        <f aca="false">IF($C124="","",IF($M124="Abierta",0,1))</f>
        <v/>
      </c>
      <c r="AM124" s="16" t="str">
        <f aca="false">IF(OR($AE124="",$AD124=""),"",$AD124*MAX(N($X124),1))</f>
        <v/>
      </c>
      <c r="AN124" s="10" t="str">
        <f aca="false">IF($C124="","",IF(OR($B124="",$D124="",$H124="",$K124="",$M124=""),"Faltan datos obligatorios",IF($T124="","Estrategia no reconocida",IF(AND($M124&lt;&gt;"Abierta",$N124=""),"Falta fecha cierre",IF(AND(OR($M124="Cerrada",$M124="Rolada"),$O124=""),"Falta prima cierre",IF(AND($N124&lt;&gt;"",$N124&lt;$B124),"Cierre anterior a apertura",IF(AND($M124="Asignada",$R124=""),"Asignada: falta ID lote acciones",IF(AND($R124&lt;&gt;"",ISNA(MATCH($R124,Acciones!$A$2:$A$201,0))),"El ID lote no existe en Acciones",IF($AD124="","Revisa capital en riesgo","OK")))))))))</f>
        <v/>
      </c>
    </row>
    <row r="125" customFormat="false" ht="15" hidden="false" customHeight="true" outlineLevel="0" collapsed="false">
      <c r="A125" s="5"/>
      <c r="B125" s="6"/>
      <c r="C125" s="7"/>
      <c r="D125" s="7"/>
      <c r="E125" s="8"/>
      <c r="F125" s="8"/>
      <c r="G125" s="6"/>
      <c r="H125" s="5"/>
      <c r="I125" s="5" t="n">
        <v>100</v>
      </c>
      <c r="J125" s="8"/>
      <c r="K125" s="8"/>
      <c r="L125" s="9"/>
      <c r="M125" s="7"/>
      <c r="N125" s="6"/>
      <c r="O125" s="8"/>
      <c r="P125" s="9"/>
      <c r="Q125" s="9"/>
      <c r="R125" s="7"/>
      <c r="S125" s="7"/>
      <c r="T125" s="10" t="str">
        <f aca="false">IF($C125="","",IFERROR(INDEX(Listas!$B$2:$B$20,MATCH($D125,Listas!$A$2:$A$20,0)),""))</f>
        <v/>
      </c>
      <c r="U125" s="10" t="str">
        <f aca="false">IF($C125="","",IFERROR(INDEX(Listas!$C$2:$C$20,MATCH($D125,Listas!$A$2:$A$20,0)),""))</f>
        <v/>
      </c>
      <c r="V125" s="10" t="str">
        <f aca="false">IF($C125="","",IFERROR(INDEX(Listas!$D$2:$D$20,MATCH($D125,Listas!$A$2:$A$20,0)),""))</f>
        <v/>
      </c>
      <c r="W125" s="11" t="str">
        <f aca="false">IF(OR($C125="",$B125="",$G125=""),"",$G125-$B125)</f>
        <v/>
      </c>
      <c r="X125" s="11" t="str">
        <f aca="true">IF(OR($C125="",$B125=""),"",IF($N125&lt;&gt;"",$N125,TODAY())-$B125)</f>
        <v/>
      </c>
      <c r="Y125" s="11" t="str">
        <f aca="true">IF(OR($C125="",$M125&lt;&gt;"Abierta",$G125=""),"",MAX($G125-TODAY(),0))</f>
        <v/>
      </c>
      <c r="Z125" s="12" t="str">
        <f aca="false">IF($C125="","",N($K125)*N($H125)*N($I125)*IF($U125="Débito",-1,1))</f>
        <v/>
      </c>
      <c r="AA125" s="13" t="str">
        <f aca="false">IF($C125="","",IF(AND($U125="Débito",$F125&lt;&gt;""),$F125,$E125))</f>
        <v/>
      </c>
      <c r="AB125" s="13" t="str">
        <f aca="false">IF(OR($C125="",$T125="Mixta",$AA125=""),"",IF($V125="Subyacente",IF($J125="","",$J125-$K125),IF($T125="Put",$AA125-$K125,$AA125+$K125)))</f>
        <v/>
      </c>
      <c r="AC125" s="14" t="str">
        <f aca="false">IF(OR($C125="",$T125="Mixta",$J125="",$AA125=""),"",IF($T125="Put",($J125-$AA125)/$J125,($AA125-$J125)/$J125))</f>
        <v/>
      </c>
      <c r="AD125" s="12" t="str">
        <f aca="false">IF($C125="","",IF($Q125&lt;&gt;"",$Q125,IF($V125="Strike",N($E125)*$H125*$I125,IF($V125="Subyacente",IF($J125="","",$J125*$H125*$I125),IF($V125="Ancho",IF($F125="","",ABS($E125-$F125)*$H125*$I125-$K125*$H125*$I125),IF($V125="Prima",$K125*$H125*$I125,""))))))</f>
        <v/>
      </c>
      <c r="AE125" s="12" t="str">
        <f aca="false">IF(OR($C125="",$M125="Abierta",$M125=""),"",(N($K125)-IF(OR($M125="Cerrada",$M125="Rolada"),N($O125),0))*$H125*$I125*IF($U125="Débito",-1,1)-N($L125)-N($P125))</f>
        <v/>
      </c>
      <c r="AF125" s="14" t="str">
        <f aca="false">IF(OR($AE125="",$AD125=""),"",IF($AD125&lt;=0,"",$AE125/$AD125))</f>
        <v/>
      </c>
      <c r="AG125" s="14" t="str">
        <f aca="false">IF($AF125="","",$AF125*365/MAX(N($X125),1))</f>
        <v/>
      </c>
      <c r="AH125" s="14" t="str">
        <f aca="false">IF(OR($C125="",$U125&lt;&gt;"Crédito",$AD125=""),"",IF($AD125&lt;=0,"",($Z125-N($L125))/$AD125))</f>
        <v/>
      </c>
      <c r="AI125" s="14" t="str">
        <f aca="false">IF(OR($AH125="",$W125=""),"",$AH125*365/MAX($W125,1))</f>
        <v/>
      </c>
      <c r="AJ125" s="14" t="str">
        <f aca="false">IF(OR($AE125="",$U125&lt;&gt;"Crédito",N($K125)=0),"",(N($K125)-IF(OR($M125="Cerrada",$M125="Rolada"),N($O125),0))/$K125)</f>
        <v/>
      </c>
      <c r="AK125" s="15" t="str">
        <f aca="false">IF(OR($C125="",$N125=""),"",DATE(YEAR($N125),MONTH($N125),1))</f>
        <v/>
      </c>
      <c r="AL125" s="11" t="str">
        <f aca="false">IF($C125="","",IF($M125="Abierta",0,1))</f>
        <v/>
      </c>
      <c r="AM125" s="16" t="str">
        <f aca="false">IF(OR($AE125="",$AD125=""),"",$AD125*MAX(N($X125),1))</f>
        <v/>
      </c>
      <c r="AN125" s="10" t="str">
        <f aca="false">IF($C125="","",IF(OR($B125="",$D125="",$H125="",$K125="",$M125=""),"Faltan datos obligatorios",IF($T125="","Estrategia no reconocida",IF(AND($M125&lt;&gt;"Abierta",$N125=""),"Falta fecha cierre",IF(AND(OR($M125="Cerrada",$M125="Rolada"),$O125=""),"Falta prima cierre",IF(AND($N125&lt;&gt;"",$N125&lt;$B125),"Cierre anterior a apertura",IF(AND($M125="Asignada",$R125=""),"Asignada: falta ID lote acciones",IF(AND($R125&lt;&gt;"",ISNA(MATCH($R125,Acciones!$A$2:$A$201,0))),"El ID lote no existe en Acciones",IF($AD125="","Revisa capital en riesgo","OK")))))))))</f>
        <v/>
      </c>
    </row>
    <row r="126" customFormat="false" ht="15" hidden="false" customHeight="true" outlineLevel="0" collapsed="false">
      <c r="A126" s="5"/>
      <c r="B126" s="6"/>
      <c r="C126" s="7"/>
      <c r="D126" s="7"/>
      <c r="E126" s="8"/>
      <c r="F126" s="8"/>
      <c r="G126" s="6"/>
      <c r="H126" s="5"/>
      <c r="I126" s="5" t="n">
        <v>100</v>
      </c>
      <c r="J126" s="8"/>
      <c r="K126" s="8"/>
      <c r="L126" s="9"/>
      <c r="M126" s="7"/>
      <c r="N126" s="6"/>
      <c r="O126" s="8"/>
      <c r="P126" s="9"/>
      <c r="Q126" s="9"/>
      <c r="R126" s="7"/>
      <c r="S126" s="7"/>
      <c r="T126" s="10" t="str">
        <f aca="false">IF($C126="","",IFERROR(INDEX(Listas!$B$2:$B$20,MATCH($D126,Listas!$A$2:$A$20,0)),""))</f>
        <v/>
      </c>
      <c r="U126" s="10" t="str">
        <f aca="false">IF($C126="","",IFERROR(INDEX(Listas!$C$2:$C$20,MATCH($D126,Listas!$A$2:$A$20,0)),""))</f>
        <v/>
      </c>
      <c r="V126" s="10" t="str">
        <f aca="false">IF($C126="","",IFERROR(INDEX(Listas!$D$2:$D$20,MATCH($D126,Listas!$A$2:$A$20,0)),""))</f>
        <v/>
      </c>
      <c r="W126" s="11" t="str">
        <f aca="false">IF(OR($C126="",$B126="",$G126=""),"",$G126-$B126)</f>
        <v/>
      </c>
      <c r="X126" s="11" t="str">
        <f aca="true">IF(OR($C126="",$B126=""),"",IF($N126&lt;&gt;"",$N126,TODAY())-$B126)</f>
        <v/>
      </c>
      <c r="Y126" s="11" t="str">
        <f aca="true">IF(OR($C126="",$M126&lt;&gt;"Abierta",$G126=""),"",MAX($G126-TODAY(),0))</f>
        <v/>
      </c>
      <c r="Z126" s="12" t="str">
        <f aca="false">IF($C126="","",N($K126)*N($H126)*N($I126)*IF($U126="Débito",-1,1))</f>
        <v/>
      </c>
      <c r="AA126" s="13" t="str">
        <f aca="false">IF($C126="","",IF(AND($U126="Débito",$F126&lt;&gt;""),$F126,$E126))</f>
        <v/>
      </c>
      <c r="AB126" s="13" t="str">
        <f aca="false">IF(OR($C126="",$T126="Mixta",$AA126=""),"",IF($V126="Subyacente",IF($J126="","",$J126-$K126),IF($T126="Put",$AA126-$K126,$AA126+$K126)))</f>
        <v/>
      </c>
      <c r="AC126" s="14" t="str">
        <f aca="false">IF(OR($C126="",$T126="Mixta",$J126="",$AA126=""),"",IF($T126="Put",($J126-$AA126)/$J126,($AA126-$J126)/$J126))</f>
        <v/>
      </c>
      <c r="AD126" s="12" t="str">
        <f aca="false">IF($C126="","",IF($Q126&lt;&gt;"",$Q126,IF($V126="Strike",N($E126)*$H126*$I126,IF($V126="Subyacente",IF($J126="","",$J126*$H126*$I126),IF($V126="Ancho",IF($F126="","",ABS($E126-$F126)*$H126*$I126-$K126*$H126*$I126),IF($V126="Prima",$K126*$H126*$I126,""))))))</f>
        <v/>
      </c>
      <c r="AE126" s="12" t="str">
        <f aca="false">IF(OR($C126="",$M126="Abierta",$M126=""),"",(N($K126)-IF(OR($M126="Cerrada",$M126="Rolada"),N($O126),0))*$H126*$I126*IF($U126="Débito",-1,1)-N($L126)-N($P126))</f>
        <v/>
      </c>
      <c r="AF126" s="14" t="str">
        <f aca="false">IF(OR($AE126="",$AD126=""),"",IF($AD126&lt;=0,"",$AE126/$AD126))</f>
        <v/>
      </c>
      <c r="AG126" s="14" t="str">
        <f aca="false">IF($AF126="","",$AF126*365/MAX(N($X126),1))</f>
        <v/>
      </c>
      <c r="AH126" s="14" t="str">
        <f aca="false">IF(OR($C126="",$U126&lt;&gt;"Crédito",$AD126=""),"",IF($AD126&lt;=0,"",($Z126-N($L126))/$AD126))</f>
        <v/>
      </c>
      <c r="AI126" s="14" t="str">
        <f aca="false">IF(OR($AH126="",$W126=""),"",$AH126*365/MAX($W126,1))</f>
        <v/>
      </c>
      <c r="AJ126" s="14" t="str">
        <f aca="false">IF(OR($AE126="",$U126&lt;&gt;"Crédito",N($K126)=0),"",(N($K126)-IF(OR($M126="Cerrada",$M126="Rolada"),N($O126),0))/$K126)</f>
        <v/>
      </c>
      <c r="AK126" s="15" t="str">
        <f aca="false">IF(OR($C126="",$N126=""),"",DATE(YEAR($N126),MONTH($N126),1))</f>
        <v/>
      </c>
      <c r="AL126" s="11" t="str">
        <f aca="false">IF($C126="","",IF($M126="Abierta",0,1))</f>
        <v/>
      </c>
      <c r="AM126" s="16" t="str">
        <f aca="false">IF(OR($AE126="",$AD126=""),"",$AD126*MAX(N($X126),1))</f>
        <v/>
      </c>
      <c r="AN126" s="10" t="str">
        <f aca="false">IF($C126="","",IF(OR($B126="",$D126="",$H126="",$K126="",$M126=""),"Faltan datos obligatorios",IF($T126="","Estrategia no reconocida",IF(AND($M126&lt;&gt;"Abierta",$N126=""),"Falta fecha cierre",IF(AND(OR($M126="Cerrada",$M126="Rolada"),$O126=""),"Falta prima cierre",IF(AND($N126&lt;&gt;"",$N126&lt;$B126),"Cierre anterior a apertura",IF(AND($M126="Asignada",$R126=""),"Asignada: falta ID lote acciones",IF(AND($R126&lt;&gt;"",ISNA(MATCH($R126,Acciones!$A$2:$A$201,0))),"El ID lote no existe en Acciones",IF($AD126="","Revisa capital en riesgo","OK")))))))))</f>
        <v/>
      </c>
    </row>
    <row r="127" customFormat="false" ht="15" hidden="false" customHeight="true" outlineLevel="0" collapsed="false">
      <c r="A127" s="5"/>
      <c r="B127" s="6"/>
      <c r="C127" s="7"/>
      <c r="D127" s="7"/>
      <c r="E127" s="8"/>
      <c r="F127" s="8"/>
      <c r="G127" s="6"/>
      <c r="H127" s="5"/>
      <c r="I127" s="5" t="n">
        <v>100</v>
      </c>
      <c r="J127" s="8"/>
      <c r="K127" s="8"/>
      <c r="L127" s="9"/>
      <c r="M127" s="7"/>
      <c r="N127" s="6"/>
      <c r="O127" s="8"/>
      <c r="P127" s="9"/>
      <c r="Q127" s="9"/>
      <c r="R127" s="7"/>
      <c r="S127" s="7"/>
      <c r="T127" s="10" t="str">
        <f aca="false">IF($C127="","",IFERROR(INDEX(Listas!$B$2:$B$20,MATCH($D127,Listas!$A$2:$A$20,0)),""))</f>
        <v/>
      </c>
      <c r="U127" s="10" t="str">
        <f aca="false">IF($C127="","",IFERROR(INDEX(Listas!$C$2:$C$20,MATCH($D127,Listas!$A$2:$A$20,0)),""))</f>
        <v/>
      </c>
      <c r="V127" s="10" t="str">
        <f aca="false">IF($C127="","",IFERROR(INDEX(Listas!$D$2:$D$20,MATCH($D127,Listas!$A$2:$A$20,0)),""))</f>
        <v/>
      </c>
      <c r="W127" s="11" t="str">
        <f aca="false">IF(OR($C127="",$B127="",$G127=""),"",$G127-$B127)</f>
        <v/>
      </c>
      <c r="X127" s="11" t="str">
        <f aca="true">IF(OR($C127="",$B127=""),"",IF($N127&lt;&gt;"",$N127,TODAY())-$B127)</f>
        <v/>
      </c>
      <c r="Y127" s="11" t="str">
        <f aca="true">IF(OR($C127="",$M127&lt;&gt;"Abierta",$G127=""),"",MAX($G127-TODAY(),0))</f>
        <v/>
      </c>
      <c r="Z127" s="12" t="str">
        <f aca="false">IF($C127="","",N($K127)*N($H127)*N($I127)*IF($U127="Débito",-1,1))</f>
        <v/>
      </c>
      <c r="AA127" s="13" t="str">
        <f aca="false">IF($C127="","",IF(AND($U127="Débito",$F127&lt;&gt;""),$F127,$E127))</f>
        <v/>
      </c>
      <c r="AB127" s="13" t="str">
        <f aca="false">IF(OR($C127="",$T127="Mixta",$AA127=""),"",IF($V127="Subyacente",IF($J127="","",$J127-$K127),IF($T127="Put",$AA127-$K127,$AA127+$K127)))</f>
        <v/>
      </c>
      <c r="AC127" s="14" t="str">
        <f aca="false">IF(OR($C127="",$T127="Mixta",$J127="",$AA127=""),"",IF($T127="Put",($J127-$AA127)/$J127,($AA127-$J127)/$J127))</f>
        <v/>
      </c>
      <c r="AD127" s="12" t="str">
        <f aca="false">IF($C127="","",IF($Q127&lt;&gt;"",$Q127,IF($V127="Strike",N($E127)*$H127*$I127,IF($V127="Subyacente",IF($J127="","",$J127*$H127*$I127),IF($V127="Ancho",IF($F127="","",ABS($E127-$F127)*$H127*$I127-$K127*$H127*$I127),IF($V127="Prima",$K127*$H127*$I127,""))))))</f>
        <v/>
      </c>
      <c r="AE127" s="12" t="str">
        <f aca="false">IF(OR($C127="",$M127="Abierta",$M127=""),"",(N($K127)-IF(OR($M127="Cerrada",$M127="Rolada"),N($O127),0))*$H127*$I127*IF($U127="Débito",-1,1)-N($L127)-N($P127))</f>
        <v/>
      </c>
      <c r="AF127" s="14" t="str">
        <f aca="false">IF(OR($AE127="",$AD127=""),"",IF($AD127&lt;=0,"",$AE127/$AD127))</f>
        <v/>
      </c>
      <c r="AG127" s="14" t="str">
        <f aca="false">IF($AF127="","",$AF127*365/MAX(N($X127),1))</f>
        <v/>
      </c>
      <c r="AH127" s="14" t="str">
        <f aca="false">IF(OR($C127="",$U127&lt;&gt;"Crédito",$AD127=""),"",IF($AD127&lt;=0,"",($Z127-N($L127))/$AD127))</f>
        <v/>
      </c>
      <c r="AI127" s="14" t="str">
        <f aca="false">IF(OR($AH127="",$W127=""),"",$AH127*365/MAX($W127,1))</f>
        <v/>
      </c>
      <c r="AJ127" s="14" t="str">
        <f aca="false">IF(OR($AE127="",$U127&lt;&gt;"Crédito",N($K127)=0),"",(N($K127)-IF(OR($M127="Cerrada",$M127="Rolada"),N($O127),0))/$K127)</f>
        <v/>
      </c>
      <c r="AK127" s="15" t="str">
        <f aca="false">IF(OR($C127="",$N127=""),"",DATE(YEAR($N127),MONTH($N127),1))</f>
        <v/>
      </c>
      <c r="AL127" s="11" t="str">
        <f aca="false">IF($C127="","",IF($M127="Abierta",0,1))</f>
        <v/>
      </c>
      <c r="AM127" s="16" t="str">
        <f aca="false">IF(OR($AE127="",$AD127=""),"",$AD127*MAX(N($X127),1))</f>
        <v/>
      </c>
      <c r="AN127" s="10" t="str">
        <f aca="false">IF($C127="","",IF(OR($B127="",$D127="",$H127="",$K127="",$M127=""),"Faltan datos obligatorios",IF($T127="","Estrategia no reconocida",IF(AND($M127&lt;&gt;"Abierta",$N127=""),"Falta fecha cierre",IF(AND(OR($M127="Cerrada",$M127="Rolada"),$O127=""),"Falta prima cierre",IF(AND($N127&lt;&gt;"",$N127&lt;$B127),"Cierre anterior a apertura",IF(AND($M127="Asignada",$R127=""),"Asignada: falta ID lote acciones",IF(AND($R127&lt;&gt;"",ISNA(MATCH($R127,Acciones!$A$2:$A$201,0))),"El ID lote no existe en Acciones",IF($AD127="","Revisa capital en riesgo","OK")))))))))</f>
        <v/>
      </c>
    </row>
    <row r="128" customFormat="false" ht="15" hidden="false" customHeight="true" outlineLevel="0" collapsed="false">
      <c r="A128" s="5"/>
      <c r="B128" s="6"/>
      <c r="C128" s="7"/>
      <c r="D128" s="7"/>
      <c r="E128" s="8"/>
      <c r="F128" s="8"/>
      <c r="G128" s="6"/>
      <c r="H128" s="5"/>
      <c r="I128" s="5" t="n">
        <v>100</v>
      </c>
      <c r="J128" s="8"/>
      <c r="K128" s="8"/>
      <c r="L128" s="9"/>
      <c r="M128" s="7"/>
      <c r="N128" s="6"/>
      <c r="O128" s="8"/>
      <c r="P128" s="9"/>
      <c r="Q128" s="9"/>
      <c r="R128" s="7"/>
      <c r="S128" s="7"/>
      <c r="T128" s="10" t="str">
        <f aca="false">IF($C128="","",IFERROR(INDEX(Listas!$B$2:$B$20,MATCH($D128,Listas!$A$2:$A$20,0)),""))</f>
        <v/>
      </c>
      <c r="U128" s="10" t="str">
        <f aca="false">IF($C128="","",IFERROR(INDEX(Listas!$C$2:$C$20,MATCH($D128,Listas!$A$2:$A$20,0)),""))</f>
        <v/>
      </c>
      <c r="V128" s="10" t="str">
        <f aca="false">IF($C128="","",IFERROR(INDEX(Listas!$D$2:$D$20,MATCH($D128,Listas!$A$2:$A$20,0)),""))</f>
        <v/>
      </c>
      <c r="W128" s="11" t="str">
        <f aca="false">IF(OR($C128="",$B128="",$G128=""),"",$G128-$B128)</f>
        <v/>
      </c>
      <c r="X128" s="11" t="str">
        <f aca="true">IF(OR($C128="",$B128=""),"",IF($N128&lt;&gt;"",$N128,TODAY())-$B128)</f>
        <v/>
      </c>
      <c r="Y128" s="11" t="str">
        <f aca="true">IF(OR($C128="",$M128&lt;&gt;"Abierta",$G128=""),"",MAX($G128-TODAY(),0))</f>
        <v/>
      </c>
      <c r="Z128" s="12" t="str">
        <f aca="false">IF($C128="","",N($K128)*N($H128)*N($I128)*IF($U128="Débito",-1,1))</f>
        <v/>
      </c>
      <c r="AA128" s="13" t="str">
        <f aca="false">IF($C128="","",IF(AND($U128="Débito",$F128&lt;&gt;""),$F128,$E128))</f>
        <v/>
      </c>
      <c r="AB128" s="13" t="str">
        <f aca="false">IF(OR($C128="",$T128="Mixta",$AA128=""),"",IF($V128="Subyacente",IF($J128="","",$J128-$K128),IF($T128="Put",$AA128-$K128,$AA128+$K128)))</f>
        <v/>
      </c>
      <c r="AC128" s="14" t="str">
        <f aca="false">IF(OR($C128="",$T128="Mixta",$J128="",$AA128=""),"",IF($T128="Put",($J128-$AA128)/$J128,($AA128-$J128)/$J128))</f>
        <v/>
      </c>
      <c r="AD128" s="12" t="str">
        <f aca="false">IF($C128="","",IF($Q128&lt;&gt;"",$Q128,IF($V128="Strike",N($E128)*$H128*$I128,IF($V128="Subyacente",IF($J128="","",$J128*$H128*$I128),IF($V128="Ancho",IF($F128="","",ABS($E128-$F128)*$H128*$I128-$K128*$H128*$I128),IF($V128="Prima",$K128*$H128*$I128,""))))))</f>
        <v/>
      </c>
      <c r="AE128" s="12" t="str">
        <f aca="false">IF(OR($C128="",$M128="Abierta",$M128=""),"",(N($K128)-IF(OR($M128="Cerrada",$M128="Rolada"),N($O128),0))*$H128*$I128*IF($U128="Débito",-1,1)-N($L128)-N($P128))</f>
        <v/>
      </c>
      <c r="AF128" s="14" t="str">
        <f aca="false">IF(OR($AE128="",$AD128=""),"",IF($AD128&lt;=0,"",$AE128/$AD128))</f>
        <v/>
      </c>
      <c r="AG128" s="14" t="str">
        <f aca="false">IF($AF128="","",$AF128*365/MAX(N($X128),1))</f>
        <v/>
      </c>
      <c r="AH128" s="14" t="str">
        <f aca="false">IF(OR($C128="",$U128&lt;&gt;"Crédito",$AD128=""),"",IF($AD128&lt;=0,"",($Z128-N($L128))/$AD128))</f>
        <v/>
      </c>
      <c r="AI128" s="14" t="str">
        <f aca="false">IF(OR($AH128="",$W128=""),"",$AH128*365/MAX($W128,1))</f>
        <v/>
      </c>
      <c r="AJ128" s="14" t="str">
        <f aca="false">IF(OR($AE128="",$U128&lt;&gt;"Crédito",N($K128)=0),"",(N($K128)-IF(OR($M128="Cerrada",$M128="Rolada"),N($O128),0))/$K128)</f>
        <v/>
      </c>
      <c r="AK128" s="15" t="str">
        <f aca="false">IF(OR($C128="",$N128=""),"",DATE(YEAR($N128),MONTH($N128),1))</f>
        <v/>
      </c>
      <c r="AL128" s="11" t="str">
        <f aca="false">IF($C128="","",IF($M128="Abierta",0,1))</f>
        <v/>
      </c>
      <c r="AM128" s="16" t="str">
        <f aca="false">IF(OR($AE128="",$AD128=""),"",$AD128*MAX(N($X128),1))</f>
        <v/>
      </c>
      <c r="AN128" s="10" t="str">
        <f aca="false">IF($C128="","",IF(OR($B128="",$D128="",$H128="",$K128="",$M128=""),"Faltan datos obligatorios",IF($T128="","Estrategia no reconocida",IF(AND($M128&lt;&gt;"Abierta",$N128=""),"Falta fecha cierre",IF(AND(OR($M128="Cerrada",$M128="Rolada"),$O128=""),"Falta prima cierre",IF(AND($N128&lt;&gt;"",$N128&lt;$B128),"Cierre anterior a apertura",IF(AND($M128="Asignada",$R128=""),"Asignada: falta ID lote acciones",IF(AND($R128&lt;&gt;"",ISNA(MATCH($R128,Acciones!$A$2:$A$201,0))),"El ID lote no existe en Acciones",IF($AD128="","Revisa capital en riesgo","OK")))))))))</f>
        <v/>
      </c>
    </row>
    <row r="129" customFormat="false" ht="15" hidden="false" customHeight="true" outlineLevel="0" collapsed="false">
      <c r="A129" s="5"/>
      <c r="B129" s="6"/>
      <c r="C129" s="7"/>
      <c r="D129" s="7"/>
      <c r="E129" s="8"/>
      <c r="F129" s="8"/>
      <c r="G129" s="6"/>
      <c r="H129" s="5"/>
      <c r="I129" s="5" t="n">
        <v>100</v>
      </c>
      <c r="J129" s="8"/>
      <c r="K129" s="8"/>
      <c r="L129" s="9"/>
      <c r="M129" s="7"/>
      <c r="N129" s="6"/>
      <c r="O129" s="8"/>
      <c r="P129" s="9"/>
      <c r="Q129" s="9"/>
      <c r="R129" s="7"/>
      <c r="S129" s="7"/>
      <c r="T129" s="10" t="str">
        <f aca="false">IF($C129="","",IFERROR(INDEX(Listas!$B$2:$B$20,MATCH($D129,Listas!$A$2:$A$20,0)),""))</f>
        <v/>
      </c>
      <c r="U129" s="10" t="str">
        <f aca="false">IF($C129="","",IFERROR(INDEX(Listas!$C$2:$C$20,MATCH($D129,Listas!$A$2:$A$20,0)),""))</f>
        <v/>
      </c>
      <c r="V129" s="10" t="str">
        <f aca="false">IF($C129="","",IFERROR(INDEX(Listas!$D$2:$D$20,MATCH($D129,Listas!$A$2:$A$20,0)),""))</f>
        <v/>
      </c>
      <c r="W129" s="11" t="str">
        <f aca="false">IF(OR($C129="",$B129="",$G129=""),"",$G129-$B129)</f>
        <v/>
      </c>
      <c r="X129" s="11" t="str">
        <f aca="true">IF(OR($C129="",$B129=""),"",IF($N129&lt;&gt;"",$N129,TODAY())-$B129)</f>
        <v/>
      </c>
      <c r="Y129" s="11" t="str">
        <f aca="true">IF(OR($C129="",$M129&lt;&gt;"Abierta",$G129=""),"",MAX($G129-TODAY(),0))</f>
        <v/>
      </c>
      <c r="Z129" s="12" t="str">
        <f aca="false">IF($C129="","",N($K129)*N($H129)*N($I129)*IF($U129="Débito",-1,1))</f>
        <v/>
      </c>
      <c r="AA129" s="13" t="str">
        <f aca="false">IF($C129="","",IF(AND($U129="Débito",$F129&lt;&gt;""),$F129,$E129))</f>
        <v/>
      </c>
      <c r="AB129" s="13" t="str">
        <f aca="false">IF(OR($C129="",$T129="Mixta",$AA129=""),"",IF($V129="Subyacente",IF($J129="","",$J129-$K129),IF($T129="Put",$AA129-$K129,$AA129+$K129)))</f>
        <v/>
      </c>
      <c r="AC129" s="14" t="str">
        <f aca="false">IF(OR($C129="",$T129="Mixta",$J129="",$AA129=""),"",IF($T129="Put",($J129-$AA129)/$J129,($AA129-$J129)/$J129))</f>
        <v/>
      </c>
      <c r="AD129" s="12" t="str">
        <f aca="false">IF($C129="","",IF($Q129&lt;&gt;"",$Q129,IF($V129="Strike",N($E129)*$H129*$I129,IF($V129="Subyacente",IF($J129="","",$J129*$H129*$I129),IF($V129="Ancho",IF($F129="","",ABS($E129-$F129)*$H129*$I129-$K129*$H129*$I129),IF($V129="Prima",$K129*$H129*$I129,""))))))</f>
        <v/>
      </c>
      <c r="AE129" s="12" t="str">
        <f aca="false">IF(OR($C129="",$M129="Abierta",$M129=""),"",(N($K129)-IF(OR($M129="Cerrada",$M129="Rolada"),N($O129),0))*$H129*$I129*IF($U129="Débito",-1,1)-N($L129)-N($P129))</f>
        <v/>
      </c>
      <c r="AF129" s="14" t="str">
        <f aca="false">IF(OR($AE129="",$AD129=""),"",IF($AD129&lt;=0,"",$AE129/$AD129))</f>
        <v/>
      </c>
      <c r="AG129" s="14" t="str">
        <f aca="false">IF($AF129="","",$AF129*365/MAX(N($X129),1))</f>
        <v/>
      </c>
      <c r="AH129" s="14" t="str">
        <f aca="false">IF(OR($C129="",$U129&lt;&gt;"Crédito",$AD129=""),"",IF($AD129&lt;=0,"",($Z129-N($L129))/$AD129))</f>
        <v/>
      </c>
      <c r="AI129" s="14" t="str">
        <f aca="false">IF(OR($AH129="",$W129=""),"",$AH129*365/MAX($W129,1))</f>
        <v/>
      </c>
      <c r="AJ129" s="14" t="str">
        <f aca="false">IF(OR($AE129="",$U129&lt;&gt;"Crédito",N($K129)=0),"",(N($K129)-IF(OR($M129="Cerrada",$M129="Rolada"),N($O129),0))/$K129)</f>
        <v/>
      </c>
      <c r="AK129" s="15" t="str">
        <f aca="false">IF(OR($C129="",$N129=""),"",DATE(YEAR($N129),MONTH($N129),1))</f>
        <v/>
      </c>
      <c r="AL129" s="11" t="str">
        <f aca="false">IF($C129="","",IF($M129="Abierta",0,1))</f>
        <v/>
      </c>
      <c r="AM129" s="16" t="str">
        <f aca="false">IF(OR($AE129="",$AD129=""),"",$AD129*MAX(N($X129),1))</f>
        <v/>
      </c>
      <c r="AN129" s="10" t="str">
        <f aca="false">IF($C129="","",IF(OR($B129="",$D129="",$H129="",$K129="",$M129=""),"Faltan datos obligatorios",IF($T129="","Estrategia no reconocida",IF(AND($M129&lt;&gt;"Abierta",$N129=""),"Falta fecha cierre",IF(AND(OR($M129="Cerrada",$M129="Rolada"),$O129=""),"Falta prima cierre",IF(AND($N129&lt;&gt;"",$N129&lt;$B129),"Cierre anterior a apertura",IF(AND($M129="Asignada",$R129=""),"Asignada: falta ID lote acciones",IF(AND($R129&lt;&gt;"",ISNA(MATCH($R129,Acciones!$A$2:$A$201,0))),"El ID lote no existe en Acciones",IF($AD129="","Revisa capital en riesgo","OK")))))))))</f>
        <v/>
      </c>
    </row>
    <row r="130" customFormat="false" ht="15" hidden="false" customHeight="true" outlineLevel="0" collapsed="false">
      <c r="A130" s="5"/>
      <c r="B130" s="6"/>
      <c r="C130" s="7"/>
      <c r="D130" s="7"/>
      <c r="E130" s="8"/>
      <c r="F130" s="8"/>
      <c r="G130" s="6"/>
      <c r="H130" s="5"/>
      <c r="I130" s="5" t="n">
        <v>100</v>
      </c>
      <c r="J130" s="8"/>
      <c r="K130" s="8"/>
      <c r="L130" s="9"/>
      <c r="M130" s="7"/>
      <c r="N130" s="6"/>
      <c r="O130" s="8"/>
      <c r="P130" s="9"/>
      <c r="Q130" s="9"/>
      <c r="R130" s="7"/>
      <c r="S130" s="7"/>
      <c r="T130" s="10" t="str">
        <f aca="false">IF($C130="","",IFERROR(INDEX(Listas!$B$2:$B$20,MATCH($D130,Listas!$A$2:$A$20,0)),""))</f>
        <v/>
      </c>
      <c r="U130" s="10" t="str">
        <f aca="false">IF($C130="","",IFERROR(INDEX(Listas!$C$2:$C$20,MATCH($D130,Listas!$A$2:$A$20,0)),""))</f>
        <v/>
      </c>
      <c r="V130" s="10" t="str">
        <f aca="false">IF($C130="","",IFERROR(INDEX(Listas!$D$2:$D$20,MATCH($D130,Listas!$A$2:$A$20,0)),""))</f>
        <v/>
      </c>
      <c r="W130" s="11" t="str">
        <f aca="false">IF(OR($C130="",$B130="",$G130=""),"",$G130-$B130)</f>
        <v/>
      </c>
      <c r="X130" s="11" t="str">
        <f aca="true">IF(OR($C130="",$B130=""),"",IF($N130&lt;&gt;"",$N130,TODAY())-$B130)</f>
        <v/>
      </c>
      <c r="Y130" s="11" t="str">
        <f aca="true">IF(OR($C130="",$M130&lt;&gt;"Abierta",$G130=""),"",MAX($G130-TODAY(),0))</f>
        <v/>
      </c>
      <c r="Z130" s="12" t="str">
        <f aca="false">IF($C130="","",N($K130)*N($H130)*N($I130)*IF($U130="Débito",-1,1))</f>
        <v/>
      </c>
      <c r="AA130" s="13" t="str">
        <f aca="false">IF($C130="","",IF(AND($U130="Débito",$F130&lt;&gt;""),$F130,$E130))</f>
        <v/>
      </c>
      <c r="AB130" s="13" t="str">
        <f aca="false">IF(OR($C130="",$T130="Mixta",$AA130=""),"",IF($V130="Subyacente",IF($J130="","",$J130-$K130),IF($T130="Put",$AA130-$K130,$AA130+$K130)))</f>
        <v/>
      </c>
      <c r="AC130" s="14" t="str">
        <f aca="false">IF(OR($C130="",$T130="Mixta",$J130="",$AA130=""),"",IF($T130="Put",($J130-$AA130)/$J130,($AA130-$J130)/$J130))</f>
        <v/>
      </c>
      <c r="AD130" s="12" t="str">
        <f aca="false">IF($C130="","",IF($Q130&lt;&gt;"",$Q130,IF($V130="Strike",N($E130)*$H130*$I130,IF($V130="Subyacente",IF($J130="","",$J130*$H130*$I130),IF($V130="Ancho",IF($F130="","",ABS($E130-$F130)*$H130*$I130-$K130*$H130*$I130),IF($V130="Prima",$K130*$H130*$I130,""))))))</f>
        <v/>
      </c>
      <c r="AE130" s="12" t="str">
        <f aca="false">IF(OR($C130="",$M130="Abierta",$M130=""),"",(N($K130)-IF(OR($M130="Cerrada",$M130="Rolada"),N($O130),0))*$H130*$I130*IF($U130="Débito",-1,1)-N($L130)-N($P130))</f>
        <v/>
      </c>
      <c r="AF130" s="14" t="str">
        <f aca="false">IF(OR($AE130="",$AD130=""),"",IF($AD130&lt;=0,"",$AE130/$AD130))</f>
        <v/>
      </c>
      <c r="AG130" s="14" t="str">
        <f aca="false">IF($AF130="","",$AF130*365/MAX(N($X130),1))</f>
        <v/>
      </c>
      <c r="AH130" s="14" t="str">
        <f aca="false">IF(OR($C130="",$U130&lt;&gt;"Crédito",$AD130=""),"",IF($AD130&lt;=0,"",($Z130-N($L130))/$AD130))</f>
        <v/>
      </c>
      <c r="AI130" s="14" t="str">
        <f aca="false">IF(OR($AH130="",$W130=""),"",$AH130*365/MAX($W130,1))</f>
        <v/>
      </c>
      <c r="AJ130" s="14" t="str">
        <f aca="false">IF(OR($AE130="",$U130&lt;&gt;"Crédito",N($K130)=0),"",(N($K130)-IF(OR($M130="Cerrada",$M130="Rolada"),N($O130),0))/$K130)</f>
        <v/>
      </c>
      <c r="AK130" s="15" t="str">
        <f aca="false">IF(OR($C130="",$N130=""),"",DATE(YEAR($N130),MONTH($N130),1))</f>
        <v/>
      </c>
      <c r="AL130" s="11" t="str">
        <f aca="false">IF($C130="","",IF($M130="Abierta",0,1))</f>
        <v/>
      </c>
      <c r="AM130" s="16" t="str">
        <f aca="false">IF(OR($AE130="",$AD130=""),"",$AD130*MAX(N($X130),1))</f>
        <v/>
      </c>
      <c r="AN130" s="10" t="str">
        <f aca="false">IF($C130="","",IF(OR($B130="",$D130="",$H130="",$K130="",$M130=""),"Faltan datos obligatorios",IF($T130="","Estrategia no reconocida",IF(AND($M130&lt;&gt;"Abierta",$N130=""),"Falta fecha cierre",IF(AND(OR($M130="Cerrada",$M130="Rolada"),$O130=""),"Falta prima cierre",IF(AND($N130&lt;&gt;"",$N130&lt;$B130),"Cierre anterior a apertura",IF(AND($M130="Asignada",$R130=""),"Asignada: falta ID lote acciones",IF(AND($R130&lt;&gt;"",ISNA(MATCH($R130,Acciones!$A$2:$A$201,0))),"El ID lote no existe en Acciones",IF($AD130="","Revisa capital en riesgo","OK")))))))))</f>
        <v/>
      </c>
    </row>
    <row r="131" customFormat="false" ht="15" hidden="false" customHeight="true" outlineLevel="0" collapsed="false">
      <c r="A131" s="5"/>
      <c r="B131" s="6"/>
      <c r="C131" s="7"/>
      <c r="D131" s="7"/>
      <c r="E131" s="8"/>
      <c r="F131" s="8"/>
      <c r="G131" s="6"/>
      <c r="H131" s="5"/>
      <c r="I131" s="5" t="n">
        <v>100</v>
      </c>
      <c r="J131" s="8"/>
      <c r="K131" s="8"/>
      <c r="L131" s="9"/>
      <c r="M131" s="7"/>
      <c r="N131" s="6"/>
      <c r="O131" s="8"/>
      <c r="P131" s="9"/>
      <c r="Q131" s="9"/>
      <c r="R131" s="7"/>
      <c r="S131" s="7"/>
      <c r="T131" s="10" t="str">
        <f aca="false">IF($C131="","",IFERROR(INDEX(Listas!$B$2:$B$20,MATCH($D131,Listas!$A$2:$A$20,0)),""))</f>
        <v/>
      </c>
      <c r="U131" s="10" t="str">
        <f aca="false">IF($C131="","",IFERROR(INDEX(Listas!$C$2:$C$20,MATCH($D131,Listas!$A$2:$A$20,0)),""))</f>
        <v/>
      </c>
      <c r="V131" s="10" t="str">
        <f aca="false">IF($C131="","",IFERROR(INDEX(Listas!$D$2:$D$20,MATCH($D131,Listas!$A$2:$A$20,0)),""))</f>
        <v/>
      </c>
      <c r="W131" s="11" t="str">
        <f aca="false">IF(OR($C131="",$B131="",$G131=""),"",$G131-$B131)</f>
        <v/>
      </c>
      <c r="X131" s="11" t="str">
        <f aca="true">IF(OR($C131="",$B131=""),"",IF($N131&lt;&gt;"",$N131,TODAY())-$B131)</f>
        <v/>
      </c>
      <c r="Y131" s="11" t="str">
        <f aca="true">IF(OR($C131="",$M131&lt;&gt;"Abierta",$G131=""),"",MAX($G131-TODAY(),0))</f>
        <v/>
      </c>
      <c r="Z131" s="12" t="str">
        <f aca="false">IF($C131="","",N($K131)*N($H131)*N($I131)*IF($U131="Débito",-1,1))</f>
        <v/>
      </c>
      <c r="AA131" s="13" t="str">
        <f aca="false">IF($C131="","",IF(AND($U131="Débito",$F131&lt;&gt;""),$F131,$E131))</f>
        <v/>
      </c>
      <c r="AB131" s="13" t="str">
        <f aca="false">IF(OR($C131="",$T131="Mixta",$AA131=""),"",IF($V131="Subyacente",IF($J131="","",$J131-$K131),IF($T131="Put",$AA131-$K131,$AA131+$K131)))</f>
        <v/>
      </c>
      <c r="AC131" s="14" t="str">
        <f aca="false">IF(OR($C131="",$T131="Mixta",$J131="",$AA131=""),"",IF($T131="Put",($J131-$AA131)/$J131,($AA131-$J131)/$J131))</f>
        <v/>
      </c>
      <c r="AD131" s="12" t="str">
        <f aca="false">IF($C131="","",IF($Q131&lt;&gt;"",$Q131,IF($V131="Strike",N($E131)*$H131*$I131,IF($V131="Subyacente",IF($J131="","",$J131*$H131*$I131),IF($V131="Ancho",IF($F131="","",ABS($E131-$F131)*$H131*$I131-$K131*$H131*$I131),IF($V131="Prima",$K131*$H131*$I131,""))))))</f>
        <v/>
      </c>
      <c r="AE131" s="12" t="str">
        <f aca="false">IF(OR($C131="",$M131="Abierta",$M131=""),"",(N($K131)-IF(OR($M131="Cerrada",$M131="Rolada"),N($O131),0))*$H131*$I131*IF($U131="Débito",-1,1)-N($L131)-N($P131))</f>
        <v/>
      </c>
      <c r="AF131" s="14" t="str">
        <f aca="false">IF(OR($AE131="",$AD131=""),"",IF($AD131&lt;=0,"",$AE131/$AD131))</f>
        <v/>
      </c>
      <c r="AG131" s="14" t="str">
        <f aca="false">IF($AF131="","",$AF131*365/MAX(N($X131),1))</f>
        <v/>
      </c>
      <c r="AH131" s="14" t="str">
        <f aca="false">IF(OR($C131="",$U131&lt;&gt;"Crédito",$AD131=""),"",IF($AD131&lt;=0,"",($Z131-N($L131))/$AD131))</f>
        <v/>
      </c>
      <c r="AI131" s="14" t="str">
        <f aca="false">IF(OR($AH131="",$W131=""),"",$AH131*365/MAX($W131,1))</f>
        <v/>
      </c>
      <c r="AJ131" s="14" t="str">
        <f aca="false">IF(OR($AE131="",$U131&lt;&gt;"Crédito",N($K131)=0),"",(N($K131)-IF(OR($M131="Cerrada",$M131="Rolada"),N($O131),0))/$K131)</f>
        <v/>
      </c>
      <c r="AK131" s="15" t="str">
        <f aca="false">IF(OR($C131="",$N131=""),"",DATE(YEAR($N131),MONTH($N131),1))</f>
        <v/>
      </c>
      <c r="AL131" s="11" t="str">
        <f aca="false">IF($C131="","",IF($M131="Abierta",0,1))</f>
        <v/>
      </c>
      <c r="AM131" s="16" t="str">
        <f aca="false">IF(OR($AE131="",$AD131=""),"",$AD131*MAX(N($X131),1))</f>
        <v/>
      </c>
      <c r="AN131" s="10" t="str">
        <f aca="false">IF($C131="","",IF(OR($B131="",$D131="",$H131="",$K131="",$M131=""),"Faltan datos obligatorios",IF($T131="","Estrategia no reconocida",IF(AND($M131&lt;&gt;"Abierta",$N131=""),"Falta fecha cierre",IF(AND(OR($M131="Cerrada",$M131="Rolada"),$O131=""),"Falta prima cierre",IF(AND($N131&lt;&gt;"",$N131&lt;$B131),"Cierre anterior a apertura",IF(AND($M131="Asignada",$R131=""),"Asignada: falta ID lote acciones",IF(AND($R131&lt;&gt;"",ISNA(MATCH($R131,Acciones!$A$2:$A$201,0))),"El ID lote no existe en Acciones",IF($AD131="","Revisa capital en riesgo","OK")))))))))</f>
        <v/>
      </c>
    </row>
    <row r="132" customFormat="false" ht="15" hidden="false" customHeight="true" outlineLevel="0" collapsed="false">
      <c r="A132" s="5"/>
      <c r="B132" s="6"/>
      <c r="C132" s="7"/>
      <c r="D132" s="7"/>
      <c r="E132" s="8"/>
      <c r="F132" s="8"/>
      <c r="G132" s="6"/>
      <c r="H132" s="5"/>
      <c r="I132" s="5" t="n">
        <v>100</v>
      </c>
      <c r="J132" s="8"/>
      <c r="K132" s="8"/>
      <c r="L132" s="9"/>
      <c r="M132" s="7"/>
      <c r="N132" s="6"/>
      <c r="O132" s="8"/>
      <c r="P132" s="9"/>
      <c r="Q132" s="9"/>
      <c r="R132" s="7"/>
      <c r="S132" s="7"/>
      <c r="T132" s="10" t="str">
        <f aca="false">IF($C132="","",IFERROR(INDEX(Listas!$B$2:$B$20,MATCH($D132,Listas!$A$2:$A$20,0)),""))</f>
        <v/>
      </c>
      <c r="U132" s="10" t="str">
        <f aca="false">IF($C132="","",IFERROR(INDEX(Listas!$C$2:$C$20,MATCH($D132,Listas!$A$2:$A$20,0)),""))</f>
        <v/>
      </c>
      <c r="V132" s="10" t="str">
        <f aca="false">IF($C132="","",IFERROR(INDEX(Listas!$D$2:$D$20,MATCH($D132,Listas!$A$2:$A$20,0)),""))</f>
        <v/>
      </c>
      <c r="W132" s="11" t="str">
        <f aca="false">IF(OR($C132="",$B132="",$G132=""),"",$G132-$B132)</f>
        <v/>
      </c>
      <c r="X132" s="11" t="str">
        <f aca="true">IF(OR($C132="",$B132=""),"",IF($N132&lt;&gt;"",$N132,TODAY())-$B132)</f>
        <v/>
      </c>
      <c r="Y132" s="11" t="str">
        <f aca="true">IF(OR($C132="",$M132&lt;&gt;"Abierta",$G132=""),"",MAX($G132-TODAY(),0))</f>
        <v/>
      </c>
      <c r="Z132" s="12" t="str">
        <f aca="false">IF($C132="","",N($K132)*N($H132)*N($I132)*IF($U132="Débito",-1,1))</f>
        <v/>
      </c>
      <c r="AA132" s="13" t="str">
        <f aca="false">IF($C132="","",IF(AND($U132="Débito",$F132&lt;&gt;""),$F132,$E132))</f>
        <v/>
      </c>
      <c r="AB132" s="13" t="str">
        <f aca="false">IF(OR($C132="",$T132="Mixta",$AA132=""),"",IF($V132="Subyacente",IF($J132="","",$J132-$K132),IF($T132="Put",$AA132-$K132,$AA132+$K132)))</f>
        <v/>
      </c>
      <c r="AC132" s="14" t="str">
        <f aca="false">IF(OR($C132="",$T132="Mixta",$J132="",$AA132=""),"",IF($T132="Put",($J132-$AA132)/$J132,($AA132-$J132)/$J132))</f>
        <v/>
      </c>
      <c r="AD132" s="12" t="str">
        <f aca="false">IF($C132="","",IF($Q132&lt;&gt;"",$Q132,IF($V132="Strike",N($E132)*$H132*$I132,IF($V132="Subyacente",IF($J132="","",$J132*$H132*$I132),IF($V132="Ancho",IF($F132="","",ABS($E132-$F132)*$H132*$I132-$K132*$H132*$I132),IF($V132="Prima",$K132*$H132*$I132,""))))))</f>
        <v/>
      </c>
      <c r="AE132" s="12" t="str">
        <f aca="false">IF(OR($C132="",$M132="Abierta",$M132=""),"",(N($K132)-IF(OR($M132="Cerrada",$M132="Rolada"),N($O132),0))*$H132*$I132*IF($U132="Débito",-1,1)-N($L132)-N($P132))</f>
        <v/>
      </c>
      <c r="AF132" s="14" t="str">
        <f aca="false">IF(OR($AE132="",$AD132=""),"",IF($AD132&lt;=0,"",$AE132/$AD132))</f>
        <v/>
      </c>
      <c r="AG132" s="14" t="str">
        <f aca="false">IF($AF132="","",$AF132*365/MAX(N($X132),1))</f>
        <v/>
      </c>
      <c r="AH132" s="14" t="str">
        <f aca="false">IF(OR($C132="",$U132&lt;&gt;"Crédito",$AD132=""),"",IF($AD132&lt;=0,"",($Z132-N($L132))/$AD132))</f>
        <v/>
      </c>
      <c r="AI132" s="14" t="str">
        <f aca="false">IF(OR($AH132="",$W132=""),"",$AH132*365/MAX($W132,1))</f>
        <v/>
      </c>
      <c r="AJ132" s="14" t="str">
        <f aca="false">IF(OR($AE132="",$U132&lt;&gt;"Crédito",N($K132)=0),"",(N($K132)-IF(OR($M132="Cerrada",$M132="Rolada"),N($O132),0))/$K132)</f>
        <v/>
      </c>
      <c r="AK132" s="15" t="str">
        <f aca="false">IF(OR($C132="",$N132=""),"",DATE(YEAR($N132),MONTH($N132),1))</f>
        <v/>
      </c>
      <c r="AL132" s="11" t="str">
        <f aca="false">IF($C132="","",IF($M132="Abierta",0,1))</f>
        <v/>
      </c>
      <c r="AM132" s="16" t="str">
        <f aca="false">IF(OR($AE132="",$AD132=""),"",$AD132*MAX(N($X132),1))</f>
        <v/>
      </c>
      <c r="AN132" s="10" t="str">
        <f aca="false">IF($C132="","",IF(OR($B132="",$D132="",$H132="",$K132="",$M132=""),"Faltan datos obligatorios",IF($T132="","Estrategia no reconocida",IF(AND($M132&lt;&gt;"Abierta",$N132=""),"Falta fecha cierre",IF(AND(OR($M132="Cerrada",$M132="Rolada"),$O132=""),"Falta prima cierre",IF(AND($N132&lt;&gt;"",$N132&lt;$B132),"Cierre anterior a apertura",IF(AND($M132="Asignada",$R132=""),"Asignada: falta ID lote acciones",IF(AND($R132&lt;&gt;"",ISNA(MATCH($R132,Acciones!$A$2:$A$201,0))),"El ID lote no existe en Acciones",IF($AD132="","Revisa capital en riesgo","OK")))))))))</f>
        <v/>
      </c>
    </row>
    <row r="133" customFormat="false" ht="15" hidden="false" customHeight="true" outlineLevel="0" collapsed="false">
      <c r="A133" s="5"/>
      <c r="B133" s="6"/>
      <c r="C133" s="7"/>
      <c r="D133" s="7"/>
      <c r="E133" s="8"/>
      <c r="F133" s="8"/>
      <c r="G133" s="6"/>
      <c r="H133" s="5"/>
      <c r="I133" s="5" t="n">
        <v>100</v>
      </c>
      <c r="J133" s="8"/>
      <c r="K133" s="8"/>
      <c r="L133" s="9"/>
      <c r="M133" s="7"/>
      <c r="N133" s="6"/>
      <c r="O133" s="8"/>
      <c r="P133" s="9"/>
      <c r="Q133" s="9"/>
      <c r="R133" s="7"/>
      <c r="S133" s="7"/>
      <c r="T133" s="10" t="str">
        <f aca="false">IF($C133="","",IFERROR(INDEX(Listas!$B$2:$B$20,MATCH($D133,Listas!$A$2:$A$20,0)),""))</f>
        <v/>
      </c>
      <c r="U133" s="10" t="str">
        <f aca="false">IF($C133="","",IFERROR(INDEX(Listas!$C$2:$C$20,MATCH($D133,Listas!$A$2:$A$20,0)),""))</f>
        <v/>
      </c>
      <c r="V133" s="10" t="str">
        <f aca="false">IF($C133="","",IFERROR(INDEX(Listas!$D$2:$D$20,MATCH($D133,Listas!$A$2:$A$20,0)),""))</f>
        <v/>
      </c>
      <c r="W133" s="11" t="str">
        <f aca="false">IF(OR($C133="",$B133="",$G133=""),"",$G133-$B133)</f>
        <v/>
      </c>
      <c r="X133" s="11" t="str">
        <f aca="true">IF(OR($C133="",$B133=""),"",IF($N133&lt;&gt;"",$N133,TODAY())-$B133)</f>
        <v/>
      </c>
      <c r="Y133" s="11" t="str">
        <f aca="true">IF(OR($C133="",$M133&lt;&gt;"Abierta",$G133=""),"",MAX($G133-TODAY(),0))</f>
        <v/>
      </c>
      <c r="Z133" s="12" t="str">
        <f aca="false">IF($C133="","",N($K133)*N($H133)*N($I133)*IF($U133="Débito",-1,1))</f>
        <v/>
      </c>
      <c r="AA133" s="13" t="str">
        <f aca="false">IF($C133="","",IF(AND($U133="Débito",$F133&lt;&gt;""),$F133,$E133))</f>
        <v/>
      </c>
      <c r="AB133" s="13" t="str">
        <f aca="false">IF(OR($C133="",$T133="Mixta",$AA133=""),"",IF($V133="Subyacente",IF($J133="","",$J133-$K133),IF($T133="Put",$AA133-$K133,$AA133+$K133)))</f>
        <v/>
      </c>
      <c r="AC133" s="14" t="str">
        <f aca="false">IF(OR($C133="",$T133="Mixta",$J133="",$AA133=""),"",IF($T133="Put",($J133-$AA133)/$J133,($AA133-$J133)/$J133))</f>
        <v/>
      </c>
      <c r="AD133" s="12" t="str">
        <f aca="false">IF($C133="","",IF($Q133&lt;&gt;"",$Q133,IF($V133="Strike",N($E133)*$H133*$I133,IF($V133="Subyacente",IF($J133="","",$J133*$H133*$I133),IF($V133="Ancho",IF($F133="","",ABS($E133-$F133)*$H133*$I133-$K133*$H133*$I133),IF($V133="Prima",$K133*$H133*$I133,""))))))</f>
        <v/>
      </c>
      <c r="AE133" s="12" t="str">
        <f aca="false">IF(OR($C133="",$M133="Abierta",$M133=""),"",(N($K133)-IF(OR($M133="Cerrada",$M133="Rolada"),N($O133),0))*$H133*$I133*IF($U133="Débito",-1,1)-N($L133)-N($P133))</f>
        <v/>
      </c>
      <c r="AF133" s="14" t="str">
        <f aca="false">IF(OR($AE133="",$AD133=""),"",IF($AD133&lt;=0,"",$AE133/$AD133))</f>
        <v/>
      </c>
      <c r="AG133" s="14" t="str">
        <f aca="false">IF($AF133="","",$AF133*365/MAX(N($X133),1))</f>
        <v/>
      </c>
      <c r="AH133" s="14" t="str">
        <f aca="false">IF(OR($C133="",$U133&lt;&gt;"Crédito",$AD133=""),"",IF($AD133&lt;=0,"",($Z133-N($L133))/$AD133))</f>
        <v/>
      </c>
      <c r="AI133" s="14" t="str">
        <f aca="false">IF(OR($AH133="",$W133=""),"",$AH133*365/MAX($W133,1))</f>
        <v/>
      </c>
      <c r="AJ133" s="14" t="str">
        <f aca="false">IF(OR($AE133="",$U133&lt;&gt;"Crédito",N($K133)=0),"",(N($K133)-IF(OR($M133="Cerrada",$M133="Rolada"),N($O133),0))/$K133)</f>
        <v/>
      </c>
      <c r="AK133" s="15" t="str">
        <f aca="false">IF(OR($C133="",$N133=""),"",DATE(YEAR($N133),MONTH($N133),1))</f>
        <v/>
      </c>
      <c r="AL133" s="11" t="str">
        <f aca="false">IF($C133="","",IF($M133="Abierta",0,1))</f>
        <v/>
      </c>
      <c r="AM133" s="16" t="str">
        <f aca="false">IF(OR($AE133="",$AD133=""),"",$AD133*MAX(N($X133),1))</f>
        <v/>
      </c>
      <c r="AN133" s="10" t="str">
        <f aca="false">IF($C133="","",IF(OR($B133="",$D133="",$H133="",$K133="",$M133=""),"Faltan datos obligatorios",IF($T133="","Estrategia no reconocida",IF(AND($M133&lt;&gt;"Abierta",$N133=""),"Falta fecha cierre",IF(AND(OR($M133="Cerrada",$M133="Rolada"),$O133=""),"Falta prima cierre",IF(AND($N133&lt;&gt;"",$N133&lt;$B133),"Cierre anterior a apertura",IF(AND($M133="Asignada",$R133=""),"Asignada: falta ID lote acciones",IF(AND($R133&lt;&gt;"",ISNA(MATCH($R133,Acciones!$A$2:$A$201,0))),"El ID lote no existe en Acciones",IF($AD133="","Revisa capital en riesgo","OK")))))))))</f>
        <v/>
      </c>
    </row>
    <row r="134" customFormat="false" ht="15" hidden="false" customHeight="true" outlineLevel="0" collapsed="false">
      <c r="A134" s="5"/>
      <c r="B134" s="6"/>
      <c r="C134" s="7"/>
      <c r="D134" s="7"/>
      <c r="E134" s="8"/>
      <c r="F134" s="8"/>
      <c r="G134" s="6"/>
      <c r="H134" s="5"/>
      <c r="I134" s="5" t="n">
        <v>100</v>
      </c>
      <c r="J134" s="8"/>
      <c r="K134" s="8"/>
      <c r="L134" s="9"/>
      <c r="M134" s="7"/>
      <c r="N134" s="6"/>
      <c r="O134" s="8"/>
      <c r="P134" s="9"/>
      <c r="Q134" s="9"/>
      <c r="R134" s="7"/>
      <c r="S134" s="7"/>
      <c r="T134" s="10" t="str">
        <f aca="false">IF($C134="","",IFERROR(INDEX(Listas!$B$2:$B$20,MATCH($D134,Listas!$A$2:$A$20,0)),""))</f>
        <v/>
      </c>
      <c r="U134" s="10" t="str">
        <f aca="false">IF($C134="","",IFERROR(INDEX(Listas!$C$2:$C$20,MATCH($D134,Listas!$A$2:$A$20,0)),""))</f>
        <v/>
      </c>
      <c r="V134" s="10" t="str">
        <f aca="false">IF($C134="","",IFERROR(INDEX(Listas!$D$2:$D$20,MATCH($D134,Listas!$A$2:$A$20,0)),""))</f>
        <v/>
      </c>
      <c r="W134" s="11" t="str">
        <f aca="false">IF(OR($C134="",$B134="",$G134=""),"",$G134-$B134)</f>
        <v/>
      </c>
      <c r="X134" s="11" t="str">
        <f aca="true">IF(OR($C134="",$B134=""),"",IF($N134&lt;&gt;"",$N134,TODAY())-$B134)</f>
        <v/>
      </c>
      <c r="Y134" s="11" t="str">
        <f aca="true">IF(OR($C134="",$M134&lt;&gt;"Abierta",$G134=""),"",MAX($G134-TODAY(),0))</f>
        <v/>
      </c>
      <c r="Z134" s="12" t="str">
        <f aca="false">IF($C134="","",N($K134)*N($H134)*N($I134)*IF($U134="Débito",-1,1))</f>
        <v/>
      </c>
      <c r="AA134" s="13" t="str">
        <f aca="false">IF($C134="","",IF(AND($U134="Débito",$F134&lt;&gt;""),$F134,$E134))</f>
        <v/>
      </c>
      <c r="AB134" s="13" t="str">
        <f aca="false">IF(OR($C134="",$T134="Mixta",$AA134=""),"",IF($V134="Subyacente",IF($J134="","",$J134-$K134),IF($T134="Put",$AA134-$K134,$AA134+$K134)))</f>
        <v/>
      </c>
      <c r="AC134" s="14" t="str">
        <f aca="false">IF(OR($C134="",$T134="Mixta",$J134="",$AA134=""),"",IF($T134="Put",($J134-$AA134)/$J134,($AA134-$J134)/$J134))</f>
        <v/>
      </c>
      <c r="AD134" s="12" t="str">
        <f aca="false">IF($C134="","",IF($Q134&lt;&gt;"",$Q134,IF($V134="Strike",N($E134)*$H134*$I134,IF($V134="Subyacente",IF($J134="","",$J134*$H134*$I134),IF($V134="Ancho",IF($F134="","",ABS($E134-$F134)*$H134*$I134-$K134*$H134*$I134),IF($V134="Prima",$K134*$H134*$I134,""))))))</f>
        <v/>
      </c>
      <c r="AE134" s="12" t="str">
        <f aca="false">IF(OR($C134="",$M134="Abierta",$M134=""),"",(N($K134)-IF(OR($M134="Cerrada",$M134="Rolada"),N($O134),0))*$H134*$I134*IF($U134="Débito",-1,1)-N($L134)-N($P134))</f>
        <v/>
      </c>
      <c r="AF134" s="14" t="str">
        <f aca="false">IF(OR($AE134="",$AD134=""),"",IF($AD134&lt;=0,"",$AE134/$AD134))</f>
        <v/>
      </c>
      <c r="AG134" s="14" t="str">
        <f aca="false">IF($AF134="","",$AF134*365/MAX(N($X134),1))</f>
        <v/>
      </c>
      <c r="AH134" s="14" t="str">
        <f aca="false">IF(OR($C134="",$U134&lt;&gt;"Crédito",$AD134=""),"",IF($AD134&lt;=0,"",($Z134-N($L134))/$AD134))</f>
        <v/>
      </c>
      <c r="AI134" s="14" t="str">
        <f aca="false">IF(OR($AH134="",$W134=""),"",$AH134*365/MAX($W134,1))</f>
        <v/>
      </c>
      <c r="AJ134" s="14" t="str">
        <f aca="false">IF(OR($AE134="",$U134&lt;&gt;"Crédito",N($K134)=0),"",(N($K134)-IF(OR($M134="Cerrada",$M134="Rolada"),N($O134),0))/$K134)</f>
        <v/>
      </c>
      <c r="AK134" s="15" t="str">
        <f aca="false">IF(OR($C134="",$N134=""),"",DATE(YEAR($N134),MONTH($N134),1))</f>
        <v/>
      </c>
      <c r="AL134" s="11" t="str">
        <f aca="false">IF($C134="","",IF($M134="Abierta",0,1))</f>
        <v/>
      </c>
      <c r="AM134" s="16" t="str">
        <f aca="false">IF(OR($AE134="",$AD134=""),"",$AD134*MAX(N($X134),1))</f>
        <v/>
      </c>
      <c r="AN134" s="10" t="str">
        <f aca="false">IF($C134="","",IF(OR($B134="",$D134="",$H134="",$K134="",$M134=""),"Faltan datos obligatorios",IF($T134="","Estrategia no reconocida",IF(AND($M134&lt;&gt;"Abierta",$N134=""),"Falta fecha cierre",IF(AND(OR($M134="Cerrada",$M134="Rolada"),$O134=""),"Falta prima cierre",IF(AND($N134&lt;&gt;"",$N134&lt;$B134),"Cierre anterior a apertura",IF(AND($M134="Asignada",$R134=""),"Asignada: falta ID lote acciones",IF(AND($R134&lt;&gt;"",ISNA(MATCH($R134,Acciones!$A$2:$A$201,0))),"El ID lote no existe en Acciones",IF($AD134="","Revisa capital en riesgo","OK")))))))))</f>
        <v/>
      </c>
    </row>
    <row r="135" customFormat="false" ht="15" hidden="false" customHeight="true" outlineLevel="0" collapsed="false">
      <c r="A135" s="5"/>
      <c r="B135" s="6"/>
      <c r="C135" s="7"/>
      <c r="D135" s="7"/>
      <c r="E135" s="8"/>
      <c r="F135" s="8"/>
      <c r="G135" s="6"/>
      <c r="H135" s="5"/>
      <c r="I135" s="5" t="n">
        <v>100</v>
      </c>
      <c r="J135" s="8"/>
      <c r="K135" s="8"/>
      <c r="L135" s="9"/>
      <c r="M135" s="7"/>
      <c r="N135" s="6"/>
      <c r="O135" s="8"/>
      <c r="P135" s="9"/>
      <c r="Q135" s="9"/>
      <c r="R135" s="7"/>
      <c r="S135" s="7"/>
      <c r="T135" s="10" t="str">
        <f aca="false">IF($C135="","",IFERROR(INDEX(Listas!$B$2:$B$20,MATCH($D135,Listas!$A$2:$A$20,0)),""))</f>
        <v/>
      </c>
      <c r="U135" s="10" t="str">
        <f aca="false">IF($C135="","",IFERROR(INDEX(Listas!$C$2:$C$20,MATCH($D135,Listas!$A$2:$A$20,0)),""))</f>
        <v/>
      </c>
      <c r="V135" s="10" t="str">
        <f aca="false">IF($C135="","",IFERROR(INDEX(Listas!$D$2:$D$20,MATCH($D135,Listas!$A$2:$A$20,0)),""))</f>
        <v/>
      </c>
      <c r="W135" s="11" t="str">
        <f aca="false">IF(OR($C135="",$B135="",$G135=""),"",$G135-$B135)</f>
        <v/>
      </c>
      <c r="X135" s="11" t="str">
        <f aca="true">IF(OR($C135="",$B135=""),"",IF($N135&lt;&gt;"",$N135,TODAY())-$B135)</f>
        <v/>
      </c>
      <c r="Y135" s="11" t="str">
        <f aca="true">IF(OR($C135="",$M135&lt;&gt;"Abierta",$G135=""),"",MAX($G135-TODAY(),0))</f>
        <v/>
      </c>
      <c r="Z135" s="12" t="str">
        <f aca="false">IF($C135="","",N($K135)*N($H135)*N($I135)*IF($U135="Débito",-1,1))</f>
        <v/>
      </c>
      <c r="AA135" s="13" t="str">
        <f aca="false">IF($C135="","",IF(AND($U135="Débito",$F135&lt;&gt;""),$F135,$E135))</f>
        <v/>
      </c>
      <c r="AB135" s="13" t="str">
        <f aca="false">IF(OR($C135="",$T135="Mixta",$AA135=""),"",IF($V135="Subyacente",IF($J135="","",$J135-$K135),IF($T135="Put",$AA135-$K135,$AA135+$K135)))</f>
        <v/>
      </c>
      <c r="AC135" s="14" t="str">
        <f aca="false">IF(OR($C135="",$T135="Mixta",$J135="",$AA135=""),"",IF($T135="Put",($J135-$AA135)/$J135,($AA135-$J135)/$J135))</f>
        <v/>
      </c>
      <c r="AD135" s="12" t="str">
        <f aca="false">IF($C135="","",IF($Q135&lt;&gt;"",$Q135,IF($V135="Strike",N($E135)*$H135*$I135,IF($V135="Subyacente",IF($J135="","",$J135*$H135*$I135),IF($V135="Ancho",IF($F135="","",ABS($E135-$F135)*$H135*$I135-$K135*$H135*$I135),IF($V135="Prima",$K135*$H135*$I135,""))))))</f>
        <v/>
      </c>
      <c r="AE135" s="12" t="str">
        <f aca="false">IF(OR($C135="",$M135="Abierta",$M135=""),"",(N($K135)-IF(OR($M135="Cerrada",$M135="Rolada"),N($O135),0))*$H135*$I135*IF($U135="Débito",-1,1)-N($L135)-N($P135))</f>
        <v/>
      </c>
      <c r="AF135" s="14" t="str">
        <f aca="false">IF(OR($AE135="",$AD135=""),"",IF($AD135&lt;=0,"",$AE135/$AD135))</f>
        <v/>
      </c>
      <c r="AG135" s="14" t="str">
        <f aca="false">IF($AF135="","",$AF135*365/MAX(N($X135),1))</f>
        <v/>
      </c>
      <c r="AH135" s="14" t="str">
        <f aca="false">IF(OR($C135="",$U135&lt;&gt;"Crédito",$AD135=""),"",IF($AD135&lt;=0,"",($Z135-N($L135))/$AD135))</f>
        <v/>
      </c>
      <c r="AI135" s="14" t="str">
        <f aca="false">IF(OR($AH135="",$W135=""),"",$AH135*365/MAX($W135,1))</f>
        <v/>
      </c>
      <c r="AJ135" s="14" t="str">
        <f aca="false">IF(OR($AE135="",$U135&lt;&gt;"Crédito",N($K135)=0),"",(N($K135)-IF(OR($M135="Cerrada",$M135="Rolada"),N($O135),0))/$K135)</f>
        <v/>
      </c>
      <c r="AK135" s="15" t="str">
        <f aca="false">IF(OR($C135="",$N135=""),"",DATE(YEAR($N135),MONTH($N135),1))</f>
        <v/>
      </c>
      <c r="AL135" s="11" t="str">
        <f aca="false">IF($C135="","",IF($M135="Abierta",0,1))</f>
        <v/>
      </c>
      <c r="AM135" s="16" t="str">
        <f aca="false">IF(OR($AE135="",$AD135=""),"",$AD135*MAX(N($X135),1))</f>
        <v/>
      </c>
      <c r="AN135" s="10" t="str">
        <f aca="false">IF($C135="","",IF(OR($B135="",$D135="",$H135="",$K135="",$M135=""),"Faltan datos obligatorios",IF($T135="","Estrategia no reconocida",IF(AND($M135&lt;&gt;"Abierta",$N135=""),"Falta fecha cierre",IF(AND(OR($M135="Cerrada",$M135="Rolada"),$O135=""),"Falta prima cierre",IF(AND($N135&lt;&gt;"",$N135&lt;$B135),"Cierre anterior a apertura",IF(AND($M135="Asignada",$R135=""),"Asignada: falta ID lote acciones",IF(AND($R135&lt;&gt;"",ISNA(MATCH($R135,Acciones!$A$2:$A$201,0))),"El ID lote no existe en Acciones",IF($AD135="","Revisa capital en riesgo","OK")))))))))</f>
        <v/>
      </c>
    </row>
    <row r="136" customFormat="false" ht="15" hidden="false" customHeight="true" outlineLevel="0" collapsed="false">
      <c r="A136" s="5"/>
      <c r="B136" s="6"/>
      <c r="C136" s="7"/>
      <c r="D136" s="7"/>
      <c r="E136" s="8"/>
      <c r="F136" s="8"/>
      <c r="G136" s="6"/>
      <c r="H136" s="5"/>
      <c r="I136" s="5" t="n">
        <v>100</v>
      </c>
      <c r="J136" s="8"/>
      <c r="K136" s="8"/>
      <c r="L136" s="9"/>
      <c r="M136" s="7"/>
      <c r="N136" s="6"/>
      <c r="O136" s="8"/>
      <c r="P136" s="9"/>
      <c r="Q136" s="9"/>
      <c r="R136" s="7"/>
      <c r="S136" s="7"/>
      <c r="T136" s="10" t="str">
        <f aca="false">IF($C136="","",IFERROR(INDEX(Listas!$B$2:$B$20,MATCH($D136,Listas!$A$2:$A$20,0)),""))</f>
        <v/>
      </c>
      <c r="U136" s="10" t="str">
        <f aca="false">IF($C136="","",IFERROR(INDEX(Listas!$C$2:$C$20,MATCH($D136,Listas!$A$2:$A$20,0)),""))</f>
        <v/>
      </c>
      <c r="V136" s="10" t="str">
        <f aca="false">IF($C136="","",IFERROR(INDEX(Listas!$D$2:$D$20,MATCH($D136,Listas!$A$2:$A$20,0)),""))</f>
        <v/>
      </c>
      <c r="W136" s="11" t="str">
        <f aca="false">IF(OR($C136="",$B136="",$G136=""),"",$G136-$B136)</f>
        <v/>
      </c>
      <c r="X136" s="11" t="str">
        <f aca="true">IF(OR($C136="",$B136=""),"",IF($N136&lt;&gt;"",$N136,TODAY())-$B136)</f>
        <v/>
      </c>
      <c r="Y136" s="11" t="str">
        <f aca="true">IF(OR($C136="",$M136&lt;&gt;"Abierta",$G136=""),"",MAX($G136-TODAY(),0))</f>
        <v/>
      </c>
      <c r="Z136" s="12" t="str">
        <f aca="false">IF($C136="","",N($K136)*N($H136)*N($I136)*IF($U136="Débito",-1,1))</f>
        <v/>
      </c>
      <c r="AA136" s="13" t="str">
        <f aca="false">IF($C136="","",IF(AND($U136="Débito",$F136&lt;&gt;""),$F136,$E136))</f>
        <v/>
      </c>
      <c r="AB136" s="13" t="str">
        <f aca="false">IF(OR($C136="",$T136="Mixta",$AA136=""),"",IF($V136="Subyacente",IF($J136="","",$J136-$K136),IF($T136="Put",$AA136-$K136,$AA136+$K136)))</f>
        <v/>
      </c>
      <c r="AC136" s="14" t="str">
        <f aca="false">IF(OR($C136="",$T136="Mixta",$J136="",$AA136=""),"",IF($T136="Put",($J136-$AA136)/$J136,($AA136-$J136)/$J136))</f>
        <v/>
      </c>
      <c r="AD136" s="12" t="str">
        <f aca="false">IF($C136="","",IF($Q136&lt;&gt;"",$Q136,IF($V136="Strike",N($E136)*$H136*$I136,IF($V136="Subyacente",IF($J136="","",$J136*$H136*$I136),IF($V136="Ancho",IF($F136="","",ABS($E136-$F136)*$H136*$I136-$K136*$H136*$I136),IF($V136="Prima",$K136*$H136*$I136,""))))))</f>
        <v/>
      </c>
      <c r="AE136" s="12" t="str">
        <f aca="false">IF(OR($C136="",$M136="Abierta",$M136=""),"",(N($K136)-IF(OR($M136="Cerrada",$M136="Rolada"),N($O136),0))*$H136*$I136*IF($U136="Débito",-1,1)-N($L136)-N($P136))</f>
        <v/>
      </c>
      <c r="AF136" s="14" t="str">
        <f aca="false">IF(OR($AE136="",$AD136=""),"",IF($AD136&lt;=0,"",$AE136/$AD136))</f>
        <v/>
      </c>
      <c r="AG136" s="14" t="str">
        <f aca="false">IF($AF136="","",$AF136*365/MAX(N($X136),1))</f>
        <v/>
      </c>
      <c r="AH136" s="14" t="str">
        <f aca="false">IF(OR($C136="",$U136&lt;&gt;"Crédito",$AD136=""),"",IF($AD136&lt;=0,"",($Z136-N($L136))/$AD136))</f>
        <v/>
      </c>
      <c r="AI136" s="14" t="str">
        <f aca="false">IF(OR($AH136="",$W136=""),"",$AH136*365/MAX($W136,1))</f>
        <v/>
      </c>
      <c r="AJ136" s="14" t="str">
        <f aca="false">IF(OR($AE136="",$U136&lt;&gt;"Crédito",N($K136)=0),"",(N($K136)-IF(OR($M136="Cerrada",$M136="Rolada"),N($O136),0))/$K136)</f>
        <v/>
      </c>
      <c r="AK136" s="15" t="str">
        <f aca="false">IF(OR($C136="",$N136=""),"",DATE(YEAR($N136),MONTH($N136),1))</f>
        <v/>
      </c>
      <c r="AL136" s="11" t="str">
        <f aca="false">IF($C136="","",IF($M136="Abierta",0,1))</f>
        <v/>
      </c>
      <c r="AM136" s="16" t="str">
        <f aca="false">IF(OR($AE136="",$AD136=""),"",$AD136*MAX(N($X136),1))</f>
        <v/>
      </c>
      <c r="AN136" s="10" t="str">
        <f aca="false">IF($C136="","",IF(OR($B136="",$D136="",$H136="",$K136="",$M136=""),"Faltan datos obligatorios",IF($T136="","Estrategia no reconocida",IF(AND($M136&lt;&gt;"Abierta",$N136=""),"Falta fecha cierre",IF(AND(OR($M136="Cerrada",$M136="Rolada"),$O136=""),"Falta prima cierre",IF(AND($N136&lt;&gt;"",$N136&lt;$B136),"Cierre anterior a apertura",IF(AND($M136="Asignada",$R136=""),"Asignada: falta ID lote acciones",IF(AND($R136&lt;&gt;"",ISNA(MATCH($R136,Acciones!$A$2:$A$201,0))),"El ID lote no existe en Acciones",IF($AD136="","Revisa capital en riesgo","OK")))))))))</f>
        <v/>
      </c>
    </row>
    <row r="137" customFormat="false" ht="15" hidden="false" customHeight="true" outlineLevel="0" collapsed="false">
      <c r="A137" s="5"/>
      <c r="B137" s="6"/>
      <c r="C137" s="7"/>
      <c r="D137" s="7"/>
      <c r="E137" s="8"/>
      <c r="F137" s="8"/>
      <c r="G137" s="6"/>
      <c r="H137" s="5"/>
      <c r="I137" s="5" t="n">
        <v>100</v>
      </c>
      <c r="J137" s="8"/>
      <c r="K137" s="8"/>
      <c r="L137" s="9"/>
      <c r="M137" s="7"/>
      <c r="N137" s="6"/>
      <c r="O137" s="8"/>
      <c r="P137" s="9"/>
      <c r="Q137" s="9"/>
      <c r="R137" s="7"/>
      <c r="S137" s="7"/>
      <c r="T137" s="10" t="str">
        <f aca="false">IF($C137="","",IFERROR(INDEX(Listas!$B$2:$B$20,MATCH($D137,Listas!$A$2:$A$20,0)),""))</f>
        <v/>
      </c>
      <c r="U137" s="10" t="str">
        <f aca="false">IF($C137="","",IFERROR(INDEX(Listas!$C$2:$C$20,MATCH($D137,Listas!$A$2:$A$20,0)),""))</f>
        <v/>
      </c>
      <c r="V137" s="10" t="str">
        <f aca="false">IF($C137="","",IFERROR(INDEX(Listas!$D$2:$D$20,MATCH($D137,Listas!$A$2:$A$20,0)),""))</f>
        <v/>
      </c>
      <c r="W137" s="11" t="str">
        <f aca="false">IF(OR($C137="",$B137="",$G137=""),"",$G137-$B137)</f>
        <v/>
      </c>
      <c r="X137" s="11" t="str">
        <f aca="true">IF(OR($C137="",$B137=""),"",IF($N137&lt;&gt;"",$N137,TODAY())-$B137)</f>
        <v/>
      </c>
      <c r="Y137" s="11" t="str">
        <f aca="true">IF(OR($C137="",$M137&lt;&gt;"Abierta",$G137=""),"",MAX($G137-TODAY(),0))</f>
        <v/>
      </c>
      <c r="Z137" s="12" t="str">
        <f aca="false">IF($C137="","",N($K137)*N($H137)*N($I137)*IF($U137="Débito",-1,1))</f>
        <v/>
      </c>
      <c r="AA137" s="13" t="str">
        <f aca="false">IF($C137="","",IF(AND($U137="Débito",$F137&lt;&gt;""),$F137,$E137))</f>
        <v/>
      </c>
      <c r="AB137" s="13" t="str">
        <f aca="false">IF(OR($C137="",$T137="Mixta",$AA137=""),"",IF($V137="Subyacente",IF($J137="","",$J137-$K137),IF($T137="Put",$AA137-$K137,$AA137+$K137)))</f>
        <v/>
      </c>
      <c r="AC137" s="14" t="str">
        <f aca="false">IF(OR($C137="",$T137="Mixta",$J137="",$AA137=""),"",IF($T137="Put",($J137-$AA137)/$J137,($AA137-$J137)/$J137))</f>
        <v/>
      </c>
      <c r="AD137" s="12" t="str">
        <f aca="false">IF($C137="","",IF($Q137&lt;&gt;"",$Q137,IF($V137="Strike",N($E137)*$H137*$I137,IF($V137="Subyacente",IF($J137="","",$J137*$H137*$I137),IF($V137="Ancho",IF($F137="","",ABS($E137-$F137)*$H137*$I137-$K137*$H137*$I137),IF($V137="Prima",$K137*$H137*$I137,""))))))</f>
        <v/>
      </c>
      <c r="AE137" s="12" t="str">
        <f aca="false">IF(OR($C137="",$M137="Abierta",$M137=""),"",(N($K137)-IF(OR($M137="Cerrada",$M137="Rolada"),N($O137),0))*$H137*$I137*IF($U137="Débito",-1,1)-N($L137)-N($P137))</f>
        <v/>
      </c>
      <c r="AF137" s="14" t="str">
        <f aca="false">IF(OR($AE137="",$AD137=""),"",IF($AD137&lt;=0,"",$AE137/$AD137))</f>
        <v/>
      </c>
      <c r="AG137" s="14" t="str">
        <f aca="false">IF($AF137="","",$AF137*365/MAX(N($X137),1))</f>
        <v/>
      </c>
      <c r="AH137" s="14" t="str">
        <f aca="false">IF(OR($C137="",$U137&lt;&gt;"Crédito",$AD137=""),"",IF($AD137&lt;=0,"",($Z137-N($L137))/$AD137))</f>
        <v/>
      </c>
      <c r="AI137" s="14" t="str">
        <f aca="false">IF(OR($AH137="",$W137=""),"",$AH137*365/MAX($W137,1))</f>
        <v/>
      </c>
      <c r="AJ137" s="14" t="str">
        <f aca="false">IF(OR($AE137="",$U137&lt;&gt;"Crédito",N($K137)=0),"",(N($K137)-IF(OR($M137="Cerrada",$M137="Rolada"),N($O137),0))/$K137)</f>
        <v/>
      </c>
      <c r="AK137" s="15" t="str">
        <f aca="false">IF(OR($C137="",$N137=""),"",DATE(YEAR($N137),MONTH($N137),1))</f>
        <v/>
      </c>
      <c r="AL137" s="11" t="str">
        <f aca="false">IF($C137="","",IF($M137="Abierta",0,1))</f>
        <v/>
      </c>
      <c r="AM137" s="16" t="str">
        <f aca="false">IF(OR($AE137="",$AD137=""),"",$AD137*MAX(N($X137),1))</f>
        <v/>
      </c>
      <c r="AN137" s="10" t="str">
        <f aca="false">IF($C137="","",IF(OR($B137="",$D137="",$H137="",$K137="",$M137=""),"Faltan datos obligatorios",IF($T137="","Estrategia no reconocida",IF(AND($M137&lt;&gt;"Abierta",$N137=""),"Falta fecha cierre",IF(AND(OR($M137="Cerrada",$M137="Rolada"),$O137=""),"Falta prima cierre",IF(AND($N137&lt;&gt;"",$N137&lt;$B137),"Cierre anterior a apertura",IF(AND($M137="Asignada",$R137=""),"Asignada: falta ID lote acciones",IF(AND($R137&lt;&gt;"",ISNA(MATCH($R137,Acciones!$A$2:$A$201,0))),"El ID lote no existe en Acciones",IF($AD137="","Revisa capital en riesgo","OK")))))))))</f>
        <v/>
      </c>
    </row>
    <row r="138" customFormat="false" ht="15" hidden="false" customHeight="true" outlineLevel="0" collapsed="false">
      <c r="A138" s="5"/>
      <c r="B138" s="6"/>
      <c r="C138" s="7"/>
      <c r="D138" s="7"/>
      <c r="E138" s="8"/>
      <c r="F138" s="8"/>
      <c r="G138" s="6"/>
      <c r="H138" s="5"/>
      <c r="I138" s="5" t="n">
        <v>100</v>
      </c>
      <c r="J138" s="8"/>
      <c r="K138" s="8"/>
      <c r="L138" s="9"/>
      <c r="M138" s="7"/>
      <c r="N138" s="6"/>
      <c r="O138" s="8"/>
      <c r="P138" s="9"/>
      <c r="Q138" s="9"/>
      <c r="R138" s="7"/>
      <c r="S138" s="7"/>
      <c r="T138" s="10" t="str">
        <f aca="false">IF($C138="","",IFERROR(INDEX(Listas!$B$2:$B$20,MATCH($D138,Listas!$A$2:$A$20,0)),""))</f>
        <v/>
      </c>
      <c r="U138" s="10" t="str">
        <f aca="false">IF($C138="","",IFERROR(INDEX(Listas!$C$2:$C$20,MATCH($D138,Listas!$A$2:$A$20,0)),""))</f>
        <v/>
      </c>
      <c r="V138" s="10" t="str">
        <f aca="false">IF($C138="","",IFERROR(INDEX(Listas!$D$2:$D$20,MATCH($D138,Listas!$A$2:$A$20,0)),""))</f>
        <v/>
      </c>
      <c r="W138" s="11" t="str">
        <f aca="false">IF(OR($C138="",$B138="",$G138=""),"",$G138-$B138)</f>
        <v/>
      </c>
      <c r="X138" s="11" t="str">
        <f aca="true">IF(OR($C138="",$B138=""),"",IF($N138&lt;&gt;"",$N138,TODAY())-$B138)</f>
        <v/>
      </c>
      <c r="Y138" s="11" t="str">
        <f aca="true">IF(OR($C138="",$M138&lt;&gt;"Abierta",$G138=""),"",MAX($G138-TODAY(),0))</f>
        <v/>
      </c>
      <c r="Z138" s="12" t="str">
        <f aca="false">IF($C138="","",N($K138)*N($H138)*N($I138)*IF($U138="Débito",-1,1))</f>
        <v/>
      </c>
      <c r="AA138" s="13" t="str">
        <f aca="false">IF($C138="","",IF(AND($U138="Débito",$F138&lt;&gt;""),$F138,$E138))</f>
        <v/>
      </c>
      <c r="AB138" s="13" t="str">
        <f aca="false">IF(OR($C138="",$T138="Mixta",$AA138=""),"",IF($V138="Subyacente",IF($J138="","",$J138-$K138),IF($T138="Put",$AA138-$K138,$AA138+$K138)))</f>
        <v/>
      </c>
      <c r="AC138" s="14" t="str">
        <f aca="false">IF(OR($C138="",$T138="Mixta",$J138="",$AA138=""),"",IF($T138="Put",($J138-$AA138)/$J138,($AA138-$J138)/$J138))</f>
        <v/>
      </c>
      <c r="AD138" s="12" t="str">
        <f aca="false">IF($C138="","",IF($Q138&lt;&gt;"",$Q138,IF($V138="Strike",N($E138)*$H138*$I138,IF($V138="Subyacente",IF($J138="","",$J138*$H138*$I138),IF($V138="Ancho",IF($F138="","",ABS($E138-$F138)*$H138*$I138-$K138*$H138*$I138),IF($V138="Prima",$K138*$H138*$I138,""))))))</f>
        <v/>
      </c>
      <c r="AE138" s="12" t="str">
        <f aca="false">IF(OR($C138="",$M138="Abierta",$M138=""),"",(N($K138)-IF(OR($M138="Cerrada",$M138="Rolada"),N($O138),0))*$H138*$I138*IF($U138="Débito",-1,1)-N($L138)-N($P138))</f>
        <v/>
      </c>
      <c r="AF138" s="14" t="str">
        <f aca="false">IF(OR($AE138="",$AD138=""),"",IF($AD138&lt;=0,"",$AE138/$AD138))</f>
        <v/>
      </c>
      <c r="AG138" s="14" t="str">
        <f aca="false">IF($AF138="","",$AF138*365/MAX(N($X138),1))</f>
        <v/>
      </c>
      <c r="AH138" s="14" t="str">
        <f aca="false">IF(OR($C138="",$U138&lt;&gt;"Crédito",$AD138=""),"",IF($AD138&lt;=0,"",($Z138-N($L138))/$AD138))</f>
        <v/>
      </c>
      <c r="AI138" s="14" t="str">
        <f aca="false">IF(OR($AH138="",$W138=""),"",$AH138*365/MAX($W138,1))</f>
        <v/>
      </c>
      <c r="AJ138" s="14" t="str">
        <f aca="false">IF(OR($AE138="",$U138&lt;&gt;"Crédito",N($K138)=0),"",(N($K138)-IF(OR($M138="Cerrada",$M138="Rolada"),N($O138),0))/$K138)</f>
        <v/>
      </c>
      <c r="AK138" s="15" t="str">
        <f aca="false">IF(OR($C138="",$N138=""),"",DATE(YEAR($N138),MONTH($N138),1))</f>
        <v/>
      </c>
      <c r="AL138" s="11" t="str">
        <f aca="false">IF($C138="","",IF($M138="Abierta",0,1))</f>
        <v/>
      </c>
      <c r="AM138" s="16" t="str">
        <f aca="false">IF(OR($AE138="",$AD138=""),"",$AD138*MAX(N($X138),1))</f>
        <v/>
      </c>
      <c r="AN138" s="10" t="str">
        <f aca="false">IF($C138="","",IF(OR($B138="",$D138="",$H138="",$K138="",$M138=""),"Faltan datos obligatorios",IF($T138="","Estrategia no reconocida",IF(AND($M138&lt;&gt;"Abierta",$N138=""),"Falta fecha cierre",IF(AND(OR($M138="Cerrada",$M138="Rolada"),$O138=""),"Falta prima cierre",IF(AND($N138&lt;&gt;"",$N138&lt;$B138),"Cierre anterior a apertura",IF(AND($M138="Asignada",$R138=""),"Asignada: falta ID lote acciones",IF(AND($R138&lt;&gt;"",ISNA(MATCH($R138,Acciones!$A$2:$A$201,0))),"El ID lote no existe en Acciones",IF($AD138="","Revisa capital en riesgo","OK")))))))))</f>
        <v/>
      </c>
    </row>
    <row r="139" customFormat="false" ht="15" hidden="false" customHeight="true" outlineLevel="0" collapsed="false">
      <c r="A139" s="5"/>
      <c r="B139" s="6"/>
      <c r="C139" s="7"/>
      <c r="D139" s="7"/>
      <c r="E139" s="8"/>
      <c r="F139" s="8"/>
      <c r="G139" s="6"/>
      <c r="H139" s="5"/>
      <c r="I139" s="5" t="n">
        <v>100</v>
      </c>
      <c r="J139" s="8"/>
      <c r="K139" s="8"/>
      <c r="L139" s="9"/>
      <c r="M139" s="7"/>
      <c r="N139" s="6"/>
      <c r="O139" s="8"/>
      <c r="P139" s="9"/>
      <c r="Q139" s="9"/>
      <c r="R139" s="7"/>
      <c r="S139" s="7"/>
      <c r="T139" s="10" t="str">
        <f aca="false">IF($C139="","",IFERROR(INDEX(Listas!$B$2:$B$20,MATCH($D139,Listas!$A$2:$A$20,0)),""))</f>
        <v/>
      </c>
      <c r="U139" s="10" t="str">
        <f aca="false">IF($C139="","",IFERROR(INDEX(Listas!$C$2:$C$20,MATCH($D139,Listas!$A$2:$A$20,0)),""))</f>
        <v/>
      </c>
      <c r="V139" s="10" t="str">
        <f aca="false">IF($C139="","",IFERROR(INDEX(Listas!$D$2:$D$20,MATCH($D139,Listas!$A$2:$A$20,0)),""))</f>
        <v/>
      </c>
      <c r="W139" s="11" t="str">
        <f aca="false">IF(OR($C139="",$B139="",$G139=""),"",$G139-$B139)</f>
        <v/>
      </c>
      <c r="X139" s="11" t="str">
        <f aca="true">IF(OR($C139="",$B139=""),"",IF($N139&lt;&gt;"",$N139,TODAY())-$B139)</f>
        <v/>
      </c>
      <c r="Y139" s="11" t="str">
        <f aca="true">IF(OR($C139="",$M139&lt;&gt;"Abierta",$G139=""),"",MAX($G139-TODAY(),0))</f>
        <v/>
      </c>
      <c r="Z139" s="12" t="str">
        <f aca="false">IF($C139="","",N($K139)*N($H139)*N($I139)*IF($U139="Débito",-1,1))</f>
        <v/>
      </c>
      <c r="AA139" s="13" t="str">
        <f aca="false">IF($C139="","",IF(AND($U139="Débito",$F139&lt;&gt;""),$F139,$E139))</f>
        <v/>
      </c>
      <c r="AB139" s="13" t="str">
        <f aca="false">IF(OR($C139="",$T139="Mixta",$AA139=""),"",IF($V139="Subyacente",IF($J139="","",$J139-$K139),IF($T139="Put",$AA139-$K139,$AA139+$K139)))</f>
        <v/>
      </c>
      <c r="AC139" s="14" t="str">
        <f aca="false">IF(OR($C139="",$T139="Mixta",$J139="",$AA139=""),"",IF($T139="Put",($J139-$AA139)/$J139,($AA139-$J139)/$J139))</f>
        <v/>
      </c>
      <c r="AD139" s="12" t="str">
        <f aca="false">IF($C139="","",IF($Q139&lt;&gt;"",$Q139,IF($V139="Strike",N($E139)*$H139*$I139,IF($V139="Subyacente",IF($J139="","",$J139*$H139*$I139),IF($V139="Ancho",IF($F139="","",ABS($E139-$F139)*$H139*$I139-$K139*$H139*$I139),IF($V139="Prima",$K139*$H139*$I139,""))))))</f>
        <v/>
      </c>
      <c r="AE139" s="12" t="str">
        <f aca="false">IF(OR($C139="",$M139="Abierta",$M139=""),"",(N($K139)-IF(OR($M139="Cerrada",$M139="Rolada"),N($O139),0))*$H139*$I139*IF($U139="Débito",-1,1)-N($L139)-N($P139))</f>
        <v/>
      </c>
      <c r="AF139" s="14" t="str">
        <f aca="false">IF(OR($AE139="",$AD139=""),"",IF($AD139&lt;=0,"",$AE139/$AD139))</f>
        <v/>
      </c>
      <c r="AG139" s="14" t="str">
        <f aca="false">IF($AF139="","",$AF139*365/MAX(N($X139),1))</f>
        <v/>
      </c>
      <c r="AH139" s="14" t="str">
        <f aca="false">IF(OR($C139="",$U139&lt;&gt;"Crédito",$AD139=""),"",IF($AD139&lt;=0,"",($Z139-N($L139))/$AD139))</f>
        <v/>
      </c>
      <c r="AI139" s="14" t="str">
        <f aca="false">IF(OR($AH139="",$W139=""),"",$AH139*365/MAX($W139,1))</f>
        <v/>
      </c>
      <c r="AJ139" s="14" t="str">
        <f aca="false">IF(OR($AE139="",$U139&lt;&gt;"Crédito",N($K139)=0),"",(N($K139)-IF(OR($M139="Cerrada",$M139="Rolada"),N($O139),0))/$K139)</f>
        <v/>
      </c>
      <c r="AK139" s="15" t="str">
        <f aca="false">IF(OR($C139="",$N139=""),"",DATE(YEAR($N139),MONTH($N139),1))</f>
        <v/>
      </c>
      <c r="AL139" s="11" t="str">
        <f aca="false">IF($C139="","",IF($M139="Abierta",0,1))</f>
        <v/>
      </c>
      <c r="AM139" s="16" t="str">
        <f aca="false">IF(OR($AE139="",$AD139=""),"",$AD139*MAX(N($X139),1))</f>
        <v/>
      </c>
      <c r="AN139" s="10" t="str">
        <f aca="false">IF($C139="","",IF(OR($B139="",$D139="",$H139="",$K139="",$M139=""),"Faltan datos obligatorios",IF($T139="","Estrategia no reconocida",IF(AND($M139&lt;&gt;"Abierta",$N139=""),"Falta fecha cierre",IF(AND(OR($M139="Cerrada",$M139="Rolada"),$O139=""),"Falta prima cierre",IF(AND($N139&lt;&gt;"",$N139&lt;$B139),"Cierre anterior a apertura",IF(AND($M139="Asignada",$R139=""),"Asignada: falta ID lote acciones",IF(AND($R139&lt;&gt;"",ISNA(MATCH($R139,Acciones!$A$2:$A$201,0))),"El ID lote no existe en Acciones",IF($AD139="","Revisa capital en riesgo","OK")))))))))</f>
        <v/>
      </c>
    </row>
    <row r="140" customFormat="false" ht="15" hidden="false" customHeight="true" outlineLevel="0" collapsed="false">
      <c r="A140" s="5"/>
      <c r="B140" s="6"/>
      <c r="C140" s="7"/>
      <c r="D140" s="7"/>
      <c r="E140" s="8"/>
      <c r="F140" s="8"/>
      <c r="G140" s="6"/>
      <c r="H140" s="5"/>
      <c r="I140" s="5" t="n">
        <v>100</v>
      </c>
      <c r="J140" s="8"/>
      <c r="K140" s="8"/>
      <c r="L140" s="9"/>
      <c r="M140" s="7"/>
      <c r="N140" s="6"/>
      <c r="O140" s="8"/>
      <c r="P140" s="9"/>
      <c r="Q140" s="9"/>
      <c r="R140" s="7"/>
      <c r="S140" s="7"/>
      <c r="T140" s="10" t="str">
        <f aca="false">IF($C140="","",IFERROR(INDEX(Listas!$B$2:$B$20,MATCH($D140,Listas!$A$2:$A$20,0)),""))</f>
        <v/>
      </c>
      <c r="U140" s="10" t="str">
        <f aca="false">IF($C140="","",IFERROR(INDEX(Listas!$C$2:$C$20,MATCH($D140,Listas!$A$2:$A$20,0)),""))</f>
        <v/>
      </c>
      <c r="V140" s="10" t="str">
        <f aca="false">IF($C140="","",IFERROR(INDEX(Listas!$D$2:$D$20,MATCH($D140,Listas!$A$2:$A$20,0)),""))</f>
        <v/>
      </c>
      <c r="W140" s="11" t="str">
        <f aca="false">IF(OR($C140="",$B140="",$G140=""),"",$G140-$B140)</f>
        <v/>
      </c>
      <c r="X140" s="11" t="str">
        <f aca="true">IF(OR($C140="",$B140=""),"",IF($N140&lt;&gt;"",$N140,TODAY())-$B140)</f>
        <v/>
      </c>
      <c r="Y140" s="11" t="str">
        <f aca="true">IF(OR($C140="",$M140&lt;&gt;"Abierta",$G140=""),"",MAX($G140-TODAY(),0))</f>
        <v/>
      </c>
      <c r="Z140" s="12" t="str">
        <f aca="false">IF($C140="","",N($K140)*N($H140)*N($I140)*IF($U140="Débito",-1,1))</f>
        <v/>
      </c>
      <c r="AA140" s="13" t="str">
        <f aca="false">IF($C140="","",IF(AND($U140="Débito",$F140&lt;&gt;""),$F140,$E140))</f>
        <v/>
      </c>
      <c r="AB140" s="13" t="str">
        <f aca="false">IF(OR($C140="",$T140="Mixta",$AA140=""),"",IF($V140="Subyacente",IF($J140="","",$J140-$K140),IF($T140="Put",$AA140-$K140,$AA140+$K140)))</f>
        <v/>
      </c>
      <c r="AC140" s="14" t="str">
        <f aca="false">IF(OR($C140="",$T140="Mixta",$J140="",$AA140=""),"",IF($T140="Put",($J140-$AA140)/$J140,($AA140-$J140)/$J140))</f>
        <v/>
      </c>
      <c r="AD140" s="12" t="str">
        <f aca="false">IF($C140="","",IF($Q140&lt;&gt;"",$Q140,IF($V140="Strike",N($E140)*$H140*$I140,IF($V140="Subyacente",IF($J140="","",$J140*$H140*$I140),IF($V140="Ancho",IF($F140="","",ABS($E140-$F140)*$H140*$I140-$K140*$H140*$I140),IF($V140="Prima",$K140*$H140*$I140,""))))))</f>
        <v/>
      </c>
      <c r="AE140" s="12" t="str">
        <f aca="false">IF(OR($C140="",$M140="Abierta",$M140=""),"",(N($K140)-IF(OR($M140="Cerrada",$M140="Rolada"),N($O140),0))*$H140*$I140*IF($U140="Débito",-1,1)-N($L140)-N($P140))</f>
        <v/>
      </c>
      <c r="AF140" s="14" t="str">
        <f aca="false">IF(OR($AE140="",$AD140=""),"",IF($AD140&lt;=0,"",$AE140/$AD140))</f>
        <v/>
      </c>
      <c r="AG140" s="14" t="str">
        <f aca="false">IF($AF140="","",$AF140*365/MAX(N($X140),1))</f>
        <v/>
      </c>
      <c r="AH140" s="14" t="str">
        <f aca="false">IF(OR($C140="",$U140&lt;&gt;"Crédito",$AD140=""),"",IF($AD140&lt;=0,"",($Z140-N($L140))/$AD140))</f>
        <v/>
      </c>
      <c r="AI140" s="14" t="str">
        <f aca="false">IF(OR($AH140="",$W140=""),"",$AH140*365/MAX($W140,1))</f>
        <v/>
      </c>
      <c r="AJ140" s="14" t="str">
        <f aca="false">IF(OR($AE140="",$U140&lt;&gt;"Crédito",N($K140)=0),"",(N($K140)-IF(OR($M140="Cerrada",$M140="Rolada"),N($O140),0))/$K140)</f>
        <v/>
      </c>
      <c r="AK140" s="15" t="str">
        <f aca="false">IF(OR($C140="",$N140=""),"",DATE(YEAR($N140),MONTH($N140),1))</f>
        <v/>
      </c>
      <c r="AL140" s="11" t="str">
        <f aca="false">IF($C140="","",IF($M140="Abierta",0,1))</f>
        <v/>
      </c>
      <c r="AM140" s="16" t="str">
        <f aca="false">IF(OR($AE140="",$AD140=""),"",$AD140*MAX(N($X140),1))</f>
        <v/>
      </c>
      <c r="AN140" s="10" t="str">
        <f aca="false">IF($C140="","",IF(OR($B140="",$D140="",$H140="",$K140="",$M140=""),"Faltan datos obligatorios",IF($T140="","Estrategia no reconocida",IF(AND($M140&lt;&gt;"Abierta",$N140=""),"Falta fecha cierre",IF(AND(OR($M140="Cerrada",$M140="Rolada"),$O140=""),"Falta prima cierre",IF(AND($N140&lt;&gt;"",$N140&lt;$B140),"Cierre anterior a apertura",IF(AND($M140="Asignada",$R140=""),"Asignada: falta ID lote acciones",IF(AND($R140&lt;&gt;"",ISNA(MATCH($R140,Acciones!$A$2:$A$201,0))),"El ID lote no existe en Acciones",IF($AD140="","Revisa capital en riesgo","OK")))))))))</f>
        <v/>
      </c>
    </row>
    <row r="141" customFormat="false" ht="15" hidden="false" customHeight="true" outlineLevel="0" collapsed="false">
      <c r="A141" s="5"/>
      <c r="B141" s="6"/>
      <c r="C141" s="7"/>
      <c r="D141" s="7"/>
      <c r="E141" s="8"/>
      <c r="F141" s="8"/>
      <c r="G141" s="6"/>
      <c r="H141" s="5"/>
      <c r="I141" s="5" t="n">
        <v>100</v>
      </c>
      <c r="J141" s="8"/>
      <c r="K141" s="8"/>
      <c r="L141" s="9"/>
      <c r="M141" s="7"/>
      <c r="N141" s="6"/>
      <c r="O141" s="8"/>
      <c r="P141" s="9"/>
      <c r="Q141" s="9"/>
      <c r="R141" s="7"/>
      <c r="S141" s="7"/>
      <c r="T141" s="10" t="str">
        <f aca="false">IF($C141="","",IFERROR(INDEX(Listas!$B$2:$B$20,MATCH($D141,Listas!$A$2:$A$20,0)),""))</f>
        <v/>
      </c>
      <c r="U141" s="10" t="str">
        <f aca="false">IF($C141="","",IFERROR(INDEX(Listas!$C$2:$C$20,MATCH($D141,Listas!$A$2:$A$20,0)),""))</f>
        <v/>
      </c>
      <c r="V141" s="10" t="str">
        <f aca="false">IF($C141="","",IFERROR(INDEX(Listas!$D$2:$D$20,MATCH($D141,Listas!$A$2:$A$20,0)),""))</f>
        <v/>
      </c>
      <c r="W141" s="11" t="str">
        <f aca="false">IF(OR($C141="",$B141="",$G141=""),"",$G141-$B141)</f>
        <v/>
      </c>
      <c r="X141" s="11" t="str">
        <f aca="true">IF(OR($C141="",$B141=""),"",IF($N141&lt;&gt;"",$N141,TODAY())-$B141)</f>
        <v/>
      </c>
      <c r="Y141" s="11" t="str">
        <f aca="true">IF(OR($C141="",$M141&lt;&gt;"Abierta",$G141=""),"",MAX($G141-TODAY(),0))</f>
        <v/>
      </c>
      <c r="Z141" s="12" t="str">
        <f aca="false">IF($C141="","",N($K141)*N($H141)*N($I141)*IF($U141="Débito",-1,1))</f>
        <v/>
      </c>
      <c r="AA141" s="13" t="str">
        <f aca="false">IF($C141="","",IF(AND($U141="Débito",$F141&lt;&gt;""),$F141,$E141))</f>
        <v/>
      </c>
      <c r="AB141" s="13" t="str">
        <f aca="false">IF(OR($C141="",$T141="Mixta",$AA141=""),"",IF($V141="Subyacente",IF($J141="","",$J141-$K141),IF($T141="Put",$AA141-$K141,$AA141+$K141)))</f>
        <v/>
      </c>
      <c r="AC141" s="14" t="str">
        <f aca="false">IF(OR($C141="",$T141="Mixta",$J141="",$AA141=""),"",IF($T141="Put",($J141-$AA141)/$J141,($AA141-$J141)/$J141))</f>
        <v/>
      </c>
      <c r="AD141" s="12" t="str">
        <f aca="false">IF($C141="","",IF($Q141&lt;&gt;"",$Q141,IF($V141="Strike",N($E141)*$H141*$I141,IF($V141="Subyacente",IF($J141="","",$J141*$H141*$I141),IF($V141="Ancho",IF($F141="","",ABS($E141-$F141)*$H141*$I141-$K141*$H141*$I141),IF($V141="Prima",$K141*$H141*$I141,""))))))</f>
        <v/>
      </c>
      <c r="AE141" s="12" t="str">
        <f aca="false">IF(OR($C141="",$M141="Abierta",$M141=""),"",(N($K141)-IF(OR($M141="Cerrada",$M141="Rolada"),N($O141),0))*$H141*$I141*IF($U141="Débito",-1,1)-N($L141)-N($P141))</f>
        <v/>
      </c>
      <c r="AF141" s="14" t="str">
        <f aca="false">IF(OR($AE141="",$AD141=""),"",IF($AD141&lt;=0,"",$AE141/$AD141))</f>
        <v/>
      </c>
      <c r="AG141" s="14" t="str">
        <f aca="false">IF($AF141="","",$AF141*365/MAX(N($X141),1))</f>
        <v/>
      </c>
      <c r="AH141" s="14" t="str">
        <f aca="false">IF(OR($C141="",$U141&lt;&gt;"Crédito",$AD141=""),"",IF($AD141&lt;=0,"",($Z141-N($L141))/$AD141))</f>
        <v/>
      </c>
      <c r="AI141" s="14" t="str">
        <f aca="false">IF(OR($AH141="",$W141=""),"",$AH141*365/MAX($W141,1))</f>
        <v/>
      </c>
      <c r="AJ141" s="14" t="str">
        <f aca="false">IF(OR($AE141="",$U141&lt;&gt;"Crédito",N($K141)=0),"",(N($K141)-IF(OR($M141="Cerrada",$M141="Rolada"),N($O141),0))/$K141)</f>
        <v/>
      </c>
      <c r="AK141" s="15" t="str">
        <f aca="false">IF(OR($C141="",$N141=""),"",DATE(YEAR($N141),MONTH($N141),1))</f>
        <v/>
      </c>
      <c r="AL141" s="11" t="str">
        <f aca="false">IF($C141="","",IF($M141="Abierta",0,1))</f>
        <v/>
      </c>
      <c r="AM141" s="16" t="str">
        <f aca="false">IF(OR($AE141="",$AD141=""),"",$AD141*MAX(N($X141),1))</f>
        <v/>
      </c>
      <c r="AN141" s="10" t="str">
        <f aca="false">IF($C141="","",IF(OR($B141="",$D141="",$H141="",$K141="",$M141=""),"Faltan datos obligatorios",IF($T141="","Estrategia no reconocida",IF(AND($M141&lt;&gt;"Abierta",$N141=""),"Falta fecha cierre",IF(AND(OR($M141="Cerrada",$M141="Rolada"),$O141=""),"Falta prima cierre",IF(AND($N141&lt;&gt;"",$N141&lt;$B141),"Cierre anterior a apertura",IF(AND($M141="Asignada",$R141=""),"Asignada: falta ID lote acciones",IF(AND($R141&lt;&gt;"",ISNA(MATCH($R141,Acciones!$A$2:$A$201,0))),"El ID lote no existe en Acciones",IF($AD141="","Revisa capital en riesgo","OK")))))))))</f>
        <v/>
      </c>
    </row>
    <row r="142" customFormat="false" ht="15" hidden="false" customHeight="true" outlineLevel="0" collapsed="false">
      <c r="A142" s="5"/>
      <c r="B142" s="6"/>
      <c r="C142" s="7"/>
      <c r="D142" s="7"/>
      <c r="E142" s="8"/>
      <c r="F142" s="8"/>
      <c r="G142" s="6"/>
      <c r="H142" s="5"/>
      <c r="I142" s="5" t="n">
        <v>100</v>
      </c>
      <c r="J142" s="8"/>
      <c r="K142" s="8"/>
      <c r="L142" s="9"/>
      <c r="M142" s="7"/>
      <c r="N142" s="6"/>
      <c r="O142" s="8"/>
      <c r="P142" s="9"/>
      <c r="Q142" s="9"/>
      <c r="R142" s="7"/>
      <c r="S142" s="7"/>
      <c r="T142" s="10" t="str">
        <f aca="false">IF($C142="","",IFERROR(INDEX(Listas!$B$2:$B$20,MATCH($D142,Listas!$A$2:$A$20,0)),""))</f>
        <v/>
      </c>
      <c r="U142" s="10" t="str">
        <f aca="false">IF($C142="","",IFERROR(INDEX(Listas!$C$2:$C$20,MATCH($D142,Listas!$A$2:$A$20,0)),""))</f>
        <v/>
      </c>
      <c r="V142" s="10" t="str">
        <f aca="false">IF($C142="","",IFERROR(INDEX(Listas!$D$2:$D$20,MATCH($D142,Listas!$A$2:$A$20,0)),""))</f>
        <v/>
      </c>
      <c r="W142" s="11" t="str">
        <f aca="false">IF(OR($C142="",$B142="",$G142=""),"",$G142-$B142)</f>
        <v/>
      </c>
      <c r="X142" s="11" t="str">
        <f aca="true">IF(OR($C142="",$B142=""),"",IF($N142&lt;&gt;"",$N142,TODAY())-$B142)</f>
        <v/>
      </c>
      <c r="Y142" s="11" t="str">
        <f aca="true">IF(OR($C142="",$M142&lt;&gt;"Abierta",$G142=""),"",MAX($G142-TODAY(),0))</f>
        <v/>
      </c>
      <c r="Z142" s="12" t="str">
        <f aca="false">IF($C142="","",N($K142)*N($H142)*N($I142)*IF($U142="Débito",-1,1))</f>
        <v/>
      </c>
      <c r="AA142" s="13" t="str">
        <f aca="false">IF($C142="","",IF(AND($U142="Débito",$F142&lt;&gt;""),$F142,$E142))</f>
        <v/>
      </c>
      <c r="AB142" s="13" t="str">
        <f aca="false">IF(OR($C142="",$T142="Mixta",$AA142=""),"",IF($V142="Subyacente",IF($J142="","",$J142-$K142),IF($T142="Put",$AA142-$K142,$AA142+$K142)))</f>
        <v/>
      </c>
      <c r="AC142" s="14" t="str">
        <f aca="false">IF(OR($C142="",$T142="Mixta",$J142="",$AA142=""),"",IF($T142="Put",($J142-$AA142)/$J142,($AA142-$J142)/$J142))</f>
        <v/>
      </c>
      <c r="AD142" s="12" t="str">
        <f aca="false">IF($C142="","",IF($Q142&lt;&gt;"",$Q142,IF($V142="Strike",N($E142)*$H142*$I142,IF($V142="Subyacente",IF($J142="","",$J142*$H142*$I142),IF($V142="Ancho",IF($F142="","",ABS($E142-$F142)*$H142*$I142-$K142*$H142*$I142),IF($V142="Prima",$K142*$H142*$I142,""))))))</f>
        <v/>
      </c>
      <c r="AE142" s="12" t="str">
        <f aca="false">IF(OR($C142="",$M142="Abierta",$M142=""),"",(N($K142)-IF(OR($M142="Cerrada",$M142="Rolada"),N($O142),0))*$H142*$I142*IF($U142="Débito",-1,1)-N($L142)-N($P142))</f>
        <v/>
      </c>
      <c r="AF142" s="14" t="str">
        <f aca="false">IF(OR($AE142="",$AD142=""),"",IF($AD142&lt;=0,"",$AE142/$AD142))</f>
        <v/>
      </c>
      <c r="AG142" s="14" t="str">
        <f aca="false">IF($AF142="","",$AF142*365/MAX(N($X142),1))</f>
        <v/>
      </c>
      <c r="AH142" s="14" t="str">
        <f aca="false">IF(OR($C142="",$U142&lt;&gt;"Crédito",$AD142=""),"",IF($AD142&lt;=0,"",($Z142-N($L142))/$AD142))</f>
        <v/>
      </c>
      <c r="AI142" s="14" t="str">
        <f aca="false">IF(OR($AH142="",$W142=""),"",$AH142*365/MAX($W142,1))</f>
        <v/>
      </c>
      <c r="AJ142" s="14" t="str">
        <f aca="false">IF(OR($AE142="",$U142&lt;&gt;"Crédito",N($K142)=0),"",(N($K142)-IF(OR($M142="Cerrada",$M142="Rolada"),N($O142),0))/$K142)</f>
        <v/>
      </c>
      <c r="AK142" s="15" t="str">
        <f aca="false">IF(OR($C142="",$N142=""),"",DATE(YEAR($N142),MONTH($N142),1))</f>
        <v/>
      </c>
      <c r="AL142" s="11" t="str">
        <f aca="false">IF($C142="","",IF($M142="Abierta",0,1))</f>
        <v/>
      </c>
      <c r="AM142" s="16" t="str">
        <f aca="false">IF(OR($AE142="",$AD142=""),"",$AD142*MAX(N($X142),1))</f>
        <v/>
      </c>
      <c r="AN142" s="10" t="str">
        <f aca="false">IF($C142="","",IF(OR($B142="",$D142="",$H142="",$K142="",$M142=""),"Faltan datos obligatorios",IF($T142="","Estrategia no reconocida",IF(AND($M142&lt;&gt;"Abierta",$N142=""),"Falta fecha cierre",IF(AND(OR($M142="Cerrada",$M142="Rolada"),$O142=""),"Falta prima cierre",IF(AND($N142&lt;&gt;"",$N142&lt;$B142),"Cierre anterior a apertura",IF(AND($M142="Asignada",$R142=""),"Asignada: falta ID lote acciones",IF(AND($R142&lt;&gt;"",ISNA(MATCH($R142,Acciones!$A$2:$A$201,0))),"El ID lote no existe en Acciones",IF($AD142="","Revisa capital en riesgo","OK")))))))))</f>
        <v/>
      </c>
    </row>
    <row r="143" customFormat="false" ht="15" hidden="false" customHeight="true" outlineLevel="0" collapsed="false">
      <c r="A143" s="5"/>
      <c r="B143" s="6"/>
      <c r="C143" s="7"/>
      <c r="D143" s="7"/>
      <c r="E143" s="8"/>
      <c r="F143" s="8"/>
      <c r="G143" s="6"/>
      <c r="H143" s="5"/>
      <c r="I143" s="5" t="n">
        <v>100</v>
      </c>
      <c r="J143" s="8"/>
      <c r="K143" s="8"/>
      <c r="L143" s="9"/>
      <c r="M143" s="7"/>
      <c r="N143" s="6"/>
      <c r="O143" s="8"/>
      <c r="P143" s="9"/>
      <c r="Q143" s="9"/>
      <c r="R143" s="7"/>
      <c r="S143" s="7"/>
      <c r="T143" s="10" t="str">
        <f aca="false">IF($C143="","",IFERROR(INDEX(Listas!$B$2:$B$20,MATCH($D143,Listas!$A$2:$A$20,0)),""))</f>
        <v/>
      </c>
      <c r="U143" s="10" t="str">
        <f aca="false">IF($C143="","",IFERROR(INDEX(Listas!$C$2:$C$20,MATCH($D143,Listas!$A$2:$A$20,0)),""))</f>
        <v/>
      </c>
      <c r="V143" s="10" t="str">
        <f aca="false">IF($C143="","",IFERROR(INDEX(Listas!$D$2:$D$20,MATCH($D143,Listas!$A$2:$A$20,0)),""))</f>
        <v/>
      </c>
      <c r="W143" s="11" t="str">
        <f aca="false">IF(OR($C143="",$B143="",$G143=""),"",$G143-$B143)</f>
        <v/>
      </c>
      <c r="X143" s="11" t="str">
        <f aca="true">IF(OR($C143="",$B143=""),"",IF($N143&lt;&gt;"",$N143,TODAY())-$B143)</f>
        <v/>
      </c>
      <c r="Y143" s="11" t="str">
        <f aca="true">IF(OR($C143="",$M143&lt;&gt;"Abierta",$G143=""),"",MAX($G143-TODAY(),0))</f>
        <v/>
      </c>
      <c r="Z143" s="12" t="str">
        <f aca="false">IF($C143="","",N($K143)*N($H143)*N($I143)*IF($U143="Débito",-1,1))</f>
        <v/>
      </c>
      <c r="AA143" s="13" t="str">
        <f aca="false">IF($C143="","",IF(AND($U143="Débito",$F143&lt;&gt;""),$F143,$E143))</f>
        <v/>
      </c>
      <c r="AB143" s="13" t="str">
        <f aca="false">IF(OR($C143="",$T143="Mixta",$AA143=""),"",IF($V143="Subyacente",IF($J143="","",$J143-$K143),IF($T143="Put",$AA143-$K143,$AA143+$K143)))</f>
        <v/>
      </c>
      <c r="AC143" s="14" t="str">
        <f aca="false">IF(OR($C143="",$T143="Mixta",$J143="",$AA143=""),"",IF($T143="Put",($J143-$AA143)/$J143,($AA143-$J143)/$J143))</f>
        <v/>
      </c>
      <c r="AD143" s="12" t="str">
        <f aca="false">IF($C143="","",IF($Q143&lt;&gt;"",$Q143,IF($V143="Strike",N($E143)*$H143*$I143,IF($V143="Subyacente",IF($J143="","",$J143*$H143*$I143),IF($V143="Ancho",IF($F143="","",ABS($E143-$F143)*$H143*$I143-$K143*$H143*$I143),IF($V143="Prima",$K143*$H143*$I143,""))))))</f>
        <v/>
      </c>
      <c r="AE143" s="12" t="str">
        <f aca="false">IF(OR($C143="",$M143="Abierta",$M143=""),"",(N($K143)-IF(OR($M143="Cerrada",$M143="Rolada"),N($O143),0))*$H143*$I143*IF($U143="Débito",-1,1)-N($L143)-N($P143))</f>
        <v/>
      </c>
      <c r="AF143" s="14" t="str">
        <f aca="false">IF(OR($AE143="",$AD143=""),"",IF($AD143&lt;=0,"",$AE143/$AD143))</f>
        <v/>
      </c>
      <c r="AG143" s="14" t="str">
        <f aca="false">IF($AF143="","",$AF143*365/MAX(N($X143),1))</f>
        <v/>
      </c>
      <c r="AH143" s="14" t="str">
        <f aca="false">IF(OR($C143="",$U143&lt;&gt;"Crédito",$AD143=""),"",IF($AD143&lt;=0,"",($Z143-N($L143))/$AD143))</f>
        <v/>
      </c>
      <c r="AI143" s="14" t="str">
        <f aca="false">IF(OR($AH143="",$W143=""),"",$AH143*365/MAX($W143,1))</f>
        <v/>
      </c>
      <c r="AJ143" s="14" t="str">
        <f aca="false">IF(OR($AE143="",$U143&lt;&gt;"Crédito",N($K143)=0),"",(N($K143)-IF(OR($M143="Cerrada",$M143="Rolada"),N($O143),0))/$K143)</f>
        <v/>
      </c>
      <c r="AK143" s="15" t="str">
        <f aca="false">IF(OR($C143="",$N143=""),"",DATE(YEAR($N143),MONTH($N143),1))</f>
        <v/>
      </c>
      <c r="AL143" s="11" t="str">
        <f aca="false">IF($C143="","",IF($M143="Abierta",0,1))</f>
        <v/>
      </c>
      <c r="AM143" s="16" t="str">
        <f aca="false">IF(OR($AE143="",$AD143=""),"",$AD143*MAX(N($X143),1))</f>
        <v/>
      </c>
      <c r="AN143" s="10" t="str">
        <f aca="false">IF($C143="","",IF(OR($B143="",$D143="",$H143="",$K143="",$M143=""),"Faltan datos obligatorios",IF($T143="","Estrategia no reconocida",IF(AND($M143&lt;&gt;"Abierta",$N143=""),"Falta fecha cierre",IF(AND(OR($M143="Cerrada",$M143="Rolada"),$O143=""),"Falta prima cierre",IF(AND($N143&lt;&gt;"",$N143&lt;$B143),"Cierre anterior a apertura",IF(AND($M143="Asignada",$R143=""),"Asignada: falta ID lote acciones",IF(AND($R143&lt;&gt;"",ISNA(MATCH($R143,Acciones!$A$2:$A$201,0))),"El ID lote no existe en Acciones",IF($AD143="","Revisa capital en riesgo","OK")))))))))</f>
        <v/>
      </c>
    </row>
    <row r="144" customFormat="false" ht="15" hidden="false" customHeight="true" outlineLevel="0" collapsed="false">
      <c r="A144" s="5"/>
      <c r="B144" s="6"/>
      <c r="C144" s="7"/>
      <c r="D144" s="7"/>
      <c r="E144" s="8"/>
      <c r="F144" s="8"/>
      <c r="G144" s="6"/>
      <c r="H144" s="5"/>
      <c r="I144" s="5" t="n">
        <v>100</v>
      </c>
      <c r="J144" s="8"/>
      <c r="K144" s="8"/>
      <c r="L144" s="9"/>
      <c r="M144" s="7"/>
      <c r="N144" s="6"/>
      <c r="O144" s="8"/>
      <c r="P144" s="9"/>
      <c r="Q144" s="9"/>
      <c r="R144" s="7"/>
      <c r="S144" s="7"/>
      <c r="T144" s="10" t="str">
        <f aca="false">IF($C144="","",IFERROR(INDEX(Listas!$B$2:$B$20,MATCH($D144,Listas!$A$2:$A$20,0)),""))</f>
        <v/>
      </c>
      <c r="U144" s="10" t="str">
        <f aca="false">IF($C144="","",IFERROR(INDEX(Listas!$C$2:$C$20,MATCH($D144,Listas!$A$2:$A$20,0)),""))</f>
        <v/>
      </c>
      <c r="V144" s="10" t="str">
        <f aca="false">IF($C144="","",IFERROR(INDEX(Listas!$D$2:$D$20,MATCH($D144,Listas!$A$2:$A$20,0)),""))</f>
        <v/>
      </c>
      <c r="W144" s="11" t="str">
        <f aca="false">IF(OR($C144="",$B144="",$G144=""),"",$G144-$B144)</f>
        <v/>
      </c>
      <c r="X144" s="11" t="str">
        <f aca="true">IF(OR($C144="",$B144=""),"",IF($N144&lt;&gt;"",$N144,TODAY())-$B144)</f>
        <v/>
      </c>
      <c r="Y144" s="11" t="str">
        <f aca="true">IF(OR($C144="",$M144&lt;&gt;"Abierta",$G144=""),"",MAX($G144-TODAY(),0))</f>
        <v/>
      </c>
      <c r="Z144" s="12" t="str">
        <f aca="false">IF($C144="","",N($K144)*N($H144)*N($I144)*IF($U144="Débito",-1,1))</f>
        <v/>
      </c>
      <c r="AA144" s="13" t="str">
        <f aca="false">IF($C144="","",IF(AND($U144="Débito",$F144&lt;&gt;""),$F144,$E144))</f>
        <v/>
      </c>
      <c r="AB144" s="13" t="str">
        <f aca="false">IF(OR($C144="",$T144="Mixta",$AA144=""),"",IF($V144="Subyacente",IF($J144="","",$J144-$K144),IF($T144="Put",$AA144-$K144,$AA144+$K144)))</f>
        <v/>
      </c>
      <c r="AC144" s="14" t="str">
        <f aca="false">IF(OR($C144="",$T144="Mixta",$J144="",$AA144=""),"",IF($T144="Put",($J144-$AA144)/$J144,($AA144-$J144)/$J144))</f>
        <v/>
      </c>
      <c r="AD144" s="12" t="str">
        <f aca="false">IF($C144="","",IF($Q144&lt;&gt;"",$Q144,IF($V144="Strike",N($E144)*$H144*$I144,IF($V144="Subyacente",IF($J144="","",$J144*$H144*$I144),IF($V144="Ancho",IF($F144="","",ABS($E144-$F144)*$H144*$I144-$K144*$H144*$I144),IF($V144="Prima",$K144*$H144*$I144,""))))))</f>
        <v/>
      </c>
      <c r="AE144" s="12" t="str">
        <f aca="false">IF(OR($C144="",$M144="Abierta",$M144=""),"",(N($K144)-IF(OR($M144="Cerrada",$M144="Rolada"),N($O144),0))*$H144*$I144*IF($U144="Débito",-1,1)-N($L144)-N($P144))</f>
        <v/>
      </c>
      <c r="AF144" s="14" t="str">
        <f aca="false">IF(OR($AE144="",$AD144=""),"",IF($AD144&lt;=0,"",$AE144/$AD144))</f>
        <v/>
      </c>
      <c r="AG144" s="14" t="str">
        <f aca="false">IF($AF144="","",$AF144*365/MAX(N($X144),1))</f>
        <v/>
      </c>
      <c r="AH144" s="14" t="str">
        <f aca="false">IF(OR($C144="",$U144&lt;&gt;"Crédito",$AD144=""),"",IF($AD144&lt;=0,"",($Z144-N($L144))/$AD144))</f>
        <v/>
      </c>
      <c r="AI144" s="14" t="str">
        <f aca="false">IF(OR($AH144="",$W144=""),"",$AH144*365/MAX($W144,1))</f>
        <v/>
      </c>
      <c r="AJ144" s="14" t="str">
        <f aca="false">IF(OR($AE144="",$U144&lt;&gt;"Crédito",N($K144)=0),"",(N($K144)-IF(OR($M144="Cerrada",$M144="Rolada"),N($O144),0))/$K144)</f>
        <v/>
      </c>
      <c r="AK144" s="15" t="str">
        <f aca="false">IF(OR($C144="",$N144=""),"",DATE(YEAR($N144),MONTH($N144),1))</f>
        <v/>
      </c>
      <c r="AL144" s="11" t="str">
        <f aca="false">IF($C144="","",IF($M144="Abierta",0,1))</f>
        <v/>
      </c>
      <c r="AM144" s="16" t="str">
        <f aca="false">IF(OR($AE144="",$AD144=""),"",$AD144*MAX(N($X144),1))</f>
        <v/>
      </c>
      <c r="AN144" s="10" t="str">
        <f aca="false">IF($C144="","",IF(OR($B144="",$D144="",$H144="",$K144="",$M144=""),"Faltan datos obligatorios",IF($T144="","Estrategia no reconocida",IF(AND($M144&lt;&gt;"Abierta",$N144=""),"Falta fecha cierre",IF(AND(OR($M144="Cerrada",$M144="Rolada"),$O144=""),"Falta prima cierre",IF(AND($N144&lt;&gt;"",$N144&lt;$B144),"Cierre anterior a apertura",IF(AND($M144="Asignada",$R144=""),"Asignada: falta ID lote acciones",IF(AND($R144&lt;&gt;"",ISNA(MATCH($R144,Acciones!$A$2:$A$201,0))),"El ID lote no existe en Acciones",IF($AD144="","Revisa capital en riesgo","OK")))))))))</f>
        <v/>
      </c>
    </row>
    <row r="145" customFormat="false" ht="15" hidden="false" customHeight="true" outlineLevel="0" collapsed="false">
      <c r="A145" s="5"/>
      <c r="B145" s="6"/>
      <c r="C145" s="7"/>
      <c r="D145" s="7"/>
      <c r="E145" s="8"/>
      <c r="F145" s="8"/>
      <c r="G145" s="6"/>
      <c r="H145" s="5"/>
      <c r="I145" s="5" t="n">
        <v>100</v>
      </c>
      <c r="J145" s="8"/>
      <c r="K145" s="8"/>
      <c r="L145" s="9"/>
      <c r="M145" s="7"/>
      <c r="N145" s="6"/>
      <c r="O145" s="8"/>
      <c r="P145" s="9"/>
      <c r="Q145" s="9"/>
      <c r="R145" s="7"/>
      <c r="S145" s="7"/>
      <c r="T145" s="10" t="str">
        <f aca="false">IF($C145="","",IFERROR(INDEX(Listas!$B$2:$B$20,MATCH($D145,Listas!$A$2:$A$20,0)),""))</f>
        <v/>
      </c>
      <c r="U145" s="10" t="str">
        <f aca="false">IF($C145="","",IFERROR(INDEX(Listas!$C$2:$C$20,MATCH($D145,Listas!$A$2:$A$20,0)),""))</f>
        <v/>
      </c>
      <c r="V145" s="10" t="str">
        <f aca="false">IF($C145="","",IFERROR(INDEX(Listas!$D$2:$D$20,MATCH($D145,Listas!$A$2:$A$20,0)),""))</f>
        <v/>
      </c>
      <c r="W145" s="11" t="str">
        <f aca="false">IF(OR($C145="",$B145="",$G145=""),"",$G145-$B145)</f>
        <v/>
      </c>
      <c r="X145" s="11" t="str">
        <f aca="true">IF(OR($C145="",$B145=""),"",IF($N145&lt;&gt;"",$N145,TODAY())-$B145)</f>
        <v/>
      </c>
      <c r="Y145" s="11" t="str">
        <f aca="true">IF(OR($C145="",$M145&lt;&gt;"Abierta",$G145=""),"",MAX($G145-TODAY(),0))</f>
        <v/>
      </c>
      <c r="Z145" s="12" t="str">
        <f aca="false">IF($C145="","",N($K145)*N($H145)*N($I145)*IF($U145="Débito",-1,1))</f>
        <v/>
      </c>
      <c r="AA145" s="13" t="str">
        <f aca="false">IF($C145="","",IF(AND($U145="Débito",$F145&lt;&gt;""),$F145,$E145))</f>
        <v/>
      </c>
      <c r="AB145" s="13" t="str">
        <f aca="false">IF(OR($C145="",$T145="Mixta",$AA145=""),"",IF($V145="Subyacente",IF($J145="","",$J145-$K145),IF($T145="Put",$AA145-$K145,$AA145+$K145)))</f>
        <v/>
      </c>
      <c r="AC145" s="14" t="str">
        <f aca="false">IF(OR($C145="",$T145="Mixta",$J145="",$AA145=""),"",IF($T145="Put",($J145-$AA145)/$J145,($AA145-$J145)/$J145))</f>
        <v/>
      </c>
      <c r="AD145" s="12" t="str">
        <f aca="false">IF($C145="","",IF($Q145&lt;&gt;"",$Q145,IF($V145="Strike",N($E145)*$H145*$I145,IF($V145="Subyacente",IF($J145="","",$J145*$H145*$I145),IF($V145="Ancho",IF($F145="","",ABS($E145-$F145)*$H145*$I145-$K145*$H145*$I145),IF($V145="Prima",$K145*$H145*$I145,""))))))</f>
        <v/>
      </c>
      <c r="AE145" s="12" t="str">
        <f aca="false">IF(OR($C145="",$M145="Abierta",$M145=""),"",(N($K145)-IF(OR($M145="Cerrada",$M145="Rolada"),N($O145),0))*$H145*$I145*IF($U145="Débito",-1,1)-N($L145)-N($P145))</f>
        <v/>
      </c>
      <c r="AF145" s="14" t="str">
        <f aca="false">IF(OR($AE145="",$AD145=""),"",IF($AD145&lt;=0,"",$AE145/$AD145))</f>
        <v/>
      </c>
      <c r="AG145" s="14" t="str">
        <f aca="false">IF($AF145="","",$AF145*365/MAX(N($X145),1))</f>
        <v/>
      </c>
      <c r="AH145" s="14" t="str">
        <f aca="false">IF(OR($C145="",$U145&lt;&gt;"Crédito",$AD145=""),"",IF($AD145&lt;=0,"",($Z145-N($L145))/$AD145))</f>
        <v/>
      </c>
      <c r="AI145" s="14" t="str">
        <f aca="false">IF(OR($AH145="",$W145=""),"",$AH145*365/MAX($W145,1))</f>
        <v/>
      </c>
      <c r="AJ145" s="14" t="str">
        <f aca="false">IF(OR($AE145="",$U145&lt;&gt;"Crédito",N($K145)=0),"",(N($K145)-IF(OR($M145="Cerrada",$M145="Rolada"),N($O145),0))/$K145)</f>
        <v/>
      </c>
      <c r="AK145" s="15" t="str">
        <f aca="false">IF(OR($C145="",$N145=""),"",DATE(YEAR($N145),MONTH($N145),1))</f>
        <v/>
      </c>
      <c r="AL145" s="11" t="str">
        <f aca="false">IF($C145="","",IF($M145="Abierta",0,1))</f>
        <v/>
      </c>
      <c r="AM145" s="16" t="str">
        <f aca="false">IF(OR($AE145="",$AD145=""),"",$AD145*MAX(N($X145),1))</f>
        <v/>
      </c>
      <c r="AN145" s="10" t="str">
        <f aca="false">IF($C145="","",IF(OR($B145="",$D145="",$H145="",$K145="",$M145=""),"Faltan datos obligatorios",IF($T145="","Estrategia no reconocida",IF(AND($M145&lt;&gt;"Abierta",$N145=""),"Falta fecha cierre",IF(AND(OR($M145="Cerrada",$M145="Rolada"),$O145=""),"Falta prima cierre",IF(AND($N145&lt;&gt;"",$N145&lt;$B145),"Cierre anterior a apertura",IF(AND($M145="Asignada",$R145=""),"Asignada: falta ID lote acciones",IF(AND($R145&lt;&gt;"",ISNA(MATCH($R145,Acciones!$A$2:$A$201,0))),"El ID lote no existe en Acciones",IF($AD145="","Revisa capital en riesgo","OK")))))))))</f>
        <v/>
      </c>
    </row>
    <row r="146" customFormat="false" ht="15" hidden="false" customHeight="true" outlineLevel="0" collapsed="false">
      <c r="A146" s="5"/>
      <c r="B146" s="6"/>
      <c r="C146" s="7"/>
      <c r="D146" s="7"/>
      <c r="E146" s="8"/>
      <c r="F146" s="8"/>
      <c r="G146" s="6"/>
      <c r="H146" s="5"/>
      <c r="I146" s="5" t="n">
        <v>100</v>
      </c>
      <c r="J146" s="8"/>
      <c r="K146" s="8"/>
      <c r="L146" s="9"/>
      <c r="M146" s="7"/>
      <c r="N146" s="6"/>
      <c r="O146" s="8"/>
      <c r="P146" s="9"/>
      <c r="Q146" s="9"/>
      <c r="R146" s="7"/>
      <c r="S146" s="7"/>
      <c r="T146" s="10" t="str">
        <f aca="false">IF($C146="","",IFERROR(INDEX(Listas!$B$2:$B$20,MATCH($D146,Listas!$A$2:$A$20,0)),""))</f>
        <v/>
      </c>
      <c r="U146" s="10" t="str">
        <f aca="false">IF($C146="","",IFERROR(INDEX(Listas!$C$2:$C$20,MATCH($D146,Listas!$A$2:$A$20,0)),""))</f>
        <v/>
      </c>
      <c r="V146" s="10" t="str">
        <f aca="false">IF($C146="","",IFERROR(INDEX(Listas!$D$2:$D$20,MATCH($D146,Listas!$A$2:$A$20,0)),""))</f>
        <v/>
      </c>
      <c r="W146" s="11" t="str">
        <f aca="false">IF(OR($C146="",$B146="",$G146=""),"",$G146-$B146)</f>
        <v/>
      </c>
      <c r="X146" s="11" t="str">
        <f aca="true">IF(OR($C146="",$B146=""),"",IF($N146&lt;&gt;"",$N146,TODAY())-$B146)</f>
        <v/>
      </c>
      <c r="Y146" s="11" t="str">
        <f aca="true">IF(OR($C146="",$M146&lt;&gt;"Abierta",$G146=""),"",MAX($G146-TODAY(),0))</f>
        <v/>
      </c>
      <c r="Z146" s="12" t="str">
        <f aca="false">IF($C146="","",N($K146)*N($H146)*N($I146)*IF($U146="Débito",-1,1))</f>
        <v/>
      </c>
      <c r="AA146" s="13" t="str">
        <f aca="false">IF($C146="","",IF(AND($U146="Débito",$F146&lt;&gt;""),$F146,$E146))</f>
        <v/>
      </c>
      <c r="AB146" s="13" t="str">
        <f aca="false">IF(OR($C146="",$T146="Mixta",$AA146=""),"",IF($V146="Subyacente",IF($J146="","",$J146-$K146),IF($T146="Put",$AA146-$K146,$AA146+$K146)))</f>
        <v/>
      </c>
      <c r="AC146" s="14" t="str">
        <f aca="false">IF(OR($C146="",$T146="Mixta",$J146="",$AA146=""),"",IF($T146="Put",($J146-$AA146)/$J146,($AA146-$J146)/$J146))</f>
        <v/>
      </c>
      <c r="AD146" s="12" t="str">
        <f aca="false">IF($C146="","",IF($Q146&lt;&gt;"",$Q146,IF($V146="Strike",N($E146)*$H146*$I146,IF($V146="Subyacente",IF($J146="","",$J146*$H146*$I146),IF($V146="Ancho",IF($F146="","",ABS($E146-$F146)*$H146*$I146-$K146*$H146*$I146),IF($V146="Prima",$K146*$H146*$I146,""))))))</f>
        <v/>
      </c>
      <c r="AE146" s="12" t="str">
        <f aca="false">IF(OR($C146="",$M146="Abierta",$M146=""),"",(N($K146)-IF(OR($M146="Cerrada",$M146="Rolada"),N($O146),0))*$H146*$I146*IF($U146="Débito",-1,1)-N($L146)-N($P146))</f>
        <v/>
      </c>
      <c r="AF146" s="14" t="str">
        <f aca="false">IF(OR($AE146="",$AD146=""),"",IF($AD146&lt;=0,"",$AE146/$AD146))</f>
        <v/>
      </c>
      <c r="AG146" s="14" t="str">
        <f aca="false">IF($AF146="","",$AF146*365/MAX(N($X146),1))</f>
        <v/>
      </c>
      <c r="AH146" s="14" t="str">
        <f aca="false">IF(OR($C146="",$U146&lt;&gt;"Crédito",$AD146=""),"",IF($AD146&lt;=0,"",($Z146-N($L146))/$AD146))</f>
        <v/>
      </c>
      <c r="AI146" s="14" t="str">
        <f aca="false">IF(OR($AH146="",$W146=""),"",$AH146*365/MAX($W146,1))</f>
        <v/>
      </c>
      <c r="AJ146" s="14" t="str">
        <f aca="false">IF(OR($AE146="",$U146&lt;&gt;"Crédito",N($K146)=0),"",(N($K146)-IF(OR($M146="Cerrada",$M146="Rolada"),N($O146),0))/$K146)</f>
        <v/>
      </c>
      <c r="AK146" s="15" t="str">
        <f aca="false">IF(OR($C146="",$N146=""),"",DATE(YEAR($N146),MONTH($N146),1))</f>
        <v/>
      </c>
      <c r="AL146" s="11" t="str">
        <f aca="false">IF($C146="","",IF($M146="Abierta",0,1))</f>
        <v/>
      </c>
      <c r="AM146" s="16" t="str">
        <f aca="false">IF(OR($AE146="",$AD146=""),"",$AD146*MAX(N($X146),1))</f>
        <v/>
      </c>
      <c r="AN146" s="10" t="str">
        <f aca="false">IF($C146="","",IF(OR($B146="",$D146="",$H146="",$K146="",$M146=""),"Faltan datos obligatorios",IF($T146="","Estrategia no reconocida",IF(AND($M146&lt;&gt;"Abierta",$N146=""),"Falta fecha cierre",IF(AND(OR($M146="Cerrada",$M146="Rolada"),$O146=""),"Falta prima cierre",IF(AND($N146&lt;&gt;"",$N146&lt;$B146),"Cierre anterior a apertura",IF(AND($M146="Asignada",$R146=""),"Asignada: falta ID lote acciones",IF(AND($R146&lt;&gt;"",ISNA(MATCH($R146,Acciones!$A$2:$A$201,0))),"El ID lote no existe en Acciones",IF($AD146="","Revisa capital en riesgo","OK")))))))))</f>
        <v/>
      </c>
    </row>
    <row r="147" customFormat="false" ht="15" hidden="false" customHeight="true" outlineLevel="0" collapsed="false">
      <c r="A147" s="5"/>
      <c r="B147" s="6"/>
      <c r="C147" s="7"/>
      <c r="D147" s="7"/>
      <c r="E147" s="8"/>
      <c r="F147" s="8"/>
      <c r="G147" s="6"/>
      <c r="H147" s="5"/>
      <c r="I147" s="5" t="n">
        <v>100</v>
      </c>
      <c r="J147" s="8"/>
      <c r="K147" s="8"/>
      <c r="L147" s="9"/>
      <c r="M147" s="7"/>
      <c r="N147" s="6"/>
      <c r="O147" s="8"/>
      <c r="P147" s="9"/>
      <c r="Q147" s="9"/>
      <c r="R147" s="7"/>
      <c r="S147" s="7"/>
      <c r="T147" s="10" t="str">
        <f aca="false">IF($C147="","",IFERROR(INDEX(Listas!$B$2:$B$20,MATCH($D147,Listas!$A$2:$A$20,0)),""))</f>
        <v/>
      </c>
      <c r="U147" s="10" t="str">
        <f aca="false">IF($C147="","",IFERROR(INDEX(Listas!$C$2:$C$20,MATCH($D147,Listas!$A$2:$A$20,0)),""))</f>
        <v/>
      </c>
      <c r="V147" s="10" t="str">
        <f aca="false">IF($C147="","",IFERROR(INDEX(Listas!$D$2:$D$20,MATCH($D147,Listas!$A$2:$A$20,0)),""))</f>
        <v/>
      </c>
      <c r="W147" s="11" t="str">
        <f aca="false">IF(OR($C147="",$B147="",$G147=""),"",$G147-$B147)</f>
        <v/>
      </c>
      <c r="X147" s="11" t="str">
        <f aca="true">IF(OR($C147="",$B147=""),"",IF($N147&lt;&gt;"",$N147,TODAY())-$B147)</f>
        <v/>
      </c>
      <c r="Y147" s="11" t="str">
        <f aca="true">IF(OR($C147="",$M147&lt;&gt;"Abierta",$G147=""),"",MAX($G147-TODAY(),0))</f>
        <v/>
      </c>
      <c r="Z147" s="12" t="str">
        <f aca="false">IF($C147="","",N($K147)*N($H147)*N($I147)*IF($U147="Débito",-1,1))</f>
        <v/>
      </c>
      <c r="AA147" s="13" t="str">
        <f aca="false">IF($C147="","",IF(AND($U147="Débito",$F147&lt;&gt;""),$F147,$E147))</f>
        <v/>
      </c>
      <c r="AB147" s="13" t="str">
        <f aca="false">IF(OR($C147="",$T147="Mixta",$AA147=""),"",IF($V147="Subyacente",IF($J147="","",$J147-$K147),IF($T147="Put",$AA147-$K147,$AA147+$K147)))</f>
        <v/>
      </c>
      <c r="AC147" s="14" t="str">
        <f aca="false">IF(OR($C147="",$T147="Mixta",$J147="",$AA147=""),"",IF($T147="Put",($J147-$AA147)/$J147,($AA147-$J147)/$J147))</f>
        <v/>
      </c>
      <c r="AD147" s="12" t="str">
        <f aca="false">IF($C147="","",IF($Q147&lt;&gt;"",$Q147,IF($V147="Strike",N($E147)*$H147*$I147,IF($V147="Subyacente",IF($J147="","",$J147*$H147*$I147),IF($V147="Ancho",IF($F147="","",ABS($E147-$F147)*$H147*$I147-$K147*$H147*$I147),IF($V147="Prima",$K147*$H147*$I147,""))))))</f>
        <v/>
      </c>
      <c r="AE147" s="12" t="str">
        <f aca="false">IF(OR($C147="",$M147="Abierta",$M147=""),"",(N($K147)-IF(OR($M147="Cerrada",$M147="Rolada"),N($O147),0))*$H147*$I147*IF($U147="Débito",-1,1)-N($L147)-N($P147))</f>
        <v/>
      </c>
      <c r="AF147" s="14" t="str">
        <f aca="false">IF(OR($AE147="",$AD147=""),"",IF($AD147&lt;=0,"",$AE147/$AD147))</f>
        <v/>
      </c>
      <c r="AG147" s="14" t="str">
        <f aca="false">IF($AF147="","",$AF147*365/MAX(N($X147),1))</f>
        <v/>
      </c>
      <c r="AH147" s="14" t="str">
        <f aca="false">IF(OR($C147="",$U147&lt;&gt;"Crédito",$AD147=""),"",IF($AD147&lt;=0,"",($Z147-N($L147))/$AD147))</f>
        <v/>
      </c>
      <c r="AI147" s="14" t="str">
        <f aca="false">IF(OR($AH147="",$W147=""),"",$AH147*365/MAX($W147,1))</f>
        <v/>
      </c>
      <c r="AJ147" s="14" t="str">
        <f aca="false">IF(OR($AE147="",$U147&lt;&gt;"Crédito",N($K147)=0),"",(N($K147)-IF(OR($M147="Cerrada",$M147="Rolada"),N($O147),0))/$K147)</f>
        <v/>
      </c>
      <c r="AK147" s="15" t="str">
        <f aca="false">IF(OR($C147="",$N147=""),"",DATE(YEAR($N147),MONTH($N147),1))</f>
        <v/>
      </c>
      <c r="AL147" s="11" t="str">
        <f aca="false">IF($C147="","",IF($M147="Abierta",0,1))</f>
        <v/>
      </c>
      <c r="AM147" s="16" t="str">
        <f aca="false">IF(OR($AE147="",$AD147=""),"",$AD147*MAX(N($X147),1))</f>
        <v/>
      </c>
      <c r="AN147" s="10" t="str">
        <f aca="false">IF($C147="","",IF(OR($B147="",$D147="",$H147="",$K147="",$M147=""),"Faltan datos obligatorios",IF($T147="","Estrategia no reconocida",IF(AND($M147&lt;&gt;"Abierta",$N147=""),"Falta fecha cierre",IF(AND(OR($M147="Cerrada",$M147="Rolada"),$O147=""),"Falta prima cierre",IF(AND($N147&lt;&gt;"",$N147&lt;$B147),"Cierre anterior a apertura",IF(AND($M147="Asignada",$R147=""),"Asignada: falta ID lote acciones",IF(AND($R147&lt;&gt;"",ISNA(MATCH($R147,Acciones!$A$2:$A$201,0))),"El ID lote no existe en Acciones",IF($AD147="","Revisa capital en riesgo","OK")))))))))</f>
        <v/>
      </c>
    </row>
    <row r="148" customFormat="false" ht="15" hidden="false" customHeight="true" outlineLevel="0" collapsed="false">
      <c r="A148" s="5"/>
      <c r="B148" s="6"/>
      <c r="C148" s="7"/>
      <c r="D148" s="7"/>
      <c r="E148" s="8"/>
      <c r="F148" s="8"/>
      <c r="G148" s="6"/>
      <c r="H148" s="5"/>
      <c r="I148" s="5" t="n">
        <v>100</v>
      </c>
      <c r="J148" s="8"/>
      <c r="K148" s="8"/>
      <c r="L148" s="9"/>
      <c r="M148" s="7"/>
      <c r="N148" s="6"/>
      <c r="O148" s="8"/>
      <c r="P148" s="9"/>
      <c r="Q148" s="9"/>
      <c r="R148" s="7"/>
      <c r="S148" s="7"/>
      <c r="T148" s="10" t="str">
        <f aca="false">IF($C148="","",IFERROR(INDEX(Listas!$B$2:$B$20,MATCH($D148,Listas!$A$2:$A$20,0)),""))</f>
        <v/>
      </c>
      <c r="U148" s="10" t="str">
        <f aca="false">IF($C148="","",IFERROR(INDEX(Listas!$C$2:$C$20,MATCH($D148,Listas!$A$2:$A$20,0)),""))</f>
        <v/>
      </c>
      <c r="V148" s="10" t="str">
        <f aca="false">IF($C148="","",IFERROR(INDEX(Listas!$D$2:$D$20,MATCH($D148,Listas!$A$2:$A$20,0)),""))</f>
        <v/>
      </c>
      <c r="W148" s="11" t="str">
        <f aca="false">IF(OR($C148="",$B148="",$G148=""),"",$G148-$B148)</f>
        <v/>
      </c>
      <c r="X148" s="11" t="str">
        <f aca="true">IF(OR($C148="",$B148=""),"",IF($N148&lt;&gt;"",$N148,TODAY())-$B148)</f>
        <v/>
      </c>
      <c r="Y148" s="11" t="str">
        <f aca="true">IF(OR($C148="",$M148&lt;&gt;"Abierta",$G148=""),"",MAX($G148-TODAY(),0))</f>
        <v/>
      </c>
      <c r="Z148" s="12" t="str">
        <f aca="false">IF($C148="","",N($K148)*N($H148)*N($I148)*IF($U148="Débito",-1,1))</f>
        <v/>
      </c>
      <c r="AA148" s="13" t="str">
        <f aca="false">IF($C148="","",IF(AND($U148="Débito",$F148&lt;&gt;""),$F148,$E148))</f>
        <v/>
      </c>
      <c r="AB148" s="13" t="str">
        <f aca="false">IF(OR($C148="",$T148="Mixta",$AA148=""),"",IF($V148="Subyacente",IF($J148="","",$J148-$K148),IF($T148="Put",$AA148-$K148,$AA148+$K148)))</f>
        <v/>
      </c>
      <c r="AC148" s="14" t="str">
        <f aca="false">IF(OR($C148="",$T148="Mixta",$J148="",$AA148=""),"",IF($T148="Put",($J148-$AA148)/$J148,($AA148-$J148)/$J148))</f>
        <v/>
      </c>
      <c r="AD148" s="12" t="str">
        <f aca="false">IF($C148="","",IF($Q148&lt;&gt;"",$Q148,IF($V148="Strike",N($E148)*$H148*$I148,IF($V148="Subyacente",IF($J148="","",$J148*$H148*$I148),IF($V148="Ancho",IF($F148="","",ABS($E148-$F148)*$H148*$I148-$K148*$H148*$I148),IF($V148="Prima",$K148*$H148*$I148,""))))))</f>
        <v/>
      </c>
      <c r="AE148" s="12" t="str">
        <f aca="false">IF(OR($C148="",$M148="Abierta",$M148=""),"",(N($K148)-IF(OR($M148="Cerrada",$M148="Rolada"),N($O148),0))*$H148*$I148*IF($U148="Débito",-1,1)-N($L148)-N($P148))</f>
        <v/>
      </c>
      <c r="AF148" s="14" t="str">
        <f aca="false">IF(OR($AE148="",$AD148=""),"",IF($AD148&lt;=0,"",$AE148/$AD148))</f>
        <v/>
      </c>
      <c r="AG148" s="14" t="str">
        <f aca="false">IF($AF148="","",$AF148*365/MAX(N($X148),1))</f>
        <v/>
      </c>
      <c r="AH148" s="14" t="str">
        <f aca="false">IF(OR($C148="",$U148&lt;&gt;"Crédito",$AD148=""),"",IF($AD148&lt;=0,"",($Z148-N($L148))/$AD148))</f>
        <v/>
      </c>
      <c r="AI148" s="14" t="str">
        <f aca="false">IF(OR($AH148="",$W148=""),"",$AH148*365/MAX($W148,1))</f>
        <v/>
      </c>
      <c r="AJ148" s="14" t="str">
        <f aca="false">IF(OR($AE148="",$U148&lt;&gt;"Crédito",N($K148)=0),"",(N($K148)-IF(OR($M148="Cerrada",$M148="Rolada"),N($O148),0))/$K148)</f>
        <v/>
      </c>
      <c r="AK148" s="15" t="str">
        <f aca="false">IF(OR($C148="",$N148=""),"",DATE(YEAR($N148),MONTH($N148),1))</f>
        <v/>
      </c>
      <c r="AL148" s="11" t="str">
        <f aca="false">IF($C148="","",IF($M148="Abierta",0,1))</f>
        <v/>
      </c>
      <c r="AM148" s="16" t="str">
        <f aca="false">IF(OR($AE148="",$AD148=""),"",$AD148*MAX(N($X148),1))</f>
        <v/>
      </c>
      <c r="AN148" s="10" t="str">
        <f aca="false">IF($C148="","",IF(OR($B148="",$D148="",$H148="",$K148="",$M148=""),"Faltan datos obligatorios",IF($T148="","Estrategia no reconocida",IF(AND($M148&lt;&gt;"Abierta",$N148=""),"Falta fecha cierre",IF(AND(OR($M148="Cerrada",$M148="Rolada"),$O148=""),"Falta prima cierre",IF(AND($N148&lt;&gt;"",$N148&lt;$B148),"Cierre anterior a apertura",IF(AND($M148="Asignada",$R148=""),"Asignada: falta ID lote acciones",IF(AND($R148&lt;&gt;"",ISNA(MATCH($R148,Acciones!$A$2:$A$201,0))),"El ID lote no existe en Acciones",IF($AD148="","Revisa capital en riesgo","OK")))))))))</f>
        <v/>
      </c>
    </row>
    <row r="149" customFormat="false" ht="15" hidden="false" customHeight="true" outlineLevel="0" collapsed="false">
      <c r="A149" s="5"/>
      <c r="B149" s="6"/>
      <c r="C149" s="7"/>
      <c r="D149" s="7"/>
      <c r="E149" s="8"/>
      <c r="F149" s="8"/>
      <c r="G149" s="6"/>
      <c r="H149" s="5"/>
      <c r="I149" s="5" t="n">
        <v>100</v>
      </c>
      <c r="J149" s="8"/>
      <c r="K149" s="8"/>
      <c r="L149" s="9"/>
      <c r="M149" s="7"/>
      <c r="N149" s="6"/>
      <c r="O149" s="8"/>
      <c r="P149" s="9"/>
      <c r="Q149" s="9"/>
      <c r="R149" s="7"/>
      <c r="S149" s="7"/>
      <c r="T149" s="10" t="str">
        <f aca="false">IF($C149="","",IFERROR(INDEX(Listas!$B$2:$B$20,MATCH($D149,Listas!$A$2:$A$20,0)),""))</f>
        <v/>
      </c>
      <c r="U149" s="10" t="str">
        <f aca="false">IF($C149="","",IFERROR(INDEX(Listas!$C$2:$C$20,MATCH($D149,Listas!$A$2:$A$20,0)),""))</f>
        <v/>
      </c>
      <c r="V149" s="10" t="str">
        <f aca="false">IF($C149="","",IFERROR(INDEX(Listas!$D$2:$D$20,MATCH($D149,Listas!$A$2:$A$20,0)),""))</f>
        <v/>
      </c>
      <c r="W149" s="11" t="str">
        <f aca="false">IF(OR($C149="",$B149="",$G149=""),"",$G149-$B149)</f>
        <v/>
      </c>
      <c r="X149" s="11" t="str">
        <f aca="true">IF(OR($C149="",$B149=""),"",IF($N149&lt;&gt;"",$N149,TODAY())-$B149)</f>
        <v/>
      </c>
      <c r="Y149" s="11" t="str">
        <f aca="true">IF(OR($C149="",$M149&lt;&gt;"Abierta",$G149=""),"",MAX($G149-TODAY(),0))</f>
        <v/>
      </c>
      <c r="Z149" s="12" t="str">
        <f aca="false">IF($C149="","",N($K149)*N($H149)*N($I149)*IF($U149="Débito",-1,1))</f>
        <v/>
      </c>
      <c r="AA149" s="13" t="str">
        <f aca="false">IF($C149="","",IF(AND($U149="Débito",$F149&lt;&gt;""),$F149,$E149))</f>
        <v/>
      </c>
      <c r="AB149" s="13" t="str">
        <f aca="false">IF(OR($C149="",$T149="Mixta",$AA149=""),"",IF($V149="Subyacente",IF($J149="","",$J149-$K149),IF($T149="Put",$AA149-$K149,$AA149+$K149)))</f>
        <v/>
      </c>
      <c r="AC149" s="14" t="str">
        <f aca="false">IF(OR($C149="",$T149="Mixta",$J149="",$AA149=""),"",IF($T149="Put",($J149-$AA149)/$J149,($AA149-$J149)/$J149))</f>
        <v/>
      </c>
      <c r="AD149" s="12" t="str">
        <f aca="false">IF($C149="","",IF($Q149&lt;&gt;"",$Q149,IF($V149="Strike",N($E149)*$H149*$I149,IF($V149="Subyacente",IF($J149="","",$J149*$H149*$I149),IF($V149="Ancho",IF($F149="","",ABS($E149-$F149)*$H149*$I149-$K149*$H149*$I149),IF($V149="Prima",$K149*$H149*$I149,""))))))</f>
        <v/>
      </c>
      <c r="AE149" s="12" t="str">
        <f aca="false">IF(OR($C149="",$M149="Abierta",$M149=""),"",(N($K149)-IF(OR($M149="Cerrada",$M149="Rolada"),N($O149),0))*$H149*$I149*IF($U149="Débito",-1,1)-N($L149)-N($P149))</f>
        <v/>
      </c>
      <c r="AF149" s="14" t="str">
        <f aca="false">IF(OR($AE149="",$AD149=""),"",IF($AD149&lt;=0,"",$AE149/$AD149))</f>
        <v/>
      </c>
      <c r="AG149" s="14" t="str">
        <f aca="false">IF($AF149="","",$AF149*365/MAX(N($X149),1))</f>
        <v/>
      </c>
      <c r="AH149" s="14" t="str">
        <f aca="false">IF(OR($C149="",$U149&lt;&gt;"Crédito",$AD149=""),"",IF($AD149&lt;=0,"",($Z149-N($L149))/$AD149))</f>
        <v/>
      </c>
      <c r="AI149" s="14" t="str">
        <f aca="false">IF(OR($AH149="",$W149=""),"",$AH149*365/MAX($W149,1))</f>
        <v/>
      </c>
      <c r="AJ149" s="14" t="str">
        <f aca="false">IF(OR($AE149="",$U149&lt;&gt;"Crédito",N($K149)=0),"",(N($K149)-IF(OR($M149="Cerrada",$M149="Rolada"),N($O149),0))/$K149)</f>
        <v/>
      </c>
      <c r="AK149" s="15" t="str">
        <f aca="false">IF(OR($C149="",$N149=""),"",DATE(YEAR($N149),MONTH($N149),1))</f>
        <v/>
      </c>
      <c r="AL149" s="11" t="str">
        <f aca="false">IF($C149="","",IF($M149="Abierta",0,1))</f>
        <v/>
      </c>
      <c r="AM149" s="16" t="str">
        <f aca="false">IF(OR($AE149="",$AD149=""),"",$AD149*MAX(N($X149),1))</f>
        <v/>
      </c>
      <c r="AN149" s="10" t="str">
        <f aca="false">IF($C149="","",IF(OR($B149="",$D149="",$H149="",$K149="",$M149=""),"Faltan datos obligatorios",IF($T149="","Estrategia no reconocida",IF(AND($M149&lt;&gt;"Abierta",$N149=""),"Falta fecha cierre",IF(AND(OR($M149="Cerrada",$M149="Rolada"),$O149=""),"Falta prima cierre",IF(AND($N149&lt;&gt;"",$N149&lt;$B149),"Cierre anterior a apertura",IF(AND($M149="Asignada",$R149=""),"Asignada: falta ID lote acciones",IF(AND($R149&lt;&gt;"",ISNA(MATCH($R149,Acciones!$A$2:$A$201,0))),"El ID lote no existe en Acciones",IF($AD149="","Revisa capital en riesgo","OK")))))))))</f>
        <v/>
      </c>
    </row>
    <row r="150" customFormat="false" ht="15" hidden="false" customHeight="true" outlineLevel="0" collapsed="false">
      <c r="A150" s="5"/>
      <c r="B150" s="6"/>
      <c r="C150" s="7"/>
      <c r="D150" s="7"/>
      <c r="E150" s="8"/>
      <c r="F150" s="8"/>
      <c r="G150" s="6"/>
      <c r="H150" s="5"/>
      <c r="I150" s="5" t="n">
        <v>100</v>
      </c>
      <c r="J150" s="8"/>
      <c r="K150" s="8"/>
      <c r="L150" s="9"/>
      <c r="M150" s="7"/>
      <c r="N150" s="6"/>
      <c r="O150" s="8"/>
      <c r="P150" s="9"/>
      <c r="Q150" s="9"/>
      <c r="R150" s="7"/>
      <c r="S150" s="7"/>
      <c r="T150" s="10" t="str">
        <f aca="false">IF($C150="","",IFERROR(INDEX(Listas!$B$2:$B$20,MATCH($D150,Listas!$A$2:$A$20,0)),""))</f>
        <v/>
      </c>
      <c r="U150" s="10" t="str">
        <f aca="false">IF($C150="","",IFERROR(INDEX(Listas!$C$2:$C$20,MATCH($D150,Listas!$A$2:$A$20,0)),""))</f>
        <v/>
      </c>
      <c r="V150" s="10" t="str">
        <f aca="false">IF($C150="","",IFERROR(INDEX(Listas!$D$2:$D$20,MATCH($D150,Listas!$A$2:$A$20,0)),""))</f>
        <v/>
      </c>
      <c r="W150" s="11" t="str">
        <f aca="false">IF(OR($C150="",$B150="",$G150=""),"",$G150-$B150)</f>
        <v/>
      </c>
      <c r="X150" s="11" t="str">
        <f aca="true">IF(OR($C150="",$B150=""),"",IF($N150&lt;&gt;"",$N150,TODAY())-$B150)</f>
        <v/>
      </c>
      <c r="Y150" s="11" t="str">
        <f aca="true">IF(OR($C150="",$M150&lt;&gt;"Abierta",$G150=""),"",MAX($G150-TODAY(),0))</f>
        <v/>
      </c>
      <c r="Z150" s="12" t="str">
        <f aca="false">IF($C150="","",N($K150)*N($H150)*N($I150)*IF($U150="Débito",-1,1))</f>
        <v/>
      </c>
      <c r="AA150" s="13" t="str">
        <f aca="false">IF($C150="","",IF(AND($U150="Débito",$F150&lt;&gt;""),$F150,$E150))</f>
        <v/>
      </c>
      <c r="AB150" s="13" t="str">
        <f aca="false">IF(OR($C150="",$T150="Mixta",$AA150=""),"",IF($V150="Subyacente",IF($J150="","",$J150-$K150),IF($T150="Put",$AA150-$K150,$AA150+$K150)))</f>
        <v/>
      </c>
      <c r="AC150" s="14" t="str">
        <f aca="false">IF(OR($C150="",$T150="Mixta",$J150="",$AA150=""),"",IF($T150="Put",($J150-$AA150)/$J150,($AA150-$J150)/$J150))</f>
        <v/>
      </c>
      <c r="AD150" s="12" t="str">
        <f aca="false">IF($C150="","",IF($Q150&lt;&gt;"",$Q150,IF($V150="Strike",N($E150)*$H150*$I150,IF($V150="Subyacente",IF($J150="","",$J150*$H150*$I150),IF($V150="Ancho",IF($F150="","",ABS($E150-$F150)*$H150*$I150-$K150*$H150*$I150),IF($V150="Prima",$K150*$H150*$I150,""))))))</f>
        <v/>
      </c>
      <c r="AE150" s="12" t="str">
        <f aca="false">IF(OR($C150="",$M150="Abierta",$M150=""),"",(N($K150)-IF(OR($M150="Cerrada",$M150="Rolada"),N($O150),0))*$H150*$I150*IF($U150="Débito",-1,1)-N($L150)-N($P150))</f>
        <v/>
      </c>
      <c r="AF150" s="14" t="str">
        <f aca="false">IF(OR($AE150="",$AD150=""),"",IF($AD150&lt;=0,"",$AE150/$AD150))</f>
        <v/>
      </c>
      <c r="AG150" s="14" t="str">
        <f aca="false">IF($AF150="","",$AF150*365/MAX(N($X150),1))</f>
        <v/>
      </c>
      <c r="AH150" s="14" t="str">
        <f aca="false">IF(OR($C150="",$U150&lt;&gt;"Crédito",$AD150=""),"",IF($AD150&lt;=0,"",($Z150-N($L150))/$AD150))</f>
        <v/>
      </c>
      <c r="AI150" s="14" t="str">
        <f aca="false">IF(OR($AH150="",$W150=""),"",$AH150*365/MAX($W150,1))</f>
        <v/>
      </c>
      <c r="AJ150" s="14" t="str">
        <f aca="false">IF(OR($AE150="",$U150&lt;&gt;"Crédito",N($K150)=0),"",(N($K150)-IF(OR($M150="Cerrada",$M150="Rolada"),N($O150),0))/$K150)</f>
        <v/>
      </c>
      <c r="AK150" s="15" t="str">
        <f aca="false">IF(OR($C150="",$N150=""),"",DATE(YEAR($N150),MONTH($N150),1))</f>
        <v/>
      </c>
      <c r="AL150" s="11" t="str">
        <f aca="false">IF($C150="","",IF($M150="Abierta",0,1))</f>
        <v/>
      </c>
      <c r="AM150" s="16" t="str">
        <f aca="false">IF(OR($AE150="",$AD150=""),"",$AD150*MAX(N($X150),1))</f>
        <v/>
      </c>
      <c r="AN150" s="10" t="str">
        <f aca="false">IF($C150="","",IF(OR($B150="",$D150="",$H150="",$K150="",$M150=""),"Faltan datos obligatorios",IF($T150="","Estrategia no reconocida",IF(AND($M150&lt;&gt;"Abierta",$N150=""),"Falta fecha cierre",IF(AND(OR($M150="Cerrada",$M150="Rolada"),$O150=""),"Falta prima cierre",IF(AND($N150&lt;&gt;"",$N150&lt;$B150),"Cierre anterior a apertura",IF(AND($M150="Asignada",$R150=""),"Asignada: falta ID lote acciones",IF(AND($R150&lt;&gt;"",ISNA(MATCH($R150,Acciones!$A$2:$A$201,0))),"El ID lote no existe en Acciones",IF($AD150="","Revisa capital en riesgo","OK")))))))))</f>
        <v/>
      </c>
    </row>
    <row r="151" customFormat="false" ht="15" hidden="false" customHeight="true" outlineLevel="0" collapsed="false">
      <c r="A151" s="5"/>
      <c r="B151" s="6"/>
      <c r="C151" s="7"/>
      <c r="D151" s="7"/>
      <c r="E151" s="8"/>
      <c r="F151" s="8"/>
      <c r="G151" s="6"/>
      <c r="H151" s="5"/>
      <c r="I151" s="5" t="n">
        <v>100</v>
      </c>
      <c r="J151" s="8"/>
      <c r="K151" s="8"/>
      <c r="L151" s="9"/>
      <c r="M151" s="7"/>
      <c r="N151" s="6"/>
      <c r="O151" s="8"/>
      <c r="P151" s="9"/>
      <c r="Q151" s="9"/>
      <c r="R151" s="7"/>
      <c r="S151" s="7"/>
      <c r="T151" s="10" t="str">
        <f aca="false">IF($C151="","",IFERROR(INDEX(Listas!$B$2:$B$20,MATCH($D151,Listas!$A$2:$A$20,0)),""))</f>
        <v/>
      </c>
      <c r="U151" s="10" t="str">
        <f aca="false">IF($C151="","",IFERROR(INDEX(Listas!$C$2:$C$20,MATCH($D151,Listas!$A$2:$A$20,0)),""))</f>
        <v/>
      </c>
      <c r="V151" s="10" t="str">
        <f aca="false">IF($C151="","",IFERROR(INDEX(Listas!$D$2:$D$20,MATCH($D151,Listas!$A$2:$A$20,0)),""))</f>
        <v/>
      </c>
      <c r="W151" s="11" t="str">
        <f aca="false">IF(OR($C151="",$B151="",$G151=""),"",$G151-$B151)</f>
        <v/>
      </c>
      <c r="X151" s="11" t="str">
        <f aca="true">IF(OR($C151="",$B151=""),"",IF($N151&lt;&gt;"",$N151,TODAY())-$B151)</f>
        <v/>
      </c>
      <c r="Y151" s="11" t="str">
        <f aca="true">IF(OR($C151="",$M151&lt;&gt;"Abierta",$G151=""),"",MAX($G151-TODAY(),0))</f>
        <v/>
      </c>
      <c r="Z151" s="12" t="str">
        <f aca="false">IF($C151="","",N($K151)*N($H151)*N($I151)*IF($U151="Débito",-1,1))</f>
        <v/>
      </c>
      <c r="AA151" s="13" t="str">
        <f aca="false">IF($C151="","",IF(AND($U151="Débito",$F151&lt;&gt;""),$F151,$E151))</f>
        <v/>
      </c>
      <c r="AB151" s="13" t="str">
        <f aca="false">IF(OR($C151="",$T151="Mixta",$AA151=""),"",IF($V151="Subyacente",IF($J151="","",$J151-$K151),IF($T151="Put",$AA151-$K151,$AA151+$K151)))</f>
        <v/>
      </c>
      <c r="AC151" s="14" t="str">
        <f aca="false">IF(OR($C151="",$T151="Mixta",$J151="",$AA151=""),"",IF($T151="Put",($J151-$AA151)/$J151,($AA151-$J151)/$J151))</f>
        <v/>
      </c>
      <c r="AD151" s="12" t="str">
        <f aca="false">IF($C151="","",IF($Q151&lt;&gt;"",$Q151,IF($V151="Strike",N($E151)*$H151*$I151,IF($V151="Subyacente",IF($J151="","",$J151*$H151*$I151),IF($V151="Ancho",IF($F151="","",ABS($E151-$F151)*$H151*$I151-$K151*$H151*$I151),IF($V151="Prima",$K151*$H151*$I151,""))))))</f>
        <v/>
      </c>
      <c r="AE151" s="12" t="str">
        <f aca="false">IF(OR($C151="",$M151="Abierta",$M151=""),"",(N($K151)-IF(OR($M151="Cerrada",$M151="Rolada"),N($O151),0))*$H151*$I151*IF($U151="Débito",-1,1)-N($L151)-N($P151))</f>
        <v/>
      </c>
      <c r="AF151" s="14" t="str">
        <f aca="false">IF(OR($AE151="",$AD151=""),"",IF($AD151&lt;=0,"",$AE151/$AD151))</f>
        <v/>
      </c>
      <c r="AG151" s="14" t="str">
        <f aca="false">IF($AF151="","",$AF151*365/MAX(N($X151),1))</f>
        <v/>
      </c>
      <c r="AH151" s="14" t="str">
        <f aca="false">IF(OR($C151="",$U151&lt;&gt;"Crédito",$AD151=""),"",IF($AD151&lt;=0,"",($Z151-N($L151))/$AD151))</f>
        <v/>
      </c>
      <c r="AI151" s="14" t="str">
        <f aca="false">IF(OR($AH151="",$W151=""),"",$AH151*365/MAX($W151,1))</f>
        <v/>
      </c>
      <c r="AJ151" s="14" t="str">
        <f aca="false">IF(OR($AE151="",$U151&lt;&gt;"Crédito",N($K151)=0),"",(N($K151)-IF(OR($M151="Cerrada",$M151="Rolada"),N($O151),0))/$K151)</f>
        <v/>
      </c>
      <c r="AK151" s="15" t="str">
        <f aca="false">IF(OR($C151="",$N151=""),"",DATE(YEAR($N151),MONTH($N151),1))</f>
        <v/>
      </c>
      <c r="AL151" s="11" t="str">
        <f aca="false">IF($C151="","",IF($M151="Abierta",0,1))</f>
        <v/>
      </c>
      <c r="AM151" s="16" t="str">
        <f aca="false">IF(OR($AE151="",$AD151=""),"",$AD151*MAX(N($X151),1))</f>
        <v/>
      </c>
      <c r="AN151" s="10" t="str">
        <f aca="false">IF($C151="","",IF(OR($B151="",$D151="",$H151="",$K151="",$M151=""),"Faltan datos obligatorios",IF($T151="","Estrategia no reconocida",IF(AND($M151&lt;&gt;"Abierta",$N151=""),"Falta fecha cierre",IF(AND(OR($M151="Cerrada",$M151="Rolada"),$O151=""),"Falta prima cierre",IF(AND($N151&lt;&gt;"",$N151&lt;$B151),"Cierre anterior a apertura",IF(AND($M151="Asignada",$R151=""),"Asignada: falta ID lote acciones",IF(AND($R151&lt;&gt;"",ISNA(MATCH($R151,Acciones!$A$2:$A$201,0))),"El ID lote no existe en Acciones",IF($AD151="","Revisa capital en riesgo","OK")))))))))</f>
        <v/>
      </c>
    </row>
    <row r="152" customFormat="false" ht="15" hidden="false" customHeight="true" outlineLevel="0" collapsed="false">
      <c r="A152" s="5"/>
      <c r="B152" s="6"/>
      <c r="C152" s="7"/>
      <c r="D152" s="7"/>
      <c r="E152" s="8"/>
      <c r="F152" s="8"/>
      <c r="G152" s="6"/>
      <c r="H152" s="5"/>
      <c r="I152" s="5" t="n">
        <v>100</v>
      </c>
      <c r="J152" s="8"/>
      <c r="K152" s="8"/>
      <c r="L152" s="9"/>
      <c r="M152" s="7"/>
      <c r="N152" s="6"/>
      <c r="O152" s="8"/>
      <c r="P152" s="9"/>
      <c r="Q152" s="9"/>
      <c r="R152" s="7"/>
      <c r="S152" s="7"/>
      <c r="T152" s="10" t="str">
        <f aca="false">IF($C152="","",IFERROR(INDEX(Listas!$B$2:$B$20,MATCH($D152,Listas!$A$2:$A$20,0)),""))</f>
        <v/>
      </c>
      <c r="U152" s="10" t="str">
        <f aca="false">IF($C152="","",IFERROR(INDEX(Listas!$C$2:$C$20,MATCH($D152,Listas!$A$2:$A$20,0)),""))</f>
        <v/>
      </c>
      <c r="V152" s="10" t="str">
        <f aca="false">IF($C152="","",IFERROR(INDEX(Listas!$D$2:$D$20,MATCH($D152,Listas!$A$2:$A$20,0)),""))</f>
        <v/>
      </c>
      <c r="W152" s="11" t="str">
        <f aca="false">IF(OR($C152="",$B152="",$G152=""),"",$G152-$B152)</f>
        <v/>
      </c>
      <c r="X152" s="11" t="str">
        <f aca="true">IF(OR($C152="",$B152=""),"",IF($N152&lt;&gt;"",$N152,TODAY())-$B152)</f>
        <v/>
      </c>
      <c r="Y152" s="11" t="str">
        <f aca="true">IF(OR($C152="",$M152&lt;&gt;"Abierta",$G152=""),"",MAX($G152-TODAY(),0))</f>
        <v/>
      </c>
      <c r="Z152" s="12" t="str">
        <f aca="false">IF($C152="","",N($K152)*N($H152)*N($I152)*IF($U152="Débito",-1,1))</f>
        <v/>
      </c>
      <c r="AA152" s="13" t="str">
        <f aca="false">IF($C152="","",IF(AND($U152="Débito",$F152&lt;&gt;""),$F152,$E152))</f>
        <v/>
      </c>
      <c r="AB152" s="13" t="str">
        <f aca="false">IF(OR($C152="",$T152="Mixta",$AA152=""),"",IF($V152="Subyacente",IF($J152="","",$J152-$K152),IF($T152="Put",$AA152-$K152,$AA152+$K152)))</f>
        <v/>
      </c>
      <c r="AC152" s="14" t="str">
        <f aca="false">IF(OR($C152="",$T152="Mixta",$J152="",$AA152=""),"",IF($T152="Put",($J152-$AA152)/$J152,($AA152-$J152)/$J152))</f>
        <v/>
      </c>
      <c r="AD152" s="12" t="str">
        <f aca="false">IF($C152="","",IF($Q152&lt;&gt;"",$Q152,IF($V152="Strike",N($E152)*$H152*$I152,IF($V152="Subyacente",IF($J152="","",$J152*$H152*$I152),IF($V152="Ancho",IF($F152="","",ABS($E152-$F152)*$H152*$I152-$K152*$H152*$I152),IF($V152="Prima",$K152*$H152*$I152,""))))))</f>
        <v/>
      </c>
      <c r="AE152" s="12" t="str">
        <f aca="false">IF(OR($C152="",$M152="Abierta",$M152=""),"",(N($K152)-IF(OR($M152="Cerrada",$M152="Rolada"),N($O152),0))*$H152*$I152*IF($U152="Débito",-1,1)-N($L152)-N($P152))</f>
        <v/>
      </c>
      <c r="AF152" s="14" t="str">
        <f aca="false">IF(OR($AE152="",$AD152=""),"",IF($AD152&lt;=0,"",$AE152/$AD152))</f>
        <v/>
      </c>
      <c r="AG152" s="14" t="str">
        <f aca="false">IF($AF152="","",$AF152*365/MAX(N($X152),1))</f>
        <v/>
      </c>
      <c r="AH152" s="14" t="str">
        <f aca="false">IF(OR($C152="",$U152&lt;&gt;"Crédito",$AD152=""),"",IF($AD152&lt;=0,"",($Z152-N($L152))/$AD152))</f>
        <v/>
      </c>
      <c r="AI152" s="14" t="str">
        <f aca="false">IF(OR($AH152="",$W152=""),"",$AH152*365/MAX($W152,1))</f>
        <v/>
      </c>
      <c r="AJ152" s="14" t="str">
        <f aca="false">IF(OR($AE152="",$U152&lt;&gt;"Crédito",N($K152)=0),"",(N($K152)-IF(OR($M152="Cerrada",$M152="Rolada"),N($O152),0))/$K152)</f>
        <v/>
      </c>
      <c r="AK152" s="15" t="str">
        <f aca="false">IF(OR($C152="",$N152=""),"",DATE(YEAR($N152),MONTH($N152),1))</f>
        <v/>
      </c>
      <c r="AL152" s="11" t="str">
        <f aca="false">IF($C152="","",IF($M152="Abierta",0,1))</f>
        <v/>
      </c>
      <c r="AM152" s="16" t="str">
        <f aca="false">IF(OR($AE152="",$AD152=""),"",$AD152*MAX(N($X152),1))</f>
        <v/>
      </c>
      <c r="AN152" s="10" t="str">
        <f aca="false">IF($C152="","",IF(OR($B152="",$D152="",$H152="",$K152="",$M152=""),"Faltan datos obligatorios",IF($T152="","Estrategia no reconocida",IF(AND($M152&lt;&gt;"Abierta",$N152=""),"Falta fecha cierre",IF(AND(OR($M152="Cerrada",$M152="Rolada"),$O152=""),"Falta prima cierre",IF(AND($N152&lt;&gt;"",$N152&lt;$B152),"Cierre anterior a apertura",IF(AND($M152="Asignada",$R152=""),"Asignada: falta ID lote acciones",IF(AND($R152&lt;&gt;"",ISNA(MATCH($R152,Acciones!$A$2:$A$201,0))),"El ID lote no existe en Acciones",IF($AD152="","Revisa capital en riesgo","OK")))))))))</f>
        <v/>
      </c>
    </row>
    <row r="153" customFormat="false" ht="15" hidden="false" customHeight="true" outlineLevel="0" collapsed="false">
      <c r="A153" s="5"/>
      <c r="B153" s="6"/>
      <c r="C153" s="7"/>
      <c r="D153" s="7"/>
      <c r="E153" s="8"/>
      <c r="F153" s="8"/>
      <c r="G153" s="6"/>
      <c r="H153" s="5"/>
      <c r="I153" s="5" t="n">
        <v>100</v>
      </c>
      <c r="J153" s="8"/>
      <c r="K153" s="8"/>
      <c r="L153" s="9"/>
      <c r="M153" s="7"/>
      <c r="N153" s="6"/>
      <c r="O153" s="8"/>
      <c r="P153" s="9"/>
      <c r="Q153" s="9"/>
      <c r="R153" s="7"/>
      <c r="S153" s="7"/>
      <c r="T153" s="10" t="str">
        <f aca="false">IF($C153="","",IFERROR(INDEX(Listas!$B$2:$B$20,MATCH($D153,Listas!$A$2:$A$20,0)),""))</f>
        <v/>
      </c>
      <c r="U153" s="10" t="str">
        <f aca="false">IF($C153="","",IFERROR(INDEX(Listas!$C$2:$C$20,MATCH($D153,Listas!$A$2:$A$20,0)),""))</f>
        <v/>
      </c>
      <c r="V153" s="10" t="str">
        <f aca="false">IF($C153="","",IFERROR(INDEX(Listas!$D$2:$D$20,MATCH($D153,Listas!$A$2:$A$20,0)),""))</f>
        <v/>
      </c>
      <c r="W153" s="11" t="str">
        <f aca="false">IF(OR($C153="",$B153="",$G153=""),"",$G153-$B153)</f>
        <v/>
      </c>
      <c r="X153" s="11" t="str">
        <f aca="true">IF(OR($C153="",$B153=""),"",IF($N153&lt;&gt;"",$N153,TODAY())-$B153)</f>
        <v/>
      </c>
      <c r="Y153" s="11" t="str">
        <f aca="true">IF(OR($C153="",$M153&lt;&gt;"Abierta",$G153=""),"",MAX($G153-TODAY(),0))</f>
        <v/>
      </c>
      <c r="Z153" s="12" t="str">
        <f aca="false">IF($C153="","",N($K153)*N($H153)*N($I153)*IF($U153="Débito",-1,1))</f>
        <v/>
      </c>
      <c r="AA153" s="13" t="str">
        <f aca="false">IF($C153="","",IF(AND($U153="Débito",$F153&lt;&gt;""),$F153,$E153))</f>
        <v/>
      </c>
      <c r="AB153" s="13" t="str">
        <f aca="false">IF(OR($C153="",$T153="Mixta",$AA153=""),"",IF($V153="Subyacente",IF($J153="","",$J153-$K153),IF($T153="Put",$AA153-$K153,$AA153+$K153)))</f>
        <v/>
      </c>
      <c r="AC153" s="14" t="str">
        <f aca="false">IF(OR($C153="",$T153="Mixta",$J153="",$AA153=""),"",IF($T153="Put",($J153-$AA153)/$J153,($AA153-$J153)/$J153))</f>
        <v/>
      </c>
      <c r="AD153" s="12" t="str">
        <f aca="false">IF($C153="","",IF($Q153&lt;&gt;"",$Q153,IF($V153="Strike",N($E153)*$H153*$I153,IF($V153="Subyacente",IF($J153="","",$J153*$H153*$I153),IF($V153="Ancho",IF($F153="","",ABS($E153-$F153)*$H153*$I153-$K153*$H153*$I153),IF($V153="Prima",$K153*$H153*$I153,""))))))</f>
        <v/>
      </c>
      <c r="AE153" s="12" t="str">
        <f aca="false">IF(OR($C153="",$M153="Abierta",$M153=""),"",(N($K153)-IF(OR($M153="Cerrada",$M153="Rolada"),N($O153),0))*$H153*$I153*IF($U153="Débito",-1,1)-N($L153)-N($P153))</f>
        <v/>
      </c>
      <c r="AF153" s="14" t="str">
        <f aca="false">IF(OR($AE153="",$AD153=""),"",IF($AD153&lt;=0,"",$AE153/$AD153))</f>
        <v/>
      </c>
      <c r="AG153" s="14" t="str">
        <f aca="false">IF($AF153="","",$AF153*365/MAX(N($X153),1))</f>
        <v/>
      </c>
      <c r="AH153" s="14" t="str">
        <f aca="false">IF(OR($C153="",$U153&lt;&gt;"Crédito",$AD153=""),"",IF($AD153&lt;=0,"",($Z153-N($L153))/$AD153))</f>
        <v/>
      </c>
      <c r="AI153" s="14" t="str">
        <f aca="false">IF(OR($AH153="",$W153=""),"",$AH153*365/MAX($W153,1))</f>
        <v/>
      </c>
      <c r="AJ153" s="14" t="str">
        <f aca="false">IF(OR($AE153="",$U153&lt;&gt;"Crédito",N($K153)=0),"",(N($K153)-IF(OR($M153="Cerrada",$M153="Rolada"),N($O153),0))/$K153)</f>
        <v/>
      </c>
      <c r="AK153" s="15" t="str">
        <f aca="false">IF(OR($C153="",$N153=""),"",DATE(YEAR($N153),MONTH($N153),1))</f>
        <v/>
      </c>
      <c r="AL153" s="11" t="str">
        <f aca="false">IF($C153="","",IF($M153="Abierta",0,1))</f>
        <v/>
      </c>
      <c r="AM153" s="16" t="str">
        <f aca="false">IF(OR($AE153="",$AD153=""),"",$AD153*MAX(N($X153),1))</f>
        <v/>
      </c>
      <c r="AN153" s="10" t="str">
        <f aca="false">IF($C153="","",IF(OR($B153="",$D153="",$H153="",$K153="",$M153=""),"Faltan datos obligatorios",IF($T153="","Estrategia no reconocida",IF(AND($M153&lt;&gt;"Abierta",$N153=""),"Falta fecha cierre",IF(AND(OR($M153="Cerrada",$M153="Rolada"),$O153=""),"Falta prima cierre",IF(AND($N153&lt;&gt;"",$N153&lt;$B153),"Cierre anterior a apertura",IF(AND($M153="Asignada",$R153=""),"Asignada: falta ID lote acciones",IF(AND($R153&lt;&gt;"",ISNA(MATCH($R153,Acciones!$A$2:$A$201,0))),"El ID lote no existe en Acciones",IF($AD153="","Revisa capital en riesgo","OK")))))))))</f>
        <v/>
      </c>
    </row>
    <row r="154" customFormat="false" ht="15" hidden="false" customHeight="true" outlineLevel="0" collapsed="false">
      <c r="A154" s="5"/>
      <c r="B154" s="6"/>
      <c r="C154" s="7"/>
      <c r="D154" s="7"/>
      <c r="E154" s="8"/>
      <c r="F154" s="8"/>
      <c r="G154" s="6"/>
      <c r="H154" s="5"/>
      <c r="I154" s="5" t="n">
        <v>100</v>
      </c>
      <c r="J154" s="8"/>
      <c r="K154" s="8"/>
      <c r="L154" s="9"/>
      <c r="M154" s="7"/>
      <c r="N154" s="6"/>
      <c r="O154" s="8"/>
      <c r="P154" s="9"/>
      <c r="Q154" s="9"/>
      <c r="R154" s="7"/>
      <c r="S154" s="7"/>
      <c r="T154" s="10" t="str">
        <f aca="false">IF($C154="","",IFERROR(INDEX(Listas!$B$2:$B$20,MATCH($D154,Listas!$A$2:$A$20,0)),""))</f>
        <v/>
      </c>
      <c r="U154" s="10" t="str">
        <f aca="false">IF($C154="","",IFERROR(INDEX(Listas!$C$2:$C$20,MATCH($D154,Listas!$A$2:$A$20,0)),""))</f>
        <v/>
      </c>
      <c r="V154" s="10" t="str">
        <f aca="false">IF($C154="","",IFERROR(INDEX(Listas!$D$2:$D$20,MATCH($D154,Listas!$A$2:$A$20,0)),""))</f>
        <v/>
      </c>
      <c r="W154" s="11" t="str">
        <f aca="false">IF(OR($C154="",$B154="",$G154=""),"",$G154-$B154)</f>
        <v/>
      </c>
      <c r="X154" s="11" t="str">
        <f aca="true">IF(OR($C154="",$B154=""),"",IF($N154&lt;&gt;"",$N154,TODAY())-$B154)</f>
        <v/>
      </c>
      <c r="Y154" s="11" t="str">
        <f aca="true">IF(OR($C154="",$M154&lt;&gt;"Abierta",$G154=""),"",MAX($G154-TODAY(),0))</f>
        <v/>
      </c>
      <c r="Z154" s="12" t="str">
        <f aca="false">IF($C154="","",N($K154)*N($H154)*N($I154)*IF($U154="Débito",-1,1))</f>
        <v/>
      </c>
      <c r="AA154" s="13" t="str">
        <f aca="false">IF($C154="","",IF(AND($U154="Débito",$F154&lt;&gt;""),$F154,$E154))</f>
        <v/>
      </c>
      <c r="AB154" s="13" t="str">
        <f aca="false">IF(OR($C154="",$T154="Mixta",$AA154=""),"",IF($V154="Subyacente",IF($J154="","",$J154-$K154),IF($T154="Put",$AA154-$K154,$AA154+$K154)))</f>
        <v/>
      </c>
      <c r="AC154" s="14" t="str">
        <f aca="false">IF(OR($C154="",$T154="Mixta",$J154="",$AA154=""),"",IF($T154="Put",($J154-$AA154)/$J154,($AA154-$J154)/$J154))</f>
        <v/>
      </c>
      <c r="AD154" s="12" t="str">
        <f aca="false">IF($C154="","",IF($Q154&lt;&gt;"",$Q154,IF($V154="Strike",N($E154)*$H154*$I154,IF($V154="Subyacente",IF($J154="","",$J154*$H154*$I154),IF($V154="Ancho",IF($F154="","",ABS($E154-$F154)*$H154*$I154-$K154*$H154*$I154),IF($V154="Prima",$K154*$H154*$I154,""))))))</f>
        <v/>
      </c>
      <c r="AE154" s="12" t="str">
        <f aca="false">IF(OR($C154="",$M154="Abierta",$M154=""),"",(N($K154)-IF(OR($M154="Cerrada",$M154="Rolada"),N($O154),0))*$H154*$I154*IF($U154="Débito",-1,1)-N($L154)-N($P154))</f>
        <v/>
      </c>
      <c r="AF154" s="14" t="str">
        <f aca="false">IF(OR($AE154="",$AD154=""),"",IF($AD154&lt;=0,"",$AE154/$AD154))</f>
        <v/>
      </c>
      <c r="AG154" s="14" t="str">
        <f aca="false">IF($AF154="","",$AF154*365/MAX(N($X154),1))</f>
        <v/>
      </c>
      <c r="AH154" s="14" t="str">
        <f aca="false">IF(OR($C154="",$U154&lt;&gt;"Crédito",$AD154=""),"",IF($AD154&lt;=0,"",($Z154-N($L154))/$AD154))</f>
        <v/>
      </c>
      <c r="AI154" s="14" t="str">
        <f aca="false">IF(OR($AH154="",$W154=""),"",$AH154*365/MAX($W154,1))</f>
        <v/>
      </c>
      <c r="AJ154" s="14" t="str">
        <f aca="false">IF(OR($AE154="",$U154&lt;&gt;"Crédito",N($K154)=0),"",(N($K154)-IF(OR($M154="Cerrada",$M154="Rolada"),N($O154),0))/$K154)</f>
        <v/>
      </c>
      <c r="AK154" s="15" t="str">
        <f aca="false">IF(OR($C154="",$N154=""),"",DATE(YEAR($N154),MONTH($N154),1))</f>
        <v/>
      </c>
      <c r="AL154" s="11" t="str">
        <f aca="false">IF($C154="","",IF($M154="Abierta",0,1))</f>
        <v/>
      </c>
      <c r="AM154" s="16" t="str">
        <f aca="false">IF(OR($AE154="",$AD154=""),"",$AD154*MAX(N($X154),1))</f>
        <v/>
      </c>
      <c r="AN154" s="10" t="str">
        <f aca="false">IF($C154="","",IF(OR($B154="",$D154="",$H154="",$K154="",$M154=""),"Faltan datos obligatorios",IF($T154="","Estrategia no reconocida",IF(AND($M154&lt;&gt;"Abierta",$N154=""),"Falta fecha cierre",IF(AND(OR($M154="Cerrada",$M154="Rolada"),$O154=""),"Falta prima cierre",IF(AND($N154&lt;&gt;"",$N154&lt;$B154),"Cierre anterior a apertura",IF(AND($M154="Asignada",$R154=""),"Asignada: falta ID lote acciones",IF(AND($R154&lt;&gt;"",ISNA(MATCH($R154,Acciones!$A$2:$A$201,0))),"El ID lote no existe en Acciones",IF($AD154="","Revisa capital en riesgo","OK")))))))))</f>
        <v/>
      </c>
    </row>
    <row r="155" customFormat="false" ht="15" hidden="false" customHeight="true" outlineLevel="0" collapsed="false">
      <c r="A155" s="5"/>
      <c r="B155" s="6"/>
      <c r="C155" s="7"/>
      <c r="D155" s="7"/>
      <c r="E155" s="8"/>
      <c r="F155" s="8"/>
      <c r="G155" s="6"/>
      <c r="H155" s="5"/>
      <c r="I155" s="5" t="n">
        <v>100</v>
      </c>
      <c r="J155" s="8"/>
      <c r="K155" s="8"/>
      <c r="L155" s="9"/>
      <c r="M155" s="7"/>
      <c r="N155" s="6"/>
      <c r="O155" s="8"/>
      <c r="P155" s="9"/>
      <c r="Q155" s="9"/>
      <c r="R155" s="7"/>
      <c r="S155" s="7"/>
      <c r="T155" s="10" t="str">
        <f aca="false">IF($C155="","",IFERROR(INDEX(Listas!$B$2:$B$20,MATCH($D155,Listas!$A$2:$A$20,0)),""))</f>
        <v/>
      </c>
      <c r="U155" s="10" t="str">
        <f aca="false">IF($C155="","",IFERROR(INDEX(Listas!$C$2:$C$20,MATCH($D155,Listas!$A$2:$A$20,0)),""))</f>
        <v/>
      </c>
      <c r="V155" s="10" t="str">
        <f aca="false">IF($C155="","",IFERROR(INDEX(Listas!$D$2:$D$20,MATCH($D155,Listas!$A$2:$A$20,0)),""))</f>
        <v/>
      </c>
      <c r="W155" s="11" t="str">
        <f aca="false">IF(OR($C155="",$B155="",$G155=""),"",$G155-$B155)</f>
        <v/>
      </c>
      <c r="X155" s="11" t="str">
        <f aca="true">IF(OR($C155="",$B155=""),"",IF($N155&lt;&gt;"",$N155,TODAY())-$B155)</f>
        <v/>
      </c>
      <c r="Y155" s="11" t="str">
        <f aca="true">IF(OR($C155="",$M155&lt;&gt;"Abierta",$G155=""),"",MAX($G155-TODAY(),0))</f>
        <v/>
      </c>
      <c r="Z155" s="12" t="str">
        <f aca="false">IF($C155="","",N($K155)*N($H155)*N($I155)*IF($U155="Débito",-1,1))</f>
        <v/>
      </c>
      <c r="AA155" s="13" t="str">
        <f aca="false">IF($C155="","",IF(AND($U155="Débito",$F155&lt;&gt;""),$F155,$E155))</f>
        <v/>
      </c>
      <c r="AB155" s="13" t="str">
        <f aca="false">IF(OR($C155="",$T155="Mixta",$AA155=""),"",IF($V155="Subyacente",IF($J155="","",$J155-$K155),IF($T155="Put",$AA155-$K155,$AA155+$K155)))</f>
        <v/>
      </c>
      <c r="AC155" s="14" t="str">
        <f aca="false">IF(OR($C155="",$T155="Mixta",$J155="",$AA155=""),"",IF($T155="Put",($J155-$AA155)/$J155,($AA155-$J155)/$J155))</f>
        <v/>
      </c>
      <c r="AD155" s="12" t="str">
        <f aca="false">IF($C155="","",IF($Q155&lt;&gt;"",$Q155,IF($V155="Strike",N($E155)*$H155*$I155,IF($V155="Subyacente",IF($J155="","",$J155*$H155*$I155),IF($V155="Ancho",IF($F155="","",ABS($E155-$F155)*$H155*$I155-$K155*$H155*$I155),IF($V155="Prima",$K155*$H155*$I155,""))))))</f>
        <v/>
      </c>
      <c r="AE155" s="12" t="str">
        <f aca="false">IF(OR($C155="",$M155="Abierta",$M155=""),"",(N($K155)-IF(OR($M155="Cerrada",$M155="Rolada"),N($O155),0))*$H155*$I155*IF($U155="Débito",-1,1)-N($L155)-N($P155))</f>
        <v/>
      </c>
      <c r="AF155" s="14" t="str">
        <f aca="false">IF(OR($AE155="",$AD155=""),"",IF($AD155&lt;=0,"",$AE155/$AD155))</f>
        <v/>
      </c>
      <c r="AG155" s="14" t="str">
        <f aca="false">IF($AF155="","",$AF155*365/MAX(N($X155),1))</f>
        <v/>
      </c>
      <c r="AH155" s="14" t="str">
        <f aca="false">IF(OR($C155="",$U155&lt;&gt;"Crédito",$AD155=""),"",IF($AD155&lt;=0,"",($Z155-N($L155))/$AD155))</f>
        <v/>
      </c>
      <c r="AI155" s="14" t="str">
        <f aca="false">IF(OR($AH155="",$W155=""),"",$AH155*365/MAX($W155,1))</f>
        <v/>
      </c>
      <c r="AJ155" s="14" t="str">
        <f aca="false">IF(OR($AE155="",$U155&lt;&gt;"Crédito",N($K155)=0),"",(N($K155)-IF(OR($M155="Cerrada",$M155="Rolada"),N($O155),0))/$K155)</f>
        <v/>
      </c>
      <c r="AK155" s="15" t="str">
        <f aca="false">IF(OR($C155="",$N155=""),"",DATE(YEAR($N155),MONTH($N155),1))</f>
        <v/>
      </c>
      <c r="AL155" s="11" t="str">
        <f aca="false">IF($C155="","",IF($M155="Abierta",0,1))</f>
        <v/>
      </c>
      <c r="AM155" s="16" t="str">
        <f aca="false">IF(OR($AE155="",$AD155=""),"",$AD155*MAX(N($X155),1))</f>
        <v/>
      </c>
      <c r="AN155" s="10" t="str">
        <f aca="false">IF($C155="","",IF(OR($B155="",$D155="",$H155="",$K155="",$M155=""),"Faltan datos obligatorios",IF($T155="","Estrategia no reconocida",IF(AND($M155&lt;&gt;"Abierta",$N155=""),"Falta fecha cierre",IF(AND(OR($M155="Cerrada",$M155="Rolada"),$O155=""),"Falta prima cierre",IF(AND($N155&lt;&gt;"",$N155&lt;$B155),"Cierre anterior a apertura",IF(AND($M155="Asignada",$R155=""),"Asignada: falta ID lote acciones",IF(AND($R155&lt;&gt;"",ISNA(MATCH($R155,Acciones!$A$2:$A$201,0))),"El ID lote no existe en Acciones",IF($AD155="","Revisa capital en riesgo","OK")))))))))</f>
        <v/>
      </c>
    </row>
    <row r="156" customFormat="false" ht="15" hidden="false" customHeight="true" outlineLevel="0" collapsed="false">
      <c r="A156" s="5"/>
      <c r="B156" s="6"/>
      <c r="C156" s="7"/>
      <c r="D156" s="7"/>
      <c r="E156" s="8"/>
      <c r="F156" s="8"/>
      <c r="G156" s="6"/>
      <c r="H156" s="5"/>
      <c r="I156" s="5" t="n">
        <v>100</v>
      </c>
      <c r="J156" s="8"/>
      <c r="K156" s="8"/>
      <c r="L156" s="9"/>
      <c r="M156" s="7"/>
      <c r="N156" s="6"/>
      <c r="O156" s="8"/>
      <c r="P156" s="9"/>
      <c r="Q156" s="9"/>
      <c r="R156" s="7"/>
      <c r="S156" s="7"/>
      <c r="T156" s="10" t="str">
        <f aca="false">IF($C156="","",IFERROR(INDEX(Listas!$B$2:$B$20,MATCH($D156,Listas!$A$2:$A$20,0)),""))</f>
        <v/>
      </c>
      <c r="U156" s="10" t="str">
        <f aca="false">IF($C156="","",IFERROR(INDEX(Listas!$C$2:$C$20,MATCH($D156,Listas!$A$2:$A$20,0)),""))</f>
        <v/>
      </c>
      <c r="V156" s="10" t="str">
        <f aca="false">IF($C156="","",IFERROR(INDEX(Listas!$D$2:$D$20,MATCH($D156,Listas!$A$2:$A$20,0)),""))</f>
        <v/>
      </c>
      <c r="W156" s="11" t="str">
        <f aca="false">IF(OR($C156="",$B156="",$G156=""),"",$G156-$B156)</f>
        <v/>
      </c>
      <c r="X156" s="11" t="str">
        <f aca="true">IF(OR($C156="",$B156=""),"",IF($N156&lt;&gt;"",$N156,TODAY())-$B156)</f>
        <v/>
      </c>
      <c r="Y156" s="11" t="str">
        <f aca="true">IF(OR($C156="",$M156&lt;&gt;"Abierta",$G156=""),"",MAX($G156-TODAY(),0))</f>
        <v/>
      </c>
      <c r="Z156" s="12" t="str">
        <f aca="false">IF($C156="","",N($K156)*N($H156)*N($I156)*IF($U156="Débito",-1,1))</f>
        <v/>
      </c>
      <c r="AA156" s="13" t="str">
        <f aca="false">IF($C156="","",IF(AND($U156="Débito",$F156&lt;&gt;""),$F156,$E156))</f>
        <v/>
      </c>
      <c r="AB156" s="13" t="str">
        <f aca="false">IF(OR($C156="",$T156="Mixta",$AA156=""),"",IF($V156="Subyacente",IF($J156="","",$J156-$K156),IF($T156="Put",$AA156-$K156,$AA156+$K156)))</f>
        <v/>
      </c>
      <c r="AC156" s="14" t="str">
        <f aca="false">IF(OR($C156="",$T156="Mixta",$J156="",$AA156=""),"",IF($T156="Put",($J156-$AA156)/$J156,($AA156-$J156)/$J156))</f>
        <v/>
      </c>
      <c r="AD156" s="12" t="str">
        <f aca="false">IF($C156="","",IF($Q156&lt;&gt;"",$Q156,IF($V156="Strike",N($E156)*$H156*$I156,IF($V156="Subyacente",IF($J156="","",$J156*$H156*$I156),IF($V156="Ancho",IF($F156="","",ABS($E156-$F156)*$H156*$I156-$K156*$H156*$I156),IF($V156="Prima",$K156*$H156*$I156,""))))))</f>
        <v/>
      </c>
      <c r="AE156" s="12" t="str">
        <f aca="false">IF(OR($C156="",$M156="Abierta",$M156=""),"",(N($K156)-IF(OR($M156="Cerrada",$M156="Rolada"),N($O156),0))*$H156*$I156*IF($U156="Débito",-1,1)-N($L156)-N($P156))</f>
        <v/>
      </c>
      <c r="AF156" s="14" t="str">
        <f aca="false">IF(OR($AE156="",$AD156=""),"",IF($AD156&lt;=0,"",$AE156/$AD156))</f>
        <v/>
      </c>
      <c r="AG156" s="14" t="str">
        <f aca="false">IF($AF156="","",$AF156*365/MAX(N($X156),1))</f>
        <v/>
      </c>
      <c r="AH156" s="14" t="str">
        <f aca="false">IF(OR($C156="",$U156&lt;&gt;"Crédito",$AD156=""),"",IF($AD156&lt;=0,"",($Z156-N($L156))/$AD156))</f>
        <v/>
      </c>
      <c r="AI156" s="14" t="str">
        <f aca="false">IF(OR($AH156="",$W156=""),"",$AH156*365/MAX($W156,1))</f>
        <v/>
      </c>
      <c r="AJ156" s="14" t="str">
        <f aca="false">IF(OR($AE156="",$U156&lt;&gt;"Crédito",N($K156)=0),"",(N($K156)-IF(OR($M156="Cerrada",$M156="Rolada"),N($O156),0))/$K156)</f>
        <v/>
      </c>
      <c r="AK156" s="15" t="str">
        <f aca="false">IF(OR($C156="",$N156=""),"",DATE(YEAR($N156),MONTH($N156),1))</f>
        <v/>
      </c>
      <c r="AL156" s="11" t="str">
        <f aca="false">IF($C156="","",IF($M156="Abierta",0,1))</f>
        <v/>
      </c>
      <c r="AM156" s="16" t="str">
        <f aca="false">IF(OR($AE156="",$AD156=""),"",$AD156*MAX(N($X156),1))</f>
        <v/>
      </c>
      <c r="AN156" s="10" t="str">
        <f aca="false">IF($C156="","",IF(OR($B156="",$D156="",$H156="",$K156="",$M156=""),"Faltan datos obligatorios",IF($T156="","Estrategia no reconocida",IF(AND($M156&lt;&gt;"Abierta",$N156=""),"Falta fecha cierre",IF(AND(OR($M156="Cerrada",$M156="Rolada"),$O156=""),"Falta prima cierre",IF(AND($N156&lt;&gt;"",$N156&lt;$B156),"Cierre anterior a apertura",IF(AND($M156="Asignada",$R156=""),"Asignada: falta ID lote acciones",IF(AND($R156&lt;&gt;"",ISNA(MATCH($R156,Acciones!$A$2:$A$201,0))),"El ID lote no existe en Acciones",IF($AD156="","Revisa capital en riesgo","OK")))))))))</f>
        <v/>
      </c>
    </row>
    <row r="157" customFormat="false" ht="15" hidden="false" customHeight="true" outlineLevel="0" collapsed="false">
      <c r="A157" s="5"/>
      <c r="B157" s="6"/>
      <c r="C157" s="7"/>
      <c r="D157" s="7"/>
      <c r="E157" s="8"/>
      <c r="F157" s="8"/>
      <c r="G157" s="6"/>
      <c r="H157" s="5"/>
      <c r="I157" s="5" t="n">
        <v>100</v>
      </c>
      <c r="J157" s="8"/>
      <c r="K157" s="8"/>
      <c r="L157" s="9"/>
      <c r="M157" s="7"/>
      <c r="N157" s="6"/>
      <c r="O157" s="8"/>
      <c r="P157" s="9"/>
      <c r="Q157" s="9"/>
      <c r="R157" s="7"/>
      <c r="S157" s="7"/>
      <c r="T157" s="10" t="str">
        <f aca="false">IF($C157="","",IFERROR(INDEX(Listas!$B$2:$B$20,MATCH($D157,Listas!$A$2:$A$20,0)),""))</f>
        <v/>
      </c>
      <c r="U157" s="10" t="str">
        <f aca="false">IF($C157="","",IFERROR(INDEX(Listas!$C$2:$C$20,MATCH($D157,Listas!$A$2:$A$20,0)),""))</f>
        <v/>
      </c>
      <c r="V157" s="10" t="str">
        <f aca="false">IF($C157="","",IFERROR(INDEX(Listas!$D$2:$D$20,MATCH($D157,Listas!$A$2:$A$20,0)),""))</f>
        <v/>
      </c>
      <c r="W157" s="11" t="str">
        <f aca="false">IF(OR($C157="",$B157="",$G157=""),"",$G157-$B157)</f>
        <v/>
      </c>
      <c r="X157" s="11" t="str">
        <f aca="true">IF(OR($C157="",$B157=""),"",IF($N157&lt;&gt;"",$N157,TODAY())-$B157)</f>
        <v/>
      </c>
      <c r="Y157" s="11" t="str">
        <f aca="true">IF(OR($C157="",$M157&lt;&gt;"Abierta",$G157=""),"",MAX($G157-TODAY(),0))</f>
        <v/>
      </c>
      <c r="Z157" s="12" t="str">
        <f aca="false">IF($C157="","",N($K157)*N($H157)*N($I157)*IF($U157="Débito",-1,1))</f>
        <v/>
      </c>
      <c r="AA157" s="13" t="str">
        <f aca="false">IF($C157="","",IF(AND($U157="Débito",$F157&lt;&gt;""),$F157,$E157))</f>
        <v/>
      </c>
      <c r="AB157" s="13" t="str">
        <f aca="false">IF(OR($C157="",$T157="Mixta",$AA157=""),"",IF($V157="Subyacente",IF($J157="","",$J157-$K157),IF($T157="Put",$AA157-$K157,$AA157+$K157)))</f>
        <v/>
      </c>
      <c r="AC157" s="14" t="str">
        <f aca="false">IF(OR($C157="",$T157="Mixta",$J157="",$AA157=""),"",IF($T157="Put",($J157-$AA157)/$J157,($AA157-$J157)/$J157))</f>
        <v/>
      </c>
      <c r="AD157" s="12" t="str">
        <f aca="false">IF($C157="","",IF($Q157&lt;&gt;"",$Q157,IF($V157="Strike",N($E157)*$H157*$I157,IF($V157="Subyacente",IF($J157="","",$J157*$H157*$I157),IF($V157="Ancho",IF($F157="","",ABS($E157-$F157)*$H157*$I157-$K157*$H157*$I157),IF($V157="Prima",$K157*$H157*$I157,""))))))</f>
        <v/>
      </c>
      <c r="AE157" s="12" t="str">
        <f aca="false">IF(OR($C157="",$M157="Abierta",$M157=""),"",(N($K157)-IF(OR($M157="Cerrada",$M157="Rolada"),N($O157),0))*$H157*$I157*IF($U157="Débito",-1,1)-N($L157)-N($P157))</f>
        <v/>
      </c>
      <c r="AF157" s="14" t="str">
        <f aca="false">IF(OR($AE157="",$AD157=""),"",IF($AD157&lt;=0,"",$AE157/$AD157))</f>
        <v/>
      </c>
      <c r="AG157" s="14" t="str">
        <f aca="false">IF($AF157="","",$AF157*365/MAX(N($X157),1))</f>
        <v/>
      </c>
      <c r="AH157" s="14" t="str">
        <f aca="false">IF(OR($C157="",$U157&lt;&gt;"Crédito",$AD157=""),"",IF($AD157&lt;=0,"",($Z157-N($L157))/$AD157))</f>
        <v/>
      </c>
      <c r="AI157" s="14" t="str">
        <f aca="false">IF(OR($AH157="",$W157=""),"",$AH157*365/MAX($W157,1))</f>
        <v/>
      </c>
      <c r="AJ157" s="14" t="str">
        <f aca="false">IF(OR($AE157="",$U157&lt;&gt;"Crédito",N($K157)=0),"",(N($K157)-IF(OR($M157="Cerrada",$M157="Rolada"),N($O157),0))/$K157)</f>
        <v/>
      </c>
      <c r="AK157" s="15" t="str">
        <f aca="false">IF(OR($C157="",$N157=""),"",DATE(YEAR($N157),MONTH($N157),1))</f>
        <v/>
      </c>
      <c r="AL157" s="11" t="str">
        <f aca="false">IF($C157="","",IF($M157="Abierta",0,1))</f>
        <v/>
      </c>
      <c r="AM157" s="16" t="str">
        <f aca="false">IF(OR($AE157="",$AD157=""),"",$AD157*MAX(N($X157),1))</f>
        <v/>
      </c>
      <c r="AN157" s="10" t="str">
        <f aca="false">IF($C157="","",IF(OR($B157="",$D157="",$H157="",$K157="",$M157=""),"Faltan datos obligatorios",IF($T157="","Estrategia no reconocida",IF(AND($M157&lt;&gt;"Abierta",$N157=""),"Falta fecha cierre",IF(AND(OR($M157="Cerrada",$M157="Rolada"),$O157=""),"Falta prima cierre",IF(AND($N157&lt;&gt;"",$N157&lt;$B157),"Cierre anterior a apertura",IF(AND($M157="Asignada",$R157=""),"Asignada: falta ID lote acciones",IF(AND($R157&lt;&gt;"",ISNA(MATCH($R157,Acciones!$A$2:$A$201,0))),"El ID lote no existe en Acciones",IF($AD157="","Revisa capital en riesgo","OK")))))))))</f>
        <v/>
      </c>
    </row>
    <row r="158" customFormat="false" ht="15" hidden="false" customHeight="true" outlineLevel="0" collapsed="false">
      <c r="A158" s="5"/>
      <c r="B158" s="6"/>
      <c r="C158" s="7"/>
      <c r="D158" s="7"/>
      <c r="E158" s="8"/>
      <c r="F158" s="8"/>
      <c r="G158" s="6"/>
      <c r="H158" s="5"/>
      <c r="I158" s="5" t="n">
        <v>100</v>
      </c>
      <c r="J158" s="8"/>
      <c r="K158" s="8"/>
      <c r="L158" s="9"/>
      <c r="M158" s="7"/>
      <c r="N158" s="6"/>
      <c r="O158" s="8"/>
      <c r="P158" s="9"/>
      <c r="Q158" s="9"/>
      <c r="R158" s="7"/>
      <c r="S158" s="7"/>
      <c r="T158" s="10" t="str">
        <f aca="false">IF($C158="","",IFERROR(INDEX(Listas!$B$2:$B$20,MATCH($D158,Listas!$A$2:$A$20,0)),""))</f>
        <v/>
      </c>
      <c r="U158" s="10" t="str">
        <f aca="false">IF($C158="","",IFERROR(INDEX(Listas!$C$2:$C$20,MATCH($D158,Listas!$A$2:$A$20,0)),""))</f>
        <v/>
      </c>
      <c r="V158" s="10" t="str">
        <f aca="false">IF($C158="","",IFERROR(INDEX(Listas!$D$2:$D$20,MATCH($D158,Listas!$A$2:$A$20,0)),""))</f>
        <v/>
      </c>
      <c r="W158" s="11" t="str">
        <f aca="false">IF(OR($C158="",$B158="",$G158=""),"",$G158-$B158)</f>
        <v/>
      </c>
      <c r="X158" s="11" t="str">
        <f aca="true">IF(OR($C158="",$B158=""),"",IF($N158&lt;&gt;"",$N158,TODAY())-$B158)</f>
        <v/>
      </c>
      <c r="Y158" s="11" t="str">
        <f aca="true">IF(OR($C158="",$M158&lt;&gt;"Abierta",$G158=""),"",MAX($G158-TODAY(),0))</f>
        <v/>
      </c>
      <c r="Z158" s="12" t="str">
        <f aca="false">IF($C158="","",N($K158)*N($H158)*N($I158)*IF($U158="Débito",-1,1))</f>
        <v/>
      </c>
      <c r="AA158" s="13" t="str">
        <f aca="false">IF($C158="","",IF(AND($U158="Débito",$F158&lt;&gt;""),$F158,$E158))</f>
        <v/>
      </c>
      <c r="AB158" s="13" t="str">
        <f aca="false">IF(OR($C158="",$T158="Mixta",$AA158=""),"",IF($V158="Subyacente",IF($J158="","",$J158-$K158),IF($T158="Put",$AA158-$K158,$AA158+$K158)))</f>
        <v/>
      </c>
      <c r="AC158" s="14" t="str">
        <f aca="false">IF(OR($C158="",$T158="Mixta",$J158="",$AA158=""),"",IF($T158="Put",($J158-$AA158)/$J158,($AA158-$J158)/$J158))</f>
        <v/>
      </c>
      <c r="AD158" s="12" t="str">
        <f aca="false">IF($C158="","",IF($Q158&lt;&gt;"",$Q158,IF($V158="Strike",N($E158)*$H158*$I158,IF($V158="Subyacente",IF($J158="","",$J158*$H158*$I158),IF($V158="Ancho",IF($F158="","",ABS($E158-$F158)*$H158*$I158-$K158*$H158*$I158),IF($V158="Prima",$K158*$H158*$I158,""))))))</f>
        <v/>
      </c>
      <c r="AE158" s="12" t="str">
        <f aca="false">IF(OR($C158="",$M158="Abierta",$M158=""),"",(N($K158)-IF(OR($M158="Cerrada",$M158="Rolada"),N($O158),0))*$H158*$I158*IF($U158="Débito",-1,1)-N($L158)-N($P158))</f>
        <v/>
      </c>
      <c r="AF158" s="14" t="str">
        <f aca="false">IF(OR($AE158="",$AD158=""),"",IF($AD158&lt;=0,"",$AE158/$AD158))</f>
        <v/>
      </c>
      <c r="AG158" s="14" t="str">
        <f aca="false">IF($AF158="","",$AF158*365/MAX(N($X158),1))</f>
        <v/>
      </c>
      <c r="AH158" s="14" t="str">
        <f aca="false">IF(OR($C158="",$U158&lt;&gt;"Crédito",$AD158=""),"",IF($AD158&lt;=0,"",($Z158-N($L158))/$AD158))</f>
        <v/>
      </c>
      <c r="AI158" s="14" t="str">
        <f aca="false">IF(OR($AH158="",$W158=""),"",$AH158*365/MAX($W158,1))</f>
        <v/>
      </c>
      <c r="AJ158" s="14" t="str">
        <f aca="false">IF(OR($AE158="",$U158&lt;&gt;"Crédito",N($K158)=0),"",(N($K158)-IF(OR($M158="Cerrada",$M158="Rolada"),N($O158),0))/$K158)</f>
        <v/>
      </c>
      <c r="AK158" s="15" t="str">
        <f aca="false">IF(OR($C158="",$N158=""),"",DATE(YEAR($N158),MONTH($N158),1))</f>
        <v/>
      </c>
      <c r="AL158" s="11" t="str">
        <f aca="false">IF($C158="","",IF($M158="Abierta",0,1))</f>
        <v/>
      </c>
      <c r="AM158" s="16" t="str">
        <f aca="false">IF(OR($AE158="",$AD158=""),"",$AD158*MAX(N($X158),1))</f>
        <v/>
      </c>
      <c r="AN158" s="10" t="str">
        <f aca="false">IF($C158="","",IF(OR($B158="",$D158="",$H158="",$K158="",$M158=""),"Faltan datos obligatorios",IF($T158="","Estrategia no reconocida",IF(AND($M158&lt;&gt;"Abierta",$N158=""),"Falta fecha cierre",IF(AND(OR($M158="Cerrada",$M158="Rolada"),$O158=""),"Falta prima cierre",IF(AND($N158&lt;&gt;"",$N158&lt;$B158),"Cierre anterior a apertura",IF(AND($M158="Asignada",$R158=""),"Asignada: falta ID lote acciones",IF(AND($R158&lt;&gt;"",ISNA(MATCH($R158,Acciones!$A$2:$A$201,0))),"El ID lote no existe en Acciones",IF($AD158="","Revisa capital en riesgo","OK")))))))))</f>
        <v/>
      </c>
    </row>
    <row r="159" customFormat="false" ht="15" hidden="false" customHeight="true" outlineLevel="0" collapsed="false">
      <c r="A159" s="5"/>
      <c r="B159" s="6"/>
      <c r="C159" s="7"/>
      <c r="D159" s="7"/>
      <c r="E159" s="8"/>
      <c r="F159" s="8"/>
      <c r="G159" s="6"/>
      <c r="H159" s="5"/>
      <c r="I159" s="5" t="n">
        <v>100</v>
      </c>
      <c r="J159" s="8"/>
      <c r="K159" s="8"/>
      <c r="L159" s="9"/>
      <c r="M159" s="7"/>
      <c r="N159" s="6"/>
      <c r="O159" s="8"/>
      <c r="P159" s="9"/>
      <c r="Q159" s="9"/>
      <c r="R159" s="7"/>
      <c r="S159" s="7"/>
      <c r="T159" s="10" t="str">
        <f aca="false">IF($C159="","",IFERROR(INDEX(Listas!$B$2:$B$20,MATCH($D159,Listas!$A$2:$A$20,0)),""))</f>
        <v/>
      </c>
      <c r="U159" s="10" t="str">
        <f aca="false">IF($C159="","",IFERROR(INDEX(Listas!$C$2:$C$20,MATCH($D159,Listas!$A$2:$A$20,0)),""))</f>
        <v/>
      </c>
      <c r="V159" s="10" t="str">
        <f aca="false">IF($C159="","",IFERROR(INDEX(Listas!$D$2:$D$20,MATCH($D159,Listas!$A$2:$A$20,0)),""))</f>
        <v/>
      </c>
      <c r="W159" s="11" t="str">
        <f aca="false">IF(OR($C159="",$B159="",$G159=""),"",$G159-$B159)</f>
        <v/>
      </c>
      <c r="X159" s="11" t="str">
        <f aca="true">IF(OR($C159="",$B159=""),"",IF($N159&lt;&gt;"",$N159,TODAY())-$B159)</f>
        <v/>
      </c>
      <c r="Y159" s="11" t="str">
        <f aca="true">IF(OR($C159="",$M159&lt;&gt;"Abierta",$G159=""),"",MAX($G159-TODAY(),0))</f>
        <v/>
      </c>
      <c r="Z159" s="12" t="str">
        <f aca="false">IF($C159="","",N($K159)*N($H159)*N($I159)*IF($U159="Débito",-1,1))</f>
        <v/>
      </c>
      <c r="AA159" s="13" t="str">
        <f aca="false">IF($C159="","",IF(AND($U159="Débito",$F159&lt;&gt;""),$F159,$E159))</f>
        <v/>
      </c>
      <c r="AB159" s="13" t="str">
        <f aca="false">IF(OR($C159="",$T159="Mixta",$AA159=""),"",IF($V159="Subyacente",IF($J159="","",$J159-$K159),IF($T159="Put",$AA159-$K159,$AA159+$K159)))</f>
        <v/>
      </c>
      <c r="AC159" s="14" t="str">
        <f aca="false">IF(OR($C159="",$T159="Mixta",$J159="",$AA159=""),"",IF($T159="Put",($J159-$AA159)/$J159,($AA159-$J159)/$J159))</f>
        <v/>
      </c>
      <c r="AD159" s="12" t="str">
        <f aca="false">IF($C159="","",IF($Q159&lt;&gt;"",$Q159,IF($V159="Strike",N($E159)*$H159*$I159,IF($V159="Subyacente",IF($J159="","",$J159*$H159*$I159),IF($V159="Ancho",IF($F159="","",ABS($E159-$F159)*$H159*$I159-$K159*$H159*$I159),IF($V159="Prima",$K159*$H159*$I159,""))))))</f>
        <v/>
      </c>
      <c r="AE159" s="12" t="str">
        <f aca="false">IF(OR($C159="",$M159="Abierta",$M159=""),"",(N($K159)-IF(OR($M159="Cerrada",$M159="Rolada"),N($O159),0))*$H159*$I159*IF($U159="Débito",-1,1)-N($L159)-N($P159))</f>
        <v/>
      </c>
      <c r="AF159" s="14" t="str">
        <f aca="false">IF(OR($AE159="",$AD159=""),"",IF($AD159&lt;=0,"",$AE159/$AD159))</f>
        <v/>
      </c>
      <c r="AG159" s="14" t="str">
        <f aca="false">IF($AF159="","",$AF159*365/MAX(N($X159),1))</f>
        <v/>
      </c>
      <c r="AH159" s="14" t="str">
        <f aca="false">IF(OR($C159="",$U159&lt;&gt;"Crédito",$AD159=""),"",IF($AD159&lt;=0,"",($Z159-N($L159))/$AD159))</f>
        <v/>
      </c>
      <c r="AI159" s="14" t="str">
        <f aca="false">IF(OR($AH159="",$W159=""),"",$AH159*365/MAX($W159,1))</f>
        <v/>
      </c>
      <c r="AJ159" s="14" t="str">
        <f aca="false">IF(OR($AE159="",$U159&lt;&gt;"Crédito",N($K159)=0),"",(N($K159)-IF(OR($M159="Cerrada",$M159="Rolada"),N($O159),0))/$K159)</f>
        <v/>
      </c>
      <c r="AK159" s="15" t="str">
        <f aca="false">IF(OR($C159="",$N159=""),"",DATE(YEAR($N159),MONTH($N159),1))</f>
        <v/>
      </c>
      <c r="AL159" s="11" t="str">
        <f aca="false">IF($C159="","",IF($M159="Abierta",0,1))</f>
        <v/>
      </c>
      <c r="AM159" s="16" t="str">
        <f aca="false">IF(OR($AE159="",$AD159=""),"",$AD159*MAX(N($X159),1))</f>
        <v/>
      </c>
      <c r="AN159" s="10" t="str">
        <f aca="false">IF($C159="","",IF(OR($B159="",$D159="",$H159="",$K159="",$M159=""),"Faltan datos obligatorios",IF($T159="","Estrategia no reconocida",IF(AND($M159&lt;&gt;"Abierta",$N159=""),"Falta fecha cierre",IF(AND(OR($M159="Cerrada",$M159="Rolada"),$O159=""),"Falta prima cierre",IF(AND($N159&lt;&gt;"",$N159&lt;$B159),"Cierre anterior a apertura",IF(AND($M159="Asignada",$R159=""),"Asignada: falta ID lote acciones",IF(AND($R159&lt;&gt;"",ISNA(MATCH($R159,Acciones!$A$2:$A$201,0))),"El ID lote no existe en Acciones",IF($AD159="","Revisa capital en riesgo","OK")))))))))</f>
        <v/>
      </c>
    </row>
    <row r="160" customFormat="false" ht="15" hidden="false" customHeight="true" outlineLevel="0" collapsed="false">
      <c r="A160" s="5"/>
      <c r="B160" s="6"/>
      <c r="C160" s="7"/>
      <c r="D160" s="7"/>
      <c r="E160" s="8"/>
      <c r="F160" s="8"/>
      <c r="G160" s="6"/>
      <c r="H160" s="5"/>
      <c r="I160" s="5" t="n">
        <v>100</v>
      </c>
      <c r="J160" s="8"/>
      <c r="K160" s="8"/>
      <c r="L160" s="9"/>
      <c r="M160" s="7"/>
      <c r="N160" s="6"/>
      <c r="O160" s="8"/>
      <c r="P160" s="9"/>
      <c r="Q160" s="9"/>
      <c r="R160" s="7"/>
      <c r="S160" s="7"/>
      <c r="T160" s="10" t="str">
        <f aca="false">IF($C160="","",IFERROR(INDEX(Listas!$B$2:$B$20,MATCH($D160,Listas!$A$2:$A$20,0)),""))</f>
        <v/>
      </c>
      <c r="U160" s="10" t="str">
        <f aca="false">IF($C160="","",IFERROR(INDEX(Listas!$C$2:$C$20,MATCH($D160,Listas!$A$2:$A$20,0)),""))</f>
        <v/>
      </c>
      <c r="V160" s="10" t="str">
        <f aca="false">IF($C160="","",IFERROR(INDEX(Listas!$D$2:$D$20,MATCH($D160,Listas!$A$2:$A$20,0)),""))</f>
        <v/>
      </c>
      <c r="W160" s="11" t="str">
        <f aca="false">IF(OR($C160="",$B160="",$G160=""),"",$G160-$B160)</f>
        <v/>
      </c>
      <c r="X160" s="11" t="str">
        <f aca="true">IF(OR($C160="",$B160=""),"",IF($N160&lt;&gt;"",$N160,TODAY())-$B160)</f>
        <v/>
      </c>
      <c r="Y160" s="11" t="str">
        <f aca="true">IF(OR($C160="",$M160&lt;&gt;"Abierta",$G160=""),"",MAX($G160-TODAY(),0))</f>
        <v/>
      </c>
      <c r="Z160" s="12" t="str">
        <f aca="false">IF($C160="","",N($K160)*N($H160)*N($I160)*IF($U160="Débito",-1,1))</f>
        <v/>
      </c>
      <c r="AA160" s="13" t="str">
        <f aca="false">IF($C160="","",IF(AND($U160="Débito",$F160&lt;&gt;""),$F160,$E160))</f>
        <v/>
      </c>
      <c r="AB160" s="13" t="str">
        <f aca="false">IF(OR($C160="",$T160="Mixta",$AA160=""),"",IF($V160="Subyacente",IF($J160="","",$J160-$K160),IF($T160="Put",$AA160-$K160,$AA160+$K160)))</f>
        <v/>
      </c>
      <c r="AC160" s="14" t="str">
        <f aca="false">IF(OR($C160="",$T160="Mixta",$J160="",$AA160=""),"",IF($T160="Put",($J160-$AA160)/$J160,($AA160-$J160)/$J160))</f>
        <v/>
      </c>
      <c r="AD160" s="12" t="str">
        <f aca="false">IF($C160="","",IF($Q160&lt;&gt;"",$Q160,IF($V160="Strike",N($E160)*$H160*$I160,IF($V160="Subyacente",IF($J160="","",$J160*$H160*$I160),IF($V160="Ancho",IF($F160="","",ABS($E160-$F160)*$H160*$I160-$K160*$H160*$I160),IF($V160="Prima",$K160*$H160*$I160,""))))))</f>
        <v/>
      </c>
      <c r="AE160" s="12" t="str">
        <f aca="false">IF(OR($C160="",$M160="Abierta",$M160=""),"",(N($K160)-IF(OR($M160="Cerrada",$M160="Rolada"),N($O160),0))*$H160*$I160*IF($U160="Débito",-1,1)-N($L160)-N($P160))</f>
        <v/>
      </c>
      <c r="AF160" s="14" t="str">
        <f aca="false">IF(OR($AE160="",$AD160=""),"",IF($AD160&lt;=0,"",$AE160/$AD160))</f>
        <v/>
      </c>
      <c r="AG160" s="14" t="str">
        <f aca="false">IF($AF160="","",$AF160*365/MAX(N($X160),1))</f>
        <v/>
      </c>
      <c r="AH160" s="14" t="str">
        <f aca="false">IF(OR($C160="",$U160&lt;&gt;"Crédito",$AD160=""),"",IF($AD160&lt;=0,"",($Z160-N($L160))/$AD160))</f>
        <v/>
      </c>
      <c r="AI160" s="14" t="str">
        <f aca="false">IF(OR($AH160="",$W160=""),"",$AH160*365/MAX($W160,1))</f>
        <v/>
      </c>
      <c r="AJ160" s="14" t="str">
        <f aca="false">IF(OR($AE160="",$U160&lt;&gt;"Crédito",N($K160)=0),"",(N($K160)-IF(OR($M160="Cerrada",$M160="Rolada"),N($O160),0))/$K160)</f>
        <v/>
      </c>
      <c r="AK160" s="15" t="str">
        <f aca="false">IF(OR($C160="",$N160=""),"",DATE(YEAR($N160),MONTH($N160),1))</f>
        <v/>
      </c>
      <c r="AL160" s="11" t="str">
        <f aca="false">IF($C160="","",IF($M160="Abierta",0,1))</f>
        <v/>
      </c>
      <c r="AM160" s="16" t="str">
        <f aca="false">IF(OR($AE160="",$AD160=""),"",$AD160*MAX(N($X160),1))</f>
        <v/>
      </c>
      <c r="AN160" s="10" t="str">
        <f aca="false">IF($C160="","",IF(OR($B160="",$D160="",$H160="",$K160="",$M160=""),"Faltan datos obligatorios",IF($T160="","Estrategia no reconocida",IF(AND($M160&lt;&gt;"Abierta",$N160=""),"Falta fecha cierre",IF(AND(OR($M160="Cerrada",$M160="Rolada"),$O160=""),"Falta prima cierre",IF(AND($N160&lt;&gt;"",$N160&lt;$B160),"Cierre anterior a apertura",IF(AND($M160="Asignada",$R160=""),"Asignada: falta ID lote acciones",IF(AND($R160&lt;&gt;"",ISNA(MATCH($R160,Acciones!$A$2:$A$201,0))),"El ID lote no existe en Acciones",IF($AD160="","Revisa capital en riesgo","OK")))))))))</f>
        <v/>
      </c>
    </row>
    <row r="161" customFormat="false" ht="15" hidden="false" customHeight="true" outlineLevel="0" collapsed="false">
      <c r="A161" s="5"/>
      <c r="B161" s="6"/>
      <c r="C161" s="7"/>
      <c r="D161" s="7"/>
      <c r="E161" s="8"/>
      <c r="F161" s="8"/>
      <c r="G161" s="6"/>
      <c r="H161" s="5"/>
      <c r="I161" s="5" t="n">
        <v>100</v>
      </c>
      <c r="J161" s="8"/>
      <c r="K161" s="8"/>
      <c r="L161" s="9"/>
      <c r="M161" s="7"/>
      <c r="N161" s="6"/>
      <c r="O161" s="8"/>
      <c r="P161" s="9"/>
      <c r="Q161" s="9"/>
      <c r="R161" s="7"/>
      <c r="S161" s="7"/>
      <c r="T161" s="10" t="str">
        <f aca="false">IF($C161="","",IFERROR(INDEX(Listas!$B$2:$B$20,MATCH($D161,Listas!$A$2:$A$20,0)),""))</f>
        <v/>
      </c>
      <c r="U161" s="10" t="str">
        <f aca="false">IF($C161="","",IFERROR(INDEX(Listas!$C$2:$C$20,MATCH($D161,Listas!$A$2:$A$20,0)),""))</f>
        <v/>
      </c>
      <c r="V161" s="10" t="str">
        <f aca="false">IF($C161="","",IFERROR(INDEX(Listas!$D$2:$D$20,MATCH($D161,Listas!$A$2:$A$20,0)),""))</f>
        <v/>
      </c>
      <c r="W161" s="11" t="str">
        <f aca="false">IF(OR($C161="",$B161="",$G161=""),"",$G161-$B161)</f>
        <v/>
      </c>
      <c r="X161" s="11" t="str">
        <f aca="true">IF(OR($C161="",$B161=""),"",IF($N161&lt;&gt;"",$N161,TODAY())-$B161)</f>
        <v/>
      </c>
      <c r="Y161" s="11" t="str">
        <f aca="true">IF(OR($C161="",$M161&lt;&gt;"Abierta",$G161=""),"",MAX($G161-TODAY(),0))</f>
        <v/>
      </c>
      <c r="Z161" s="12" t="str">
        <f aca="false">IF($C161="","",N($K161)*N($H161)*N($I161)*IF($U161="Débito",-1,1))</f>
        <v/>
      </c>
      <c r="AA161" s="13" t="str">
        <f aca="false">IF($C161="","",IF(AND($U161="Débito",$F161&lt;&gt;""),$F161,$E161))</f>
        <v/>
      </c>
      <c r="AB161" s="13" t="str">
        <f aca="false">IF(OR($C161="",$T161="Mixta",$AA161=""),"",IF($V161="Subyacente",IF($J161="","",$J161-$K161),IF($T161="Put",$AA161-$K161,$AA161+$K161)))</f>
        <v/>
      </c>
      <c r="AC161" s="14" t="str">
        <f aca="false">IF(OR($C161="",$T161="Mixta",$J161="",$AA161=""),"",IF($T161="Put",($J161-$AA161)/$J161,($AA161-$J161)/$J161))</f>
        <v/>
      </c>
      <c r="AD161" s="12" t="str">
        <f aca="false">IF($C161="","",IF($Q161&lt;&gt;"",$Q161,IF($V161="Strike",N($E161)*$H161*$I161,IF($V161="Subyacente",IF($J161="","",$J161*$H161*$I161),IF($V161="Ancho",IF($F161="","",ABS($E161-$F161)*$H161*$I161-$K161*$H161*$I161),IF($V161="Prima",$K161*$H161*$I161,""))))))</f>
        <v/>
      </c>
      <c r="AE161" s="12" t="str">
        <f aca="false">IF(OR($C161="",$M161="Abierta",$M161=""),"",(N($K161)-IF(OR($M161="Cerrada",$M161="Rolada"),N($O161),0))*$H161*$I161*IF($U161="Débito",-1,1)-N($L161)-N($P161))</f>
        <v/>
      </c>
      <c r="AF161" s="14" t="str">
        <f aca="false">IF(OR($AE161="",$AD161=""),"",IF($AD161&lt;=0,"",$AE161/$AD161))</f>
        <v/>
      </c>
      <c r="AG161" s="14" t="str">
        <f aca="false">IF($AF161="","",$AF161*365/MAX(N($X161),1))</f>
        <v/>
      </c>
      <c r="AH161" s="14" t="str">
        <f aca="false">IF(OR($C161="",$U161&lt;&gt;"Crédito",$AD161=""),"",IF($AD161&lt;=0,"",($Z161-N($L161))/$AD161))</f>
        <v/>
      </c>
      <c r="AI161" s="14" t="str">
        <f aca="false">IF(OR($AH161="",$W161=""),"",$AH161*365/MAX($W161,1))</f>
        <v/>
      </c>
      <c r="AJ161" s="14" t="str">
        <f aca="false">IF(OR($AE161="",$U161&lt;&gt;"Crédito",N($K161)=0),"",(N($K161)-IF(OR($M161="Cerrada",$M161="Rolada"),N($O161),0))/$K161)</f>
        <v/>
      </c>
      <c r="AK161" s="15" t="str">
        <f aca="false">IF(OR($C161="",$N161=""),"",DATE(YEAR($N161),MONTH($N161),1))</f>
        <v/>
      </c>
      <c r="AL161" s="11" t="str">
        <f aca="false">IF($C161="","",IF($M161="Abierta",0,1))</f>
        <v/>
      </c>
      <c r="AM161" s="16" t="str">
        <f aca="false">IF(OR($AE161="",$AD161=""),"",$AD161*MAX(N($X161),1))</f>
        <v/>
      </c>
      <c r="AN161" s="10" t="str">
        <f aca="false">IF($C161="","",IF(OR($B161="",$D161="",$H161="",$K161="",$M161=""),"Faltan datos obligatorios",IF($T161="","Estrategia no reconocida",IF(AND($M161&lt;&gt;"Abierta",$N161=""),"Falta fecha cierre",IF(AND(OR($M161="Cerrada",$M161="Rolada"),$O161=""),"Falta prima cierre",IF(AND($N161&lt;&gt;"",$N161&lt;$B161),"Cierre anterior a apertura",IF(AND($M161="Asignada",$R161=""),"Asignada: falta ID lote acciones",IF(AND($R161&lt;&gt;"",ISNA(MATCH($R161,Acciones!$A$2:$A$201,0))),"El ID lote no existe en Acciones",IF($AD161="","Revisa capital en riesgo","OK")))))))))</f>
        <v/>
      </c>
    </row>
    <row r="162" customFormat="false" ht="15" hidden="false" customHeight="true" outlineLevel="0" collapsed="false">
      <c r="A162" s="5"/>
      <c r="B162" s="6"/>
      <c r="C162" s="7"/>
      <c r="D162" s="7"/>
      <c r="E162" s="8"/>
      <c r="F162" s="8"/>
      <c r="G162" s="6"/>
      <c r="H162" s="5"/>
      <c r="I162" s="5" t="n">
        <v>100</v>
      </c>
      <c r="J162" s="8"/>
      <c r="K162" s="8"/>
      <c r="L162" s="9"/>
      <c r="M162" s="7"/>
      <c r="N162" s="6"/>
      <c r="O162" s="8"/>
      <c r="P162" s="9"/>
      <c r="Q162" s="9"/>
      <c r="R162" s="7"/>
      <c r="S162" s="7"/>
      <c r="T162" s="10" t="str">
        <f aca="false">IF($C162="","",IFERROR(INDEX(Listas!$B$2:$B$20,MATCH($D162,Listas!$A$2:$A$20,0)),""))</f>
        <v/>
      </c>
      <c r="U162" s="10" t="str">
        <f aca="false">IF($C162="","",IFERROR(INDEX(Listas!$C$2:$C$20,MATCH($D162,Listas!$A$2:$A$20,0)),""))</f>
        <v/>
      </c>
      <c r="V162" s="10" t="str">
        <f aca="false">IF($C162="","",IFERROR(INDEX(Listas!$D$2:$D$20,MATCH($D162,Listas!$A$2:$A$20,0)),""))</f>
        <v/>
      </c>
      <c r="W162" s="11" t="str">
        <f aca="false">IF(OR($C162="",$B162="",$G162=""),"",$G162-$B162)</f>
        <v/>
      </c>
      <c r="X162" s="11" t="str">
        <f aca="true">IF(OR($C162="",$B162=""),"",IF($N162&lt;&gt;"",$N162,TODAY())-$B162)</f>
        <v/>
      </c>
      <c r="Y162" s="11" t="str">
        <f aca="true">IF(OR($C162="",$M162&lt;&gt;"Abierta",$G162=""),"",MAX($G162-TODAY(),0))</f>
        <v/>
      </c>
      <c r="Z162" s="12" t="str">
        <f aca="false">IF($C162="","",N($K162)*N($H162)*N($I162)*IF($U162="Débito",-1,1))</f>
        <v/>
      </c>
      <c r="AA162" s="13" t="str">
        <f aca="false">IF($C162="","",IF(AND($U162="Débito",$F162&lt;&gt;""),$F162,$E162))</f>
        <v/>
      </c>
      <c r="AB162" s="13" t="str">
        <f aca="false">IF(OR($C162="",$T162="Mixta",$AA162=""),"",IF($V162="Subyacente",IF($J162="","",$J162-$K162),IF($T162="Put",$AA162-$K162,$AA162+$K162)))</f>
        <v/>
      </c>
      <c r="AC162" s="14" t="str">
        <f aca="false">IF(OR($C162="",$T162="Mixta",$J162="",$AA162=""),"",IF($T162="Put",($J162-$AA162)/$J162,($AA162-$J162)/$J162))</f>
        <v/>
      </c>
      <c r="AD162" s="12" t="str">
        <f aca="false">IF($C162="","",IF($Q162&lt;&gt;"",$Q162,IF($V162="Strike",N($E162)*$H162*$I162,IF($V162="Subyacente",IF($J162="","",$J162*$H162*$I162),IF($V162="Ancho",IF($F162="","",ABS($E162-$F162)*$H162*$I162-$K162*$H162*$I162),IF($V162="Prima",$K162*$H162*$I162,""))))))</f>
        <v/>
      </c>
      <c r="AE162" s="12" t="str">
        <f aca="false">IF(OR($C162="",$M162="Abierta",$M162=""),"",(N($K162)-IF(OR($M162="Cerrada",$M162="Rolada"),N($O162),0))*$H162*$I162*IF($U162="Débito",-1,1)-N($L162)-N($P162))</f>
        <v/>
      </c>
      <c r="AF162" s="14" t="str">
        <f aca="false">IF(OR($AE162="",$AD162=""),"",IF($AD162&lt;=0,"",$AE162/$AD162))</f>
        <v/>
      </c>
      <c r="AG162" s="14" t="str">
        <f aca="false">IF($AF162="","",$AF162*365/MAX(N($X162),1))</f>
        <v/>
      </c>
      <c r="AH162" s="14" t="str">
        <f aca="false">IF(OR($C162="",$U162&lt;&gt;"Crédito",$AD162=""),"",IF($AD162&lt;=0,"",($Z162-N($L162))/$AD162))</f>
        <v/>
      </c>
      <c r="AI162" s="14" t="str">
        <f aca="false">IF(OR($AH162="",$W162=""),"",$AH162*365/MAX($W162,1))</f>
        <v/>
      </c>
      <c r="AJ162" s="14" t="str">
        <f aca="false">IF(OR($AE162="",$U162&lt;&gt;"Crédito",N($K162)=0),"",(N($K162)-IF(OR($M162="Cerrada",$M162="Rolada"),N($O162),0))/$K162)</f>
        <v/>
      </c>
      <c r="AK162" s="15" t="str">
        <f aca="false">IF(OR($C162="",$N162=""),"",DATE(YEAR($N162),MONTH($N162),1))</f>
        <v/>
      </c>
      <c r="AL162" s="11" t="str">
        <f aca="false">IF($C162="","",IF($M162="Abierta",0,1))</f>
        <v/>
      </c>
      <c r="AM162" s="16" t="str">
        <f aca="false">IF(OR($AE162="",$AD162=""),"",$AD162*MAX(N($X162),1))</f>
        <v/>
      </c>
      <c r="AN162" s="10" t="str">
        <f aca="false">IF($C162="","",IF(OR($B162="",$D162="",$H162="",$K162="",$M162=""),"Faltan datos obligatorios",IF($T162="","Estrategia no reconocida",IF(AND($M162&lt;&gt;"Abierta",$N162=""),"Falta fecha cierre",IF(AND(OR($M162="Cerrada",$M162="Rolada"),$O162=""),"Falta prima cierre",IF(AND($N162&lt;&gt;"",$N162&lt;$B162),"Cierre anterior a apertura",IF(AND($M162="Asignada",$R162=""),"Asignada: falta ID lote acciones",IF(AND($R162&lt;&gt;"",ISNA(MATCH($R162,Acciones!$A$2:$A$201,0))),"El ID lote no existe en Acciones",IF($AD162="","Revisa capital en riesgo","OK")))))))))</f>
        <v/>
      </c>
    </row>
    <row r="163" customFormat="false" ht="15" hidden="false" customHeight="true" outlineLevel="0" collapsed="false">
      <c r="A163" s="5"/>
      <c r="B163" s="6"/>
      <c r="C163" s="7"/>
      <c r="D163" s="7"/>
      <c r="E163" s="8"/>
      <c r="F163" s="8"/>
      <c r="G163" s="6"/>
      <c r="H163" s="5"/>
      <c r="I163" s="5" t="n">
        <v>100</v>
      </c>
      <c r="J163" s="8"/>
      <c r="K163" s="8"/>
      <c r="L163" s="9"/>
      <c r="M163" s="7"/>
      <c r="N163" s="6"/>
      <c r="O163" s="8"/>
      <c r="P163" s="9"/>
      <c r="Q163" s="9"/>
      <c r="R163" s="7"/>
      <c r="S163" s="7"/>
      <c r="T163" s="10" t="str">
        <f aca="false">IF($C163="","",IFERROR(INDEX(Listas!$B$2:$B$20,MATCH($D163,Listas!$A$2:$A$20,0)),""))</f>
        <v/>
      </c>
      <c r="U163" s="10" t="str">
        <f aca="false">IF($C163="","",IFERROR(INDEX(Listas!$C$2:$C$20,MATCH($D163,Listas!$A$2:$A$20,0)),""))</f>
        <v/>
      </c>
      <c r="V163" s="10" t="str">
        <f aca="false">IF($C163="","",IFERROR(INDEX(Listas!$D$2:$D$20,MATCH($D163,Listas!$A$2:$A$20,0)),""))</f>
        <v/>
      </c>
      <c r="W163" s="11" t="str">
        <f aca="false">IF(OR($C163="",$B163="",$G163=""),"",$G163-$B163)</f>
        <v/>
      </c>
      <c r="X163" s="11" t="str">
        <f aca="true">IF(OR($C163="",$B163=""),"",IF($N163&lt;&gt;"",$N163,TODAY())-$B163)</f>
        <v/>
      </c>
      <c r="Y163" s="11" t="str">
        <f aca="true">IF(OR($C163="",$M163&lt;&gt;"Abierta",$G163=""),"",MAX($G163-TODAY(),0))</f>
        <v/>
      </c>
      <c r="Z163" s="12" t="str">
        <f aca="false">IF($C163="","",N($K163)*N($H163)*N($I163)*IF($U163="Débito",-1,1))</f>
        <v/>
      </c>
      <c r="AA163" s="13" t="str">
        <f aca="false">IF($C163="","",IF(AND($U163="Débito",$F163&lt;&gt;""),$F163,$E163))</f>
        <v/>
      </c>
      <c r="AB163" s="13" t="str">
        <f aca="false">IF(OR($C163="",$T163="Mixta",$AA163=""),"",IF($V163="Subyacente",IF($J163="","",$J163-$K163),IF($T163="Put",$AA163-$K163,$AA163+$K163)))</f>
        <v/>
      </c>
      <c r="AC163" s="14" t="str">
        <f aca="false">IF(OR($C163="",$T163="Mixta",$J163="",$AA163=""),"",IF($T163="Put",($J163-$AA163)/$J163,($AA163-$J163)/$J163))</f>
        <v/>
      </c>
      <c r="AD163" s="12" t="str">
        <f aca="false">IF($C163="","",IF($Q163&lt;&gt;"",$Q163,IF($V163="Strike",N($E163)*$H163*$I163,IF($V163="Subyacente",IF($J163="","",$J163*$H163*$I163),IF($V163="Ancho",IF($F163="","",ABS($E163-$F163)*$H163*$I163-$K163*$H163*$I163),IF($V163="Prima",$K163*$H163*$I163,""))))))</f>
        <v/>
      </c>
      <c r="AE163" s="12" t="str">
        <f aca="false">IF(OR($C163="",$M163="Abierta",$M163=""),"",(N($K163)-IF(OR($M163="Cerrada",$M163="Rolada"),N($O163),0))*$H163*$I163*IF($U163="Débito",-1,1)-N($L163)-N($P163))</f>
        <v/>
      </c>
      <c r="AF163" s="14" t="str">
        <f aca="false">IF(OR($AE163="",$AD163=""),"",IF($AD163&lt;=0,"",$AE163/$AD163))</f>
        <v/>
      </c>
      <c r="AG163" s="14" t="str">
        <f aca="false">IF($AF163="","",$AF163*365/MAX(N($X163),1))</f>
        <v/>
      </c>
      <c r="AH163" s="14" t="str">
        <f aca="false">IF(OR($C163="",$U163&lt;&gt;"Crédito",$AD163=""),"",IF($AD163&lt;=0,"",($Z163-N($L163))/$AD163))</f>
        <v/>
      </c>
      <c r="AI163" s="14" t="str">
        <f aca="false">IF(OR($AH163="",$W163=""),"",$AH163*365/MAX($W163,1))</f>
        <v/>
      </c>
      <c r="AJ163" s="14" t="str">
        <f aca="false">IF(OR($AE163="",$U163&lt;&gt;"Crédito",N($K163)=0),"",(N($K163)-IF(OR($M163="Cerrada",$M163="Rolada"),N($O163),0))/$K163)</f>
        <v/>
      </c>
      <c r="AK163" s="15" t="str">
        <f aca="false">IF(OR($C163="",$N163=""),"",DATE(YEAR($N163),MONTH($N163),1))</f>
        <v/>
      </c>
      <c r="AL163" s="11" t="str">
        <f aca="false">IF($C163="","",IF($M163="Abierta",0,1))</f>
        <v/>
      </c>
      <c r="AM163" s="16" t="str">
        <f aca="false">IF(OR($AE163="",$AD163=""),"",$AD163*MAX(N($X163),1))</f>
        <v/>
      </c>
      <c r="AN163" s="10" t="str">
        <f aca="false">IF($C163="","",IF(OR($B163="",$D163="",$H163="",$K163="",$M163=""),"Faltan datos obligatorios",IF($T163="","Estrategia no reconocida",IF(AND($M163&lt;&gt;"Abierta",$N163=""),"Falta fecha cierre",IF(AND(OR($M163="Cerrada",$M163="Rolada"),$O163=""),"Falta prima cierre",IF(AND($N163&lt;&gt;"",$N163&lt;$B163),"Cierre anterior a apertura",IF(AND($M163="Asignada",$R163=""),"Asignada: falta ID lote acciones",IF(AND($R163&lt;&gt;"",ISNA(MATCH($R163,Acciones!$A$2:$A$201,0))),"El ID lote no existe en Acciones",IF($AD163="","Revisa capital en riesgo","OK")))))))))</f>
        <v/>
      </c>
    </row>
    <row r="164" customFormat="false" ht="15" hidden="false" customHeight="true" outlineLevel="0" collapsed="false">
      <c r="A164" s="5"/>
      <c r="B164" s="6"/>
      <c r="C164" s="7"/>
      <c r="D164" s="7"/>
      <c r="E164" s="8"/>
      <c r="F164" s="8"/>
      <c r="G164" s="6"/>
      <c r="H164" s="5"/>
      <c r="I164" s="5" t="n">
        <v>100</v>
      </c>
      <c r="J164" s="8"/>
      <c r="K164" s="8"/>
      <c r="L164" s="9"/>
      <c r="M164" s="7"/>
      <c r="N164" s="6"/>
      <c r="O164" s="8"/>
      <c r="P164" s="9"/>
      <c r="Q164" s="9"/>
      <c r="R164" s="7"/>
      <c r="S164" s="7"/>
      <c r="T164" s="10" t="str">
        <f aca="false">IF($C164="","",IFERROR(INDEX(Listas!$B$2:$B$20,MATCH($D164,Listas!$A$2:$A$20,0)),""))</f>
        <v/>
      </c>
      <c r="U164" s="10" t="str">
        <f aca="false">IF($C164="","",IFERROR(INDEX(Listas!$C$2:$C$20,MATCH($D164,Listas!$A$2:$A$20,0)),""))</f>
        <v/>
      </c>
      <c r="V164" s="10" t="str">
        <f aca="false">IF($C164="","",IFERROR(INDEX(Listas!$D$2:$D$20,MATCH($D164,Listas!$A$2:$A$20,0)),""))</f>
        <v/>
      </c>
      <c r="W164" s="11" t="str">
        <f aca="false">IF(OR($C164="",$B164="",$G164=""),"",$G164-$B164)</f>
        <v/>
      </c>
      <c r="X164" s="11" t="str">
        <f aca="true">IF(OR($C164="",$B164=""),"",IF($N164&lt;&gt;"",$N164,TODAY())-$B164)</f>
        <v/>
      </c>
      <c r="Y164" s="11" t="str">
        <f aca="true">IF(OR($C164="",$M164&lt;&gt;"Abierta",$G164=""),"",MAX($G164-TODAY(),0))</f>
        <v/>
      </c>
      <c r="Z164" s="12" t="str">
        <f aca="false">IF($C164="","",N($K164)*N($H164)*N($I164)*IF($U164="Débito",-1,1))</f>
        <v/>
      </c>
      <c r="AA164" s="13" t="str">
        <f aca="false">IF($C164="","",IF(AND($U164="Débito",$F164&lt;&gt;""),$F164,$E164))</f>
        <v/>
      </c>
      <c r="AB164" s="13" t="str">
        <f aca="false">IF(OR($C164="",$T164="Mixta",$AA164=""),"",IF($V164="Subyacente",IF($J164="","",$J164-$K164),IF($T164="Put",$AA164-$K164,$AA164+$K164)))</f>
        <v/>
      </c>
      <c r="AC164" s="14" t="str">
        <f aca="false">IF(OR($C164="",$T164="Mixta",$J164="",$AA164=""),"",IF($T164="Put",($J164-$AA164)/$J164,($AA164-$J164)/$J164))</f>
        <v/>
      </c>
      <c r="AD164" s="12" t="str">
        <f aca="false">IF($C164="","",IF($Q164&lt;&gt;"",$Q164,IF($V164="Strike",N($E164)*$H164*$I164,IF($V164="Subyacente",IF($J164="","",$J164*$H164*$I164),IF($V164="Ancho",IF($F164="","",ABS($E164-$F164)*$H164*$I164-$K164*$H164*$I164),IF($V164="Prima",$K164*$H164*$I164,""))))))</f>
        <v/>
      </c>
      <c r="AE164" s="12" t="str">
        <f aca="false">IF(OR($C164="",$M164="Abierta",$M164=""),"",(N($K164)-IF(OR($M164="Cerrada",$M164="Rolada"),N($O164),0))*$H164*$I164*IF($U164="Débito",-1,1)-N($L164)-N($P164))</f>
        <v/>
      </c>
      <c r="AF164" s="14" t="str">
        <f aca="false">IF(OR($AE164="",$AD164=""),"",IF($AD164&lt;=0,"",$AE164/$AD164))</f>
        <v/>
      </c>
      <c r="AG164" s="14" t="str">
        <f aca="false">IF($AF164="","",$AF164*365/MAX(N($X164),1))</f>
        <v/>
      </c>
      <c r="AH164" s="14" t="str">
        <f aca="false">IF(OR($C164="",$U164&lt;&gt;"Crédito",$AD164=""),"",IF($AD164&lt;=0,"",($Z164-N($L164))/$AD164))</f>
        <v/>
      </c>
      <c r="AI164" s="14" t="str">
        <f aca="false">IF(OR($AH164="",$W164=""),"",$AH164*365/MAX($W164,1))</f>
        <v/>
      </c>
      <c r="AJ164" s="14" t="str">
        <f aca="false">IF(OR($AE164="",$U164&lt;&gt;"Crédito",N($K164)=0),"",(N($K164)-IF(OR($M164="Cerrada",$M164="Rolada"),N($O164),0))/$K164)</f>
        <v/>
      </c>
      <c r="AK164" s="15" t="str">
        <f aca="false">IF(OR($C164="",$N164=""),"",DATE(YEAR($N164),MONTH($N164),1))</f>
        <v/>
      </c>
      <c r="AL164" s="11" t="str">
        <f aca="false">IF($C164="","",IF($M164="Abierta",0,1))</f>
        <v/>
      </c>
      <c r="AM164" s="16" t="str">
        <f aca="false">IF(OR($AE164="",$AD164=""),"",$AD164*MAX(N($X164),1))</f>
        <v/>
      </c>
      <c r="AN164" s="10" t="str">
        <f aca="false">IF($C164="","",IF(OR($B164="",$D164="",$H164="",$K164="",$M164=""),"Faltan datos obligatorios",IF($T164="","Estrategia no reconocida",IF(AND($M164&lt;&gt;"Abierta",$N164=""),"Falta fecha cierre",IF(AND(OR($M164="Cerrada",$M164="Rolada"),$O164=""),"Falta prima cierre",IF(AND($N164&lt;&gt;"",$N164&lt;$B164),"Cierre anterior a apertura",IF(AND($M164="Asignada",$R164=""),"Asignada: falta ID lote acciones",IF(AND($R164&lt;&gt;"",ISNA(MATCH($R164,Acciones!$A$2:$A$201,0))),"El ID lote no existe en Acciones",IF($AD164="","Revisa capital en riesgo","OK")))))))))</f>
        <v/>
      </c>
    </row>
    <row r="165" customFormat="false" ht="15" hidden="false" customHeight="true" outlineLevel="0" collapsed="false">
      <c r="A165" s="5"/>
      <c r="B165" s="6"/>
      <c r="C165" s="7"/>
      <c r="D165" s="7"/>
      <c r="E165" s="8"/>
      <c r="F165" s="8"/>
      <c r="G165" s="6"/>
      <c r="H165" s="5"/>
      <c r="I165" s="5" t="n">
        <v>100</v>
      </c>
      <c r="J165" s="8"/>
      <c r="K165" s="8"/>
      <c r="L165" s="9"/>
      <c r="M165" s="7"/>
      <c r="N165" s="6"/>
      <c r="O165" s="8"/>
      <c r="P165" s="9"/>
      <c r="Q165" s="9"/>
      <c r="R165" s="7"/>
      <c r="S165" s="7"/>
      <c r="T165" s="10" t="str">
        <f aca="false">IF($C165="","",IFERROR(INDEX(Listas!$B$2:$B$20,MATCH($D165,Listas!$A$2:$A$20,0)),""))</f>
        <v/>
      </c>
      <c r="U165" s="10" t="str">
        <f aca="false">IF($C165="","",IFERROR(INDEX(Listas!$C$2:$C$20,MATCH($D165,Listas!$A$2:$A$20,0)),""))</f>
        <v/>
      </c>
      <c r="V165" s="10" t="str">
        <f aca="false">IF($C165="","",IFERROR(INDEX(Listas!$D$2:$D$20,MATCH($D165,Listas!$A$2:$A$20,0)),""))</f>
        <v/>
      </c>
      <c r="W165" s="11" t="str">
        <f aca="false">IF(OR($C165="",$B165="",$G165=""),"",$G165-$B165)</f>
        <v/>
      </c>
      <c r="X165" s="11" t="str">
        <f aca="true">IF(OR($C165="",$B165=""),"",IF($N165&lt;&gt;"",$N165,TODAY())-$B165)</f>
        <v/>
      </c>
      <c r="Y165" s="11" t="str">
        <f aca="true">IF(OR($C165="",$M165&lt;&gt;"Abierta",$G165=""),"",MAX($G165-TODAY(),0))</f>
        <v/>
      </c>
      <c r="Z165" s="12" t="str">
        <f aca="false">IF($C165="","",N($K165)*N($H165)*N($I165)*IF($U165="Débito",-1,1))</f>
        <v/>
      </c>
      <c r="AA165" s="13" t="str">
        <f aca="false">IF($C165="","",IF(AND($U165="Débito",$F165&lt;&gt;""),$F165,$E165))</f>
        <v/>
      </c>
      <c r="AB165" s="13" t="str">
        <f aca="false">IF(OR($C165="",$T165="Mixta",$AA165=""),"",IF($V165="Subyacente",IF($J165="","",$J165-$K165),IF($T165="Put",$AA165-$K165,$AA165+$K165)))</f>
        <v/>
      </c>
      <c r="AC165" s="14" t="str">
        <f aca="false">IF(OR($C165="",$T165="Mixta",$J165="",$AA165=""),"",IF($T165="Put",($J165-$AA165)/$J165,($AA165-$J165)/$J165))</f>
        <v/>
      </c>
      <c r="AD165" s="12" t="str">
        <f aca="false">IF($C165="","",IF($Q165&lt;&gt;"",$Q165,IF($V165="Strike",N($E165)*$H165*$I165,IF($V165="Subyacente",IF($J165="","",$J165*$H165*$I165),IF($V165="Ancho",IF($F165="","",ABS($E165-$F165)*$H165*$I165-$K165*$H165*$I165),IF($V165="Prima",$K165*$H165*$I165,""))))))</f>
        <v/>
      </c>
      <c r="AE165" s="12" t="str">
        <f aca="false">IF(OR($C165="",$M165="Abierta",$M165=""),"",(N($K165)-IF(OR($M165="Cerrada",$M165="Rolada"),N($O165),0))*$H165*$I165*IF($U165="Débito",-1,1)-N($L165)-N($P165))</f>
        <v/>
      </c>
      <c r="AF165" s="14" t="str">
        <f aca="false">IF(OR($AE165="",$AD165=""),"",IF($AD165&lt;=0,"",$AE165/$AD165))</f>
        <v/>
      </c>
      <c r="AG165" s="14" t="str">
        <f aca="false">IF($AF165="","",$AF165*365/MAX(N($X165),1))</f>
        <v/>
      </c>
      <c r="AH165" s="14" t="str">
        <f aca="false">IF(OR($C165="",$U165&lt;&gt;"Crédito",$AD165=""),"",IF($AD165&lt;=0,"",($Z165-N($L165))/$AD165))</f>
        <v/>
      </c>
      <c r="AI165" s="14" t="str">
        <f aca="false">IF(OR($AH165="",$W165=""),"",$AH165*365/MAX($W165,1))</f>
        <v/>
      </c>
      <c r="AJ165" s="14" t="str">
        <f aca="false">IF(OR($AE165="",$U165&lt;&gt;"Crédito",N($K165)=0),"",(N($K165)-IF(OR($M165="Cerrada",$M165="Rolada"),N($O165),0))/$K165)</f>
        <v/>
      </c>
      <c r="AK165" s="15" t="str">
        <f aca="false">IF(OR($C165="",$N165=""),"",DATE(YEAR($N165),MONTH($N165),1))</f>
        <v/>
      </c>
      <c r="AL165" s="11" t="str">
        <f aca="false">IF($C165="","",IF($M165="Abierta",0,1))</f>
        <v/>
      </c>
      <c r="AM165" s="16" t="str">
        <f aca="false">IF(OR($AE165="",$AD165=""),"",$AD165*MAX(N($X165),1))</f>
        <v/>
      </c>
      <c r="AN165" s="10" t="str">
        <f aca="false">IF($C165="","",IF(OR($B165="",$D165="",$H165="",$K165="",$M165=""),"Faltan datos obligatorios",IF($T165="","Estrategia no reconocida",IF(AND($M165&lt;&gt;"Abierta",$N165=""),"Falta fecha cierre",IF(AND(OR($M165="Cerrada",$M165="Rolada"),$O165=""),"Falta prima cierre",IF(AND($N165&lt;&gt;"",$N165&lt;$B165),"Cierre anterior a apertura",IF(AND($M165="Asignada",$R165=""),"Asignada: falta ID lote acciones",IF(AND($R165&lt;&gt;"",ISNA(MATCH($R165,Acciones!$A$2:$A$201,0))),"El ID lote no existe en Acciones",IF($AD165="","Revisa capital en riesgo","OK")))))))))</f>
        <v/>
      </c>
    </row>
    <row r="166" customFormat="false" ht="15" hidden="false" customHeight="true" outlineLevel="0" collapsed="false">
      <c r="A166" s="5"/>
      <c r="B166" s="6"/>
      <c r="C166" s="7"/>
      <c r="D166" s="7"/>
      <c r="E166" s="8"/>
      <c r="F166" s="8"/>
      <c r="G166" s="6"/>
      <c r="H166" s="5"/>
      <c r="I166" s="5" t="n">
        <v>100</v>
      </c>
      <c r="J166" s="8"/>
      <c r="K166" s="8"/>
      <c r="L166" s="9"/>
      <c r="M166" s="7"/>
      <c r="N166" s="6"/>
      <c r="O166" s="8"/>
      <c r="P166" s="9"/>
      <c r="Q166" s="9"/>
      <c r="R166" s="7"/>
      <c r="S166" s="7"/>
      <c r="T166" s="10" t="str">
        <f aca="false">IF($C166="","",IFERROR(INDEX(Listas!$B$2:$B$20,MATCH($D166,Listas!$A$2:$A$20,0)),""))</f>
        <v/>
      </c>
      <c r="U166" s="10" t="str">
        <f aca="false">IF($C166="","",IFERROR(INDEX(Listas!$C$2:$C$20,MATCH($D166,Listas!$A$2:$A$20,0)),""))</f>
        <v/>
      </c>
      <c r="V166" s="10" t="str">
        <f aca="false">IF($C166="","",IFERROR(INDEX(Listas!$D$2:$D$20,MATCH($D166,Listas!$A$2:$A$20,0)),""))</f>
        <v/>
      </c>
      <c r="W166" s="11" t="str">
        <f aca="false">IF(OR($C166="",$B166="",$G166=""),"",$G166-$B166)</f>
        <v/>
      </c>
      <c r="X166" s="11" t="str">
        <f aca="true">IF(OR($C166="",$B166=""),"",IF($N166&lt;&gt;"",$N166,TODAY())-$B166)</f>
        <v/>
      </c>
      <c r="Y166" s="11" t="str">
        <f aca="true">IF(OR($C166="",$M166&lt;&gt;"Abierta",$G166=""),"",MAX($G166-TODAY(),0))</f>
        <v/>
      </c>
      <c r="Z166" s="12" t="str">
        <f aca="false">IF($C166="","",N($K166)*N($H166)*N($I166)*IF($U166="Débito",-1,1))</f>
        <v/>
      </c>
      <c r="AA166" s="13" t="str">
        <f aca="false">IF($C166="","",IF(AND($U166="Débito",$F166&lt;&gt;""),$F166,$E166))</f>
        <v/>
      </c>
      <c r="AB166" s="13" t="str">
        <f aca="false">IF(OR($C166="",$T166="Mixta",$AA166=""),"",IF($V166="Subyacente",IF($J166="","",$J166-$K166),IF($T166="Put",$AA166-$K166,$AA166+$K166)))</f>
        <v/>
      </c>
      <c r="AC166" s="14" t="str">
        <f aca="false">IF(OR($C166="",$T166="Mixta",$J166="",$AA166=""),"",IF($T166="Put",($J166-$AA166)/$J166,($AA166-$J166)/$J166))</f>
        <v/>
      </c>
      <c r="AD166" s="12" t="str">
        <f aca="false">IF($C166="","",IF($Q166&lt;&gt;"",$Q166,IF($V166="Strike",N($E166)*$H166*$I166,IF($V166="Subyacente",IF($J166="","",$J166*$H166*$I166),IF($V166="Ancho",IF($F166="","",ABS($E166-$F166)*$H166*$I166-$K166*$H166*$I166),IF($V166="Prima",$K166*$H166*$I166,""))))))</f>
        <v/>
      </c>
      <c r="AE166" s="12" t="str">
        <f aca="false">IF(OR($C166="",$M166="Abierta",$M166=""),"",(N($K166)-IF(OR($M166="Cerrada",$M166="Rolada"),N($O166),0))*$H166*$I166*IF($U166="Débito",-1,1)-N($L166)-N($P166))</f>
        <v/>
      </c>
      <c r="AF166" s="14" t="str">
        <f aca="false">IF(OR($AE166="",$AD166=""),"",IF($AD166&lt;=0,"",$AE166/$AD166))</f>
        <v/>
      </c>
      <c r="AG166" s="14" t="str">
        <f aca="false">IF($AF166="","",$AF166*365/MAX(N($X166),1))</f>
        <v/>
      </c>
      <c r="AH166" s="14" t="str">
        <f aca="false">IF(OR($C166="",$U166&lt;&gt;"Crédito",$AD166=""),"",IF($AD166&lt;=0,"",($Z166-N($L166))/$AD166))</f>
        <v/>
      </c>
      <c r="AI166" s="14" t="str">
        <f aca="false">IF(OR($AH166="",$W166=""),"",$AH166*365/MAX($W166,1))</f>
        <v/>
      </c>
      <c r="AJ166" s="14" t="str">
        <f aca="false">IF(OR($AE166="",$U166&lt;&gt;"Crédito",N($K166)=0),"",(N($K166)-IF(OR($M166="Cerrada",$M166="Rolada"),N($O166),0))/$K166)</f>
        <v/>
      </c>
      <c r="AK166" s="15" t="str">
        <f aca="false">IF(OR($C166="",$N166=""),"",DATE(YEAR($N166),MONTH($N166),1))</f>
        <v/>
      </c>
      <c r="AL166" s="11" t="str">
        <f aca="false">IF($C166="","",IF($M166="Abierta",0,1))</f>
        <v/>
      </c>
      <c r="AM166" s="16" t="str">
        <f aca="false">IF(OR($AE166="",$AD166=""),"",$AD166*MAX(N($X166),1))</f>
        <v/>
      </c>
      <c r="AN166" s="10" t="str">
        <f aca="false">IF($C166="","",IF(OR($B166="",$D166="",$H166="",$K166="",$M166=""),"Faltan datos obligatorios",IF($T166="","Estrategia no reconocida",IF(AND($M166&lt;&gt;"Abierta",$N166=""),"Falta fecha cierre",IF(AND(OR($M166="Cerrada",$M166="Rolada"),$O166=""),"Falta prima cierre",IF(AND($N166&lt;&gt;"",$N166&lt;$B166),"Cierre anterior a apertura",IF(AND($M166="Asignada",$R166=""),"Asignada: falta ID lote acciones",IF(AND($R166&lt;&gt;"",ISNA(MATCH($R166,Acciones!$A$2:$A$201,0))),"El ID lote no existe en Acciones",IF($AD166="","Revisa capital en riesgo","OK")))))))))</f>
        <v/>
      </c>
    </row>
    <row r="167" customFormat="false" ht="15" hidden="false" customHeight="true" outlineLevel="0" collapsed="false">
      <c r="A167" s="5"/>
      <c r="B167" s="6"/>
      <c r="C167" s="7"/>
      <c r="D167" s="7"/>
      <c r="E167" s="8"/>
      <c r="F167" s="8"/>
      <c r="G167" s="6"/>
      <c r="H167" s="5"/>
      <c r="I167" s="5" t="n">
        <v>100</v>
      </c>
      <c r="J167" s="8"/>
      <c r="K167" s="8"/>
      <c r="L167" s="9"/>
      <c r="M167" s="7"/>
      <c r="N167" s="6"/>
      <c r="O167" s="8"/>
      <c r="P167" s="9"/>
      <c r="Q167" s="9"/>
      <c r="R167" s="7"/>
      <c r="S167" s="7"/>
      <c r="T167" s="10" t="str">
        <f aca="false">IF($C167="","",IFERROR(INDEX(Listas!$B$2:$B$20,MATCH($D167,Listas!$A$2:$A$20,0)),""))</f>
        <v/>
      </c>
      <c r="U167" s="10" t="str">
        <f aca="false">IF($C167="","",IFERROR(INDEX(Listas!$C$2:$C$20,MATCH($D167,Listas!$A$2:$A$20,0)),""))</f>
        <v/>
      </c>
      <c r="V167" s="10" t="str">
        <f aca="false">IF($C167="","",IFERROR(INDEX(Listas!$D$2:$D$20,MATCH($D167,Listas!$A$2:$A$20,0)),""))</f>
        <v/>
      </c>
      <c r="W167" s="11" t="str">
        <f aca="false">IF(OR($C167="",$B167="",$G167=""),"",$G167-$B167)</f>
        <v/>
      </c>
      <c r="X167" s="11" t="str">
        <f aca="true">IF(OR($C167="",$B167=""),"",IF($N167&lt;&gt;"",$N167,TODAY())-$B167)</f>
        <v/>
      </c>
      <c r="Y167" s="11" t="str">
        <f aca="true">IF(OR($C167="",$M167&lt;&gt;"Abierta",$G167=""),"",MAX($G167-TODAY(),0))</f>
        <v/>
      </c>
      <c r="Z167" s="12" t="str">
        <f aca="false">IF($C167="","",N($K167)*N($H167)*N($I167)*IF($U167="Débito",-1,1))</f>
        <v/>
      </c>
      <c r="AA167" s="13" t="str">
        <f aca="false">IF($C167="","",IF(AND($U167="Débito",$F167&lt;&gt;""),$F167,$E167))</f>
        <v/>
      </c>
      <c r="AB167" s="13" t="str">
        <f aca="false">IF(OR($C167="",$T167="Mixta",$AA167=""),"",IF($V167="Subyacente",IF($J167="","",$J167-$K167),IF($T167="Put",$AA167-$K167,$AA167+$K167)))</f>
        <v/>
      </c>
      <c r="AC167" s="14" t="str">
        <f aca="false">IF(OR($C167="",$T167="Mixta",$J167="",$AA167=""),"",IF($T167="Put",($J167-$AA167)/$J167,($AA167-$J167)/$J167))</f>
        <v/>
      </c>
      <c r="AD167" s="12" t="str">
        <f aca="false">IF($C167="","",IF($Q167&lt;&gt;"",$Q167,IF($V167="Strike",N($E167)*$H167*$I167,IF($V167="Subyacente",IF($J167="","",$J167*$H167*$I167),IF($V167="Ancho",IF($F167="","",ABS($E167-$F167)*$H167*$I167-$K167*$H167*$I167),IF($V167="Prima",$K167*$H167*$I167,""))))))</f>
        <v/>
      </c>
      <c r="AE167" s="12" t="str">
        <f aca="false">IF(OR($C167="",$M167="Abierta",$M167=""),"",(N($K167)-IF(OR($M167="Cerrada",$M167="Rolada"),N($O167),0))*$H167*$I167*IF($U167="Débito",-1,1)-N($L167)-N($P167))</f>
        <v/>
      </c>
      <c r="AF167" s="14" t="str">
        <f aca="false">IF(OR($AE167="",$AD167=""),"",IF($AD167&lt;=0,"",$AE167/$AD167))</f>
        <v/>
      </c>
      <c r="AG167" s="14" t="str">
        <f aca="false">IF($AF167="","",$AF167*365/MAX(N($X167),1))</f>
        <v/>
      </c>
      <c r="AH167" s="14" t="str">
        <f aca="false">IF(OR($C167="",$U167&lt;&gt;"Crédito",$AD167=""),"",IF($AD167&lt;=0,"",($Z167-N($L167))/$AD167))</f>
        <v/>
      </c>
      <c r="AI167" s="14" t="str">
        <f aca="false">IF(OR($AH167="",$W167=""),"",$AH167*365/MAX($W167,1))</f>
        <v/>
      </c>
      <c r="AJ167" s="14" t="str">
        <f aca="false">IF(OR($AE167="",$U167&lt;&gt;"Crédito",N($K167)=0),"",(N($K167)-IF(OR($M167="Cerrada",$M167="Rolada"),N($O167),0))/$K167)</f>
        <v/>
      </c>
      <c r="AK167" s="15" t="str">
        <f aca="false">IF(OR($C167="",$N167=""),"",DATE(YEAR($N167),MONTH($N167),1))</f>
        <v/>
      </c>
      <c r="AL167" s="11" t="str">
        <f aca="false">IF($C167="","",IF($M167="Abierta",0,1))</f>
        <v/>
      </c>
      <c r="AM167" s="16" t="str">
        <f aca="false">IF(OR($AE167="",$AD167=""),"",$AD167*MAX(N($X167),1))</f>
        <v/>
      </c>
      <c r="AN167" s="10" t="str">
        <f aca="false">IF($C167="","",IF(OR($B167="",$D167="",$H167="",$K167="",$M167=""),"Faltan datos obligatorios",IF($T167="","Estrategia no reconocida",IF(AND($M167&lt;&gt;"Abierta",$N167=""),"Falta fecha cierre",IF(AND(OR($M167="Cerrada",$M167="Rolada"),$O167=""),"Falta prima cierre",IF(AND($N167&lt;&gt;"",$N167&lt;$B167),"Cierre anterior a apertura",IF(AND($M167="Asignada",$R167=""),"Asignada: falta ID lote acciones",IF(AND($R167&lt;&gt;"",ISNA(MATCH($R167,Acciones!$A$2:$A$201,0))),"El ID lote no existe en Acciones",IF($AD167="","Revisa capital en riesgo","OK")))))))))</f>
        <v/>
      </c>
    </row>
    <row r="168" customFormat="false" ht="15" hidden="false" customHeight="true" outlineLevel="0" collapsed="false">
      <c r="A168" s="5"/>
      <c r="B168" s="6"/>
      <c r="C168" s="7"/>
      <c r="D168" s="7"/>
      <c r="E168" s="8"/>
      <c r="F168" s="8"/>
      <c r="G168" s="6"/>
      <c r="H168" s="5"/>
      <c r="I168" s="5" t="n">
        <v>100</v>
      </c>
      <c r="J168" s="8"/>
      <c r="K168" s="8"/>
      <c r="L168" s="9"/>
      <c r="M168" s="7"/>
      <c r="N168" s="6"/>
      <c r="O168" s="8"/>
      <c r="P168" s="9"/>
      <c r="Q168" s="9"/>
      <c r="R168" s="7"/>
      <c r="S168" s="7"/>
      <c r="T168" s="10" t="str">
        <f aca="false">IF($C168="","",IFERROR(INDEX(Listas!$B$2:$B$20,MATCH($D168,Listas!$A$2:$A$20,0)),""))</f>
        <v/>
      </c>
      <c r="U168" s="10" t="str">
        <f aca="false">IF($C168="","",IFERROR(INDEX(Listas!$C$2:$C$20,MATCH($D168,Listas!$A$2:$A$20,0)),""))</f>
        <v/>
      </c>
      <c r="V168" s="10" t="str">
        <f aca="false">IF($C168="","",IFERROR(INDEX(Listas!$D$2:$D$20,MATCH($D168,Listas!$A$2:$A$20,0)),""))</f>
        <v/>
      </c>
      <c r="W168" s="11" t="str">
        <f aca="false">IF(OR($C168="",$B168="",$G168=""),"",$G168-$B168)</f>
        <v/>
      </c>
      <c r="X168" s="11" t="str">
        <f aca="true">IF(OR($C168="",$B168=""),"",IF($N168&lt;&gt;"",$N168,TODAY())-$B168)</f>
        <v/>
      </c>
      <c r="Y168" s="11" t="str">
        <f aca="true">IF(OR($C168="",$M168&lt;&gt;"Abierta",$G168=""),"",MAX($G168-TODAY(),0))</f>
        <v/>
      </c>
      <c r="Z168" s="12" t="str">
        <f aca="false">IF($C168="","",N($K168)*N($H168)*N($I168)*IF($U168="Débito",-1,1))</f>
        <v/>
      </c>
      <c r="AA168" s="13" t="str">
        <f aca="false">IF($C168="","",IF(AND($U168="Débito",$F168&lt;&gt;""),$F168,$E168))</f>
        <v/>
      </c>
      <c r="AB168" s="13" t="str">
        <f aca="false">IF(OR($C168="",$T168="Mixta",$AA168=""),"",IF($V168="Subyacente",IF($J168="","",$J168-$K168),IF($T168="Put",$AA168-$K168,$AA168+$K168)))</f>
        <v/>
      </c>
      <c r="AC168" s="14" t="str">
        <f aca="false">IF(OR($C168="",$T168="Mixta",$J168="",$AA168=""),"",IF($T168="Put",($J168-$AA168)/$J168,($AA168-$J168)/$J168))</f>
        <v/>
      </c>
      <c r="AD168" s="12" t="str">
        <f aca="false">IF($C168="","",IF($Q168&lt;&gt;"",$Q168,IF($V168="Strike",N($E168)*$H168*$I168,IF($V168="Subyacente",IF($J168="","",$J168*$H168*$I168),IF($V168="Ancho",IF($F168="","",ABS($E168-$F168)*$H168*$I168-$K168*$H168*$I168),IF($V168="Prima",$K168*$H168*$I168,""))))))</f>
        <v/>
      </c>
      <c r="AE168" s="12" t="str">
        <f aca="false">IF(OR($C168="",$M168="Abierta",$M168=""),"",(N($K168)-IF(OR($M168="Cerrada",$M168="Rolada"),N($O168),0))*$H168*$I168*IF($U168="Débito",-1,1)-N($L168)-N($P168))</f>
        <v/>
      </c>
      <c r="AF168" s="14" t="str">
        <f aca="false">IF(OR($AE168="",$AD168=""),"",IF($AD168&lt;=0,"",$AE168/$AD168))</f>
        <v/>
      </c>
      <c r="AG168" s="14" t="str">
        <f aca="false">IF($AF168="","",$AF168*365/MAX(N($X168),1))</f>
        <v/>
      </c>
      <c r="AH168" s="14" t="str">
        <f aca="false">IF(OR($C168="",$U168&lt;&gt;"Crédito",$AD168=""),"",IF($AD168&lt;=0,"",($Z168-N($L168))/$AD168))</f>
        <v/>
      </c>
      <c r="AI168" s="14" t="str">
        <f aca="false">IF(OR($AH168="",$W168=""),"",$AH168*365/MAX($W168,1))</f>
        <v/>
      </c>
      <c r="AJ168" s="14" t="str">
        <f aca="false">IF(OR($AE168="",$U168&lt;&gt;"Crédito",N($K168)=0),"",(N($K168)-IF(OR($M168="Cerrada",$M168="Rolada"),N($O168),0))/$K168)</f>
        <v/>
      </c>
      <c r="AK168" s="15" t="str">
        <f aca="false">IF(OR($C168="",$N168=""),"",DATE(YEAR($N168),MONTH($N168),1))</f>
        <v/>
      </c>
      <c r="AL168" s="11" t="str">
        <f aca="false">IF($C168="","",IF($M168="Abierta",0,1))</f>
        <v/>
      </c>
      <c r="AM168" s="16" t="str">
        <f aca="false">IF(OR($AE168="",$AD168=""),"",$AD168*MAX(N($X168),1))</f>
        <v/>
      </c>
      <c r="AN168" s="10" t="str">
        <f aca="false">IF($C168="","",IF(OR($B168="",$D168="",$H168="",$K168="",$M168=""),"Faltan datos obligatorios",IF($T168="","Estrategia no reconocida",IF(AND($M168&lt;&gt;"Abierta",$N168=""),"Falta fecha cierre",IF(AND(OR($M168="Cerrada",$M168="Rolada"),$O168=""),"Falta prima cierre",IF(AND($N168&lt;&gt;"",$N168&lt;$B168),"Cierre anterior a apertura",IF(AND($M168="Asignada",$R168=""),"Asignada: falta ID lote acciones",IF(AND($R168&lt;&gt;"",ISNA(MATCH($R168,Acciones!$A$2:$A$201,0))),"El ID lote no existe en Acciones",IF($AD168="","Revisa capital en riesgo","OK")))))))))</f>
        <v/>
      </c>
    </row>
    <row r="169" customFormat="false" ht="15" hidden="false" customHeight="true" outlineLevel="0" collapsed="false">
      <c r="A169" s="5"/>
      <c r="B169" s="6"/>
      <c r="C169" s="7"/>
      <c r="D169" s="7"/>
      <c r="E169" s="8"/>
      <c r="F169" s="8"/>
      <c r="G169" s="6"/>
      <c r="H169" s="5"/>
      <c r="I169" s="5" t="n">
        <v>100</v>
      </c>
      <c r="J169" s="8"/>
      <c r="K169" s="8"/>
      <c r="L169" s="9"/>
      <c r="M169" s="7"/>
      <c r="N169" s="6"/>
      <c r="O169" s="8"/>
      <c r="P169" s="9"/>
      <c r="Q169" s="9"/>
      <c r="R169" s="7"/>
      <c r="S169" s="7"/>
      <c r="T169" s="10" t="str">
        <f aca="false">IF($C169="","",IFERROR(INDEX(Listas!$B$2:$B$20,MATCH($D169,Listas!$A$2:$A$20,0)),""))</f>
        <v/>
      </c>
      <c r="U169" s="10" t="str">
        <f aca="false">IF($C169="","",IFERROR(INDEX(Listas!$C$2:$C$20,MATCH($D169,Listas!$A$2:$A$20,0)),""))</f>
        <v/>
      </c>
      <c r="V169" s="10" t="str">
        <f aca="false">IF($C169="","",IFERROR(INDEX(Listas!$D$2:$D$20,MATCH($D169,Listas!$A$2:$A$20,0)),""))</f>
        <v/>
      </c>
      <c r="W169" s="11" t="str">
        <f aca="false">IF(OR($C169="",$B169="",$G169=""),"",$G169-$B169)</f>
        <v/>
      </c>
      <c r="X169" s="11" t="str">
        <f aca="true">IF(OR($C169="",$B169=""),"",IF($N169&lt;&gt;"",$N169,TODAY())-$B169)</f>
        <v/>
      </c>
      <c r="Y169" s="11" t="str">
        <f aca="true">IF(OR($C169="",$M169&lt;&gt;"Abierta",$G169=""),"",MAX($G169-TODAY(),0))</f>
        <v/>
      </c>
      <c r="Z169" s="12" t="str">
        <f aca="false">IF($C169="","",N($K169)*N($H169)*N($I169)*IF($U169="Débito",-1,1))</f>
        <v/>
      </c>
      <c r="AA169" s="13" t="str">
        <f aca="false">IF($C169="","",IF(AND($U169="Débito",$F169&lt;&gt;""),$F169,$E169))</f>
        <v/>
      </c>
      <c r="AB169" s="13" t="str">
        <f aca="false">IF(OR($C169="",$T169="Mixta",$AA169=""),"",IF($V169="Subyacente",IF($J169="","",$J169-$K169),IF($T169="Put",$AA169-$K169,$AA169+$K169)))</f>
        <v/>
      </c>
      <c r="AC169" s="14" t="str">
        <f aca="false">IF(OR($C169="",$T169="Mixta",$J169="",$AA169=""),"",IF($T169="Put",($J169-$AA169)/$J169,($AA169-$J169)/$J169))</f>
        <v/>
      </c>
      <c r="AD169" s="12" t="str">
        <f aca="false">IF($C169="","",IF($Q169&lt;&gt;"",$Q169,IF($V169="Strike",N($E169)*$H169*$I169,IF($V169="Subyacente",IF($J169="","",$J169*$H169*$I169),IF($V169="Ancho",IF($F169="","",ABS($E169-$F169)*$H169*$I169-$K169*$H169*$I169),IF($V169="Prima",$K169*$H169*$I169,""))))))</f>
        <v/>
      </c>
      <c r="AE169" s="12" t="str">
        <f aca="false">IF(OR($C169="",$M169="Abierta",$M169=""),"",(N($K169)-IF(OR($M169="Cerrada",$M169="Rolada"),N($O169),0))*$H169*$I169*IF($U169="Débito",-1,1)-N($L169)-N($P169))</f>
        <v/>
      </c>
      <c r="AF169" s="14" t="str">
        <f aca="false">IF(OR($AE169="",$AD169=""),"",IF($AD169&lt;=0,"",$AE169/$AD169))</f>
        <v/>
      </c>
      <c r="AG169" s="14" t="str">
        <f aca="false">IF($AF169="","",$AF169*365/MAX(N($X169),1))</f>
        <v/>
      </c>
      <c r="AH169" s="14" t="str">
        <f aca="false">IF(OR($C169="",$U169&lt;&gt;"Crédito",$AD169=""),"",IF($AD169&lt;=0,"",($Z169-N($L169))/$AD169))</f>
        <v/>
      </c>
      <c r="AI169" s="14" t="str">
        <f aca="false">IF(OR($AH169="",$W169=""),"",$AH169*365/MAX($W169,1))</f>
        <v/>
      </c>
      <c r="AJ169" s="14" t="str">
        <f aca="false">IF(OR($AE169="",$U169&lt;&gt;"Crédito",N($K169)=0),"",(N($K169)-IF(OR($M169="Cerrada",$M169="Rolada"),N($O169),0))/$K169)</f>
        <v/>
      </c>
      <c r="AK169" s="15" t="str">
        <f aca="false">IF(OR($C169="",$N169=""),"",DATE(YEAR($N169),MONTH($N169),1))</f>
        <v/>
      </c>
      <c r="AL169" s="11" t="str">
        <f aca="false">IF($C169="","",IF($M169="Abierta",0,1))</f>
        <v/>
      </c>
      <c r="AM169" s="16" t="str">
        <f aca="false">IF(OR($AE169="",$AD169=""),"",$AD169*MAX(N($X169),1))</f>
        <v/>
      </c>
      <c r="AN169" s="10" t="str">
        <f aca="false">IF($C169="","",IF(OR($B169="",$D169="",$H169="",$K169="",$M169=""),"Faltan datos obligatorios",IF($T169="","Estrategia no reconocida",IF(AND($M169&lt;&gt;"Abierta",$N169=""),"Falta fecha cierre",IF(AND(OR($M169="Cerrada",$M169="Rolada"),$O169=""),"Falta prima cierre",IF(AND($N169&lt;&gt;"",$N169&lt;$B169),"Cierre anterior a apertura",IF(AND($M169="Asignada",$R169=""),"Asignada: falta ID lote acciones",IF(AND($R169&lt;&gt;"",ISNA(MATCH($R169,Acciones!$A$2:$A$201,0))),"El ID lote no existe en Acciones",IF($AD169="","Revisa capital en riesgo","OK")))))))))</f>
        <v/>
      </c>
    </row>
    <row r="170" customFormat="false" ht="15" hidden="false" customHeight="true" outlineLevel="0" collapsed="false">
      <c r="A170" s="5"/>
      <c r="B170" s="6"/>
      <c r="C170" s="7"/>
      <c r="D170" s="7"/>
      <c r="E170" s="8"/>
      <c r="F170" s="8"/>
      <c r="G170" s="6"/>
      <c r="H170" s="5"/>
      <c r="I170" s="5" t="n">
        <v>100</v>
      </c>
      <c r="J170" s="8"/>
      <c r="K170" s="8"/>
      <c r="L170" s="9"/>
      <c r="M170" s="7"/>
      <c r="N170" s="6"/>
      <c r="O170" s="8"/>
      <c r="P170" s="9"/>
      <c r="Q170" s="9"/>
      <c r="R170" s="7"/>
      <c r="S170" s="7"/>
      <c r="T170" s="10" t="str">
        <f aca="false">IF($C170="","",IFERROR(INDEX(Listas!$B$2:$B$20,MATCH($D170,Listas!$A$2:$A$20,0)),""))</f>
        <v/>
      </c>
      <c r="U170" s="10" t="str">
        <f aca="false">IF($C170="","",IFERROR(INDEX(Listas!$C$2:$C$20,MATCH($D170,Listas!$A$2:$A$20,0)),""))</f>
        <v/>
      </c>
      <c r="V170" s="10" t="str">
        <f aca="false">IF($C170="","",IFERROR(INDEX(Listas!$D$2:$D$20,MATCH($D170,Listas!$A$2:$A$20,0)),""))</f>
        <v/>
      </c>
      <c r="W170" s="11" t="str">
        <f aca="false">IF(OR($C170="",$B170="",$G170=""),"",$G170-$B170)</f>
        <v/>
      </c>
      <c r="X170" s="11" t="str">
        <f aca="true">IF(OR($C170="",$B170=""),"",IF($N170&lt;&gt;"",$N170,TODAY())-$B170)</f>
        <v/>
      </c>
      <c r="Y170" s="11" t="str">
        <f aca="true">IF(OR($C170="",$M170&lt;&gt;"Abierta",$G170=""),"",MAX($G170-TODAY(),0))</f>
        <v/>
      </c>
      <c r="Z170" s="12" t="str">
        <f aca="false">IF($C170="","",N($K170)*N($H170)*N($I170)*IF($U170="Débito",-1,1))</f>
        <v/>
      </c>
      <c r="AA170" s="13" t="str">
        <f aca="false">IF($C170="","",IF(AND($U170="Débito",$F170&lt;&gt;""),$F170,$E170))</f>
        <v/>
      </c>
      <c r="AB170" s="13" t="str">
        <f aca="false">IF(OR($C170="",$T170="Mixta",$AA170=""),"",IF($V170="Subyacente",IF($J170="","",$J170-$K170),IF($T170="Put",$AA170-$K170,$AA170+$K170)))</f>
        <v/>
      </c>
      <c r="AC170" s="14" t="str">
        <f aca="false">IF(OR($C170="",$T170="Mixta",$J170="",$AA170=""),"",IF($T170="Put",($J170-$AA170)/$J170,($AA170-$J170)/$J170))</f>
        <v/>
      </c>
      <c r="AD170" s="12" t="str">
        <f aca="false">IF($C170="","",IF($Q170&lt;&gt;"",$Q170,IF($V170="Strike",N($E170)*$H170*$I170,IF($V170="Subyacente",IF($J170="","",$J170*$H170*$I170),IF($V170="Ancho",IF($F170="","",ABS($E170-$F170)*$H170*$I170-$K170*$H170*$I170),IF($V170="Prima",$K170*$H170*$I170,""))))))</f>
        <v/>
      </c>
      <c r="AE170" s="12" t="str">
        <f aca="false">IF(OR($C170="",$M170="Abierta",$M170=""),"",(N($K170)-IF(OR($M170="Cerrada",$M170="Rolada"),N($O170),0))*$H170*$I170*IF($U170="Débito",-1,1)-N($L170)-N($P170))</f>
        <v/>
      </c>
      <c r="AF170" s="14" t="str">
        <f aca="false">IF(OR($AE170="",$AD170=""),"",IF($AD170&lt;=0,"",$AE170/$AD170))</f>
        <v/>
      </c>
      <c r="AG170" s="14" t="str">
        <f aca="false">IF($AF170="","",$AF170*365/MAX(N($X170),1))</f>
        <v/>
      </c>
      <c r="AH170" s="14" t="str">
        <f aca="false">IF(OR($C170="",$U170&lt;&gt;"Crédito",$AD170=""),"",IF($AD170&lt;=0,"",($Z170-N($L170))/$AD170))</f>
        <v/>
      </c>
      <c r="AI170" s="14" t="str">
        <f aca="false">IF(OR($AH170="",$W170=""),"",$AH170*365/MAX($W170,1))</f>
        <v/>
      </c>
      <c r="AJ170" s="14" t="str">
        <f aca="false">IF(OR($AE170="",$U170&lt;&gt;"Crédito",N($K170)=0),"",(N($K170)-IF(OR($M170="Cerrada",$M170="Rolada"),N($O170),0))/$K170)</f>
        <v/>
      </c>
      <c r="AK170" s="15" t="str">
        <f aca="false">IF(OR($C170="",$N170=""),"",DATE(YEAR($N170),MONTH($N170),1))</f>
        <v/>
      </c>
      <c r="AL170" s="11" t="str">
        <f aca="false">IF($C170="","",IF($M170="Abierta",0,1))</f>
        <v/>
      </c>
      <c r="AM170" s="16" t="str">
        <f aca="false">IF(OR($AE170="",$AD170=""),"",$AD170*MAX(N($X170),1))</f>
        <v/>
      </c>
      <c r="AN170" s="10" t="str">
        <f aca="false">IF($C170="","",IF(OR($B170="",$D170="",$H170="",$K170="",$M170=""),"Faltan datos obligatorios",IF($T170="","Estrategia no reconocida",IF(AND($M170&lt;&gt;"Abierta",$N170=""),"Falta fecha cierre",IF(AND(OR($M170="Cerrada",$M170="Rolada"),$O170=""),"Falta prima cierre",IF(AND($N170&lt;&gt;"",$N170&lt;$B170),"Cierre anterior a apertura",IF(AND($M170="Asignada",$R170=""),"Asignada: falta ID lote acciones",IF(AND($R170&lt;&gt;"",ISNA(MATCH($R170,Acciones!$A$2:$A$201,0))),"El ID lote no existe en Acciones",IF($AD170="","Revisa capital en riesgo","OK")))))))))</f>
        <v/>
      </c>
    </row>
    <row r="171" customFormat="false" ht="15" hidden="false" customHeight="true" outlineLevel="0" collapsed="false">
      <c r="A171" s="5"/>
      <c r="B171" s="6"/>
      <c r="C171" s="7"/>
      <c r="D171" s="7"/>
      <c r="E171" s="8"/>
      <c r="F171" s="8"/>
      <c r="G171" s="6"/>
      <c r="H171" s="5"/>
      <c r="I171" s="5" t="n">
        <v>100</v>
      </c>
      <c r="J171" s="8"/>
      <c r="K171" s="8"/>
      <c r="L171" s="9"/>
      <c r="M171" s="7"/>
      <c r="N171" s="6"/>
      <c r="O171" s="8"/>
      <c r="P171" s="9"/>
      <c r="Q171" s="9"/>
      <c r="R171" s="7"/>
      <c r="S171" s="7"/>
      <c r="T171" s="10" t="str">
        <f aca="false">IF($C171="","",IFERROR(INDEX(Listas!$B$2:$B$20,MATCH($D171,Listas!$A$2:$A$20,0)),""))</f>
        <v/>
      </c>
      <c r="U171" s="10" t="str">
        <f aca="false">IF($C171="","",IFERROR(INDEX(Listas!$C$2:$C$20,MATCH($D171,Listas!$A$2:$A$20,0)),""))</f>
        <v/>
      </c>
      <c r="V171" s="10" t="str">
        <f aca="false">IF($C171="","",IFERROR(INDEX(Listas!$D$2:$D$20,MATCH($D171,Listas!$A$2:$A$20,0)),""))</f>
        <v/>
      </c>
      <c r="W171" s="11" t="str">
        <f aca="false">IF(OR($C171="",$B171="",$G171=""),"",$G171-$B171)</f>
        <v/>
      </c>
      <c r="X171" s="11" t="str">
        <f aca="true">IF(OR($C171="",$B171=""),"",IF($N171&lt;&gt;"",$N171,TODAY())-$B171)</f>
        <v/>
      </c>
      <c r="Y171" s="11" t="str">
        <f aca="true">IF(OR($C171="",$M171&lt;&gt;"Abierta",$G171=""),"",MAX($G171-TODAY(),0))</f>
        <v/>
      </c>
      <c r="Z171" s="12" t="str">
        <f aca="false">IF($C171="","",N($K171)*N($H171)*N($I171)*IF($U171="Débito",-1,1))</f>
        <v/>
      </c>
      <c r="AA171" s="13" t="str">
        <f aca="false">IF($C171="","",IF(AND($U171="Débito",$F171&lt;&gt;""),$F171,$E171))</f>
        <v/>
      </c>
      <c r="AB171" s="13" t="str">
        <f aca="false">IF(OR($C171="",$T171="Mixta",$AA171=""),"",IF($V171="Subyacente",IF($J171="","",$J171-$K171),IF($T171="Put",$AA171-$K171,$AA171+$K171)))</f>
        <v/>
      </c>
      <c r="AC171" s="14" t="str">
        <f aca="false">IF(OR($C171="",$T171="Mixta",$J171="",$AA171=""),"",IF($T171="Put",($J171-$AA171)/$J171,($AA171-$J171)/$J171))</f>
        <v/>
      </c>
      <c r="AD171" s="12" t="str">
        <f aca="false">IF($C171="","",IF($Q171&lt;&gt;"",$Q171,IF($V171="Strike",N($E171)*$H171*$I171,IF($V171="Subyacente",IF($J171="","",$J171*$H171*$I171),IF($V171="Ancho",IF($F171="","",ABS($E171-$F171)*$H171*$I171-$K171*$H171*$I171),IF($V171="Prima",$K171*$H171*$I171,""))))))</f>
        <v/>
      </c>
      <c r="AE171" s="12" t="str">
        <f aca="false">IF(OR($C171="",$M171="Abierta",$M171=""),"",(N($K171)-IF(OR($M171="Cerrada",$M171="Rolada"),N($O171),0))*$H171*$I171*IF($U171="Débito",-1,1)-N($L171)-N($P171))</f>
        <v/>
      </c>
      <c r="AF171" s="14" t="str">
        <f aca="false">IF(OR($AE171="",$AD171=""),"",IF($AD171&lt;=0,"",$AE171/$AD171))</f>
        <v/>
      </c>
      <c r="AG171" s="14" t="str">
        <f aca="false">IF($AF171="","",$AF171*365/MAX(N($X171),1))</f>
        <v/>
      </c>
      <c r="AH171" s="14" t="str">
        <f aca="false">IF(OR($C171="",$U171&lt;&gt;"Crédito",$AD171=""),"",IF($AD171&lt;=0,"",($Z171-N($L171))/$AD171))</f>
        <v/>
      </c>
      <c r="AI171" s="14" t="str">
        <f aca="false">IF(OR($AH171="",$W171=""),"",$AH171*365/MAX($W171,1))</f>
        <v/>
      </c>
      <c r="AJ171" s="14" t="str">
        <f aca="false">IF(OR($AE171="",$U171&lt;&gt;"Crédito",N($K171)=0),"",(N($K171)-IF(OR($M171="Cerrada",$M171="Rolada"),N($O171),0))/$K171)</f>
        <v/>
      </c>
      <c r="AK171" s="15" t="str">
        <f aca="false">IF(OR($C171="",$N171=""),"",DATE(YEAR($N171),MONTH($N171),1))</f>
        <v/>
      </c>
      <c r="AL171" s="11" t="str">
        <f aca="false">IF($C171="","",IF($M171="Abierta",0,1))</f>
        <v/>
      </c>
      <c r="AM171" s="16" t="str">
        <f aca="false">IF(OR($AE171="",$AD171=""),"",$AD171*MAX(N($X171),1))</f>
        <v/>
      </c>
      <c r="AN171" s="10" t="str">
        <f aca="false">IF($C171="","",IF(OR($B171="",$D171="",$H171="",$K171="",$M171=""),"Faltan datos obligatorios",IF($T171="","Estrategia no reconocida",IF(AND($M171&lt;&gt;"Abierta",$N171=""),"Falta fecha cierre",IF(AND(OR($M171="Cerrada",$M171="Rolada"),$O171=""),"Falta prima cierre",IF(AND($N171&lt;&gt;"",$N171&lt;$B171),"Cierre anterior a apertura",IF(AND($M171="Asignada",$R171=""),"Asignada: falta ID lote acciones",IF(AND($R171&lt;&gt;"",ISNA(MATCH($R171,Acciones!$A$2:$A$201,0))),"El ID lote no existe en Acciones",IF($AD171="","Revisa capital en riesgo","OK")))))))))</f>
        <v/>
      </c>
    </row>
    <row r="172" customFormat="false" ht="15" hidden="false" customHeight="true" outlineLevel="0" collapsed="false">
      <c r="A172" s="5"/>
      <c r="B172" s="6"/>
      <c r="C172" s="7"/>
      <c r="D172" s="7"/>
      <c r="E172" s="8"/>
      <c r="F172" s="8"/>
      <c r="G172" s="6"/>
      <c r="H172" s="5"/>
      <c r="I172" s="5" t="n">
        <v>100</v>
      </c>
      <c r="J172" s="8"/>
      <c r="K172" s="8"/>
      <c r="L172" s="9"/>
      <c r="M172" s="7"/>
      <c r="N172" s="6"/>
      <c r="O172" s="8"/>
      <c r="P172" s="9"/>
      <c r="Q172" s="9"/>
      <c r="R172" s="7"/>
      <c r="S172" s="7"/>
      <c r="T172" s="10" t="str">
        <f aca="false">IF($C172="","",IFERROR(INDEX(Listas!$B$2:$B$20,MATCH($D172,Listas!$A$2:$A$20,0)),""))</f>
        <v/>
      </c>
      <c r="U172" s="10" t="str">
        <f aca="false">IF($C172="","",IFERROR(INDEX(Listas!$C$2:$C$20,MATCH($D172,Listas!$A$2:$A$20,0)),""))</f>
        <v/>
      </c>
      <c r="V172" s="10" t="str">
        <f aca="false">IF($C172="","",IFERROR(INDEX(Listas!$D$2:$D$20,MATCH($D172,Listas!$A$2:$A$20,0)),""))</f>
        <v/>
      </c>
      <c r="W172" s="11" t="str">
        <f aca="false">IF(OR($C172="",$B172="",$G172=""),"",$G172-$B172)</f>
        <v/>
      </c>
      <c r="X172" s="11" t="str">
        <f aca="true">IF(OR($C172="",$B172=""),"",IF($N172&lt;&gt;"",$N172,TODAY())-$B172)</f>
        <v/>
      </c>
      <c r="Y172" s="11" t="str">
        <f aca="true">IF(OR($C172="",$M172&lt;&gt;"Abierta",$G172=""),"",MAX($G172-TODAY(),0))</f>
        <v/>
      </c>
      <c r="Z172" s="12" t="str">
        <f aca="false">IF($C172="","",N($K172)*N($H172)*N($I172)*IF($U172="Débito",-1,1))</f>
        <v/>
      </c>
      <c r="AA172" s="13" t="str">
        <f aca="false">IF($C172="","",IF(AND($U172="Débito",$F172&lt;&gt;""),$F172,$E172))</f>
        <v/>
      </c>
      <c r="AB172" s="13" t="str">
        <f aca="false">IF(OR($C172="",$T172="Mixta",$AA172=""),"",IF($V172="Subyacente",IF($J172="","",$J172-$K172),IF($T172="Put",$AA172-$K172,$AA172+$K172)))</f>
        <v/>
      </c>
      <c r="AC172" s="14" t="str">
        <f aca="false">IF(OR($C172="",$T172="Mixta",$J172="",$AA172=""),"",IF($T172="Put",($J172-$AA172)/$J172,($AA172-$J172)/$J172))</f>
        <v/>
      </c>
      <c r="AD172" s="12" t="str">
        <f aca="false">IF($C172="","",IF($Q172&lt;&gt;"",$Q172,IF($V172="Strike",N($E172)*$H172*$I172,IF($V172="Subyacente",IF($J172="","",$J172*$H172*$I172),IF($V172="Ancho",IF($F172="","",ABS($E172-$F172)*$H172*$I172-$K172*$H172*$I172),IF($V172="Prima",$K172*$H172*$I172,""))))))</f>
        <v/>
      </c>
      <c r="AE172" s="12" t="str">
        <f aca="false">IF(OR($C172="",$M172="Abierta",$M172=""),"",(N($K172)-IF(OR($M172="Cerrada",$M172="Rolada"),N($O172),0))*$H172*$I172*IF($U172="Débito",-1,1)-N($L172)-N($P172))</f>
        <v/>
      </c>
      <c r="AF172" s="14" t="str">
        <f aca="false">IF(OR($AE172="",$AD172=""),"",IF($AD172&lt;=0,"",$AE172/$AD172))</f>
        <v/>
      </c>
      <c r="AG172" s="14" t="str">
        <f aca="false">IF($AF172="","",$AF172*365/MAX(N($X172),1))</f>
        <v/>
      </c>
      <c r="AH172" s="14" t="str">
        <f aca="false">IF(OR($C172="",$U172&lt;&gt;"Crédito",$AD172=""),"",IF($AD172&lt;=0,"",($Z172-N($L172))/$AD172))</f>
        <v/>
      </c>
      <c r="AI172" s="14" t="str">
        <f aca="false">IF(OR($AH172="",$W172=""),"",$AH172*365/MAX($W172,1))</f>
        <v/>
      </c>
      <c r="AJ172" s="14" t="str">
        <f aca="false">IF(OR($AE172="",$U172&lt;&gt;"Crédito",N($K172)=0),"",(N($K172)-IF(OR($M172="Cerrada",$M172="Rolada"),N($O172),0))/$K172)</f>
        <v/>
      </c>
      <c r="AK172" s="15" t="str">
        <f aca="false">IF(OR($C172="",$N172=""),"",DATE(YEAR($N172),MONTH($N172),1))</f>
        <v/>
      </c>
      <c r="AL172" s="11" t="str">
        <f aca="false">IF($C172="","",IF($M172="Abierta",0,1))</f>
        <v/>
      </c>
      <c r="AM172" s="16" t="str">
        <f aca="false">IF(OR($AE172="",$AD172=""),"",$AD172*MAX(N($X172),1))</f>
        <v/>
      </c>
      <c r="AN172" s="10" t="str">
        <f aca="false">IF($C172="","",IF(OR($B172="",$D172="",$H172="",$K172="",$M172=""),"Faltan datos obligatorios",IF($T172="","Estrategia no reconocida",IF(AND($M172&lt;&gt;"Abierta",$N172=""),"Falta fecha cierre",IF(AND(OR($M172="Cerrada",$M172="Rolada"),$O172=""),"Falta prima cierre",IF(AND($N172&lt;&gt;"",$N172&lt;$B172),"Cierre anterior a apertura",IF(AND($M172="Asignada",$R172=""),"Asignada: falta ID lote acciones",IF(AND($R172&lt;&gt;"",ISNA(MATCH($R172,Acciones!$A$2:$A$201,0))),"El ID lote no existe en Acciones",IF($AD172="","Revisa capital en riesgo","OK")))))))))</f>
        <v/>
      </c>
    </row>
    <row r="173" customFormat="false" ht="15" hidden="false" customHeight="true" outlineLevel="0" collapsed="false">
      <c r="A173" s="5"/>
      <c r="B173" s="6"/>
      <c r="C173" s="7"/>
      <c r="D173" s="7"/>
      <c r="E173" s="8"/>
      <c r="F173" s="8"/>
      <c r="G173" s="6"/>
      <c r="H173" s="5"/>
      <c r="I173" s="5" t="n">
        <v>100</v>
      </c>
      <c r="J173" s="8"/>
      <c r="K173" s="8"/>
      <c r="L173" s="9"/>
      <c r="M173" s="7"/>
      <c r="N173" s="6"/>
      <c r="O173" s="8"/>
      <c r="P173" s="9"/>
      <c r="Q173" s="9"/>
      <c r="R173" s="7"/>
      <c r="S173" s="7"/>
      <c r="T173" s="10" t="str">
        <f aca="false">IF($C173="","",IFERROR(INDEX(Listas!$B$2:$B$20,MATCH($D173,Listas!$A$2:$A$20,0)),""))</f>
        <v/>
      </c>
      <c r="U173" s="10" t="str">
        <f aca="false">IF($C173="","",IFERROR(INDEX(Listas!$C$2:$C$20,MATCH($D173,Listas!$A$2:$A$20,0)),""))</f>
        <v/>
      </c>
      <c r="V173" s="10" t="str">
        <f aca="false">IF($C173="","",IFERROR(INDEX(Listas!$D$2:$D$20,MATCH($D173,Listas!$A$2:$A$20,0)),""))</f>
        <v/>
      </c>
      <c r="W173" s="11" t="str">
        <f aca="false">IF(OR($C173="",$B173="",$G173=""),"",$G173-$B173)</f>
        <v/>
      </c>
      <c r="X173" s="11" t="str">
        <f aca="true">IF(OR($C173="",$B173=""),"",IF($N173&lt;&gt;"",$N173,TODAY())-$B173)</f>
        <v/>
      </c>
      <c r="Y173" s="11" t="str">
        <f aca="true">IF(OR($C173="",$M173&lt;&gt;"Abierta",$G173=""),"",MAX($G173-TODAY(),0))</f>
        <v/>
      </c>
      <c r="Z173" s="12" t="str">
        <f aca="false">IF($C173="","",N($K173)*N($H173)*N($I173)*IF($U173="Débito",-1,1))</f>
        <v/>
      </c>
      <c r="AA173" s="13" t="str">
        <f aca="false">IF($C173="","",IF(AND($U173="Débito",$F173&lt;&gt;""),$F173,$E173))</f>
        <v/>
      </c>
      <c r="AB173" s="13" t="str">
        <f aca="false">IF(OR($C173="",$T173="Mixta",$AA173=""),"",IF($V173="Subyacente",IF($J173="","",$J173-$K173),IF($T173="Put",$AA173-$K173,$AA173+$K173)))</f>
        <v/>
      </c>
      <c r="AC173" s="14" t="str">
        <f aca="false">IF(OR($C173="",$T173="Mixta",$J173="",$AA173=""),"",IF($T173="Put",($J173-$AA173)/$J173,($AA173-$J173)/$J173))</f>
        <v/>
      </c>
      <c r="AD173" s="12" t="str">
        <f aca="false">IF($C173="","",IF($Q173&lt;&gt;"",$Q173,IF($V173="Strike",N($E173)*$H173*$I173,IF($V173="Subyacente",IF($J173="","",$J173*$H173*$I173),IF($V173="Ancho",IF($F173="","",ABS($E173-$F173)*$H173*$I173-$K173*$H173*$I173),IF($V173="Prima",$K173*$H173*$I173,""))))))</f>
        <v/>
      </c>
      <c r="AE173" s="12" t="str">
        <f aca="false">IF(OR($C173="",$M173="Abierta",$M173=""),"",(N($K173)-IF(OR($M173="Cerrada",$M173="Rolada"),N($O173),0))*$H173*$I173*IF($U173="Débito",-1,1)-N($L173)-N($P173))</f>
        <v/>
      </c>
      <c r="AF173" s="14" t="str">
        <f aca="false">IF(OR($AE173="",$AD173=""),"",IF($AD173&lt;=0,"",$AE173/$AD173))</f>
        <v/>
      </c>
      <c r="AG173" s="14" t="str">
        <f aca="false">IF($AF173="","",$AF173*365/MAX(N($X173),1))</f>
        <v/>
      </c>
      <c r="AH173" s="14" t="str">
        <f aca="false">IF(OR($C173="",$U173&lt;&gt;"Crédito",$AD173=""),"",IF($AD173&lt;=0,"",($Z173-N($L173))/$AD173))</f>
        <v/>
      </c>
      <c r="AI173" s="14" t="str">
        <f aca="false">IF(OR($AH173="",$W173=""),"",$AH173*365/MAX($W173,1))</f>
        <v/>
      </c>
      <c r="AJ173" s="14" t="str">
        <f aca="false">IF(OR($AE173="",$U173&lt;&gt;"Crédito",N($K173)=0),"",(N($K173)-IF(OR($M173="Cerrada",$M173="Rolada"),N($O173),0))/$K173)</f>
        <v/>
      </c>
      <c r="AK173" s="15" t="str">
        <f aca="false">IF(OR($C173="",$N173=""),"",DATE(YEAR($N173),MONTH($N173),1))</f>
        <v/>
      </c>
      <c r="AL173" s="11" t="str">
        <f aca="false">IF($C173="","",IF($M173="Abierta",0,1))</f>
        <v/>
      </c>
      <c r="AM173" s="16" t="str">
        <f aca="false">IF(OR($AE173="",$AD173=""),"",$AD173*MAX(N($X173),1))</f>
        <v/>
      </c>
      <c r="AN173" s="10" t="str">
        <f aca="false">IF($C173="","",IF(OR($B173="",$D173="",$H173="",$K173="",$M173=""),"Faltan datos obligatorios",IF($T173="","Estrategia no reconocida",IF(AND($M173&lt;&gt;"Abierta",$N173=""),"Falta fecha cierre",IF(AND(OR($M173="Cerrada",$M173="Rolada"),$O173=""),"Falta prima cierre",IF(AND($N173&lt;&gt;"",$N173&lt;$B173),"Cierre anterior a apertura",IF(AND($M173="Asignada",$R173=""),"Asignada: falta ID lote acciones",IF(AND($R173&lt;&gt;"",ISNA(MATCH($R173,Acciones!$A$2:$A$201,0))),"El ID lote no existe en Acciones",IF($AD173="","Revisa capital en riesgo","OK")))))))))</f>
        <v/>
      </c>
    </row>
    <row r="174" customFormat="false" ht="15" hidden="false" customHeight="true" outlineLevel="0" collapsed="false">
      <c r="A174" s="5"/>
      <c r="B174" s="6"/>
      <c r="C174" s="7"/>
      <c r="D174" s="7"/>
      <c r="E174" s="8"/>
      <c r="F174" s="8"/>
      <c r="G174" s="6"/>
      <c r="H174" s="5"/>
      <c r="I174" s="5" t="n">
        <v>100</v>
      </c>
      <c r="J174" s="8"/>
      <c r="K174" s="8"/>
      <c r="L174" s="9"/>
      <c r="M174" s="7"/>
      <c r="N174" s="6"/>
      <c r="O174" s="8"/>
      <c r="P174" s="9"/>
      <c r="Q174" s="9"/>
      <c r="R174" s="7"/>
      <c r="S174" s="7"/>
      <c r="T174" s="10" t="str">
        <f aca="false">IF($C174="","",IFERROR(INDEX(Listas!$B$2:$B$20,MATCH($D174,Listas!$A$2:$A$20,0)),""))</f>
        <v/>
      </c>
      <c r="U174" s="10" t="str">
        <f aca="false">IF($C174="","",IFERROR(INDEX(Listas!$C$2:$C$20,MATCH($D174,Listas!$A$2:$A$20,0)),""))</f>
        <v/>
      </c>
      <c r="V174" s="10" t="str">
        <f aca="false">IF($C174="","",IFERROR(INDEX(Listas!$D$2:$D$20,MATCH($D174,Listas!$A$2:$A$20,0)),""))</f>
        <v/>
      </c>
      <c r="W174" s="11" t="str">
        <f aca="false">IF(OR($C174="",$B174="",$G174=""),"",$G174-$B174)</f>
        <v/>
      </c>
      <c r="X174" s="11" t="str">
        <f aca="true">IF(OR($C174="",$B174=""),"",IF($N174&lt;&gt;"",$N174,TODAY())-$B174)</f>
        <v/>
      </c>
      <c r="Y174" s="11" t="str">
        <f aca="true">IF(OR($C174="",$M174&lt;&gt;"Abierta",$G174=""),"",MAX($G174-TODAY(),0))</f>
        <v/>
      </c>
      <c r="Z174" s="12" t="str">
        <f aca="false">IF($C174="","",N($K174)*N($H174)*N($I174)*IF($U174="Débito",-1,1))</f>
        <v/>
      </c>
      <c r="AA174" s="13" t="str">
        <f aca="false">IF($C174="","",IF(AND($U174="Débito",$F174&lt;&gt;""),$F174,$E174))</f>
        <v/>
      </c>
      <c r="AB174" s="13" t="str">
        <f aca="false">IF(OR($C174="",$T174="Mixta",$AA174=""),"",IF($V174="Subyacente",IF($J174="","",$J174-$K174),IF($T174="Put",$AA174-$K174,$AA174+$K174)))</f>
        <v/>
      </c>
      <c r="AC174" s="14" t="str">
        <f aca="false">IF(OR($C174="",$T174="Mixta",$J174="",$AA174=""),"",IF($T174="Put",($J174-$AA174)/$J174,($AA174-$J174)/$J174))</f>
        <v/>
      </c>
      <c r="AD174" s="12" t="str">
        <f aca="false">IF($C174="","",IF($Q174&lt;&gt;"",$Q174,IF($V174="Strike",N($E174)*$H174*$I174,IF($V174="Subyacente",IF($J174="","",$J174*$H174*$I174),IF($V174="Ancho",IF($F174="","",ABS($E174-$F174)*$H174*$I174-$K174*$H174*$I174),IF($V174="Prima",$K174*$H174*$I174,""))))))</f>
        <v/>
      </c>
      <c r="AE174" s="12" t="str">
        <f aca="false">IF(OR($C174="",$M174="Abierta",$M174=""),"",(N($K174)-IF(OR($M174="Cerrada",$M174="Rolada"),N($O174),0))*$H174*$I174*IF($U174="Débito",-1,1)-N($L174)-N($P174))</f>
        <v/>
      </c>
      <c r="AF174" s="14" t="str">
        <f aca="false">IF(OR($AE174="",$AD174=""),"",IF($AD174&lt;=0,"",$AE174/$AD174))</f>
        <v/>
      </c>
      <c r="AG174" s="14" t="str">
        <f aca="false">IF($AF174="","",$AF174*365/MAX(N($X174),1))</f>
        <v/>
      </c>
      <c r="AH174" s="14" t="str">
        <f aca="false">IF(OR($C174="",$U174&lt;&gt;"Crédito",$AD174=""),"",IF($AD174&lt;=0,"",($Z174-N($L174))/$AD174))</f>
        <v/>
      </c>
      <c r="AI174" s="14" t="str">
        <f aca="false">IF(OR($AH174="",$W174=""),"",$AH174*365/MAX($W174,1))</f>
        <v/>
      </c>
      <c r="AJ174" s="14" t="str">
        <f aca="false">IF(OR($AE174="",$U174&lt;&gt;"Crédito",N($K174)=0),"",(N($K174)-IF(OR($M174="Cerrada",$M174="Rolada"),N($O174),0))/$K174)</f>
        <v/>
      </c>
      <c r="AK174" s="15" t="str">
        <f aca="false">IF(OR($C174="",$N174=""),"",DATE(YEAR($N174),MONTH($N174),1))</f>
        <v/>
      </c>
      <c r="AL174" s="11" t="str">
        <f aca="false">IF($C174="","",IF($M174="Abierta",0,1))</f>
        <v/>
      </c>
      <c r="AM174" s="16" t="str">
        <f aca="false">IF(OR($AE174="",$AD174=""),"",$AD174*MAX(N($X174),1))</f>
        <v/>
      </c>
      <c r="AN174" s="10" t="str">
        <f aca="false">IF($C174="","",IF(OR($B174="",$D174="",$H174="",$K174="",$M174=""),"Faltan datos obligatorios",IF($T174="","Estrategia no reconocida",IF(AND($M174&lt;&gt;"Abierta",$N174=""),"Falta fecha cierre",IF(AND(OR($M174="Cerrada",$M174="Rolada"),$O174=""),"Falta prima cierre",IF(AND($N174&lt;&gt;"",$N174&lt;$B174),"Cierre anterior a apertura",IF(AND($M174="Asignada",$R174=""),"Asignada: falta ID lote acciones",IF(AND($R174&lt;&gt;"",ISNA(MATCH($R174,Acciones!$A$2:$A$201,0))),"El ID lote no existe en Acciones",IF($AD174="","Revisa capital en riesgo","OK")))))))))</f>
        <v/>
      </c>
    </row>
    <row r="175" customFormat="false" ht="15" hidden="false" customHeight="true" outlineLevel="0" collapsed="false">
      <c r="A175" s="5"/>
      <c r="B175" s="6"/>
      <c r="C175" s="7"/>
      <c r="D175" s="7"/>
      <c r="E175" s="8"/>
      <c r="F175" s="8"/>
      <c r="G175" s="6"/>
      <c r="H175" s="5"/>
      <c r="I175" s="5" t="n">
        <v>100</v>
      </c>
      <c r="J175" s="8"/>
      <c r="K175" s="8"/>
      <c r="L175" s="9"/>
      <c r="M175" s="7"/>
      <c r="N175" s="6"/>
      <c r="O175" s="8"/>
      <c r="P175" s="9"/>
      <c r="Q175" s="9"/>
      <c r="R175" s="7"/>
      <c r="S175" s="7"/>
      <c r="T175" s="10" t="str">
        <f aca="false">IF($C175="","",IFERROR(INDEX(Listas!$B$2:$B$20,MATCH($D175,Listas!$A$2:$A$20,0)),""))</f>
        <v/>
      </c>
      <c r="U175" s="10" t="str">
        <f aca="false">IF($C175="","",IFERROR(INDEX(Listas!$C$2:$C$20,MATCH($D175,Listas!$A$2:$A$20,0)),""))</f>
        <v/>
      </c>
      <c r="V175" s="10" t="str">
        <f aca="false">IF($C175="","",IFERROR(INDEX(Listas!$D$2:$D$20,MATCH($D175,Listas!$A$2:$A$20,0)),""))</f>
        <v/>
      </c>
      <c r="W175" s="11" t="str">
        <f aca="false">IF(OR($C175="",$B175="",$G175=""),"",$G175-$B175)</f>
        <v/>
      </c>
      <c r="X175" s="11" t="str">
        <f aca="true">IF(OR($C175="",$B175=""),"",IF($N175&lt;&gt;"",$N175,TODAY())-$B175)</f>
        <v/>
      </c>
      <c r="Y175" s="11" t="str">
        <f aca="true">IF(OR($C175="",$M175&lt;&gt;"Abierta",$G175=""),"",MAX($G175-TODAY(),0))</f>
        <v/>
      </c>
      <c r="Z175" s="12" t="str">
        <f aca="false">IF($C175="","",N($K175)*N($H175)*N($I175)*IF($U175="Débito",-1,1))</f>
        <v/>
      </c>
      <c r="AA175" s="13" t="str">
        <f aca="false">IF($C175="","",IF(AND($U175="Débito",$F175&lt;&gt;""),$F175,$E175))</f>
        <v/>
      </c>
      <c r="AB175" s="13" t="str">
        <f aca="false">IF(OR($C175="",$T175="Mixta",$AA175=""),"",IF($V175="Subyacente",IF($J175="","",$J175-$K175),IF($T175="Put",$AA175-$K175,$AA175+$K175)))</f>
        <v/>
      </c>
      <c r="AC175" s="14" t="str">
        <f aca="false">IF(OR($C175="",$T175="Mixta",$J175="",$AA175=""),"",IF($T175="Put",($J175-$AA175)/$J175,($AA175-$J175)/$J175))</f>
        <v/>
      </c>
      <c r="AD175" s="12" t="str">
        <f aca="false">IF($C175="","",IF($Q175&lt;&gt;"",$Q175,IF($V175="Strike",N($E175)*$H175*$I175,IF($V175="Subyacente",IF($J175="","",$J175*$H175*$I175),IF($V175="Ancho",IF($F175="","",ABS($E175-$F175)*$H175*$I175-$K175*$H175*$I175),IF($V175="Prima",$K175*$H175*$I175,""))))))</f>
        <v/>
      </c>
      <c r="AE175" s="12" t="str">
        <f aca="false">IF(OR($C175="",$M175="Abierta",$M175=""),"",(N($K175)-IF(OR($M175="Cerrada",$M175="Rolada"),N($O175),0))*$H175*$I175*IF($U175="Débito",-1,1)-N($L175)-N($P175))</f>
        <v/>
      </c>
      <c r="AF175" s="14" t="str">
        <f aca="false">IF(OR($AE175="",$AD175=""),"",IF($AD175&lt;=0,"",$AE175/$AD175))</f>
        <v/>
      </c>
      <c r="AG175" s="14" t="str">
        <f aca="false">IF($AF175="","",$AF175*365/MAX(N($X175),1))</f>
        <v/>
      </c>
      <c r="AH175" s="14" t="str">
        <f aca="false">IF(OR($C175="",$U175&lt;&gt;"Crédito",$AD175=""),"",IF($AD175&lt;=0,"",($Z175-N($L175))/$AD175))</f>
        <v/>
      </c>
      <c r="AI175" s="14" t="str">
        <f aca="false">IF(OR($AH175="",$W175=""),"",$AH175*365/MAX($W175,1))</f>
        <v/>
      </c>
      <c r="AJ175" s="14" t="str">
        <f aca="false">IF(OR($AE175="",$U175&lt;&gt;"Crédito",N($K175)=0),"",(N($K175)-IF(OR($M175="Cerrada",$M175="Rolada"),N($O175),0))/$K175)</f>
        <v/>
      </c>
      <c r="AK175" s="15" t="str">
        <f aca="false">IF(OR($C175="",$N175=""),"",DATE(YEAR($N175),MONTH($N175),1))</f>
        <v/>
      </c>
      <c r="AL175" s="11" t="str">
        <f aca="false">IF($C175="","",IF($M175="Abierta",0,1))</f>
        <v/>
      </c>
      <c r="AM175" s="16" t="str">
        <f aca="false">IF(OR($AE175="",$AD175=""),"",$AD175*MAX(N($X175),1))</f>
        <v/>
      </c>
      <c r="AN175" s="10" t="str">
        <f aca="false">IF($C175="","",IF(OR($B175="",$D175="",$H175="",$K175="",$M175=""),"Faltan datos obligatorios",IF($T175="","Estrategia no reconocida",IF(AND($M175&lt;&gt;"Abierta",$N175=""),"Falta fecha cierre",IF(AND(OR($M175="Cerrada",$M175="Rolada"),$O175=""),"Falta prima cierre",IF(AND($N175&lt;&gt;"",$N175&lt;$B175),"Cierre anterior a apertura",IF(AND($M175="Asignada",$R175=""),"Asignada: falta ID lote acciones",IF(AND($R175&lt;&gt;"",ISNA(MATCH($R175,Acciones!$A$2:$A$201,0))),"El ID lote no existe en Acciones",IF($AD175="","Revisa capital en riesgo","OK")))))))))</f>
        <v/>
      </c>
    </row>
    <row r="176" customFormat="false" ht="15" hidden="false" customHeight="true" outlineLevel="0" collapsed="false">
      <c r="A176" s="5"/>
      <c r="B176" s="6"/>
      <c r="C176" s="7"/>
      <c r="D176" s="7"/>
      <c r="E176" s="8"/>
      <c r="F176" s="8"/>
      <c r="G176" s="6"/>
      <c r="H176" s="5"/>
      <c r="I176" s="5" t="n">
        <v>100</v>
      </c>
      <c r="J176" s="8"/>
      <c r="K176" s="8"/>
      <c r="L176" s="9"/>
      <c r="M176" s="7"/>
      <c r="N176" s="6"/>
      <c r="O176" s="8"/>
      <c r="P176" s="9"/>
      <c r="Q176" s="9"/>
      <c r="R176" s="7"/>
      <c r="S176" s="7"/>
      <c r="T176" s="10" t="str">
        <f aca="false">IF($C176="","",IFERROR(INDEX(Listas!$B$2:$B$20,MATCH($D176,Listas!$A$2:$A$20,0)),""))</f>
        <v/>
      </c>
      <c r="U176" s="10" t="str">
        <f aca="false">IF($C176="","",IFERROR(INDEX(Listas!$C$2:$C$20,MATCH($D176,Listas!$A$2:$A$20,0)),""))</f>
        <v/>
      </c>
      <c r="V176" s="10" t="str">
        <f aca="false">IF($C176="","",IFERROR(INDEX(Listas!$D$2:$D$20,MATCH($D176,Listas!$A$2:$A$20,0)),""))</f>
        <v/>
      </c>
      <c r="W176" s="11" t="str">
        <f aca="false">IF(OR($C176="",$B176="",$G176=""),"",$G176-$B176)</f>
        <v/>
      </c>
      <c r="X176" s="11" t="str">
        <f aca="true">IF(OR($C176="",$B176=""),"",IF($N176&lt;&gt;"",$N176,TODAY())-$B176)</f>
        <v/>
      </c>
      <c r="Y176" s="11" t="str">
        <f aca="true">IF(OR($C176="",$M176&lt;&gt;"Abierta",$G176=""),"",MAX($G176-TODAY(),0))</f>
        <v/>
      </c>
      <c r="Z176" s="12" t="str">
        <f aca="false">IF($C176="","",N($K176)*N($H176)*N($I176)*IF($U176="Débito",-1,1))</f>
        <v/>
      </c>
      <c r="AA176" s="13" t="str">
        <f aca="false">IF($C176="","",IF(AND($U176="Débito",$F176&lt;&gt;""),$F176,$E176))</f>
        <v/>
      </c>
      <c r="AB176" s="13" t="str">
        <f aca="false">IF(OR($C176="",$T176="Mixta",$AA176=""),"",IF($V176="Subyacente",IF($J176="","",$J176-$K176),IF($T176="Put",$AA176-$K176,$AA176+$K176)))</f>
        <v/>
      </c>
      <c r="AC176" s="14" t="str">
        <f aca="false">IF(OR($C176="",$T176="Mixta",$J176="",$AA176=""),"",IF($T176="Put",($J176-$AA176)/$J176,($AA176-$J176)/$J176))</f>
        <v/>
      </c>
      <c r="AD176" s="12" t="str">
        <f aca="false">IF($C176="","",IF($Q176&lt;&gt;"",$Q176,IF($V176="Strike",N($E176)*$H176*$I176,IF($V176="Subyacente",IF($J176="","",$J176*$H176*$I176),IF($V176="Ancho",IF($F176="","",ABS($E176-$F176)*$H176*$I176-$K176*$H176*$I176),IF($V176="Prima",$K176*$H176*$I176,""))))))</f>
        <v/>
      </c>
      <c r="AE176" s="12" t="str">
        <f aca="false">IF(OR($C176="",$M176="Abierta",$M176=""),"",(N($K176)-IF(OR($M176="Cerrada",$M176="Rolada"),N($O176),0))*$H176*$I176*IF($U176="Débito",-1,1)-N($L176)-N($P176))</f>
        <v/>
      </c>
      <c r="AF176" s="14" t="str">
        <f aca="false">IF(OR($AE176="",$AD176=""),"",IF($AD176&lt;=0,"",$AE176/$AD176))</f>
        <v/>
      </c>
      <c r="AG176" s="14" t="str">
        <f aca="false">IF($AF176="","",$AF176*365/MAX(N($X176),1))</f>
        <v/>
      </c>
      <c r="AH176" s="14" t="str">
        <f aca="false">IF(OR($C176="",$U176&lt;&gt;"Crédito",$AD176=""),"",IF($AD176&lt;=0,"",($Z176-N($L176))/$AD176))</f>
        <v/>
      </c>
      <c r="AI176" s="14" t="str">
        <f aca="false">IF(OR($AH176="",$W176=""),"",$AH176*365/MAX($W176,1))</f>
        <v/>
      </c>
      <c r="AJ176" s="14" t="str">
        <f aca="false">IF(OR($AE176="",$U176&lt;&gt;"Crédito",N($K176)=0),"",(N($K176)-IF(OR($M176="Cerrada",$M176="Rolada"),N($O176),0))/$K176)</f>
        <v/>
      </c>
      <c r="AK176" s="15" t="str">
        <f aca="false">IF(OR($C176="",$N176=""),"",DATE(YEAR($N176),MONTH($N176),1))</f>
        <v/>
      </c>
      <c r="AL176" s="11" t="str">
        <f aca="false">IF($C176="","",IF($M176="Abierta",0,1))</f>
        <v/>
      </c>
      <c r="AM176" s="16" t="str">
        <f aca="false">IF(OR($AE176="",$AD176=""),"",$AD176*MAX(N($X176),1))</f>
        <v/>
      </c>
      <c r="AN176" s="10" t="str">
        <f aca="false">IF($C176="","",IF(OR($B176="",$D176="",$H176="",$K176="",$M176=""),"Faltan datos obligatorios",IF($T176="","Estrategia no reconocida",IF(AND($M176&lt;&gt;"Abierta",$N176=""),"Falta fecha cierre",IF(AND(OR($M176="Cerrada",$M176="Rolada"),$O176=""),"Falta prima cierre",IF(AND($N176&lt;&gt;"",$N176&lt;$B176),"Cierre anterior a apertura",IF(AND($M176="Asignada",$R176=""),"Asignada: falta ID lote acciones",IF(AND($R176&lt;&gt;"",ISNA(MATCH($R176,Acciones!$A$2:$A$201,0))),"El ID lote no existe en Acciones",IF($AD176="","Revisa capital en riesgo","OK")))))))))</f>
        <v/>
      </c>
    </row>
    <row r="177" customFormat="false" ht="15" hidden="false" customHeight="true" outlineLevel="0" collapsed="false">
      <c r="A177" s="5"/>
      <c r="B177" s="6"/>
      <c r="C177" s="7"/>
      <c r="D177" s="7"/>
      <c r="E177" s="8"/>
      <c r="F177" s="8"/>
      <c r="G177" s="6"/>
      <c r="H177" s="5"/>
      <c r="I177" s="5" t="n">
        <v>100</v>
      </c>
      <c r="J177" s="8"/>
      <c r="K177" s="8"/>
      <c r="L177" s="9"/>
      <c r="M177" s="7"/>
      <c r="N177" s="6"/>
      <c r="O177" s="8"/>
      <c r="P177" s="9"/>
      <c r="Q177" s="9"/>
      <c r="R177" s="7"/>
      <c r="S177" s="7"/>
      <c r="T177" s="10" t="str">
        <f aca="false">IF($C177="","",IFERROR(INDEX(Listas!$B$2:$B$20,MATCH($D177,Listas!$A$2:$A$20,0)),""))</f>
        <v/>
      </c>
      <c r="U177" s="10" t="str">
        <f aca="false">IF($C177="","",IFERROR(INDEX(Listas!$C$2:$C$20,MATCH($D177,Listas!$A$2:$A$20,0)),""))</f>
        <v/>
      </c>
      <c r="V177" s="10" t="str">
        <f aca="false">IF($C177="","",IFERROR(INDEX(Listas!$D$2:$D$20,MATCH($D177,Listas!$A$2:$A$20,0)),""))</f>
        <v/>
      </c>
      <c r="W177" s="11" t="str">
        <f aca="false">IF(OR($C177="",$B177="",$G177=""),"",$G177-$B177)</f>
        <v/>
      </c>
      <c r="X177" s="11" t="str">
        <f aca="true">IF(OR($C177="",$B177=""),"",IF($N177&lt;&gt;"",$N177,TODAY())-$B177)</f>
        <v/>
      </c>
      <c r="Y177" s="11" t="str">
        <f aca="true">IF(OR($C177="",$M177&lt;&gt;"Abierta",$G177=""),"",MAX($G177-TODAY(),0))</f>
        <v/>
      </c>
      <c r="Z177" s="12" t="str">
        <f aca="false">IF($C177="","",N($K177)*N($H177)*N($I177)*IF($U177="Débito",-1,1))</f>
        <v/>
      </c>
      <c r="AA177" s="13" t="str">
        <f aca="false">IF($C177="","",IF(AND($U177="Débito",$F177&lt;&gt;""),$F177,$E177))</f>
        <v/>
      </c>
      <c r="AB177" s="13" t="str">
        <f aca="false">IF(OR($C177="",$T177="Mixta",$AA177=""),"",IF($V177="Subyacente",IF($J177="","",$J177-$K177),IF($T177="Put",$AA177-$K177,$AA177+$K177)))</f>
        <v/>
      </c>
      <c r="AC177" s="14" t="str">
        <f aca="false">IF(OR($C177="",$T177="Mixta",$J177="",$AA177=""),"",IF($T177="Put",($J177-$AA177)/$J177,($AA177-$J177)/$J177))</f>
        <v/>
      </c>
      <c r="AD177" s="12" t="str">
        <f aca="false">IF($C177="","",IF($Q177&lt;&gt;"",$Q177,IF($V177="Strike",N($E177)*$H177*$I177,IF($V177="Subyacente",IF($J177="","",$J177*$H177*$I177),IF($V177="Ancho",IF($F177="","",ABS($E177-$F177)*$H177*$I177-$K177*$H177*$I177),IF($V177="Prima",$K177*$H177*$I177,""))))))</f>
        <v/>
      </c>
      <c r="AE177" s="12" t="str">
        <f aca="false">IF(OR($C177="",$M177="Abierta",$M177=""),"",(N($K177)-IF(OR($M177="Cerrada",$M177="Rolada"),N($O177),0))*$H177*$I177*IF($U177="Débito",-1,1)-N($L177)-N($P177))</f>
        <v/>
      </c>
      <c r="AF177" s="14" t="str">
        <f aca="false">IF(OR($AE177="",$AD177=""),"",IF($AD177&lt;=0,"",$AE177/$AD177))</f>
        <v/>
      </c>
      <c r="AG177" s="14" t="str">
        <f aca="false">IF($AF177="","",$AF177*365/MAX(N($X177),1))</f>
        <v/>
      </c>
      <c r="AH177" s="14" t="str">
        <f aca="false">IF(OR($C177="",$U177&lt;&gt;"Crédito",$AD177=""),"",IF($AD177&lt;=0,"",($Z177-N($L177))/$AD177))</f>
        <v/>
      </c>
      <c r="AI177" s="14" t="str">
        <f aca="false">IF(OR($AH177="",$W177=""),"",$AH177*365/MAX($W177,1))</f>
        <v/>
      </c>
      <c r="AJ177" s="14" t="str">
        <f aca="false">IF(OR($AE177="",$U177&lt;&gt;"Crédito",N($K177)=0),"",(N($K177)-IF(OR($M177="Cerrada",$M177="Rolada"),N($O177),0))/$K177)</f>
        <v/>
      </c>
      <c r="AK177" s="15" t="str">
        <f aca="false">IF(OR($C177="",$N177=""),"",DATE(YEAR($N177),MONTH($N177),1))</f>
        <v/>
      </c>
      <c r="AL177" s="11" t="str">
        <f aca="false">IF($C177="","",IF($M177="Abierta",0,1))</f>
        <v/>
      </c>
      <c r="AM177" s="16" t="str">
        <f aca="false">IF(OR($AE177="",$AD177=""),"",$AD177*MAX(N($X177),1))</f>
        <v/>
      </c>
      <c r="AN177" s="10" t="str">
        <f aca="false">IF($C177="","",IF(OR($B177="",$D177="",$H177="",$K177="",$M177=""),"Faltan datos obligatorios",IF($T177="","Estrategia no reconocida",IF(AND($M177&lt;&gt;"Abierta",$N177=""),"Falta fecha cierre",IF(AND(OR($M177="Cerrada",$M177="Rolada"),$O177=""),"Falta prima cierre",IF(AND($N177&lt;&gt;"",$N177&lt;$B177),"Cierre anterior a apertura",IF(AND($M177="Asignada",$R177=""),"Asignada: falta ID lote acciones",IF(AND($R177&lt;&gt;"",ISNA(MATCH($R177,Acciones!$A$2:$A$201,0))),"El ID lote no existe en Acciones",IF($AD177="","Revisa capital en riesgo","OK")))))))))</f>
        <v/>
      </c>
    </row>
    <row r="178" customFormat="false" ht="15" hidden="false" customHeight="true" outlineLevel="0" collapsed="false">
      <c r="A178" s="5"/>
      <c r="B178" s="6"/>
      <c r="C178" s="7"/>
      <c r="D178" s="7"/>
      <c r="E178" s="8"/>
      <c r="F178" s="8"/>
      <c r="G178" s="6"/>
      <c r="H178" s="5"/>
      <c r="I178" s="5" t="n">
        <v>100</v>
      </c>
      <c r="J178" s="8"/>
      <c r="K178" s="8"/>
      <c r="L178" s="9"/>
      <c r="M178" s="7"/>
      <c r="N178" s="6"/>
      <c r="O178" s="8"/>
      <c r="P178" s="9"/>
      <c r="Q178" s="9"/>
      <c r="R178" s="7"/>
      <c r="S178" s="7"/>
      <c r="T178" s="10" t="str">
        <f aca="false">IF($C178="","",IFERROR(INDEX(Listas!$B$2:$B$20,MATCH($D178,Listas!$A$2:$A$20,0)),""))</f>
        <v/>
      </c>
      <c r="U178" s="10" t="str">
        <f aca="false">IF($C178="","",IFERROR(INDEX(Listas!$C$2:$C$20,MATCH($D178,Listas!$A$2:$A$20,0)),""))</f>
        <v/>
      </c>
      <c r="V178" s="10" t="str">
        <f aca="false">IF($C178="","",IFERROR(INDEX(Listas!$D$2:$D$20,MATCH($D178,Listas!$A$2:$A$20,0)),""))</f>
        <v/>
      </c>
      <c r="W178" s="11" t="str">
        <f aca="false">IF(OR($C178="",$B178="",$G178=""),"",$G178-$B178)</f>
        <v/>
      </c>
      <c r="X178" s="11" t="str">
        <f aca="true">IF(OR($C178="",$B178=""),"",IF($N178&lt;&gt;"",$N178,TODAY())-$B178)</f>
        <v/>
      </c>
      <c r="Y178" s="11" t="str">
        <f aca="true">IF(OR($C178="",$M178&lt;&gt;"Abierta",$G178=""),"",MAX($G178-TODAY(),0))</f>
        <v/>
      </c>
      <c r="Z178" s="12" t="str">
        <f aca="false">IF($C178="","",N($K178)*N($H178)*N($I178)*IF($U178="Débito",-1,1))</f>
        <v/>
      </c>
      <c r="AA178" s="13" t="str">
        <f aca="false">IF($C178="","",IF(AND($U178="Débito",$F178&lt;&gt;""),$F178,$E178))</f>
        <v/>
      </c>
      <c r="AB178" s="13" t="str">
        <f aca="false">IF(OR($C178="",$T178="Mixta",$AA178=""),"",IF($V178="Subyacente",IF($J178="","",$J178-$K178),IF($T178="Put",$AA178-$K178,$AA178+$K178)))</f>
        <v/>
      </c>
      <c r="AC178" s="14" t="str">
        <f aca="false">IF(OR($C178="",$T178="Mixta",$J178="",$AA178=""),"",IF($T178="Put",($J178-$AA178)/$J178,($AA178-$J178)/$J178))</f>
        <v/>
      </c>
      <c r="AD178" s="12" t="str">
        <f aca="false">IF($C178="","",IF($Q178&lt;&gt;"",$Q178,IF($V178="Strike",N($E178)*$H178*$I178,IF($V178="Subyacente",IF($J178="","",$J178*$H178*$I178),IF($V178="Ancho",IF($F178="","",ABS($E178-$F178)*$H178*$I178-$K178*$H178*$I178),IF($V178="Prima",$K178*$H178*$I178,""))))))</f>
        <v/>
      </c>
      <c r="AE178" s="12" t="str">
        <f aca="false">IF(OR($C178="",$M178="Abierta",$M178=""),"",(N($K178)-IF(OR($M178="Cerrada",$M178="Rolada"),N($O178),0))*$H178*$I178*IF($U178="Débito",-1,1)-N($L178)-N($P178))</f>
        <v/>
      </c>
      <c r="AF178" s="14" t="str">
        <f aca="false">IF(OR($AE178="",$AD178=""),"",IF($AD178&lt;=0,"",$AE178/$AD178))</f>
        <v/>
      </c>
      <c r="AG178" s="14" t="str">
        <f aca="false">IF($AF178="","",$AF178*365/MAX(N($X178),1))</f>
        <v/>
      </c>
      <c r="AH178" s="14" t="str">
        <f aca="false">IF(OR($C178="",$U178&lt;&gt;"Crédito",$AD178=""),"",IF($AD178&lt;=0,"",($Z178-N($L178))/$AD178))</f>
        <v/>
      </c>
      <c r="AI178" s="14" t="str">
        <f aca="false">IF(OR($AH178="",$W178=""),"",$AH178*365/MAX($W178,1))</f>
        <v/>
      </c>
      <c r="AJ178" s="14" t="str">
        <f aca="false">IF(OR($AE178="",$U178&lt;&gt;"Crédito",N($K178)=0),"",(N($K178)-IF(OR($M178="Cerrada",$M178="Rolada"),N($O178),0))/$K178)</f>
        <v/>
      </c>
      <c r="AK178" s="15" t="str">
        <f aca="false">IF(OR($C178="",$N178=""),"",DATE(YEAR($N178),MONTH($N178),1))</f>
        <v/>
      </c>
      <c r="AL178" s="11" t="str">
        <f aca="false">IF($C178="","",IF($M178="Abierta",0,1))</f>
        <v/>
      </c>
      <c r="AM178" s="16" t="str">
        <f aca="false">IF(OR($AE178="",$AD178=""),"",$AD178*MAX(N($X178),1))</f>
        <v/>
      </c>
      <c r="AN178" s="10" t="str">
        <f aca="false">IF($C178="","",IF(OR($B178="",$D178="",$H178="",$K178="",$M178=""),"Faltan datos obligatorios",IF($T178="","Estrategia no reconocida",IF(AND($M178&lt;&gt;"Abierta",$N178=""),"Falta fecha cierre",IF(AND(OR($M178="Cerrada",$M178="Rolada"),$O178=""),"Falta prima cierre",IF(AND($N178&lt;&gt;"",$N178&lt;$B178),"Cierre anterior a apertura",IF(AND($M178="Asignada",$R178=""),"Asignada: falta ID lote acciones",IF(AND($R178&lt;&gt;"",ISNA(MATCH($R178,Acciones!$A$2:$A$201,0))),"El ID lote no existe en Acciones",IF($AD178="","Revisa capital en riesgo","OK")))))))))</f>
        <v/>
      </c>
    </row>
    <row r="179" customFormat="false" ht="15" hidden="false" customHeight="true" outlineLevel="0" collapsed="false">
      <c r="A179" s="5"/>
      <c r="B179" s="6"/>
      <c r="C179" s="7"/>
      <c r="D179" s="7"/>
      <c r="E179" s="8"/>
      <c r="F179" s="8"/>
      <c r="G179" s="6"/>
      <c r="H179" s="5"/>
      <c r="I179" s="5" t="n">
        <v>100</v>
      </c>
      <c r="J179" s="8"/>
      <c r="K179" s="8"/>
      <c r="L179" s="9"/>
      <c r="M179" s="7"/>
      <c r="N179" s="6"/>
      <c r="O179" s="8"/>
      <c r="P179" s="9"/>
      <c r="Q179" s="9"/>
      <c r="R179" s="7"/>
      <c r="S179" s="7"/>
      <c r="T179" s="10" t="str">
        <f aca="false">IF($C179="","",IFERROR(INDEX(Listas!$B$2:$B$20,MATCH($D179,Listas!$A$2:$A$20,0)),""))</f>
        <v/>
      </c>
      <c r="U179" s="10" t="str">
        <f aca="false">IF($C179="","",IFERROR(INDEX(Listas!$C$2:$C$20,MATCH($D179,Listas!$A$2:$A$20,0)),""))</f>
        <v/>
      </c>
      <c r="V179" s="10" t="str">
        <f aca="false">IF($C179="","",IFERROR(INDEX(Listas!$D$2:$D$20,MATCH($D179,Listas!$A$2:$A$20,0)),""))</f>
        <v/>
      </c>
      <c r="W179" s="11" t="str">
        <f aca="false">IF(OR($C179="",$B179="",$G179=""),"",$G179-$B179)</f>
        <v/>
      </c>
      <c r="X179" s="11" t="str">
        <f aca="true">IF(OR($C179="",$B179=""),"",IF($N179&lt;&gt;"",$N179,TODAY())-$B179)</f>
        <v/>
      </c>
      <c r="Y179" s="11" t="str">
        <f aca="true">IF(OR($C179="",$M179&lt;&gt;"Abierta",$G179=""),"",MAX($G179-TODAY(),0))</f>
        <v/>
      </c>
      <c r="Z179" s="12" t="str">
        <f aca="false">IF($C179="","",N($K179)*N($H179)*N($I179)*IF($U179="Débito",-1,1))</f>
        <v/>
      </c>
      <c r="AA179" s="13" t="str">
        <f aca="false">IF($C179="","",IF(AND($U179="Débito",$F179&lt;&gt;""),$F179,$E179))</f>
        <v/>
      </c>
      <c r="AB179" s="13" t="str">
        <f aca="false">IF(OR($C179="",$T179="Mixta",$AA179=""),"",IF($V179="Subyacente",IF($J179="","",$J179-$K179),IF($T179="Put",$AA179-$K179,$AA179+$K179)))</f>
        <v/>
      </c>
      <c r="AC179" s="14" t="str">
        <f aca="false">IF(OR($C179="",$T179="Mixta",$J179="",$AA179=""),"",IF($T179="Put",($J179-$AA179)/$J179,($AA179-$J179)/$J179))</f>
        <v/>
      </c>
      <c r="AD179" s="12" t="str">
        <f aca="false">IF($C179="","",IF($Q179&lt;&gt;"",$Q179,IF($V179="Strike",N($E179)*$H179*$I179,IF($V179="Subyacente",IF($J179="","",$J179*$H179*$I179),IF($V179="Ancho",IF($F179="","",ABS($E179-$F179)*$H179*$I179-$K179*$H179*$I179),IF($V179="Prima",$K179*$H179*$I179,""))))))</f>
        <v/>
      </c>
      <c r="AE179" s="12" t="str">
        <f aca="false">IF(OR($C179="",$M179="Abierta",$M179=""),"",(N($K179)-IF(OR($M179="Cerrada",$M179="Rolada"),N($O179),0))*$H179*$I179*IF($U179="Débito",-1,1)-N($L179)-N($P179))</f>
        <v/>
      </c>
      <c r="AF179" s="14" t="str">
        <f aca="false">IF(OR($AE179="",$AD179=""),"",IF($AD179&lt;=0,"",$AE179/$AD179))</f>
        <v/>
      </c>
      <c r="AG179" s="14" t="str">
        <f aca="false">IF($AF179="","",$AF179*365/MAX(N($X179),1))</f>
        <v/>
      </c>
      <c r="AH179" s="14" t="str">
        <f aca="false">IF(OR($C179="",$U179&lt;&gt;"Crédito",$AD179=""),"",IF($AD179&lt;=0,"",($Z179-N($L179))/$AD179))</f>
        <v/>
      </c>
      <c r="AI179" s="14" t="str">
        <f aca="false">IF(OR($AH179="",$W179=""),"",$AH179*365/MAX($W179,1))</f>
        <v/>
      </c>
      <c r="AJ179" s="14" t="str">
        <f aca="false">IF(OR($AE179="",$U179&lt;&gt;"Crédito",N($K179)=0),"",(N($K179)-IF(OR($M179="Cerrada",$M179="Rolada"),N($O179),0))/$K179)</f>
        <v/>
      </c>
      <c r="AK179" s="15" t="str">
        <f aca="false">IF(OR($C179="",$N179=""),"",DATE(YEAR($N179),MONTH($N179),1))</f>
        <v/>
      </c>
      <c r="AL179" s="11" t="str">
        <f aca="false">IF($C179="","",IF($M179="Abierta",0,1))</f>
        <v/>
      </c>
      <c r="AM179" s="16" t="str">
        <f aca="false">IF(OR($AE179="",$AD179=""),"",$AD179*MAX(N($X179),1))</f>
        <v/>
      </c>
      <c r="AN179" s="10" t="str">
        <f aca="false">IF($C179="","",IF(OR($B179="",$D179="",$H179="",$K179="",$M179=""),"Faltan datos obligatorios",IF($T179="","Estrategia no reconocida",IF(AND($M179&lt;&gt;"Abierta",$N179=""),"Falta fecha cierre",IF(AND(OR($M179="Cerrada",$M179="Rolada"),$O179=""),"Falta prima cierre",IF(AND($N179&lt;&gt;"",$N179&lt;$B179),"Cierre anterior a apertura",IF(AND($M179="Asignada",$R179=""),"Asignada: falta ID lote acciones",IF(AND($R179&lt;&gt;"",ISNA(MATCH($R179,Acciones!$A$2:$A$201,0))),"El ID lote no existe en Acciones",IF($AD179="","Revisa capital en riesgo","OK")))))))))</f>
        <v/>
      </c>
    </row>
    <row r="180" customFormat="false" ht="15" hidden="false" customHeight="true" outlineLevel="0" collapsed="false">
      <c r="A180" s="5"/>
      <c r="B180" s="6"/>
      <c r="C180" s="7"/>
      <c r="D180" s="7"/>
      <c r="E180" s="8"/>
      <c r="F180" s="8"/>
      <c r="G180" s="6"/>
      <c r="H180" s="5"/>
      <c r="I180" s="5" t="n">
        <v>100</v>
      </c>
      <c r="J180" s="8"/>
      <c r="K180" s="8"/>
      <c r="L180" s="9"/>
      <c r="M180" s="7"/>
      <c r="N180" s="6"/>
      <c r="O180" s="8"/>
      <c r="P180" s="9"/>
      <c r="Q180" s="9"/>
      <c r="R180" s="7"/>
      <c r="S180" s="7"/>
      <c r="T180" s="10" t="str">
        <f aca="false">IF($C180="","",IFERROR(INDEX(Listas!$B$2:$B$20,MATCH($D180,Listas!$A$2:$A$20,0)),""))</f>
        <v/>
      </c>
      <c r="U180" s="10" t="str">
        <f aca="false">IF($C180="","",IFERROR(INDEX(Listas!$C$2:$C$20,MATCH($D180,Listas!$A$2:$A$20,0)),""))</f>
        <v/>
      </c>
      <c r="V180" s="10" t="str">
        <f aca="false">IF($C180="","",IFERROR(INDEX(Listas!$D$2:$D$20,MATCH($D180,Listas!$A$2:$A$20,0)),""))</f>
        <v/>
      </c>
      <c r="W180" s="11" t="str">
        <f aca="false">IF(OR($C180="",$B180="",$G180=""),"",$G180-$B180)</f>
        <v/>
      </c>
      <c r="X180" s="11" t="str">
        <f aca="true">IF(OR($C180="",$B180=""),"",IF($N180&lt;&gt;"",$N180,TODAY())-$B180)</f>
        <v/>
      </c>
      <c r="Y180" s="11" t="str">
        <f aca="true">IF(OR($C180="",$M180&lt;&gt;"Abierta",$G180=""),"",MAX($G180-TODAY(),0))</f>
        <v/>
      </c>
      <c r="Z180" s="12" t="str">
        <f aca="false">IF($C180="","",N($K180)*N($H180)*N($I180)*IF($U180="Débito",-1,1))</f>
        <v/>
      </c>
      <c r="AA180" s="13" t="str">
        <f aca="false">IF($C180="","",IF(AND($U180="Débito",$F180&lt;&gt;""),$F180,$E180))</f>
        <v/>
      </c>
      <c r="AB180" s="13" t="str">
        <f aca="false">IF(OR($C180="",$T180="Mixta",$AA180=""),"",IF($V180="Subyacente",IF($J180="","",$J180-$K180),IF($T180="Put",$AA180-$K180,$AA180+$K180)))</f>
        <v/>
      </c>
      <c r="AC180" s="14" t="str">
        <f aca="false">IF(OR($C180="",$T180="Mixta",$J180="",$AA180=""),"",IF($T180="Put",($J180-$AA180)/$J180,($AA180-$J180)/$J180))</f>
        <v/>
      </c>
      <c r="AD180" s="12" t="str">
        <f aca="false">IF($C180="","",IF($Q180&lt;&gt;"",$Q180,IF($V180="Strike",N($E180)*$H180*$I180,IF($V180="Subyacente",IF($J180="","",$J180*$H180*$I180),IF($V180="Ancho",IF($F180="","",ABS($E180-$F180)*$H180*$I180-$K180*$H180*$I180),IF($V180="Prima",$K180*$H180*$I180,""))))))</f>
        <v/>
      </c>
      <c r="AE180" s="12" t="str">
        <f aca="false">IF(OR($C180="",$M180="Abierta",$M180=""),"",(N($K180)-IF(OR($M180="Cerrada",$M180="Rolada"),N($O180),0))*$H180*$I180*IF($U180="Débito",-1,1)-N($L180)-N($P180))</f>
        <v/>
      </c>
      <c r="AF180" s="14" t="str">
        <f aca="false">IF(OR($AE180="",$AD180=""),"",IF($AD180&lt;=0,"",$AE180/$AD180))</f>
        <v/>
      </c>
      <c r="AG180" s="14" t="str">
        <f aca="false">IF($AF180="","",$AF180*365/MAX(N($X180),1))</f>
        <v/>
      </c>
      <c r="AH180" s="14" t="str">
        <f aca="false">IF(OR($C180="",$U180&lt;&gt;"Crédito",$AD180=""),"",IF($AD180&lt;=0,"",($Z180-N($L180))/$AD180))</f>
        <v/>
      </c>
      <c r="AI180" s="14" t="str">
        <f aca="false">IF(OR($AH180="",$W180=""),"",$AH180*365/MAX($W180,1))</f>
        <v/>
      </c>
      <c r="AJ180" s="14" t="str">
        <f aca="false">IF(OR($AE180="",$U180&lt;&gt;"Crédito",N($K180)=0),"",(N($K180)-IF(OR($M180="Cerrada",$M180="Rolada"),N($O180),0))/$K180)</f>
        <v/>
      </c>
      <c r="AK180" s="15" t="str">
        <f aca="false">IF(OR($C180="",$N180=""),"",DATE(YEAR($N180),MONTH($N180),1))</f>
        <v/>
      </c>
      <c r="AL180" s="11" t="str">
        <f aca="false">IF($C180="","",IF($M180="Abierta",0,1))</f>
        <v/>
      </c>
      <c r="AM180" s="16" t="str">
        <f aca="false">IF(OR($AE180="",$AD180=""),"",$AD180*MAX(N($X180),1))</f>
        <v/>
      </c>
      <c r="AN180" s="10" t="str">
        <f aca="false">IF($C180="","",IF(OR($B180="",$D180="",$H180="",$K180="",$M180=""),"Faltan datos obligatorios",IF($T180="","Estrategia no reconocida",IF(AND($M180&lt;&gt;"Abierta",$N180=""),"Falta fecha cierre",IF(AND(OR($M180="Cerrada",$M180="Rolada"),$O180=""),"Falta prima cierre",IF(AND($N180&lt;&gt;"",$N180&lt;$B180),"Cierre anterior a apertura",IF(AND($M180="Asignada",$R180=""),"Asignada: falta ID lote acciones",IF(AND($R180&lt;&gt;"",ISNA(MATCH($R180,Acciones!$A$2:$A$201,0))),"El ID lote no existe en Acciones",IF($AD180="","Revisa capital en riesgo","OK")))))))))</f>
        <v/>
      </c>
    </row>
    <row r="181" customFormat="false" ht="15" hidden="false" customHeight="true" outlineLevel="0" collapsed="false">
      <c r="A181" s="5"/>
      <c r="B181" s="6"/>
      <c r="C181" s="7"/>
      <c r="D181" s="7"/>
      <c r="E181" s="8"/>
      <c r="F181" s="8"/>
      <c r="G181" s="6"/>
      <c r="H181" s="5"/>
      <c r="I181" s="5" t="n">
        <v>100</v>
      </c>
      <c r="J181" s="8"/>
      <c r="K181" s="8"/>
      <c r="L181" s="9"/>
      <c r="M181" s="7"/>
      <c r="N181" s="6"/>
      <c r="O181" s="8"/>
      <c r="P181" s="9"/>
      <c r="Q181" s="9"/>
      <c r="R181" s="7"/>
      <c r="S181" s="7"/>
      <c r="T181" s="10" t="str">
        <f aca="false">IF($C181="","",IFERROR(INDEX(Listas!$B$2:$B$20,MATCH($D181,Listas!$A$2:$A$20,0)),""))</f>
        <v/>
      </c>
      <c r="U181" s="10" t="str">
        <f aca="false">IF($C181="","",IFERROR(INDEX(Listas!$C$2:$C$20,MATCH($D181,Listas!$A$2:$A$20,0)),""))</f>
        <v/>
      </c>
      <c r="V181" s="10" t="str">
        <f aca="false">IF($C181="","",IFERROR(INDEX(Listas!$D$2:$D$20,MATCH($D181,Listas!$A$2:$A$20,0)),""))</f>
        <v/>
      </c>
      <c r="W181" s="11" t="str">
        <f aca="false">IF(OR($C181="",$B181="",$G181=""),"",$G181-$B181)</f>
        <v/>
      </c>
      <c r="X181" s="11" t="str">
        <f aca="true">IF(OR($C181="",$B181=""),"",IF($N181&lt;&gt;"",$N181,TODAY())-$B181)</f>
        <v/>
      </c>
      <c r="Y181" s="11" t="str">
        <f aca="true">IF(OR($C181="",$M181&lt;&gt;"Abierta",$G181=""),"",MAX($G181-TODAY(),0))</f>
        <v/>
      </c>
      <c r="Z181" s="12" t="str">
        <f aca="false">IF($C181="","",N($K181)*N($H181)*N($I181)*IF($U181="Débito",-1,1))</f>
        <v/>
      </c>
      <c r="AA181" s="13" t="str">
        <f aca="false">IF($C181="","",IF(AND($U181="Débito",$F181&lt;&gt;""),$F181,$E181))</f>
        <v/>
      </c>
      <c r="AB181" s="13" t="str">
        <f aca="false">IF(OR($C181="",$T181="Mixta",$AA181=""),"",IF($V181="Subyacente",IF($J181="","",$J181-$K181),IF($T181="Put",$AA181-$K181,$AA181+$K181)))</f>
        <v/>
      </c>
      <c r="AC181" s="14" t="str">
        <f aca="false">IF(OR($C181="",$T181="Mixta",$J181="",$AA181=""),"",IF($T181="Put",($J181-$AA181)/$J181,($AA181-$J181)/$J181))</f>
        <v/>
      </c>
      <c r="AD181" s="12" t="str">
        <f aca="false">IF($C181="","",IF($Q181&lt;&gt;"",$Q181,IF($V181="Strike",N($E181)*$H181*$I181,IF($V181="Subyacente",IF($J181="","",$J181*$H181*$I181),IF($V181="Ancho",IF($F181="","",ABS($E181-$F181)*$H181*$I181-$K181*$H181*$I181),IF($V181="Prima",$K181*$H181*$I181,""))))))</f>
        <v/>
      </c>
      <c r="AE181" s="12" t="str">
        <f aca="false">IF(OR($C181="",$M181="Abierta",$M181=""),"",(N($K181)-IF(OR($M181="Cerrada",$M181="Rolada"),N($O181),0))*$H181*$I181*IF($U181="Débito",-1,1)-N($L181)-N($P181))</f>
        <v/>
      </c>
      <c r="AF181" s="14" t="str">
        <f aca="false">IF(OR($AE181="",$AD181=""),"",IF($AD181&lt;=0,"",$AE181/$AD181))</f>
        <v/>
      </c>
      <c r="AG181" s="14" t="str">
        <f aca="false">IF($AF181="","",$AF181*365/MAX(N($X181),1))</f>
        <v/>
      </c>
      <c r="AH181" s="14" t="str">
        <f aca="false">IF(OR($C181="",$U181&lt;&gt;"Crédito",$AD181=""),"",IF($AD181&lt;=0,"",($Z181-N($L181))/$AD181))</f>
        <v/>
      </c>
      <c r="AI181" s="14" t="str">
        <f aca="false">IF(OR($AH181="",$W181=""),"",$AH181*365/MAX($W181,1))</f>
        <v/>
      </c>
      <c r="AJ181" s="14" t="str">
        <f aca="false">IF(OR($AE181="",$U181&lt;&gt;"Crédito",N($K181)=0),"",(N($K181)-IF(OR($M181="Cerrada",$M181="Rolada"),N($O181),0))/$K181)</f>
        <v/>
      </c>
      <c r="AK181" s="15" t="str">
        <f aca="false">IF(OR($C181="",$N181=""),"",DATE(YEAR($N181),MONTH($N181),1))</f>
        <v/>
      </c>
      <c r="AL181" s="11" t="str">
        <f aca="false">IF($C181="","",IF($M181="Abierta",0,1))</f>
        <v/>
      </c>
      <c r="AM181" s="16" t="str">
        <f aca="false">IF(OR($AE181="",$AD181=""),"",$AD181*MAX(N($X181),1))</f>
        <v/>
      </c>
      <c r="AN181" s="10" t="str">
        <f aca="false">IF($C181="","",IF(OR($B181="",$D181="",$H181="",$K181="",$M181=""),"Faltan datos obligatorios",IF($T181="","Estrategia no reconocida",IF(AND($M181&lt;&gt;"Abierta",$N181=""),"Falta fecha cierre",IF(AND(OR($M181="Cerrada",$M181="Rolada"),$O181=""),"Falta prima cierre",IF(AND($N181&lt;&gt;"",$N181&lt;$B181),"Cierre anterior a apertura",IF(AND($M181="Asignada",$R181=""),"Asignada: falta ID lote acciones",IF(AND($R181&lt;&gt;"",ISNA(MATCH($R181,Acciones!$A$2:$A$201,0))),"El ID lote no existe en Acciones",IF($AD181="","Revisa capital en riesgo","OK")))))))))</f>
        <v/>
      </c>
    </row>
    <row r="182" customFormat="false" ht="15" hidden="false" customHeight="true" outlineLevel="0" collapsed="false">
      <c r="A182" s="5"/>
      <c r="B182" s="6"/>
      <c r="C182" s="7"/>
      <c r="D182" s="7"/>
      <c r="E182" s="8"/>
      <c r="F182" s="8"/>
      <c r="G182" s="6"/>
      <c r="H182" s="5"/>
      <c r="I182" s="5" t="n">
        <v>100</v>
      </c>
      <c r="J182" s="8"/>
      <c r="K182" s="8"/>
      <c r="L182" s="9"/>
      <c r="M182" s="7"/>
      <c r="N182" s="6"/>
      <c r="O182" s="8"/>
      <c r="P182" s="9"/>
      <c r="Q182" s="9"/>
      <c r="R182" s="7"/>
      <c r="S182" s="7"/>
      <c r="T182" s="10" t="str">
        <f aca="false">IF($C182="","",IFERROR(INDEX(Listas!$B$2:$B$20,MATCH($D182,Listas!$A$2:$A$20,0)),""))</f>
        <v/>
      </c>
      <c r="U182" s="10" t="str">
        <f aca="false">IF($C182="","",IFERROR(INDEX(Listas!$C$2:$C$20,MATCH($D182,Listas!$A$2:$A$20,0)),""))</f>
        <v/>
      </c>
      <c r="V182" s="10" t="str">
        <f aca="false">IF($C182="","",IFERROR(INDEX(Listas!$D$2:$D$20,MATCH($D182,Listas!$A$2:$A$20,0)),""))</f>
        <v/>
      </c>
      <c r="W182" s="11" t="str">
        <f aca="false">IF(OR($C182="",$B182="",$G182=""),"",$G182-$B182)</f>
        <v/>
      </c>
      <c r="X182" s="11" t="str">
        <f aca="true">IF(OR($C182="",$B182=""),"",IF($N182&lt;&gt;"",$N182,TODAY())-$B182)</f>
        <v/>
      </c>
      <c r="Y182" s="11" t="str">
        <f aca="true">IF(OR($C182="",$M182&lt;&gt;"Abierta",$G182=""),"",MAX($G182-TODAY(),0))</f>
        <v/>
      </c>
      <c r="Z182" s="12" t="str">
        <f aca="false">IF($C182="","",N($K182)*N($H182)*N($I182)*IF($U182="Débito",-1,1))</f>
        <v/>
      </c>
      <c r="AA182" s="13" t="str">
        <f aca="false">IF($C182="","",IF(AND($U182="Débito",$F182&lt;&gt;""),$F182,$E182))</f>
        <v/>
      </c>
      <c r="AB182" s="13" t="str">
        <f aca="false">IF(OR($C182="",$T182="Mixta",$AA182=""),"",IF($V182="Subyacente",IF($J182="","",$J182-$K182),IF($T182="Put",$AA182-$K182,$AA182+$K182)))</f>
        <v/>
      </c>
      <c r="AC182" s="14" t="str">
        <f aca="false">IF(OR($C182="",$T182="Mixta",$J182="",$AA182=""),"",IF($T182="Put",($J182-$AA182)/$J182,($AA182-$J182)/$J182))</f>
        <v/>
      </c>
      <c r="AD182" s="12" t="str">
        <f aca="false">IF($C182="","",IF($Q182&lt;&gt;"",$Q182,IF($V182="Strike",N($E182)*$H182*$I182,IF($V182="Subyacente",IF($J182="","",$J182*$H182*$I182),IF($V182="Ancho",IF($F182="","",ABS($E182-$F182)*$H182*$I182-$K182*$H182*$I182),IF($V182="Prima",$K182*$H182*$I182,""))))))</f>
        <v/>
      </c>
      <c r="AE182" s="12" t="str">
        <f aca="false">IF(OR($C182="",$M182="Abierta",$M182=""),"",(N($K182)-IF(OR($M182="Cerrada",$M182="Rolada"),N($O182),0))*$H182*$I182*IF($U182="Débito",-1,1)-N($L182)-N($P182))</f>
        <v/>
      </c>
      <c r="AF182" s="14" t="str">
        <f aca="false">IF(OR($AE182="",$AD182=""),"",IF($AD182&lt;=0,"",$AE182/$AD182))</f>
        <v/>
      </c>
      <c r="AG182" s="14" t="str">
        <f aca="false">IF($AF182="","",$AF182*365/MAX(N($X182),1))</f>
        <v/>
      </c>
      <c r="AH182" s="14" t="str">
        <f aca="false">IF(OR($C182="",$U182&lt;&gt;"Crédito",$AD182=""),"",IF($AD182&lt;=0,"",($Z182-N($L182))/$AD182))</f>
        <v/>
      </c>
      <c r="AI182" s="14" t="str">
        <f aca="false">IF(OR($AH182="",$W182=""),"",$AH182*365/MAX($W182,1))</f>
        <v/>
      </c>
      <c r="AJ182" s="14" t="str">
        <f aca="false">IF(OR($AE182="",$U182&lt;&gt;"Crédito",N($K182)=0),"",(N($K182)-IF(OR($M182="Cerrada",$M182="Rolada"),N($O182),0))/$K182)</f>
        <v/>
      </c>
      <c r="AK182" s="15" t="str">
        <f aca="false">IF(OR($C182="",$N182=""),"",DATE(YEAR($N182),MONTH($N182),1))</f>
        <v/>
      </c>
      <c r="AL182" s="11" t="str">
        <f aca="false">IF($C182="","",IF($M182="Abierta",0,1))</f>
        <v/>
      </c>
      <c r="AM182" s="16" t="str">
        <f aca="false">IF(OR($AE182="",$AD182=""),"",$AD182*MAX(N($X182),1))</f>
        <v/>
      </c>
      <c r="AN182" s="10" t="str">
        <f aca="false">IF($C182="","",IF(OR($B182="",$D182="",$H182="",$K182="",$M182=""),"Faltan datos obligatorios",IF($T182="","Estrategia no reconocida",IF(AND($M182&lt;&gt;"Abierta",$N182=""),"Falta fecha cierre",IF(AND(OR($M182="Cerrada",$M182="Rolada"),$O182=""),"Falta prima cierre",IF(AND($N182&lt;&gt;"",$N182&lt;$B182),"Cierre anterior a apertura",IF(AND($M182="Asignada",$R182=""),"Asignada: falta ID lote acciones",IF(AND($R182&lt;&gt;"",ISNA(MATCH($R182,Acciones!$A$2:$A$201,0))),"El ID lote no existe en Acciones",IF($AD182="","Revisa capital en riesgo","OK")))))))))</f>
        <v/>
      </c>
    </row>
    <row r="183" customFormat="false" ht="15" hidden="false" customHeight="true" outlineLevel="0" collapsed="false">
      <c r="A183" s="5"/>
      <c r="B183" s="6"/>
      <c r="C183" s="7"/>
      <c r="D183" s="7"/>
      <c r="E183" s="8"/>
      <c r="F183" s="8"/>
      <c r="G183" s="6"/>
      <c r="H183" s="5"/>
      <c r="I183" s="5" t="n">
        <v>100</v>
      </c>
      <c r="J183" s="8"/>
      <c r="K183" s="8"/>
      <c r="L183" s="9"/>
      <c r="M183" s="7"/>
      <c r="N183" s="6"/>
      <c r="O183" s="8"/>
      <c r="P183" s="9"/>
      <c r="Q183" s="9"/>
      <c r="R183" s="7"/>
      <c r="S183" s="7"/>
      <c r="T183" s="10" t="str">
        <f aca="false">IF($C183="","",IFERROR(INDEX(Listas!$B$2:$B$20,MATCH($D183,Listas!$A$2:$A$20,0)),""))</f>
        <v/>
      </c>
      <c r="U183" s="10" t="str">
        <f aca="false">IF($C183="","",IFERROR(INDEX(Listas!$C$2:$C$20,MATCH($D183,Listas!$A$2:$A$20,0)),""))</f>
        <v/>
      </c>
      <c r="V183" s="10" t="str">
        <f aca="false">IF($C183="","",IFERROR(INDEX(Listas!$D$2:$D$20,MATCH($D183,Listas!$A$2:$A$20,0)),""))</f>
        <v/>
      </c>
      <c r="W183" s="11" t="str">
        <f aca="false">IF(OR($C183="",$B183="",$G183=""),"",$G183-$B183)</f>
        <v/>
      </c>
      <c r="X183" s="11" t="str">
        <f aca="true">IF(OR($C183="",$B183=""),"",IF($N183&lt;&gt;"",$N183,TODAY())-$B183)</f>
        <v/>
      </c>
      <c r="Y183" s="11" t="str">
        <f aca="true">IF(OR($C183="",$M183&lt;&gt;"Abierta",$G183=""),"",MAX($G183-TODAY(),0))</f>
        <v/>
      </c>
      <c r="Z183" s="12" t="str">
        <f aca="false">IF($C183="","",N($K183)*N($H183)*N($I183)*IF($U183="Débito",-1,1))</f>
        <v/>
      </c>
      <c r="AA183" s="13" t="str">
        <f aca="false">IF($C183="","",IF(AND($U183="Débito",$F183&lt;&gt;""),$F183,$E183))</f>
        <v/>
      </c>
      <c r="AB183" s="13" t="str">
        <f aca="false">IF(OR($C183="",$T183="Mixta",$AA183=""),"",IF($V183="Subyacente",IF($J183="","",$J183-$K183),IF($T183="Put",$AA183-$K183,$AA183+$K183)))</f>
        <v/>
      </c>
      <c r="AC183" s="14" t="str">
        <f aca="false">IF(OR($C183="",$T183="Mixta",$J183="",$AA183=""),"",IF($T183="Put",($J183-$AA183)/$J183,($AA183-$J183)/$J183))</f>
        <v/>
      </c>
      <c r="AD183" s="12" t="str">
        <f aca="false">IF($C183="","",IF($Q183&lt;&gt;"",$Q183,IF($V183="Strike",N($E183)*$H183*$I183,IF($V183="Subyacente",IF($J183="","",$J183*$H183*$I183),IF($V183="Ancho",IF($F183="","",ABS($E183-$F183)*$H183*$I183-$K183*$H183*$I183),IF($V183="Prima",$K183*$H183*$I183,""))))))</f>
        <v/>
      </c>
      <c r="AE183" s="12" t="str">
        <f aca="false">IF(OR($C183="",$M183="Abierta",$M183=""),"",(N($K183)-IF(OR($M183="Cerrada",$M183="Rolada"),N($O183),0))*$H183*$I183*IF($U183="Débito",-1,1)-N($L183)-N($P183))</f>
        <v/>
      </c>
      <c r="AF183" s="14" t="str">
        <f aca="false">IF(OR($AE183="",$AD183=""),"",IF($AD183&lt;=0,"",$AE183/$AD183))</f>
        <v/>
      </c>
      <c r="AG183" s="14" t="str">
        <f aca="false">IF($AF183="","",$AF183*365/MAX(N($X183),1))</f>
        <v/>
      </c>
      <c r="AH183" s="14" t="str">
        <f aca="false">IF(OR($C183="",$U183&lt;&gt;"Crédito",$AD183=""),"",IF($AD183&lt;=0,"",($Z183-N($L183))/$AD183))</f>
        <v/>
      </c>
      <c r="AI183" s="14" t="str">
        <f aca="false">IF(OR($AH183="",$W183=""),"",$AH183*365/MAX($W183,1))</f>
        <v/>
      </c>
      <c r="AJ183" s="14" t="str">
        <f aca="false">IF(OR($AE183="",$U183&lt;&gt;"Crédito",N($K183)=0),"",(N($K183)-IF(OR($M183="Cerrada",$M183="Rolada"),N($O183),0))/$K183)</f>
        <v/>
      </c>
      <c r="AK183" s="15" t="str">
        <f aca="false">IF(OR($C183="",$N183=""),"",DATE(YEAR($N183),MONTH($N183),1))</f>
        <v/>
      </c>
      <c r="AL183" s="11" t="str">
        <f aca="false">IF($C183="","",IF($M183="Abierta",0,1))</f>
        <v/>
      </c>
      <c r="AM183" s="16" t="str">
        <f aca="false">IF(OR($AE183="",$AD183=""),"",$AD183*MAX(N($X183),1))</f>
        <v/>
      </c>
      <c r="AN183" s="10" t="str">
        <f aca="false">IF($C183="","",IF(OR($B183="",$D183="",$H183="",$K183="",$M183=""),"Faltan datos obligatorios",IF($T183="","Estrategia no reconocida",IF(AND($M183&lt;&gt;"Abierta",$N183=""),"Falta fecha cierre",IF(AND(OR($M183="Cerrada",$M183="Rolada"),$O183=""),"Falta prima cierre",IF(AND($N183&lt;&gt;"",$N183&lt;$B183),"Cierre anterior a apertura",IF(AND($M183="Asignada",$R183=""),"Asignada: falta ID lote acciones",IF(AND($R183&lt;&gt;"",ISNA(MATCH($R183,Acciones!$A$2:$A$201,0))),"El ID lote no existe en Acciones",IF($AD183="","Revisa capital en riesgo","OK")))))))))</f>
        <v/>
      </c>
    </row>
    <row r="184" customFormat="false" ht="15" hidden="false" customHeight="true" outlineLevel="0" collapsed="false">
      <c r="A184" s="5"/>
      <c r="B184" s="6"/>
      <c r="C184" s="7"/>
      <c r="D184" s="7"/>
      <c r="E184" s="8"/>
      <c r="F184" s="8"/>
      <c r="G184" s="6"/>
      <c r="H184" s="5"/>
      <c r="I184" s="5" t="n">
        <v>100</v>
      </c>
      <c r="J184" s="8"/>
      <c r="K184" s="8"/>
      <c r="L184" s="9"/>
      <c r="M184" s="7"/>
      <c r="N184" s="6"/>
      <c r="O184" s="8"/>
      <c r="P184" s="9"/>
      <c r="Q184" s="9"/>
      <c r="R184" s="7"/>
      <c r="S184" s="7"/>
      <c r="T184" s="10" t="str">
        <f aca="false">IF($C184="","",IFERROR(INDEX(Listas!$B$2:$B$20,MATCH($D184,Listas!$A$2:$A$20,0)),""))</f>
        <v/>
      </c>
      <c r="U184" s="10" t="str">
        <f aca="false">IF($C184="","",IFERROR(INDEX(Listas!$C$2:$C$20,MATCH($D184,Listas!$A$2:$A$20,0)),""))</f>
        <v/>
      </c>
      <c r="V184" s="10" t="str">
        <f aca="false">IF($C184="","",IFERROR(INDEX(Listas!$D$2:$D$20,MATCH($D184,Listas!$A$2:$A$20,0)),""))</f>
        <v/>
      </c>
      <c r="W184" s="11" t="str">
        <f aca="false">IF(OR($C184="",$B184="",$G184=""),"",$G184-$B184)</f>
        <v/>
      </c>
      <c r="X184" s="11" t="str">
        <f aca="true">IF(OR($C184="",$B184=""),"",IF($N184&lt;&gt;"",$N184,TODAY())-$B184)</f>
        <v/>
      </c>
      <c r="Y184" s="11" t="str">
        <f aca="true">IF(OR($C184="",$M184&lt;&gt;"Abierta",$G184=""),"",MAX($G184-TODAY(),0))</f>
        <v/>
      </c>
      <c r="Z184" s="12" t="str">
        <f aca="false">IF($C184="","",N($K184)*N($H184)*N($I184)*IF($U184="Débito",-1,1))</f>
        <v/>
      </c>
      <c r="AA184" s="13" t="str">
        <f aca="false">IF($C184="","",IF(AND($U184="Débito",$F184&lt;&gt;""),$F184,$E184))</f>
        <v/>
      </c>
      <c r="AB184" s="13" t="str">
        <f aca="false">IF(OR($C184="",$T184="Mixta",$AA184=""),"",IF($V184="Subyacente",IF($J184="","",$J184-$K184),IF($T184="Put",$AA184-$K184,$AA184+$K184)))</f>
        <v/>
      </c>
      <c r="AC184" s="14" t="str">
        <f aca="false">IF(OR($C184="",$T184="Mixta",$J184="",$AA184=""),"",IF($T184="Put",($J184-$AA184)/$J184,($AA184-$J184)/$J184))</f>
        <v/>
      </c>
      <c r="AD184" s="12" t="str">
        <f aca="false">IF($C184="","",IF($Q184&lt;&gt;"",$Q184,IF($V184="Strike",N($E184)*$H184*$I184,IF($V184="Subyacente",IF($J184="","",$J184*$H184*$I184),IF($V184="Ancho",IF($F184="","",ABS($E184-$F184)*$H184*$I184-$K184*$H184*$I184),IF($V184="Prima",$K184*$H184*$I184,""))))))</f>
        <v/>
      </c>
      <c r="AE184" s="12" t="str">
        <f aca="false">IF(OR($C184="",$M184="Abierta",$M184=""),"",(N($K184)-IF(OR($M184="Cerrada",$M184="Rolada"),N($O184),0))*$H184*$I184*IF($U184="Débito",-1,1)-N($L184)-N($P184))</f>
        <v/>
      </c>
      <c r="AF184" s="14" t="str">
        <f aca="false">IF(OR($AE184="",$AD184=""),"",IF($AD184&lt;=0,"",$AE184/$AD184))</f>
        <v/>
      </c>
      <c r="AG184" s="14" t="str">
        <f aca="false">IF($AF184="","",$AF184*365/MAX(N($X184),1))</f>
        <v/>
      </c>
      <c r="AH184" s="14" t="str">
        <f aca="false">IF(OR($C184="",$U184&lt;&gt;"Crédito",$AD184=""),"",IF($AD184&lt;=0,"",($Z184-N($L184))/$AD184))</f>
        <v/>
      </c>
      <c r="AI184" s="14" t="str">
        <f aca="false">IF(OR($AH184="",$W184=""),"",$AH184*365/MAX($W184,1))</f>
        <v/>
      </c>
      <c r="AJ184" s="14" t="str">
        <f aca="false">IF(OR($AE184="",$U184&lt;&gt;"Crédito",N($K184)=0),"",(N($K184)-IF(OR($M184="Cerrada",$M184="Rolada"),N($O184),0))/$K184)</f>
        <v/>
      </c>
      <c r="AK184" s="15" t="str">
        <f aca="false">IF(OR($C184="",$N184=""),"",DATE(YEAR($N184),MONTH($N184),1))</f>
        <v/>
      </c>
      <c r="AL184" s="11" t="str">
        <f aca="false">IF($C184="","",IF($M184="Abierta",0,1))</f>
        <v/>
      </c>
      <c r="AM184" s="16" t="str">
        <f aca="false">IF(OR($AE184="",$AD184=""),"",$AD184*MAX(N($X184),1))</f>
        <v/>
      </c>
      <c r="AN184" s="10" t="str">
        <f aca="false">IF($C184="","",IF(OR($B184="",$D184="",$H184="",$K184="",$M184=""),"Faltan datos obligatorios",IF($T184="","Estrategia no reconocida",IF(AND($M184&lt;&gt;"Abierta",$N184=""),"Falta fecha cierre",IF(AND(OR($M184="Cerrada",$M184="Rolada"),$O184=""),"Falta prima cierre",IF(AND($N184&lt;&gt;"",$N184&lt;$B184),"Cierre anterior a apertura",IF(AND($M184="Asignada",$R184=""),"Asignada: falta ID lote acciones",IF(AND($R184&lt;&gt;"",ISNA(MATCH($R184,Acciones!$A$2:$A$201,0))),"El ID lote no existe en Acciones",IF($AD184="","Revisa capital en riesgo","OK")))))))))</f>
        <v/>
      </c>
    </row>
    <row r="185" customFormat="false" ht="15" hidden="false" customHeight="true" outlineLevel="0" collapsed="false">
      <c r="A185" s="5"/>
      <c r="B185" s="6"/>
      <c r="C185" s="7"/>
      <c r="D185" s="7"/>
      <c r="E185" s="8"/>
      <c r="F185" s="8"/>
      <c r="G185" s="6"/>
      <c r="H185" s="5"/>
      <c r="I185" s="5" t="n">
        <v>100</v>
      </c>
      <c r="J185" s="8"/>
      <c r="K185" s="8"/>
      <c r="L185" s="9"/>
      <c r="M185" s="7"/>
      <c r="N185" s="6"/>
      <c r="O185" s="8"/>
      <c r="P185" s="9"/>
      <c r="Q185" s="9"/>
      <c r="R185" s="7"/>
      <c r="S185" s="7"/>
      <c r="T185" s="10" t="str">
        <f aca="false">IF($C185="","",IFERROR(INDEX(Listas!$B$2:$B$20,MATCH($D185,Listas!$A$2:$A$20,0)),""))</f>
        <v/>
      </c>
      <c r="U185" s="10" t="str">
        <f aca="false">IF($C185="","",IFERROR(INDEX(Listas!$C$2:$C$20,MATCH($D185,Listas!$A$2:$A$20,0)),""))</f>
        <v/>
      </c>
      <c r="V185" s="10" t="str">
        <f aca="false">IF($C185="","",IFERROR(INDEX(Listas!$D$2:$D$20,MATCH($D185,Listas!$A$2:$A$20,0)),""))</f>
        <v/>
      </c>
      <c r="W185" s="11" t="str">
        <f aca="false">IF(OR($C185="",$B185="",$G185=""),"",$G185-$B185)</f>
        <v/>
      </c>
      <c r="X185" s="11" t="str">
        <f aca="true">IF(OR($C185="",$B185=""),"",IF($N185&lt;&gt;"",$N185,TODAY())-$B185)</f>
        <v/>
      </c>
      <c r="Y185" s="11" t="str">
        <f aca="true">IF(OR($C185="",$M185&lt;&gt;"Abierta",$G185=""),"",MAX($G185-TODAY(),0))</f>
        <v/>
      </c>
      <c r="Z185" s="12" t="str">
        <f aca="false">IF($C185="","",N($K185)*N($H185)*N($I185)*IF($U185="Débito",-1,1))</f>
        <v/>
      </c>
      <c r="AA185" s="13" t="str">
        <f aca="false">IF($C185="","",IF(AND($U185="Débito",$F185&lt;&gt;""),$F185,$E185))</f>
        <v/>
      </c>
      <c r="AB185" s="13" t="str">
        <f aca="false">IF(OR($C185="",$T185="Mixta",$AA185=""),"",IF($V185="Subyacente",IF($J185="","",$J185-$K185),IF($T185="Put",$AA185-$K185,$AA185+$K185)))</f>
        <v/>
      </c>
      <c r="AC185" s="14" t="str">
        <f aca="false">IF(OR($C185="",$T185="Mixta",$J185="",$AA185=""),"",IF($T185="Put",($J185-$AA185)/$J185,($AA185-$J185)/$J185))</f>
        <v/>
      </c>
      <c r="AD185" s="12" t="str">
        <f aca="false">IF($C185="","",IF($Q185&lt;&gt;"",$Q185,IF($V185="Strike",N($E185)*$H185*$I185,IF($V185="Subyacente",IF($J185="","",$J185*$H185*$I185),IF($V185="Ancho",IF($F185="","",ABS($E185-$F185)*$H185*$I185-$K185*$H185*$I185),IF($V185="Prima",$K185*$H185*$I185,""))))))</f>
        <v/>
      </c>
      <c r="AE185" s="12" t="str">
        <f aca="false">IF(OR($C185="",$M185="Abierta",$M185=""),"",(N($K185)-IF(OR($M185="Cerrada",$M185="Rolada"),N($O185),0))*$H185*$I185*IF($U185="Débito",-1,1)-N($L185)-N($P185))</f>
        <v/>
      </c>
      <c r="AF185" s="14" t="str">
        <f aca="false">IF(OR($AE185="",$AD185=""),"",IF($AD185&lt;=0,"",$AE185/$AD185))</f>
        <v/>
      </c>
      <c r="AG185" s="14" t="str">
        <f aca="false">IF($AF185="","",$AF185*365/MAX(N($X185),1))</f>
        <v/>
      </c>
      <c r="AH185" s="14" t="str">
        <f aca="false">IF(OR($C185="",$U185&lt;&gt;"Crédito",$AD185=""),"",IF($AD185&lt;=0,"",($Z185-N($L185))/$AD185))</f>
        <v/>
      </c>
      <c r="AI185" s="14" t="str">
        <f aca="false">IF(OR($AH185="",$W185=""),"",$AH185*365/MAX($W185,1))</f>
        <v/>
      </c>
      <c r="AJ185" s="14" t="str">
        <f aca="false">IF(OR($AE185="",$U185&lt;&gt;"Crédito",N($K185)=0),"",(N($K185)-IF(OR($M185="Cerrada",$M185="Rolada"),N($O185),0))/$K185)</f>
        <v/>
      </c>
      <c r="AK185" s="15" t="str">
        <f aca="false">IF(OR($C185="",$N185=""),"",DATE(YEAR($N185),MONTH($N185),1))</f>
        <v/>
      </c>
      <c r="AL185" s="11" t="str">
        <f aca="false">IF($C185="","",IF($M185="Abierta",0,1))</f>
        <v/>
      </c>
      <c r="AM185" s="16" t="str">
        <f aca="false">IF(OR($AE185="",$AD185=""),"",$AD185*MAX(N($X185),1))</f>
        <v/>
      </c>
      <c r="AN185" s="10" t="str">
        <f aca="false">IF($C185="","",IF(OR($B185="",$D185="",$H185="",$K185="",$M185=""),"Faltan datos obligatorios",IF($T185="","Estrategia no reconocida",IF(AND($M185&lt;&gt;"Abierta",$N185=""),"Falta fecha cierre",IF(AND(OR($M185="Cerrada",$M185="Rolada"),$O185=""),"Falta prima cierre",IF(AND($N185&lt;&gt;"",$N185&lt;$B185),"Cierre anterior a apertura",IF(AND($M185="Asignada",$R185=""),"Asignada: falta ID lote acciones",IF(AND($R185&lt;&gt;"",ISNA(MATCH($R185,Acciones!$A$2:$A$201,0))),"El ID lote no existe en Acciones",IF($AD185="","Revisa capital en riesgo","OK")))))))))</f>
        <v/>
      </c>
    </row>
    <row r="186" customFormat="false" ht="15" hidden="false" customHeight="true" outlineLevel="0" collapsed="false">
      <c r="A186" s="5"/>
      <c r="B186" s="6"/>
      <c r="C186" s="7"/>
      <c r="D186" s="7"/>
      <c r="E186" s="8"/>
      <c r="F186" s="8"/>
      <c r="G186" s="6"/>
      <c r="H186" s="5"/>
      <c r="I186" s="5" t="n">
        <v>100</v>
      </c>
      <c r="J186" s="8"/>
      <c r="K186" s="8"/>
      <c r="L186" s="9"/>
      <c r="M186" s="7"/>
      <c r="N186" s="6"/>
      <c r="O186" s="8"/>
      <c r="P186" s="9"/>
      <c r="Q186" s="9"/>
      <c r="R186" s="7"/>
      <c r="S186" s="7"/>
      <c r="T186" s="10" t="str">
        <f aca="false">IF($C186="","",IFERROR(INDEX(Listas!$B$2:$B$20,MATCH($D186,Listas!$A$2:$A$20,0)),""))</f>
        <v/>
      </c>
      <c r="U186" s="10" t="str">
        <f aca="false">IF($C186="","",IFERROR(INDEX(Listas!$C$2:$C$20,MATCH($D186,Listas!$A$2:$A$20,0)),""))</f>
        <v/>
      </c>
      <c r="V186" s="10" t="str">
        <f aca="false">IF($C186="","",IFERROR(INDEX(Listas!$D$2:$D$20,MATCH($D186,Listas!$A$2:$A$20,0)),""))</f>
        <v/>
      </c>
      <c r="W186" s="11" t="str">
        <f aca="false">IF(OR($C186="",$B186="",$G186=""),"",$G186-$B186)</f>
        <v/>
      </c>
      <c r="X186" s="11" t="str">
        <f aca="true">IF(OR($C186="",$B186=""),"",IF($N186&lt;&gt;"",$N186,TODAY())-$B186)</f>
        <v/>
      </c>
      <c r="Y186" s="11" t="str">
        <f aca="true">IF(OR($C186="",$M186&lt;&gt;"Abierta",$G186=""),"",MAX($G186-TODAY(),0))</f>
        <v/>
      </c>
      <c r="Z186" s="12" t="str">
        <f aca="false">IF($C186="","",N($K186)*N($H186)*N($I186)*IF($U186="Débito",-1,1))</f>
        <v/>
      </c>
      <c r="AA186" s="13" t="str">
        <f aca="false">IF($C186="","",IF(AND($U186="Débito",$F186&lt;&gt;""),$F186,$E186))</f>
        <v/>
      </c>
      <c r="AB186" s="13" t="str">
        <f aca="false">IF(OR($C186="",$T186="Mixta",$AA186=""),"",IF($V186="Subyacente",IF($J186="","",$J186-$K186),IF($T186="Put",$AA186-$K186,$AA186+$K186)))</f>
        <v/>
      </c>
      <c r="AC186" s="14" t="str">
        <f aca="false">IF(OR($C186="",$T186="Mixta",$J186="",$AA186=""),"",IF($T186="Put",($J186-$AA186)/$J186,($AA186-$J186)/$J186))</f>
        <v/>
      </c>
      <c r="AD186" s="12" t="str">
        <f aca="false">IF($C186="","",IF($Q186&lt;&gt;"",$Q186,IF($V186="Strike",N($E186)*$H186*$I186,IF($V186="Subyacente",IF($J186="","",$J186*$H186*$I186),IF($V186="Ancho",IF($F186="","",ABS($E186-$F186)*$H186*$I186-$K186*$H186*$I186),IF($V186="Prima",$K186*$H186*$I186,""))))))</f>
        <v/>
      </c>
      <c r="AE186" s="12" t="str">
        <f aca="false">IF(OR($C186="",$M186="Abierta",$M186=""),"",(N($K186)-IF(OR($M186="Cerrada",$M186="Rolada"),N($O186),0))*$H186*$I186*IF($U186="Débito",-1,1)-N($L186)-N($P186))</f>
        <v/>
      </c>
      <c r="AF186" s="14" t="str">
        <f aca="false">IF(OR($AE186="",$AD186=""),"",IF($AD186&lt;=0,"",$AE186/$AD186))</f>
        <v/>
      </c>
      <c r="AG186" s="14" t="str">
        <f aca="false">IF($AF186="","",$AF186*365/MAX(N($X186),1))</f>
        <v/>
      </c>
      <c r="AH186" s="14" t="str">
        <f aca="false">IF(OR($C186="",$U186&lt;&gt;"Crédito",$AD186=""),"",IF($AD186&lt;=0,"",($Z186-N($L186))/$AD186))</f>
        <v/>
      </c>
      <c r="AI186" s="14" t="str">
        <f aca="false">IF(OR($AH186="",$W186=""),"",$AH186*365/MAX($W186,1))</f>
        <v/>
      </c>
      <c r="AJ186" s="14" t="str">
        <f aca="false">IF(OR($AE186="",$U186&lt;&gt;"Crédito",N($K186)=0),"",(N($K186)-IF(OR($M186="Cerrada",$M186="Rolada"),N($O186),0))/$K186)</f>
        <v/>
      </c>
      <c r="AK186" s="15" t="str">
        <f aca="false">IF(OR($C186="",$N186=""),"",DATE(YEAR($N186),MONTH($N186),1))</f>
        <v/>
      </c>
      <c r="AL186" s="11" t="str">
        <f aca="false">IF($C186="","",IF($M186="Abierta",0,1))</f>
        <v/>
      </c>
      <c r="AM186" s="16" t="str">
        <f aca="false">IF(OR($AE186="",$AD186=""),"",$AD186*MAX(N($X186),1))</f>
        <v/>
      </c>
      <c r="AN186" s="10" t="str">
        <f aca="false">IF($C186="","",IF(OR($B186="",$D186="",$H186="",$K186="",$M186=""),"Faltan datos obligatorios",IF($T186="","Estrategia no reconocida",IF(AND($M186&lt;&gt;"Abierta",$N186=""),"Falta fecha cierre",IF(AND(OR($M186="Cerrada",$M186="Rolada"),$O186=""),"Falta prima cierre",IF(AND($N186&lt;&gt;"",$N186&lt;$B186),"Cierre anterior a apertura",IF(AND($M186="Asignada",$R186=""),"Asignada: falta ID lote acciones",IF(AND($R186&lt;&gt;"",ISNA(MATCH($R186,Acciones!$A$2:$A$201,0))),"El ID lote no existe en Acciones",IF($AD186="","Revisa capital en riesgo","OK")))))))))</f>
        <v/>
      </c>
    </row>
    <row r="187" customFormat="false" ht="15" hidden="false" customHeight="true" outlineLevel="0" collapsed="false">
      <c r="A187" s="5"/>
      <c r="B187" s="6"/>
      <c r="C187" s="7"/>
      <c r="D187" s="7"/>
      <c r="E187" s="8"/>
      <c r="F187" s="8"/>
      <c r="G187" s="6"/>
      <c r="H187" s="5"/>
      <c r="I187" s="5" t="n">
        <v>100</v>
      </c>
      <c r="J187" s="8"/>
      <c r="K187" s="8"/>
      <c r="L187" s="9"/>
      <c r="M187" s="7"/>
      <c r="N187" s="6"/>
      <c r="O187" s="8"/>
      <c r="P187" s="9"/>
      <c r="Q187" s="9"/>
      <c r="R187" s="7"/>
      <c r="S187" s="7"/>
      <c r="T187" s="10" t="str">
        <f aca="false">IF($C187="","",IFERROR(INDEX(Listas!$B$2:$B$20,MATCH($D187,Listas!$A$2:$A$20,0)),""))</f>
        <v/>
      </c>
      <c r="U187" s="10" t="str">
        <f aca="false">IF($C187="","",IFERROR(INDEX(Listas!$C$2:$C$20,MATCH($D187,Listas!$A$2:$A$20,0)),""))</f>
        <v/>
      </c>
      <c r="V187" s="10" t="str">
        <f aca="false">IF($C187="","",IFERROR(INDEX(Listas!$D$2:$D$20,MATCH($D187,Listas!$A$2:$A$20,0)),""))</f>
        <v/>
      </c>
      <c r="W187" s="11" t="str">
        <f aca="false">IF(OR($C187="",$B187="",$G187=""),"",$G187-$B187)</f>
        <v/>
      </c>
      <c r="X187" s="11" t="str">
        <f aca="true">IF(OR($C187="",$B187=""),"",IF($N187&lt;&gt;"",$N187,TODAY())-$B187)</f>
        <v/>
      </c>
      <c r="Y187" s="11" t="str">
        <f aca="true">IF(OR($C187="",$M187&lt;&gt;"Abierta",$G187=""),"",MAX($G187-TODAY(),0))</f>
        <v/>
      </c>
      <c r="Z187" s="12" t="str">
        <f aca="false">IF($C187="","",N($K187)*N($H187)*N($I187)*IF($U187="Débito",-1,1))</f>
        <v/>
      </c>
      <c r="AA187" s="13" t="str">
        <f aca="false">IF($C187="","",IF(AND($U187="Débito",$F187&lt;&gt;""),$F187,$E187))</f>
        <v/>
      </c>
      <c r="AB187" s="13" t="str">
        <f aca="false">IF(OR($C187="",$T187="Mixta",$AA187=""),"",IF($V187="Subyacente",IF($J187="","",$J187-$K187),IF($T187="Put",$AA187-$K187,$AA187+$K187)))</f>
        <v/>
      </c>
      <c r="AC187" s="14" t="str">
        <f aca="false">IF(OR($C187="",$T187="Mixta",$J187="",$AA187=""),"",IF($T187="Put",($J187-$AA187)/$J187,($AA187-$J187)/$J187))</f>
        <v/>
      </c>
      <c r="AD187" s="12" t="str">
        <f aca="false">IF($C187="","",IF($Q187&lt;&gt;"",$Q187,IF($V187="Strike",N($E187)*$H187*$I187,IF($V187="Subyacente",IF($J187="","",$J187*$H187*$I187),IF($V187="Ancho",IF($F187="","",ABS($E187-$F187)*$H187*$I187-$K187*$H187*$I187),IF($V187="Prima",$K187*$H187*$I187,""))))))</f>
        <v/>
      </c>
      <c r="AE187" s="12" t="str">
        <f aca="false">IF(OR($C187="",$M187="Abierta",$M187=""),"",(N($K187)-IF(OR($M187="Cerrada",$M187="Rolada"),N($O187),0))*$H187*$I187*IF($U187="Débito",-1,1)-N($L187)-N($P187))</f>
        <v/>
      </c>
      <c r="AF187" s="14" t="str">
        <f aca="false">IF(OR($AE187="",$AD187=""),"",IF($AD187&lt;=0,"",$AE187/$AD187))</f>
        <v/>
      </c>
      <c r="AG187" s="14" t="str">
        <f aca="false">IF($AF187="","",$AF187*365/MAX(N($X187),1))</f>
        <v/>
      </c>
      <c r="AH187" s="14" t="str">
        <f aca="false">IF(OR($C187="",$U187&lt;&gt;"Crédito",$AD187=""),"",IF($AD187&lt;=0,"",($Z187-N($L187))/$AD187))</f>
        <v/>
      </c>
      <c r="AI187" s="14" t="str">
        <f aca="false">IF(OR($AH187="",$W187=""),"",$AH187*365/MAX($W187,1))</f>
        <v/>
      </c>
      <c r="AJ187" s="14" t="str">
        <f aca="false">IF(OR($AE187="",$U187&lt;&gt;"Crédito",N($K187)=0),"",(N($K187)-IF(OR($M187="Cerrada",$M187="Rolada"),N($O187),0))/$K187)</f>
        <v/>
      </c>
      <c r="AK187" s="15" t="str">
        <f aca="false">IF(OR($C187="",$N187=""),"",DATE(YEAR($N187),MONTH($N187),1))</f>
        <v/>
      </c>
      <c r="AL187" s="11" t="str">
        <f aca="false">IF($C187="","",IF($M187="Abierta",0,1))</f>
        <v/>
      </c>
      <c r="AM187" s="16" t="str">
        <f aca="false">IF(OR($AE187="",$AD187=""),"",$AD187*MAX(N($X187),1))</f>
        <v/>
      </c>
      <c r="AN187" s="10" t="str">
        <f aca="false">IF($C187="","",IF(OR($B187="",$D187="",$H187="",$K187="",$M187=""),"Faltan datos obligatorios",IF($T187="","Estrategia no reconocida",IF(AND($M187&lt;&gt;"Abierta",$N187=""),"Falta fecha cierre",IF(AND(OR($M187="Cerrada",$M187="Rolada"),$O187=""),"Falta prima cierre",IF(AND($N187&lt;&gt;"",$N187&lt;$B187),"Cierre anterior a apertura",IF(AND($M187="Asignada",$R187=""),"Asignada: falta ID lote acciones",IF(AND($R187&lt;&gt;"",ISNA(MATCH($R187,Acciones!$A$2:$A$201,0))),"El ID lote no existe en Acciones",IF($AD187="","Revisa capital en riesgo","OK")))))))))</f>
        <v/>
      </c>
    </row>
    <row r="188" customFormat="false" ht="15" hidden="false" customHeight="true" outlineLevel="0" collapsed="false">
      <c r="A188" s="5"/>
      <c r="B188" s="6"/>
      <c r="C188" s="7"/>
      <c r="D188" s="7"/>
      <c r="E188" s="8"/>
      <c r="F188" s="8"/>
      <c r="G188" s="6"/>
      <c r="H188" s="5"/>
      <c r="I188" s="5" t="n">
        <v>100</v>
      </c>
      <c r="J188" s="8"/>
      <c r="K188" s="8"/>
      <c r="L188" s="9"/>
      <c r="M188" s="7"/>
      <c r="N188" s="6"/>
      <c r="O188" s="8"/>
      <c r="P188" s="9"/>
      <c r="Q188" s="9"/>
      <c r="R188" s="7"/>
      <c r="S188" s="7"/>
      <c r="T188" s="10" t="str">
        <f aca="false">IF($C188="","",IFERROR(INDEX(Listas!$B$2:$B$20,MATCH($D188,Listas!$A$2:$A$20,0)),""))</f>
        <v/>
      </c>
      <c r="U188" s="10" t="str">
        <f aca="false">IF($C188="","",IFERROR(INDEX(Listas!$C$2:$C$20,MATCH($D188,Listas!$A$2:$A$20,0)),""))</f>
        <v/>
      </c>
      <c r="V188" s="10" t="str">
        <f aca="false">IF($C188="","",IFERROR(INDEX(Listas!$D$2:$D$20,MATCH($D188,Listas!$A$2:$A$20,0)),""))</f>
        <v/>
      </c>
      <c r="W188" s="11" t="str">
        <f aca="false">IF(OR($C188="",$B188="",$G188=""),"",$G188-$B188)</f>
        <v/>
      </c>
      <c r="X188" s="11" t="str">
        <f aca="true">IF(OR($C188="",$B188=""),"",IF($N188&lt;&gt;"",$N188,TODAY())-$B188)</f>
        <v/>
      </c>
      <c r="Y188" s="11" t="str">
        <f aca="true">IF(OR($C188="",$M188&lt;&gt;"Abierta",$G188=""),"",MAX($G188-TODAY(),0))</f>
        <v/>
      </c>
      <c r="Z188" s="12" t="str">
        <f aca="false">IF($C188="","",N($K188)*N($H188)*N($I188)*IF($U188="Débito",-1,1))</f>
        <v/>
      </c>
      <c r="AA188" s="13" t="str">
        <f aca="false">IF($C188="","",IF(AND($U188="Débito",$F188&lt;&gt;""),$F188,$E188))</f>
        <v/>
      </c>
      <c r="AB188" s="13" t="str">
        <f aca="false">IF(OR($C188="",$T188="Mixta",$AA188=""),"",IF($V188="Subyacente",IF($J188="","",$J188-$K188),IF($T188="Put",$AA188-$K188,$AA188+$K188)))</f>
        <v/>
      </c>
      <c r="AC188" s="14" t="str">
        <f aca="false">IF(OR($C188="",$T188="Mixta",$J188="",$AA188=""),"",IF($T188="Put",($J188-$AA188)/$J188,($AA188-$J188)/$J188))</f>
        <v/>
      </c>
      <c r="AD188" s="12" t="str">
        <f aca="false">IF($C188="","",IF($Q188&lt;&gt;"",$Q188,IF($V188="Strike",N($E188)*$H188*$I188,IF($V188="Subyacente",IF($J188="","",$J188*$H188*$I188),IF($V188="Ancho",IF($F188="","",ABS($E188-$F188)*$H188*$I188-$K188*$H188*$I188),IF($V188="Prima",$K188*$H188*$I188,""))))))</f>
        <v/>
      </c>
      <c r="AE188" s="12" t="str">
        <f aca="false">IF(OR($C188="",$M188="Abierta",$M188=""),"",(N($K188)-IF(OR($M188="Cerrada",$M188="Rolada"),N($O188),0))*$H188*$I188*IF($U188="Débito",-1,1)-N($L188)-N($P188))</f>
        <v/>
      </c>
      <c r="AF188" s="14" t="str">
        <f aca="false">IF(OR($AE188="",$AD188=""),"",IF($AD188&lt;=0,"",$AE188/$AD188))</f>
        <v/>
      </c>
      <c r="AG188" s="14" t="str">
        <f aca="false">IF($AF188="","",$AF188*365/MAX(N($X188),1))</f>
        <v/>
      </c>
      <c r="AH188" s="14" t="str">
        <f aca="false">IF(OR($C188="",$U188&lt;&gt;"Crédito",$AD188=""),"",IF($AD188&lt;=0,"",($Z188-N($L188))/$AD188))</f>
        <v/>
      </c>
      <c r="AI188" s="14" t="str">
        <f aca="false">IF(OR($AH188="",$W188=""),"",$AH188*365/MAX($W188,1))</f>
        <v/>
      </c>
      <c r="AJ188" s="14" t="str">
        <f aca="false">IF(OR($AE188="",$U188&lt;&gt;"Crédito",N($K188)=0),"",(N($K188)-IF(OR($M188="Cerrada",$M188="Rolada"),N($O188),0))/$K188)</f>
        <v/>
      </c>
      <c r="AK188" s="15" t="str">
        <f aca="false">IF(OR($C188="",$N188=""),"",DATE(YEAR($N188),MONTH($N188),1))</f>
        <v/>
      </c>
      <c r="AL188" s="11" t="str">
        <f aca="false">IF($C188="","",IF($M188="Abierta",0,1))</f>
        <v/>
      </c>
      <c r="AM188" s="16" t="str">
        <f aca="false">IF(OR($AE188="",$AD188=""),"",$AD188*MAX(N($X188),1))</f>
        <v/>
      </c>
      <c r="AN188" s="10" t="str">
        <f aca="false">IF($C188="","",IF(OR($B188="",$D188="",$H188="",$K188="",$M188=""),"Faltan datos obligatorios",IF($T188="","Estrategia no reconocida",IF(AND($M188&lt;&gt;"Abierta",$N188=""),"Falta fecha cierre",IF(AND(OR($M188="Cerrada",$M188="Rolada"),$O188=""),"Falta prima cierre",IF(AND($N188&lt;&gt;"",$N188&lt;$B188),"Cierre anterior a apertura",IF(AND($M188="Asignada",$R188=""),"Asignada: falta ID lote acciones",IF(AND($R188&lt;&gt;"",ISNA(MATCH($R188,Acciones!$A$2:$A$201,0))),"El ID lote no existe en Acciones",IF($AD188="","Revisa capital en riesgo","OK")))))))))</f>
        <v/>
      </c>
    </row>
    <row r="189" customFormat="false" ht="15" hidden="false" customHeight="true" outlineLevel="0" collapsed="false">
      <c r="A189" s="5"/>
      <c r="B189" s="6"/>
      <c r="C189" s="7"/>
      <c r="D189" s="7"/>
      <c r="E189" s="8"/>
      <c r="F189" s="8"/>
      <c r="G189" s="6"/>
      <c r="H189" s="5"/>
      <c r="I189" s="5" t="n">
        <v>100</v>
      </c>
      <c r="J189" s="8"/>
      <c r="K189" s="8"/>
      <c r="L189" s="9"/>
      <c r="M189" s="7"/>
      <c r="N189" s="6"/>
      <c r="O189" s="8"/>
      <c r="P189" s="9"/>
      <c r="Q189" s="9"/>
      <c r="R189" s="7"/>
      <c r="S189" s="7"/>
      <c r="T189" s="10" t="str">
        <f aca="false">IF($C189="","",IFERROR(INDEX(Listas!$B$2:$B$20,MATCH($D189,Listas!$A$2:$A$20,0)),""))</f>
        <v/>
      </c>
      <c r="U189" s="10" t="str">
        <f aca="false">IF($C189="","",IFERROR(INDEX(Listas!$C$2:$C$20,MATCH($D189,Listas!$A$2:$A$20,0)),""))</f>
        <v/>
      </c>
      <c r="V189" s="10" t="str">
        <f aca="false">IF($C189="","",IFERROR(INDEX(Listas!$D$2:$D$20,MATCH($D189,Listas!$A$2:$A$20,0)),""))</f>
        <v/>
      </c>
      <c r="W189" s="11" t="str">
        <f aca="false">IF(OR($C189="",$B189="",$G189=""),"",$G189-$B189)</f>
        <v/>
      </c>
      <c r="X189" s="11" t="str">
        <f aca="true">IF(OR($C189="",$B189=""),"",IF($N189&lt;&gt;"",$N189,TODAY())-$B189)</f>
        <v/>
      </c>
      <c r="Y189" s="11" t="str">
        <f aca="true">IF(OR($C189="",$M189&lt;&gt;"Abierta",$G189=""),"",MAX($G189-TODAY(),0))</f>
        <v/>
      </c>
      <c r="Z189" s="12" t="str">
        <f aca="false">IF($C189="","",N($K189)*N($H189)*N($I189)*IF($U189="Débito",-1,1))</f>
        <v/>
      </c>
      <c r="AA189" s="13" t="str">
        <f aca="false">IF($C189="","",IF(AND($U189="Débito",$F189&lt;&gt;""),$F189,$E189))</f>
        <v/>
      </c>
      <c r="AB189" s="13" t="str">
        <f aca="false">IF(OR($C189="",$T189="Mixta",$AA189=""),"",IF($V189="Subyacente",IF($J189="","",$J189-$K189),IF($T189="Put",$AA189-$K189,$AA189+$K189)))</f>
        <v/>
      </c>
      <c r="AC189" s="14" t="str">
        <f aca="false">IF(OR($C189="",$T189="Mixta",$J189="",$AA189=""),"",IF($T189="Put",($J189-$AA189)/$J189,($AA189-$J189)/$J189))</f>
        <v/>
      </c>
      <c r="AD189" s="12" t="str">
        <f aca="false">IF($C189="","",IF($Q189&lt;&gt;"",$Q189,IF($V189="Strike",N($E189)*$H189*$I189,IF($V189="Subyacente",IF($J189="","",$J189*$H189*$I189),IF($V189="Ancho",IF($F189="","",ABS($E189-$F189)*$H189*$I189-$K189*$H189*$I189),IF($V189="Prima",$K189*$H189*$I189,""))))))</f>
        <v/>
      </c>
      <c r="AE189" s="12" t="str">
        <f aca="false">IF(OR($C189="",$M189="Abierta",$M189=""),"",(N($K189)-IF(OR($M189="Cerrada",$M189="Rolada"),N($O189),0))*$H189*$I189*IF($U189="Débito",-1,1)-N($L189)-N($P189))</f>
        <v/>
      </c>
      <c r="AF189" s="14" t="str">
        <f aca="false">IF(OR($AE189="",$AD189=""),"",IF($AD189&lt;=0,"",$AE189/$AD189))</f>
        <v/>
      </c>
      <c r="AG189" s="14" t="str">
        <f aca="false">IF($AF189="","",$AF189*365/MAX(N($X189),1))</f>
        <v/>
      </c>
      <c r="AH189" s="14" t="str">
        <f aca="false">IF(OR($C189="",$U189&lt;&gt;"Crédito",$AD189=""),"",IF($AD189&lt;=0,"",($Z189-N($L189))/$AD189))</f>
        <v/>
      </c>
      <c r="AI189" s="14" t="str">
        <f aca="false">IF(OR($AH189="",$W189=""),"",$AH189*365/MAX($W189,1))</f>
        <v/>
      </c>
      <c r="AJ189" s="14" t="str">
        <f aca="false">IF(OR($AE189="",$U189&lt;&gt;"Crédito",N($K189)=0),"",(N($K189)-IF(OR($M189="Cerrada",$M189="Rolada"),N($O189),0))/$K189)</f>
        <v/>
      </c>
      <c r="AK189" s="15" t="str">
        <f aca="false">IF(OR($C189="",$N189=""),"",DATE(YEAR($N189),MONTH($N189),1))</f>
        <v/>
      </c>
      <c r="AL189" s="11" t="str">
        <f aca="false">IF($C189="","",IF($M189="Abierta",0,1))</f>
        <v/>
      </c>
      <c r="AM189" s="16" t="str">
        <f aca="false">IF(OR($AE189="",$AD189=""),"",$AD189*MAX(N($X189),1))</f>
        <v/>
      </c>
      <c r="AN189" s="10" t="str">
        <f aca="false">IF($C189="","",IF(OR($B189="",$D189="",$H189="",$K189="",$M189=""),"Faltan datos obligatorios",IF($T189="","Estrategia no reconocida",IF(AND($M189&lt;&gt;"Abierta",$N189=""),"Falta fecha cierre",IF(AND(OR($M189="Cerrada",$M189="Rolada"),$O189=""),"Falta prima cierre",IF(AND($N189&lt;&gt;"",$N189&lt;$B189),"Cierre anterior a apertura",IF(AND($M189="Asignada",$R189=""),"Asignada: falta ID lote acciones",IF(AND($R189&lt;&gt;"",ISNA(MATCH($R189,Acciones!$A$2:$A$201,0))),"El ID lote no existe en Acciones",IF($AD189="","Revisa capital en riesgo","OK")))))))))</f>
        <v/>
      </c>
    </row>
    <row r="190" customFormat="false" ht="15" hidden="false" customHeight="true" outlineLevel="0" collapsed="false">
      <c r="A190" s="5"/>
      <c r="B190" s="6"/>
      <c r="C190" s="7"/>
      <c r="D190" s="7"/>
      <c r="E190" s="8"/>
      <c r="F190" s="8"/>
      <c r="G190" s="6"/>
      <c r="H190" s="5"/>
      <c r="I190" s="5" t="n">
        <v>100</v>
      </c>
      <c r="J190" s="8"/>
      <c r="K190" s="8"/>
      <c r="L190" s="9"/>
      <c r="M190" s="7"/>
      <c r="N190" s="6"/>
      <c r="O190" s="8"/>
      <c r="P190" s="9"/>
      <c r="Q190" s="9"/>
      <c r="R190" s="7"/>
      <c r="S190" s="7"/>
      <c r="T190" s="10" t="str">
        <f aca="false">IF($C190="","",IFERROR(INDEX(Listas!$B$2:$B$20,MATCH($D190,Listas!$A$2:$A$20,0)),""))</f>
        <v/>
      </c>
      <c r="U190" s="10" t="str">
        <f aca="false">IF($C190="","",IFERROR(INDEX(Listas!$C$2:$C$20,MATCH($D190,Listas!$A$2:$A$20,0)),""))</f>
        <v/>
      </c>
      <c r="V190" s="10" t="str">
        <f aca="false">IF($C190="","",IFERROR(INDEX(Listas!$D$2:$D$20,MATCH($D190,Listas!$A$2:$A$20,0)),""))</f>
        <v/>
      </c>
      <c r="W190" s="11" t="str">
        <f aca="false">IF(OR($C190="",$B190="",$G190=""),"",$G190-$B190)</f>
        <v/>
      </c>
      <c r="X190" s="11" t="str">
        <f aca="true">IF(OR($C190="",$B190=""),"",IF($N190&lt;&gt;"",$N190,TODAY())-$B190)</f>
        <v/>
      </c>
      <c r="Y190" s="11" t="str">
        <f aca="true">IF(OR($C190="",$M190&lt;&gt;"Abierta",$G190=""),"",MAX($G190-TODAY(),0))</f>
        <v/>
      </c>
      <c r="Z190" s="12" t="str">
        <f aca="false">IF($C190="","",N($K190)*N($H190)*N($I190)*IF($U190="Débito",-1,1))</f>
        <v/>
      </c>
      <c r="AA190" s="13" t="str">
        <f aca="false">IF($C190="","",IF(AND($U190="Débito",$F190&lt;&gt;""),$F190,$E190))</f>
        <v/>
      </c>
      <c r="AB190" s="13" t="str">
        <f aca="false">IF(OR($C190="",$T190="Mixta",$AA190=""),"",IF($V190="Subyacente",IF($J190="","",$J190-$K190),IF($T190="Put",$AA190-$K190,$AA190+$K190)))</f>
        <v/>
      </c>
      <c r="AC190" s="14" t="str">
        <f aca="false">IF(OR($C190="",$T190="Mixta",$J190="",$AA190=""),"",IF($T190="Put",($J190-$AA190)/$J190,($AA190-$J190)/$J190))</f>
        <v/>
      </c>
      <c r="AD190" s="12" t="str">
        <f aca="false">IF($C190="","",IF($Q190&lt;&gt;"",$Q190,IF($V190="Strike",N($E190)*$H190*$I190,IF($V190="Subyacente",IF($J190="","",$J190*$H190*$I190),IF($V190="Ancho",IF($F190="","",ABS($E190-$F190)*$H190*$I190-$K190*$H190*$I190),IF($V190="Prima",$K190*$H190*$I190,""))))))</f>
        <v/>
      </c>
      <c r="AE190" s="12" t="str">
        <f aca="false">IF(OR($C190="",$M190="Abierta",$M190=""),"",(N($K190)-IF(OR($M190="Cerrada",$M190="Rolada"),N($O190),0))*$H190*$I190*IF($U190="Débito",-1,1)-N($L190)-N($P190))</f>
        <v/>
      </c>
      <c r="AF190" s="14" t="str">
        <f aca="false">IF(OR($AE190="",$AD190=""),"",IF($AD190&lt;=0,"",$AE190/$AD190))</f>
        <v/>
      </c>
      <c r="AG190" s="14" t="str">
        <f aca="false">IF($AF190="","",$AF190*365/MAX(N($X190),1))</f>
        <v/>
      </c>
      <c r="AH190" s="14" t="str">
        <f aca="false">IF(OR($C190="",$U190&lt;&gt;"Crédito",$AD190=""),"",IF($AD190&lt;=0,"",($Z190-N($L190))/$AD190))</f>
        <v/>
      </c>
      <c r="AI190" s="14" t="str">
        <f aca="false">IF(OR($AH190="",$W190=""),"",$AH190*365/MAX($W190,1))</f>
        <v/>
      </c>
      <c r="AJ190" s="14" t="str">
        <f aca="false">IF(OR($AE190="",$U190&lt;&gt;"Crédito",N($K190)=0),"",(N($K190)-IF(OR($M190="Cerrada",$M190="Rolada"),N($O190),0))/$K190)</f>
        <v/>
      </c>
      <c r="AK190" s="15" t="str">
        <f aca="false">IF(OR($C190="",$N190=""),"",DATE(YEAR($N190),MONTH($N190),1))</f>
        <v/>
      </c>
      <c r="AL190" s="11" t="str">
        <f aca="false">IF($C190="","",IF($M190="Abierta",0,1))</f>
        <v/>
      </c>
      <c r="AM190" s="16" t="str">
        <f aca="false">IF(OR($AE190="",$AD190=""),"",$AD190*MAX(N($X190),1))</f>
        <v/>
      </c>
      <c r="AN190" s="10" t="str">
        <f aca="false">IF($C190="","",IF(OR($B190="",$D190="",$H190="",$K190="",$M190=""),"Faltan datos obligatorios",IF($T190="","Estrategia no reconocida",IF(AND($M190&lt;&gt;"Abierta",$N190=""),"Falta fecha cierre",IF(AND(OR($M190="Cerrada",$M190="Rolada"),$O190=""),"Falta prima cierre",IF(AND($N190&lt;&gt;"",$N190&lt;$B190),"Cierre anterior a apertura",IF(AND($M190="Asignada",$R190=""),"Asignada: falta ID lote acciones",IF(AND($R190&lt;&gt;"",ISNA(MATCH($R190,Acciones!$A$2:$A$201,0))),"El ID lote no existe en Acciones",IF($AD190="","Revisa capital en riesgo","OK")))))))))</f>
        <v/>
      </c>
    </row>
    <row r="191" customFormat="false" ht="15" hidden="false" customHeight="true" outlineLevel="0" collapsed="false">
      <c r="A191" s="5"/>
      <c r="B191" s="6"/>
      <c r="C191" s="7"/>
      <c r="D191" s="7"/>
      <c r="E191" s="8"/>
      <c r="F191" s="8"/>
      <c r="G191" s="6"/>
      <c r="H191" s="5"/>
      <c r="I191" s="5" t="n">
        <v>100</v>
      </c>
      <c r="J191" s="8"/>
      <c r="K191" s="8"/>
      <c r="L191" s="9"/>
      <c r="M191" s="7"/>
      <c r="N191" s="6"/>
      <c r="O191" s="8"/>
      <c r="P191" s="9"/>
      <c r="Q191" s="9"/>
      <c r="R191" s="7"/>
      <c r="S191" s="7"/>
      <c r="T191" s="10" t="str">
        <f aca="false">IF($C191="","",IFERROR(INDEX(Listas!$B$2:$B$20,MATCH($D191,Listas!$A$2:$A$20,0)),""))</f>
        <v/>
      </c>
      <c r="U191" s="10" t="str">
        <f aca="false">IF($C191="","",IFERROR(INDEX(Listas!$C$2:$C$20,MATCH($D191,Listas!$A$2:$A$20,0)),""))</f>
        <v/>
      </c>
      <c r="V191" s="10" t="str">
        <f aca="false">IF($C191="","",IFERROR(INDEX(Listas!$D$2:$D$20,MATCH($D191,Listas!$A$2:$A$20,0)),""))</f>
        <v/>
      </c>
      <c r="W191" s="11" t="str">
        <f aca="false">IF(OR($C191="",$B191="",$G191=""),"",$G191-$B191)</f>
        <v/>
      </c>
      <c r="X191" s="11" t="str">
        <f aca="true">IF(OR($C191="",$B191=""),"",IF($N191&lt;&gt;"",$N191,TODAY())-$B191)</f>
        <v/>
      </c>
      <c r="Y191" s="11" t="str">
        <f aca="true">IF(OR($C191="",$M191&lt;&gt;"Abierta",$G191=""),"",MAX($G191-TODAY(),0))</f>
        <v/>
      </c>
      <c r="Z191" s="12" t="str">
        <f aca="false">IF($C191="","",N($K191)*N($H191)*N($I191)*IF($U191="Débito",-1,1))</f>
        <v/>
      </c>
      <c r="AA191" s="13" t="str">
        <f aca="false">IF($C191="","",IF(AND($U191="Débito",$F191&lt;&gt;""),$F191,$E191))</f>
        <v/>
      </c>
      <c r="AB191" s="13" t="str">
        <f aca="false">IF(OR($C191="",$T191="Mixta",$AA191=""),"",IF($V191="Subyacente",IF($J191="","",$J191-$K191),IF($T191="Put",$AA191-$K191,$AA191+$K191)))</f>
        <v/>
      </c>
      <c r="AC191" s="14" t="str">
        <f aca="false">IF(OR($C191="",$T191="Mixta",$J191="",$AA191=""),"",IF($T191="Put",($J191-$AA191)/$J191,($AA191-$J191)/$J191))</f>
        <v/>
      </c>
      <c r="AD191" s="12" t="str">
        <f aca="false">IF($C191="","",IF($Q191&lt;&gt;"",$Q191,IF($V191="Strike",N($E191)*$H191*$I191,IF($V191="Subyacente",IF($J191="","",$J191*$H191*$I191),IF($V191="Ancho",IF($F191="","",ABS($E191-$F191)*$H191*$I191-$K191*$H191*$I191),IF($V191="Prima",$K191*$H191*$I191,""))))))</f>
        <v/>
      </c>
      <c r="AE191" s="12" t="str">
        <f aca="false">IF(OR($C191="",$M191="Abierta",$M191=""),"",(N($K191)-IF(OR($M191="Cerrada",$M191="Rolada"),N($O191),0))*$H191*$I191*IF($U191="Débito",-1,1)-N($L191)-N($P191))</f>
        <v/>
      </c>
      <c r="AF191" s="14" t="str">
        <f aca="false">IF(OR($AE191="",$AD191=""),"",IF($AD191&lt;=0,"",$AE191/$AD191))</f>
        <v/>
      </c>
      <c r="AG191" s="14" t="str">
        <f aca="false">IF($AF191="","",$AF191*365/MAX(N($X191),1))</f>
        <v/>
      </c>
      <c r="AH191" s="14" t="str">
        <f aca="false">IF(OR($C191="",$U191&lt;&gt;"Crédito",$AD191=""),"",IF($AD191&lt;=0,"",($Z191-N($L191))/$AD191))</f>
        <v/>
      </c>
      <c r="AI191" s="14" t="str">
        <f aca="false">IF(OR($AH191="",$W191=""),"",$AH191*365/MAX($W191,1))</f>
        <v/>
      </c>
      <c r="AJ191" s="14" t="str">
        <f aca="false">IF(OR($AE191="",$U191&lt;&gt;"Crédito",N($K191)=0),"",(N($K191)-IF(OR($M191="Cerrada",$M191="Rolada"),N($O191),0))/$K191)</f>
        <v/>
      </c>
      <c r="AK191" s="15" t="str">
        <f aca="false">IF(OR($C191="",$N191=""),"",DATE(YEAR($N191),MONTH($N191),1))</f>
        <v/>
      </c>
      <c r="AL191" s="11" t="str">
        <f aca="false">IF($C191="","",IF($M191="Abierta",0,1))</f>
        <v/>
      </c>
      <c r="AM191" s="16" t="str">
        <f aca="false">IF(OR($AE191="",$AD191=""),"",$AD191*MAX(N($X191),1))</f>
        <v/>
      </c>
      <c r="AN191" s="10" t="str">
        <f aca="false">IF($C191="","",IF(OR($B191="",$D191="",$H191="",$K191="",$M191=""),"Faltan datos obligatorios",IF($T191="","Estrategia no reconocida",IF(AND($M191&lt;&gt;"Abierta",$N191=""),"Falta fecha cierre",IF(AND(OR($M191="Cerrada",$M191="Rolada"),$O191=""),"Falta prima cierre",IF(AND($N191&lt;&gt;"",$N191&lt;$B191),"Cierre anterior a apertura",IF(AND($M191="Asignada",$R191=""),"Asignada: falta ID lote acciones",IF(AND($R191&lt;&gt;"",ISNA(MATCH($R191,Acciones!$A$2:$A$201,0))),"El ID lote no existe en Acciones",IF($AD191="","Revisa capital en riesgo","OK")))))))))</f>
        <v/>
      </c>
    </row>
    <row r="192" customFormat="false" ht="15" hidden="false" customHeight="true" outlineLevel="0" collapsed="false">
      <c r="A192" s="5"/>
      <c r="B192" s="6"/>
      <c r="C192" s="7"/>
      <c r="D192" s="7"/>
      <c r="E192" s="8"/>
      <c r="F192" s="8"/>
      <c r="G192" s="6"/>
      <c r="H192" s="5"/>
      <c r="I192" s="5" t="n">
        <v>100</v>
      </c>
      <c r="J192" s="8"/>
      <c r="K192" s="8"/>
      <c r="L192" s="9"/>
      <c r="M192" s="7"/>
      <c r="N192" s="6"/>
      <c r="O192" s="8"/>
      <c r="P192" s="9"/>
      <c r="Q192" s="9"/>
      <c r="R192" s="7"/>
      <c r="S192" s="7"/>
      <c r="T192" s="10" t="str">
        <f aca="false">IF($C192="","",IFERROR(INDEX(Listas!$B$2:$B$20,MATCH($D192,Listas!$A$2:$A$20,0)),""))</f>
        <v/>
      </c>
      <c r="U192" s="10" t="str">
        <f aca="false">IF($C192="","",IFERROR(INDEX(Listas!$C$2:$C$20,MATCH($D192,Listas!$A$2:$A$20,0)),""))</f>
        <v/>
      </c>
      <c r="V192" s="10" t="str">
        <f aca="false">IF($C192="","",IFERROR(INDEX(Listas!$D$2:$D$20,MATCH($D192,Listas!$A$2:$A$20,0)),""))</f>
        <v/>
      </c>
      <c r="W192" s="11" t="str">
        <f aca="false">IF(OR($C192="",$B192="",$G192=""),"",$G192-$B192)</f>
        <v/>
      </c>
      <c r="X192" s="11" t="str">
        <f aca="true">IF(OR($C192="",$B192=""),"",IF($N192&lt;&gt;"",$N192,TODAY())-$B192)</f>
        <v/>
      </c>
      <c r="Y192" s="11" t="str">
        <f aca="true">IF(OR($C192="",$M192&lt;&gt;"Abierta",$G192=""),"",MAX($G192-TODAY(),0))</f>
        <v/>
      </c>
      <c r="Z192" s="12" t="str">
        <f aca="false">IF($C192="","",N($K192)*N($H192)*N($I192)*IF($U192="Débito",-1,1))</f>
        <v/>
      </c>
      <c r="AA192" s="13" t="str">
        <f aca="false">IF($C192="","",IF(AND($U192="Débito",$F192&lt;&gt;""),$F192,$E192))</f>
        <v/>
      </c>
      <c r="AB192" s="13" t="str">
        <f aca="false">IF(OR($C192="",$T192="Mixta",$AA192=""),"",IF($V192="Subyacente",IF($J192="","",$J192-$K192),IF($T192="Put",$AA192-$K192,$AA192+$K192)))</f>
        <v/>
      </c>
      <c r="AC192" s="14" t="str">
        <f aca="false">IF(OR($C192="",$T192="Mixta",$J192="",$AA192=""),"",IF($T192="Put",($J192-$AA192)/$J192,($AA192-$J192)/$J192))</f>
        <v/>
      </c>
      <c r="AD192" s="12" t="str">
        <f aca="false">IF($C192="","",IF($Q192&lt;&gt;"",$Q192,IF($V192="Strike",N($E192)*$H192*$I192,IF($V192="Subyacente",IF($J192="","",$J192*$H192*$I192),IF($V192="Ancho",IF($F192="","",ABS($E192-$F192)*$H192*$I192-$K192*$H192*$I192),IF($V192="Prima",$K192*$H192*$I192,""))))))</f>
        <v/>
      </c>
      <c r="AE192" s="12" t="str">
        <f aca="false">IF(OR($C192="",$M192="Abierta",$M192=""),"",(N($K192)-IF(OR($M192="Cerrada",$M192="Rolada"),N($O192),0))*$H192*$I192*IF($U192="Débito",-1,1)-N($L192)-N($P192))</f>
        <v/>
      </c>
      <c r="AF192" s="14" t="str">
        <f aca="false">IF(OR($AE192="",$AD192=""),"",IF($AD192&lt;=0,"",$AE192/$AD192))</f>
        <v/>
      </c>
      <c r="AG192" s="14" t="str">
        <f aca="false">IF($AF192="","",$AF192*365/MAX(N($X192),1))</f>
        <v/>
      </c>
      <c r="AH192" s="14" t="str">
        <f aca="false">IF(OR($C192="",$U192&lt;&gt;"Crédito",$AD192=""),"",IF($AD192&lt;=0,"",($Z192-N($L192))/$AD192))</f>
        <v/>
      </c>
      <c r="AI192" s="14" t="str">
        <f aca="false">IF(OR($AH192="",$W192=""),"",$AH192*365/MAX($W192,1))</f>
        <v/>
      </c>
      <c r="AJ192" s="14" t="str">
        <f aca="false">IF(OR($AE192="",$U192&lt;&gt;"Crédito",N($K192)=0),"",(N($K192)-IF(OR($M192="Cerrada",$M192="Rolada"),N($O192),0))/$K192)</f>
        <v/>
      </c>
      <c r="AK192" s="15" t="str">
        <f aca="false">IF(OR($C192="",$N192=""),"",DATE(YEAR($N192),MONTH($N192),1))</f>
        <v/>
      </c>
      <c r="AL192" s="11" t="str">
        <f aca="false">IF($C192="","",IF($M192="Abierta",0,1))</f>
        <v/>
      </c>
      <c r="AM192" s="16" t="str">
        <f aca="false">IF(OR($AE192="",$AD192=""),"",$AD192*MAX(N($X192),1))</f>
        <v/>
      </c>
      <c r="AN192" s="10" t="str">
        <f aca="false">IF($C192="","",IF(OR($B192="",$D192="",$H192="",$K192="",$M192=""),"Faltan datos obligatorios",IF($T192="","Estrategia no reconocida",IF(AND($M192&lt;&gt;"Abierta",$N192=""),"Falta fecha cierre",IF(AND(OR($M192="Cerrada",$M192="Rolada"),$O192=""),"Falta prima cierre",IF(AND($N192&lt;&gt;"",$N192&lt;$B192),"Cierre anterior a apertura",IF(AND($M192="Asignada",$R192=""),"Asignada: falta ID lote acciones",IF(AND($R192&lt;&gt;"",ISNA(MATCH($R192,Acciones!$A$2:$A$201,0))),"El ID lote no existe en Acciones",IF($AD192="","Revisa capital en riesgo","OK")))))))))</f>
        <v/>
      </c>
    </row>
    <row r="193" customFormat="false" ht="15" hidden="false" customHeight="true" outlineLevel="0" collapsed="false">
      <c r="A193" s="5"/>
      <c r="B193" s="6"/>
      <c r="C193" s="7"/>
      <c r="D193" s="7"/>
      <c r="E193" s="8"/>
      <c r="F193" s="8"/>
      <c r="G193" s="6"/>
      <c r="H193" s="5"/>
      <c r="I193" s="5" t="n">
        <v>100</v>
      </c>
      <c r="J193" s="8"/>
      <c r="K193" s="8"/>
      <c r="L193" s="9"/>
      <c r="M193" s="7"/>
      <c r="N193" s="6"/>
      <c r="O193" s="8"/>
      <c r="P193" s="9"/>
      <c r="Q193" s="9"/>
      <c r="R193" s="7"/>
      <c r="S193" s="7"/>
      <c r="T193" s="10" t="str">
        <f aca="false">IF($C193="","",IFERROR(INDEX(Listas!$B$2:$B$20,MATCH($D193,Listas!$A$2:$A$20,0)),""))</f>
        <v/>
      </c>
      <c r="U193" s="10" t="str">
        <f aca="false">IF($C193="","",IFERROR(INDEX(Listas!$C$2:$C$20,MATCH($D193,Listas!$A$2:$A$20,0)),""))</f>
        <v/>
      </c>
      <c r="V193" s="10" t="str">
        <f aca="false">IF($C193="","",IFERROR(INDEX(Listas!$D$2:$D$20,MATCH($D193,Listas!$A$2:$A$20,0)),""))</f>
        <v/>
      </c>
      <c r="W193" s="11" t="str">
        <f aca="false">IF(OR($C193="",$B193="",$G193=""),"",$G193-$B193)</f>
        <v/>
      </c>
      <c r="X193" s="11" t="str">
        <f aca="true">IF(OR($C193="",$B193=""),"",IF($N193&lt;&gt;"",$N193,TODAY())-$B193)</f>
        <v/>
      </c>
      <c r="Y193" s="11" t="str">
        <f aca="true">IF(OR($C193="",$M193&lt;&gt;"Abierta",$G193=""),"",MAX($G193-TODAY(),0))</f>
        <v/>
      </c>
      <c r="Z193" s="12" t="str">
        <f aca="false">IF($C193="","",N($K193)*N($H193)*N($I193)*IF($U193="Débito",-1,1))</f>
        <v/>
      </c>
      <c r="AA193" s="13" t="str">
        <f aca="false">IF($C193="","",IF(AND($U193="Débito",$F193&lt;&gt;""),$F193,$E193))</f>
        <v/>
      </c>
      <c r="AB193" s="13" t="str">
        <f aca="false">IF(OR($C193="",$T193="Mixta",$AA193=""),"",IF($V193="Subyacente",IF($J193="","",$J193-$K193),IF($T193="Put",$AA193-$K193,$AA193+$K193)))</f>
        <v/>
      </c>
      <c r="AC193" s="14" t="str">
        <f aca="false">IF(OR($C193="",$T193="Mixta",$J193="",$AA193=""),"",IF($T193="Put",($J193-$AA193)/$J193,($AA193-$J193)/$J193))</f>
        <v/>
      </c>
      <c r="AD193" s="12" t="str">
        <f aca="false">IF($C193="","",IF($Q193&lt;&gt;"",$Q193,IF($V193="Strike",N($E193)*$H193*$I193,IF($V193="Subyacente",IF($J193="","",$J193*$H193*$I193),IF($V193="Ancho",IF($F193="","",ABS($E193-$F193)*$H193*$I193-$K193*$H193*$I193),IF($V193="Prima",$K193*$H193*$I193,""))))))</f>
        <v/>
      </c>
      <c r="AE193" s="12" t="str">
        <f aca="false">IF(OR($C193="",$M193="Abierta",$M193=""),"",(N($K193)-IF(OR($M193="Cerrada",$M193="Rolada"),N($O193),0))*$H193*$I193*IF($U193="Débito",-1,1)-N($L193)-N($P193))</f>
        <v/>
      </c>
      <c r="AF193" s="14" t="str">
        <f aca="false">IF(OR($AE193="",$AD193=""),"",IF($AD193&lt;=0,"",$AE193/$AD193))</f>
        <v/>
      </c>
      <c r="AG193" s="14" t="str">
        <f aca="false">IF($AF193="","",$AF193*365/MAX(N($X193),1))</f>
        <v/>
      </c>
      <c r="AH193" s="14" t="str">
        <f aca="false">IF(OR($C193="",$U193&lt;&gt;"Crédito",$AD193=""),"",IF($AD193&lt;=0,"",($Z193-N($L193))/$AD193))</f>
        <v/>
      </c>
      <c r="AI193" s="14" t="str">
        <f aca="false">IF(OR($AH193="",$W193=""),"",$AH193*365/MAX($W193,1))</f>
        <v/>
      </c>
      <c r="AJ193" s="14" t="str">
        <f aca="false">IF(OR($AE193="",$U193&lt;&gt;"Crédito",N($K193)=0),"",(N($K193)-IF(OR($M193="Cerrada",$M193="Rolada"),N($O193),0))/$K193)</f>
        <v/>
      </c>
      <c r="AK193" s="15" t="str">
        <f aca="false">IF(OR($C193="",$N193=""),"",DATE(YEAR($N193),MONTH($N193),1))</f>
        <v/>
      </c>
      <c r="AL193" s="11" t="str">
        <f aca="false">IF($C193="","",IF($M193="Abierta",0,1))</f>
        <v/>
      </c>
      <c r="AM193" s="16" t="str">
        <f aca="false">IF(OR($AE193="",$AD193=""),"",$AD193*MAX(N($X193),1))</f>
        <v/>
      </c>
      <c r="AN193" s="10" t="str">
        <f aca="false">IF($C193="","",IF(OR($B193="",$D193="",$H193="",$K193="",$M193=""),"Faltan datos obligatorios",IF($T193="","Estrategia no reconocida",IF(AND($M193&lt;&gt;"Abierta",$N193=""),"Falta fecha cierre",IF(AND(OR($M193="Cerrada",$M193="Rolada"),$O193=""),"Falta prima cierre",IF(AND($N193&lt;&gt;"",$N193&lt;$B193),"Cierre anterior a apertura",IF(AND($M193="Asignada",$R193=""),"Asignada: falta ID lote acciones",IF(AND($R193&lt;&gt;"",ISNA(MATCH($R193,Acciones!$A$2:$A$201,0))),"El ID lote no existe en Acciones",IF($AD193="","Revisa capital en riesgo","OK")))))))))</f>
        <v/>
      </c>
    </row>
    <row r="194" customFormat="false" ht="15" hidden="false" customHeight="true" outlineLevel="0" collapsed="false">
      <c r="A194" s="5"/>
      <c r="B194" s="6"/>
      <c r="C194" s="7"/>
      <c r="D194" s="7"/>
      <c r="E194" s="8"/>
      <c r="F194" s="8"/>
      <c r="G194" s="6"/>
      <c r="H194" s="5"/>
      <c r="I194" s="5" t="n">
        <v>100</v>
      </c>
      <c r="J194" s="8"/>
      <c r="K194" s="8"/>
      <c r="L194" s="9"/>
      <c r="M194" s="7"/>
      <c r="N194" s="6"/>
      <c r="O194" s="8"/>
      <c r="P194" s="9"/>
      <c r="Q194" s="9"/>
      <c r="R194" s="7"/>
      <c r="S194" s="7"/>
      <c r="T194" s="10" t="str">
        <f aca="false">IF($C194="","",IFERROR(INDEX(Listas!$B$2:$B$20,MATCH($D194,Listas!$A$2:$A$20,0)),""))</f>
        <v/>
      </c>
      <c r="U194" s="10" t="str">
        <f aca="false">IF($C194="","",IFERROR(INDEX(Listas!$C$2:$C$20,MATCH($D194,Listas!$A$2:$A$20,0)),""))</f>
        <v/>
      </c>
      <c r="V194" s="10" t="str">
        <f aca="false">IF($C194="","",IFERROR(INDEX(Listas!$D$2:$D$20,MATCH($D194,Listas!$A$2:$A$20,0)),""))</f>
        <v/>
      </c>
      <c r="W194" s="11" t="str">
        <f aca="false">IF(OR($C194="",$B194="",$G194=""),"",$G194-$B194)</f>
        <v/>
      </c>
      <c r="X194" s="11" t="str">
        <f aca="true">IF(OR($C194="",$B194=""),"",IF($N194&lt;&gt;"",$N194,TODAY())-$B194)</f>
        <v/>
      </c>
      <c r="Y194" s="11" t="str">
        <f aca="true">IF(OR($C194="",$M194&lt;&gt;"Abierta",$G194=""),"",MAX($G194-TODAY(),0))</f>
        <v/>
      </c>
      <c r="Z194" s="12" t="str">
        <f aca="false">IF($C194="","",N($K194)*N($H194)*N($I194)*IF($U194="Débito",-1,1))</f>
        <v/>
      </c>
      <c r="AA194" s="13" t="str">
        <f aca="false">IF($C194="","",IF(AND($U194="Débito",$F194&lt;&gt;""),$F194,$E194))</f>
        <v/>
      </c>
      <c r="AB194" s="13" t="str">
        <f aca="false">IF(OR($C194="",$T194="Mixta",$AA194=""),"",IF($V194="Subyacente",IF($J194="","",$J194-$K194),IF($T194="Put",$AA194-$K194,$AA194+$K194)))</f>
        <v/>
      </c>
      <c r="AC194" s="14" t="str">
        <f aca="false">IF(OR($C194="",$T194="Mixta",$J194="",$AA194=""),"",IF($T194="Put",($J194-$AA194)/$J194,($AA194-$J194)/$J194))</f>
        <v/>
      </c>
      <c r="AD194" s="12" t="str">
        <f aca="false">IF($C194="","",IF($Q194&lt;&gt;"",$Q194,IF($V194="Strike",N($E194)*$H194*$I194,IF($V194="Subyacente",IF($J194="","",$J194*$H194*$I194),IF($V194="Ancho",IF($F194="","",ABS($E194-$F194)*$H194*$I194-$K194*$H194*$I194),IF($V194="Prima",$K194*$H194*$I194,""))))))</f>
        <v/>
      </c>
      <c r="AE194" s="12" t="str">
        <f aca="false">IF(OR($C194="",$M194="Abierta",$M194=""),"",(N($K194)-IF(OR($M194="Cerrada",$M194="Rolada"),N($O194),0))*$H194*$I194*IF($U194="Débito",-1,1)-N($L194)-N($P194))</f>
        <v/>
      </c>
      <c r="AF194" s="14" t="str">
        <f aca="false">IF(OR($AE194="",$AD194=""),"",IF($AD194&lt;=0,"",$AE194/$AD194))</f>
        <v/>
      </c>
      <c r="AG194" s="14" t="str">
        <f aca="false">IF($AF194="","",$AF194*365/MAX(N($X194),1))</f>
        <v/>
      </c>
      <c r="AH194" s="14" t="str">
        <f aca="false">IF(OR($C194="",$U194&lt;&gt;"Crédito",$AD194=""),"",IF($AD194&lt;=0,"",($Z194-N($L194))/$AD194))</f>
        <v/>
      </c>
      <c r="AI194" s="14" t="str">
        <f aca="false">IF(OR($AH194="",$W194=""),"",$AH194*365/MAX($W194,1))</f>
        <v/>
      </c>
      <c r="AJ194" s="14" t="str">
        <f aca="false">IF(OR($AE194="",$U194&lt;&gt;"Crédito",N($K194)=0),"",(N($K194)-IF(OR($M194="Cerrada",$M194="Rolada"),N($O194),0))/$K194)</f>
        <v/>
      </c>
      <c r="AK194" s="15" t="str">
        <f aca="false">IF(OR($C194="",$N194=""),"",DATE(YEAR($N194),MONTH($N194),1))</f>
        <v/>
      </c>
      <c r="AL194" s="11" t="str">
        <f aca="false">IF($C194="","",IF($M194="Abierta",0,1))</f>
        <v/>
      </c>
      <c r="AM194" s="16" t="str">
        <f aca="false">IF(OR($AE194="",$AD194=""),"",$AD194*MAX(N($X194),1))</f>
        <v/>
      </c>
      <c r="AN194" s="10" t="str">
        <f aca="false">IF($C194="","",IF(OR($B194="",$D194="",$H194="",$K194="",$M194=""),"Faltan datos obligatorios",IF($T194="","Estrategia no reconocida",IF(AND($M194&lt;&gt;"Abierta",$N194=""),"Falta fecha cierre",IF(AND(OR($M194="Cerrada",$M194="Rolada"),$O194=""),"Falta prima cierre",IF(AND($N194&lt;&gt;"",$N194&lt;$B194),"Cierre anterior a apertura",IF(AND($M194="Asignada",$R194=""),"Asignada: falta ID lote acciones",IF(AND($R194&lt;&gt;"",ISNA(MATCH($R194,Acciones!$A$2:$A$201,0))),"El ID lote no existe en Acciones",IF($AD194="","Revisa capital en riesgo","OK")))))))))</f>
        <v/>
      </c>
    </row>
    <row r="195" customFormat="false" ht="15" hidden="false" customHeight="true" outlineLevel="0" collapsed="false">
      <c r="A195" s="5"/>
      <c r="B195" s="6"/>
      <c r="C195" s="7"/>
      <c r="D195" s="7"/>
      <c r="E195" s="8"/>
      <c r="F195" s="8"/>
      <c r="G195" s="6"/>
      <c r="H195" s="5"/>
      <c r="I195" s="5" t="n">
        <v>100</v>
      </c>
      <c r="J195" s="8"/>
      <c r="K195" s="8"/>
      <c r="L195" s="9"/>
      <c r="M195" s="7"/>
      <c r="N195" s="6"/>
      <c r="O195" s="8"/>
      <c r="P195" s="9"/>
      <c r="Q195" s="9"/>
      <c r="R195" s="7"/>
      <c r="S195" s="7"/>
      <c r="T195" s="10" t="str">
        <f aca="false">IF($C195="","",IFERROR(INDEX(Listas!$B$2:$B$20,MATCH($D195,Listas!$A$2:$A$20,0)),""))</f>
        <v/>
      </c>
      <c r="U195" s="10" t="str">
        <f aca="false">IF($C195="","",IFERROR(INDEX(Listas!$C$2:$C$20,MATCH($D195,Listas!$A$2:$A$20,0)),""))</f>
        <v/>
      </c>
      <c r="V195" s="10" t="str">
        <f aca="false">IF($C195="","",IFERROR(INDEX(Listas!$D$2:$D$20,MATCH($D195,Listas!$A$2:$A$20,0)),""))</f>
        <v/>
      </c>
      <c r="W195" s="11" t="str">
        <f aca="false">IF(OR($C195="",$B195="",$G195=""),"",$G195-$B195)</f>
        <v/>
      </c>
      <c r="X195" s="11" t="str">
        <f aca="true">IF(OR($C195="",$B195=""),"",IF($N195&lt;&gt;"",$N195,TODAY())-$B195)</f>
        <v/>
      </c>
      <c r="Y195" s="11" t="str">
        <f aca="true">IF(OR($C195="",$M195&lt;&gt;"Abierta",$G195=""),"",MAX($G195-TODAY(),0))</f>
        <v/>
      </c>
      <c r="Z195" s="12" t="str">
        <f aca="false">IF($C195="","",N($K195)*N($H195)*N($I195)*IF($U195="Débito",-1,1))</f>
        <v/>
      </c>
      <c r="AA195" s="13" t="str">
        <f aca="false">IF($C195="","",IF(AND($U195="Débito",$F195&lt;&gt;""),$F195,$E195))</f>
        <v/>
      </c>
      <c r="AB195" s="13" t="str">
        <f aca="false">IF(OR($C195="",$T195="Mixta",$AA195=""),"",IF($V195="Subyacente",IF($J195="","",$J195-$K195),IF($T195="Put",$AA195-$K195,$AA195+$K195)))</f>
        <v/>
      </c>
      <c r="AC195" s="14" t="str">
        <f aca="false">IF(OR($C195="",$T195="Mixta",$J195="",$AA195=""),"",IF($T195="Put",($J195-$AA195)/$J195,($AA195-$J195)/$J195))</f>
        <v/>
      </c>
      <c r="AD195" s="12" t="str">
        <f aca="false">IF($C195="","",IF($Q195&lt;&gt;"",$Q195,IF($V195="Strike",N($E195)*$H195*$I195,IF($V195="Subyacente",IF($J195="","",$J195*$H195*$I195),IF($V195="Ancho",IF($F195="","",ABS($E195-$F195)*$H195*$I195-$K195*$H195*$I195),IF($V195="Prima",$K195*$H195*$I195,""))))))</f>
        <v/>
      </c>
      <c r="AE195" s="12" t="str">
        <f aca="false">IF(OR($C195="",$M195="Abierta",$M195=""),"",(N($K195)-IF(OR($M195="Cerrada",$M195="Rolada"),N($O195),0))*$H195*$I195*IF($U195="Débito",-1,1)-N($L195)-N($P195))</f>
        <v/>
      </c>
      <c r="AF195" s="14" t="str">
        <f aca="false">IF(OR($AE195="",$AD195=""),"",IF($AD195&lt;=0,"",$AE195/$AD195))</f>
        <v/>
      </c>
      <c r="AG195" s="14" t="str">
        <f aca="false">IF($AF195="","",$AF195*365/MAX(N($X195),1))</f>
        <v/>
      </c>
      <c r="AH195" s="14" t="str">
        <f aca="false">IF(OR($C195="",$U195&lt;&gt;"Crédito",$AD195=""),"",IF($AD195&lt;=0,"",($Z195-N($L195))/$AD195))</f>
        <v/>
      </c>
      <c r="AI195" s="14" t="str">
        <f aca="false">IF(OR($AH195="",$W195=""),"",$AH195*365/MAX($W195,1))</f>
        <v/>
      </c>
      <c r="AJ195" s="14" t="str">
        <f aca="false">IF(OR($AE195="",$U195&lt;&gt;"Crédito",N($K195)=0),"",(N($K195)-IF(OR($M195="Cerrada",$M195="Rolada"),N($O195),0))/$K195)</f>
        <v/>
      </c>
      <c r="AK195" s="15" t="str">
        <f aca="false">IF(OR($C195="",$N195=""),"",DATE(YEAR($N195),MONTH($N195),1))</f>
        <v/>
      </c>
      <c r="AL195" s="11" t="str">
        <f aca="false">IF($C195="","",IF($M195="Abierta",0,1))</f>
        <v/>
      </c>
      <c r="AM195" s="16" t="str">
        <f aca="false">IF(OR($AE195="",$AD195=""),"",$AD195*MAX(N($X195),1))</f>
        <v/>
      </c>
      <c r="AN195" s="10" t="str">
        <f aca="false">IF($C195="","",IF(OR($B195="",$D195="",$H195="",$K195="",$M195=""),"Faltan datos obligatorios",IF($T195="","Estrategia no reconocida",IF(AND($M195&lt;&gt;"Abierta",$N195=""),"Falta fecha cierre",IF(AND(OR($M195="Cerrada",$M195="Rolada"),$O195=""),"Falta prima cierre",IF(AND($N195&lt;&gt;"",$N195&lt;$B195),"Cierre anterior a apertura",IF(AND($M195="Asignada",$R195=""),"Asignada: falta ID lote acciones",IF(AND($R195&lt;&gt;"",ISNA(MATCH($R195,Acciones!$A$2:$A$201,0))),"El ID lote no existe en Acciones",IF($AD195="","Revisa capital en riesgo","OK")))))))))</f>
        <v/>
      </c>
    </row>
    <row r="196" customFormat="false" ht="15" hidden="false" customHeight="true" outlineLevel="0" collapsed="false">
      <c r="A196" s="5"/>
      <c r="B196" s="6"/>
      <c r="C196" s="7"/>
      <c r="D196" s="7"/>
      <c r="E196" s="8"/>
      <c r="F196" s="8"/>
      <c r="G196" s="6"/>
      <c r="H196" s="5"/>
      <c r="I196" s="5" t="n">
        <v>100</v>
      </c>
      <c r="J196" s="8"/>
      <c r="K196" s="8"/>
      <c r="L196" s="9"/>
      <c r="M196" s="7"/>
      <c r="N196" s="6"/>
      <c r="O196" s="8"/>
      <c r="P196" s="9"/>
      <c r="Q196" s="9"/>
      <c r="R196" s="7"/>
      <c r="S196" s="7"/>
      <c r="T196" s="10" t="str">
        <f aca="false">IF($C196="","",IFERROR(INDEX(Listas!$B$2:$B$20,MATCH($D196,Listas!$A$2:$A$20,0)),""))</f>
        <v/>
      </c>
      <c r="U196" s="10" t="str">
        <f aca="false">IF($C196="","",IFERROR(INDEX(Listas!$C$2:$C$20,MATCH($D196,Listas!$A$2:$A$20,0)),""))</f>
        <v/>
      </c>
      <c r="V196" s="10" t="str">
        <f aca="false">IF($C196="","",IFERROR(INDEX(Listas!$D$2:$D$20,MATCH($D196,Listas!$A$2:$A$20,0)),""))</f>
        <v/>
      </c>
      <c r="W196" s="11" t="str">
        <f aca="false">IF(OR($C196="",$B196="",$G196=""),"",$G196-$B196)</f>
        <v/>
      </c>
      <c r="X196" s="11" t="str">
        <f aca="true">IF(OR($C196="",$B196=""),"",IF($N196&lt;&gt;"",$N196,TODAY())-$B196)</f>
        <v/>
      </c>
      <c r="Y196" s="11" t="str">
        <f aca="true">IF(OR($C196="",$M196&lt;&gt;"Abierta",$G196=""),"",MAX($G196-TODAY(),0))</f>
        <v/>
      </c>
      <c r="Z196" s="12" t="str">
        <f aca="false">IF($C196="","",N($K196)*N($H196)*N($I196)*IF($U196="Débito",-1,1))</f>
        <v/>
      </c>
      <c r="AA196" s="13" t="str">
        <f aca="false">IF($C196="","",IF(AND($U196="Débito",$F196&lt;&gt;""),$F196,$E196))</f>
        <v/>
      </c>
      <c r="AB196" s="13" t="str">
        <f aca="false">IF(OR($C196="",$T196="Mixta",$AA196=""),"",IF($V196="Subyacente",IF($J196="","",$J196-$K196),IF($T196="Put",$AA196-$K196,$AA196+$K196)))</f>
        <v/>
      </c>
      <c r="AC196" s="14" t="str">
        <f aca="false">IF(OR($C196="",$T196="Mixta",$J196="",$AA196=""),"",IF($T196="Put",($J196-$AA196)/$J196,($AA196-$J196)/$J196))</f>
        <v/>
      </c>
      <c r="AD196" s="12" t="str">
        <f aca="false">IF($C196="","",IF($Q196&lt;&gt;"",$Q196,IF($V196="Strike",N($E196)*$H196*$I196,IF($V196="Subyacente",IF($J196="","",$J196*$H196*$I196),IF($V196="Ancho",IF($F196="","",ABS($E196-$F196)*$H196*$I196-$K196*$H196*$I196),IF($V196="Prima",$K196*$H196*$I196,""))))))</f>
        <v/>
      </c>
      <c r="AE196" s="12" t="str">
        <f aca="false">IF(OR($C196="",$M196="Abierta",$M196=""),"",(N($K196)-IF(OR($M196="Cerrada",$M196="Rolada"),N($O196),0))*$H196*$I196*IF($U196="Débito",-1,1)-N($L196)-N($P196))</f>
        <v/>
      </c>
      <c r="AF196" s="14" t="str">
        <f aca="false">IF(OR($AE196="",$AD196=""),"",IF($AD196&lt;=0,"",$AE196/$AD196))</f>
        <v/>
      </c>
      <c r="AG196" s="14" t="str">
        <f aca="false">IF($AF196="","",$AF196*365/MAX(N($X196),1))</f>
        <v/>
      </c>
      <c r="AH196" s="14" t="str">
        <f aca="false">IF(OR($C196="",$U196&lt;&gt;"Crédito",$AD196=""),"",IF($AD196&lt;=0,"",($Z196-N($L196))/$AD196))</f>
        <v/>
      </c>
      <c r="AI196" s="14" t="str">
        <f aca="false">IF(OR($AH196="",$W196=""),"",$AH196*365/MAX($W196,1))</f>
        <v/>
      </c>
      <c r="AJ196" s="14" t="str">
        <f aca="false">IF(OR($AE196="",$U196&lt;&gt;"Crédito",N($K196)=0),"",(N($K196)-IF(OR($M196="Cerrada",$M196="Rolada"),N($O196),0))/$K196)</f>
        <v/>
      </c>
      <c r="AK196" s="15" t="str">
        <f aca="false">IF(OR($C196="",$N196=""),"",DATE(YEAR($N196),MONTH($N196),1))</f>
        <v/>
      </c>
      <c r="AL196" s="11" t="str">
        <f aca="false">IF($C196="","",IF($M196="Abierta",0,1))</f>
        <v/>
      </c>
      <c r="AM196" s="16" t="str">
        <f aca="false">IF(OR($AE196="",$AD196=""),"",$AD196*MAX(N($X196),1))</f>
        <v/>
      </c>
      <c r="AN196" s="10" t="str">
        <f aca="false">IF($C196="","",IF(OR($B196="",$D196="",$H196="",$K196="",$M196=""),"Faltan datos obligatorios",IF($T196="","Estrategia no reconocida",IF(AND($M196&lt;&gt;"Abierta",$N196=""),"Falta fecha cierre",IF(AND(OR($M196="Cerrada",$M196="Rolada"),$O196=""),"Falta prima cierre",IF(AND($N196&lt;&gt;"",$N196&lt;$B196),"Cierre anterior a apertura",IF(AND($M196="Asignada",$R196=""),"Asignada: falta ID lote acciones",IF(AND($R196&lt;&gt;"",ISNA(MATCH($R196,Acciones!$A$2:$A$201,0))),"El ID lote no existe en Acciones",IF($AD196="","Revisa capital en riesgo","OK")))))))))</f>
        <v/>
      </c>
    </row>
    <row r="197" customFormat="false" ht="15" hidden="false" customHeight="true" outlineLevel="0" collapsed="false">
      <c r="A197" s="5"/>
      <c r="B197" s="6"/>
      <c r="C197" s="7"/>
      <c r="D197" s="7"/>
      <c r="E197" s="8"/>
      <c r="F197" s="8"/>
      <c r="G197" s="6"/>
      <c r="H197" s="5"/>
      <c r="I197" s="5" t="n">
        <v>100</v>
      </c>
      <c r="J197" s="8"/>
      <c r="K197" s="8"/>
      <c r="L197" s="9"/>
      <c r="M197" s="7"/>
      <c r="N197" s="6"/>
      <c r="O197" s="8"/>
      <c r="P197" s="9"/>
      <c r="Q197" s="9"/>
      <c r="R197" s="7"/>
      <c r="S197" s="7"/>
      <c r="T197" s="10" t="str">
        <f aca="false">IF($C197="","",IFERROR(INDEX(Listas!$B$2:$B$20,MATCH($D197,Listas!$A$2:$A$20,0)),""))</f>
        <v/>
      </c>
      <c r="U197" s="10" t="str">
        <f aca="false">IF($C197="","",IFERROR(INDEX(Listas!$C$2:$C$20,MATCH($D197,Listas!$A$2:$A$20,0)),""))</f>
        <v/>
      </c>
      <c r="V197" s="10" t="str">
        <f aca="false">IF($C197="","",IFERROR(INDEX(Listas!$D$2:$D$20,MATCH($D197,Listas!$A$2:$A$20,0)),""))</f>
        <v/>
      </c>
      <c r="W197" s="11" t="str">
        <f aca="false">IF(OR($C197="",$B197="",$G197=""),"",$G197-$B197)</f>
        <v/>
      </c>
      <c r="X197" s="11" t="str">
        <f aca="true">IF(OR($C197="",$B197=""),"",IF($N197&lt;&gt;"",$N197,TODAY())-$B197)</f>
        <v/>
      </c>
      <c r="Y197" s="11" t="str">
        <f aca="true">IF(OR($C197="",$M197&lt;&gt;"Abierta",$G197=""),"",MAX($G197-TODAY(),0))</f>
        <v/>
      </c>
      <c r="Z197" s="12" t="str">
        <f aca="false">IF($C197="","",N($K197)*N($H197)*N($I197)*IF($U197="Débito",-1,1))</f>
        <v/>
      </c>
      <c r="AA197" s="13" t="str">
        <f aca="false">IF($C197="","",IF(AND($U197="Débito",$F197&lt;&gt;""),$F197,$E197))</f>
        <v/>
      </c>
      <c r="AB197" s="13" t="str">
        <f aca="false">IF(OR($C197="",$T197="Mixta",$AA197=""),"",IF($V197="Subyacente",IF($J197="","",$J197-$K197),IF($T197="Put",$AA197-$K197,$AA197+$K197)))</f>
        <v/>
      </c>
      <c r="AC197" s="14" t="str">
        <f aca="false">IF(OR($C197="",$T197="Mixta",$J197="",$AA197=""),"",IF($T197="Put",($J197-$AA197)/$J197,($AA197-$J197)/$J197))</f>
        <v/>
      </c>
      <c r="AD197" s="12" t="str">
        <f aca="false">IF($C197="","",IF($Q197&lt;&gt;"",$Q197,IF($V197="Strike",N($E197)*$H197*$I197,IF($V197="Subyacente",IF($J197="","",$J197*$H197*$I197),IF($V197="Ancho",IF($F197="","",ABS($E197-$F197)*$H197*$I197-$K197*$H197*$I197),IF($V197="Prima",$K197*$H197*$I197,""))))))</f>
        <v/>
      </c>
      <c r="AE197" s="12" t="str">
        <f aca="false">IF(OR($C197="",$M197="Abierta",$M197=""),"",(N($K197)-IF(OR($M197="Cerrada",$M197="Rolada"),N($O197),0))*$H197*$I197*IF($U197="Débito",-1,1)-N($L197)-N($P197))</f>
        <v/>
      </c>
      <c r="AF197" s="14" t="str">
        <f aca="false">IF(OR($AE197="",$AD197=""),"",IF($AD197&lt;=0,"",$AE197/$AD197))</f>
        <v/>
      </c>
      <c r="AG197" s="14" t="str">
        <f aca="false">IF($AF197="","",$AF197*365/MAX(N($X197),1))</f>
        <v/>
      </c>
      <c r="AH197" s="14" t="str">
        <f aca="false">IF(OR($C197="",$U197&lt;&gt;"Crédito",$AD197=""),"",IF($AD197&lt;=0,"",($Z197-N($L197))/$AD197))</f>
        <v/>
      </c>
      <c r="AI197" s="14" t="str">
        <f aca="false">IF(OR($AH197="",$W197=""),"",$AH197*365/MAX($W197,1))</f>
        <v/>
      </c>
      <c r="AJ197" s="14" t="str">
        <f aca="false">IF(OR($AE197="",$U197&lt;&gt;"Crédito",N($K197)=0),"",(N($K197)-IF(OR($M197="Cerrada",$M197="Rolada"),N($O197),0))/$K197)</f>
        <v/>
      </c>
      <c r="AK197" s="15" t="str">
        <f aca="false">IF(OR($C197="",$N197=""),"",DATE(YEAR($N197),MONTH($N197),1))</f>
        <v/>
      </c>
      <c r="AL197" s="11" t="str">
        <f aca="false">IF($C197="","",IF($M197="Abierta",0,1))</f>
        <v/>
      </c>
      <c r="AM197" s="16" t="str">
        <f aca="false">IF(OR($AE197="",$AD197=""),"",$AD197*MAX(N($X197),1))</f>
        <v/>
      </c>
      <c r="AN197" s="10" t="str">
        <f aca="false">IF($C197="","",IF(OR($B197="",$D197="",$H197="",$K197="",$M197=""),"Faltan datos obligatorios",IF($T197="","Estrategia no reconocida",IF(AND($M197&lt;&gt;"Abierta",$N197=""),"Falta fecha cierre",IF(AND(OR($M197="Cerrada",$M197="Rolada"),$O197=""),"Falta prima cierre",IF(AND($N197&lt;&gt;"",$N197&lt;$B197),"Cierre anterior a apertura",IF(AND($M197="Asignada",$R197=""),"Asignada: falta ID lote acciones",IF(AND($R197&lt;&gt;"",ISNA(MATCH($R197,Acciones!$A$2:$A$201,0))),"El ID lote no existe en Acciones",IF($AD197="","Revisa capital en riesgo","OK")))))))))</f>
        <v/>
      </c>
    </row>
    <row r="198" customFormat="false" ht="15" hidden="false" customHeight="true" outlineLevel="0" collapsed="false">
      <c r="A198" s="5"/>
      <c r="B198" s="6"/>
      <c r="C198" s="7"/>
      <c r="D198" s="7"/>
      <c r="E198" s="8"/>
      <c r="F198" s="8"/>
      <c r="G198" s="6"/>
      <c r="H198" s="5"/>
      <c r="I198" s="5" t="n">
        <v>100</v>
      </c>
      <c r="J198" s="8"/>
      <c r="K198" s="8"/>
      <c r="L198" s="9"/>
      <c r="M198" s="7"/>
      <c r="N198" s="6"/>
      <c r="O198" s="8"/>
      <c r="P198" s="9"/>
      <c r="Q198" s="9"/>
      <c r="R198" s="7"/>
      <c r="S198" s="7"/>
      <c r="T198" s="10" t="str">
        <f aca="false">IF($C198="","",IFERROR(INDEX(Listas!$B$2:$B$20,MATCH($D198,Listas!$A$2:$A$20,0)),""))</f>
        <v/>
      </c>
      <c r="U198" s="10" t="str">
        <f aca="false">IF($C198="","",IFERROR(INDEX(Listas!$C$2:$C$20,MATCH($D198,Listas!$A$2:$A$20,0)),""))</f>
        <v/>
      </c>
      <c r="V198" s="10" t="str">
        <f aca="false">IF($C198="","",IFERROR(INDEX(Listas!$D$2:$D$20,MATCH($D198,Listas!$A$2:$A$20,0)),""))</f>
        <v/>
      </c>
      <c r="W198" s="11" t="str">
        <f aca="false">IF(OR($C198="",$B198="",$G198=""),"",$G198-$B198)</f>
        <v/>
      </c>
      <c r="X198" s="11" t="str">
        <f aca="true">IF(OR($C198="",$B198=""),"",IF($N198&lt;&gt;"",$N198,TODAY())-$B198)</f>
        <v/>
      </c>
      <c r="Y198" s="11" t="str">
        <f aca="true">IF(OR($C198="",$M198&lt;&gt;"Abierta",$G198=""),"",MAX($G198-TODAY(),0))</f>
        <v/>
      </c>
      <c r="Z198" s="12" t="str">
        <f aca="false">IF($C198="","",N($K198)*N($H198)*N($I198)*IF($U198="Débito",-1,1))</f>
        <v/>
      </c>
      <c r="AA198" s="13" t="str">
        <f aca="false">IF($C198="","",IF(AND($U198="Débito",$F198&lt;&gt;""),$F198,$E198))</f>
        <v/>
      </c>
      <c r="AB198" s="13" t="str">
        <f aca="false">IF(OR($C198="",$T198="Mixta",$AA198=""),"",IF($V198="Subyacente",IF($J198="","",$J198-$K198),IF($T198="Put",$AA198-$K198,$AA198+$K198)))</f>
        <v/>
      </c>
      <c r="AC198" s="14" t="str">
        <f aca="false">IF(OR($C198="",$T198="Mixta",$J198="",$AA198=""),"",IF($T198="Put",($J198-$AA198)/$J198,($AA198-$J198)/$J198))</f>
        <v/>
      </c>
      <c r="AD198" s="12" t="str">
        <f aca="false">IF($C198="","",IF($Q198&lt;&gt;"",$Q198,IF($V198="Strike",N($E198)*$H198*$I198,IF($V198="Subyacente",IF($J198="","",$J198*$H198*$I198),IF($V198="Ancho",IF($F198="","",ABS($E198-$F198)*$H198*$I198-$K198*$H198*$I198),IF($V198="Prima",$K198*$H198*$I198,""))))))</f>
        <v/>
      </c>
      <c r="AE198" s="12" t="str">
        <f aca="false">IF(OR($C198="",$M198="Abierta",$M198=""),"",(N($K198)-IF(OR($M198="Cerrada",$M198="Rolada"),N($O198),0))*$H198*$I198*IF($U198="Débito",-1,1)-N($L198)-N($P198))</f>
        <v/>
      </c>
      <c r="AF198" s="14" t="str">
        <f aca="false">IF(OR($AE198="",$AD198=""),"",IF($AD198&lt;=0,"",$AE198/$AD198))</f>
        <v/>
      </c>
      <c r="AG198" s="14" t="str">
        <f aca="false">IF($AF198="","",$AF198*365/MAX(N($X198),1))</f>
        <v/>
      </c>
      <c r="AH198" s="14" t="str">
        <f aca="false">IF(OR($C198="",$U198&lt;&gt;"Crédito",$AD198=""),"",IF($AD198&lt;=0,"",($Z198-N($L198))/$AD198))</f>
        <v/>
      </c>
      <c r="AI198" s="14" t="str">
        <f aca="false">IF(OR($AH198="",$W198=""),"",$AH198*365/MAX($W198,1))</f>
        <v/>
      </c>
      <c r="AJ198" s="14" t="str">
        <f aca="false">IF(OR($AE198="",$U198&lt;&gt;"Crédito",N($K198)=0),"",(N($K198)-IF(OR($M198="Cerrada",$M198="Rolada"),N($O198),0))/$K198)</f>
        <v/>
      </c>
      <c r="AK198" s="15" t="str">
        <f aca="false">IF(OR($C198="",$N198=""),"",DATE(YEAR($N198),MONTH($N198),1))</f>
        <v/>
      </c>
      <c r="AL198" s="11" t="str">
        <f aca="false">IF($C198="","",IF($M198="Abierta",0,1))</f>
        <v/>
      </c>
      <c r="AM198" s="16" t="str">
        <f aca="false">IF(OR($AE198="",$AD198=""),"",$AD198*MAX(N($X198),1))</f>
        <v/>
      </c>
      <c r="AN198" s="10" t="str">
        <f aca="false">IF($C198="","",IF(OR($B198="",$D198="",$H198="",$K198="",$M198=""),"Faltan datos obligatorios",IF($T198="","Estrategia no reconocida",IF(AND($M198&lt;&gt;"Abierta",$N198=""),"Falta fecha cierre",IF(AND(OR($M198="Cerrada",$M198="Rolada"),$O198=""),"Falta prima cierre",IF(AND($N198&lt;&gt;"",$N198&lt;$B198),"Cierre anterior a apertura",IF(AND($M198="Asignada",$R198=""),"Asignada: falta ID lote acciones",IF(AND($R198&lt;&gt;"",ISNA(MATCH($R198,Acciones!$A$2:$A$201,0))),"El ID lote no existe en Acciones",IF($AD198="","Revisa capital en riesgo","OK")))))))))</f>
        <v/>
      </c>
    </row>
    <row r="199" customFormat="false" ht="15" hidden="false" customHeight="true" outlineLevel="0" collapsed="false">
      <c r="A199" s="5"/>
      <c r="B199" s="6"/>
      <c r="C199" s="7"/>
      <c r="D199" s="7"/>
      <c r="E199" s="8"/>
      <c r="F199" s="8"/>
      <c r="G199" s="6"/>
      <c r="H199" s="5"/>
      <c r="I199" s="5" t="n">
        <v>100</v>
      </c>
      <c r="J199" s="8"/>
      <c r="K199" s="8"/>
      <c r="L199" s="9"/>
      <c r="M199" s="7"/>
      <c r="N199" s="6"/>
      <c r="O199" s="8"/>
      <c r="P199" s="9"/>
      <c r="Q199" s="9"/>
      <c r="R199" s="7"/>
      <c r="S199" s="7"/>
      <c r="T199" s="10" t="str">
        <f aca="false">IF($C199="","",IFERROR(INDEX(Listas!$B$2:$B$20,MATCH($D199,Listas!$A$2:$A$20,0)),""))</f>
        <v/>
      </c>
      <c r="U199" s="10" t="str">
        <f aca="false">IF($C199="","",IFERROR(INDEX(Listas!$C$2:$C$20,MATCH($D199,Listas!$A$2:$A$20,0)),""))</f>
        <v/>
      </c>
      <c r="V199" s="10" t="str">
        <f aca="false">IF($C199="","",IFERROR(INDEX(Listas!$D$2:$D$20,MATCH($D199,Listas!$A$2:$A$20,0)),""))</f>
        <v/>
      </c>
      <c r="W199" s="11" t="str">
        <f aca="false">IF(OR($C199="",$B199="",$G199=""),"",$G199-$B199)</f>
        <v/>
      </c>
      <c r="X199" s="11" t="str">
        <f aca="true">IF(OR($C199="",$B199=""),"",IF($N199&lt;&gt;"",$N199,TODAY())-$B199)</f>
        <v/>
      </c>
      <c r="Y199" s="11" t="str">
        <f aca="true">IF(OR($C199="",$M199&lt;&gt;"Abierta",$G199=""),"",MAX($G199-TODAY(),0))</f>
        <v/>
      </c>
      <c r="Z199" s="12" t="str">
        <f aca="false">IF($C199="","",N($K199)*N($H199)*N($I199)*IF($U199="Débito",-1,1))</f>
        <v/>
      </c>
      <c r="AA199" s="13" t="str">
        <f aca="false">IF($C199="","",IF(AND($U199="Débito",$F199&lt;&gt;""),$F199,$E199))</f>
        <v/>
      </c>
      <c r="AB199" s="13" t="str">
        <f aca="false">IF(OR($C199="",$T199="Mixta",$AA199=""),"",IF($V199="Subyacente",IF($J199="","",$J199-$K199),IF($T199="Put",$AA199-$K199,$AA199+$K199)))</f>
        <v/>
      </c>
      <c r="AC199" s="14" t="str">
        <f aca="false">IF(OR($C199="",$T199="Mixta",$J199="",$AA199=""),"",IF($T199="Put",($J199-$AA199)/$J199,($AA199-$J199)/$J199))</f>
        <v/>
      </c>
      <c r="AD199" s="12" t="str">
        <f aca="false">IF($C199="","",IF($Q199&lt;&gt;"",$Q199,IF($V199="Strike",N($E199)*$H199*$I199,IF($V199="Subyacente",IF($J199="","",$J199*$H199*$I199),IF($V199="Ancho",IF($F199="","",ABS($E199-$F199)*$H199*$I199-$K199*$H199*$I199),IF($V199="Prima",$K199*$H199*$I199,""))))))</f>
        <v/>
      </c>
      <c r="AE199" s="12" t="str">
        <f aca="false">IF(OR($C199="",$M199="Abierta",$M199=""),"",(N($K199)-IF(OR($M199="Cerrada",$M199="Rolada"),N($O199),0))*$H199*$I199*IF($U199="Débito",-1,1)-N($L199)-N($P199))</f>
        <v/>
      </c>
      <c r="AF199" s="14" t="str">
        <f aca="false">IF(OR($AE199="",$AD199=""),"",IF($AD199&lt;=0,"",$AE199/$AD199))</f>
        <v/>
      </c>
      <c r="AG199" s="14" t="str">
        <f aca="false">IF($AF199="","",$AF199*365/MAX(N($X199),1))</f>
        <v/>
      </c>
      <c r="AH199" s="14" t="str">
        <f aca="false">IF(OR($C199="",$U199&lt;&gt;"Crédito",$AD199=""),"",IF($AD199&lt;=0,"",($Z199-N($L199))/$AD199))</f>
        <v/>
      </c>
      <c r="AI199" s="14" t="str">
        <f aca="false">IF(OR($AH199="",$W199=""),"",$AH199*365/MAX($W199,1))</f>
        <v/>
      </c>
      <c r="AJ199" s="14" t="str">
        <f aca="false">IF(OR($AE199="",$U199&lt;&gt;"Crédito",N($K199)=0),"",(N($K199)-IF(OR($M199="Cerrada",$M199="Rolada"),N($O199),0))/$K199)</f>
        <v/>
      </c>
      <c r="AK199" s="15" t="str">
        <f aca="false">IF(OR($C199="",$N199=""),"",DATE(YEAR($N199),MONTH($N199),1))</f>
        <v/>
      </c>
      <c r="AL199" s="11" t="str">
        <f aca="false">IF($C199="","",IF($M199="Abierta",0,1))</f>
        <v/>
      </c>
      <c r="AM199" s="16" t="str">
        <f aca="false">IF(OR($AE199="",$AD199=""),"",$AD199*MAX(N($X199),1))</f>
        <v/>
      </c>
      <c r="AN199" s="10" t="str">
        <f aca="false">IF($C199="","",IF(OR($B199="",$D199="",$H199="",$K199="",$M199=""),"Faltan datos obligatorios",IF($T199="","Estrategia no reconocida",IF(AND($M199&lt;&gt;"Abierta",$N199=""),"Falta fecha cierre",IF(AND(OR($M199="Cerrada",$M199="Rolada"),$O199=""),"Falta prima cierre",IF(AND($N199&lt;&gt;"",$N199&lt;$B199),"Cierre anterior a apertura",IF(AND($M199="Asignada",$R199=""),"Asignada: falta ID lote acciones",IF(AND($R199&lt;&gt;"",ISNA(MATCH($R199,Acciones!$A$2:$A$201,0))),"El ID lote no existe en Acciones",IF($AD199="","Revisa capital en riesgo","OK")))))))))</f>
        <v/>
      </c>
    </row>
    <row r="200" customFormat="false" ht="15" hidden="false" customHeight="true" outlineLevel="0" collapsed="false">
      <c r="A200" s="5"/>
      <c r="B200" s="6"/>
      <c r="C200" s="7"/>
      <c r="D200" s="7"/>
      <c r="E200" s="8"/>
      <c r="F200" s="8"/>
      <c r="G200" s="6"/>
      <c r="H200" s="5"/>
      <c r="I200" s="5" t="n">
        <v>100</v>
      </c>
      <c r="J200" s="8"/>
      <c r="K200" s="8"/>
      <c r="L200" s="9"/>
      <c r="M200" s="7"/>
      <c r="N200" s="6"/>
      <c r="O200" s="8"/>
      <c r="P200" s="9"/>
      <c r="Q200" s="9"/>
      <c r="R200" s="7"/>
      <c r="S200" s="7"/>
      <c r="T200" s="10" t="str">
        <f aca="false">IF($C200="","",IFERROR(INDEX(Listas!$B$2:$B$20,MATCH($D200,Listas!$A$2:$A$20,0)),""))</f>
        <v/>
      </c>
      <c r="U200" s="10" t="str">
        <f aca="false">IF($C200="","",IFERROR(INDEX(Listas!$C$2:$C$20,MATCH($D200,Listas!$A$2:$A$20,0)),""))</f>
        <v/>
      </c>
      <c r="V200" s="10" t="str">
        <f aca="false">IF($C200="","",IFERROR(INDEX(Listas!$D$2:$D$20,MATCH($D200,Listas!$A$2:$A$20,0)),""))</f>
        <v/>
      </c>
      <c r="W200" s="11" t="str">
        <f aca="false">IF(OR($C200="",$B200="",$G200=""),"",$G200-$B200)</f>
        <v/>
      </c>
      <c r="X200" s="11" t="str">
        <f aca="true">IF(OR($C200="",$B200=""),"",IF($N200&lt;&gt;"",$N200,TODAY())-$B200)</f>
        <v/>
      </c>
      <c r="Y200" s="11" t="str">
        <f aca="true">IF(OR($C200="",$M200&lt;&gt;"Abierta",$G200=""),"",MAX($G200-TODAY(),0))</f>
        <v/>
      </c>
      <c r="Z200" s="12" t="str">
        <f aca="false">IF($C200="","",N($K200)*N($H200)*N($I200)*IF($U200="Débito",-1,1))</f>
        <v/>
      </c>
      <c r="AA200" s="13" t="str">
        <f aca="false">IF($C200="","",IF(AND($U200="Débito",$F200&lt;&gt;""),$F200,$E200))</f>
        <v/>
      </c>
      <c r="AB200" s="13" t="str">
        <f aca="false">IF(OR($C200="",$T200="Mixta",$AA200=""),"",IF($V200="Subyacente",IF($J200="","",$J200-$K200),IF($T200="Put",$AA200-$K200,$AA200+$K200)))</f>
        <v/>
      </c>
      <c r="AC200" s="14" t="str">
        <f aca="false">IF(OR($C200="",$T200="Mixta",$J200="",$AA200=""),"",IF($T200="Put",($J200-$AA200)/$J200,($AA200-$J200)/$J200))</f>
        <v/>
      </c>
      <c r="AD200" s="12" t="str">
        <f aca="false">IF($C200="","",IF($Q200&lt;&gt;"",$Q200,IF($V200="Strike",N($E200)*$H200*$I200,IF($V200="Subyacente",IF($J200="","",$J200*$H200*$I200),IF($V200="Ancho",IF($F200="","",ABS($E200-$F200)*$H200*$I200-$K200*$H200*$I200),IF($V200="Prima",$K200*$H200*$I200,""))))))</f>
        <v/>
      </c>
      <c r="AE200" s="12" t="str">
        <f aca="false">IF(OR($C200="",$M200="Abierta",$M200=""),"",(N($K200)-IF(OR($M200="Cerrada",$M200="Rolada"),N($O200),0))*$H200*$I200*IF($U200="Débito",-1,1)-N($L200)-N($P200))</f>
        <v/>
      </c>
      <c r="AF200" s="14" t="str">
        <f aca="false">IF(OR($AE200="",$AD200=""),"",IF($AD200&lt;=0,"",$AE200/$AD200))</f>
        <v/>
      </c>
      <c r="AG200" s="14" t="str">
        <f aca="false">IF($AF200="","",$AF200*365/MAX(N($X200),1))</f>
        <v/>
      </c>
      <c r="AH200" s="14" t="str">
        <f aca="false">IF(OR($C200="",$U200&lt;&gt;"Crédito",$AD200=""),"",IF($AD200&lt;=0,"",($Z200-N($L200))/$AD200))</f>
        <v/>
      </c>
      <c r="AI200" s="14" t="str">
        <f aca="false">IF(OR($AH200="",$W200=""),"",$AH200*365/MAX($W200,1))</f>
        <v/>
      </c>
      <c r="AJ200" s="14" t="str">
        <f aca="false">IF(OR($AE200="",$U200&lt;&gt;"Crédito",N($K200)=0),"",(N($K200)-IF(OR($M200="Cerrada",$M200="Rolada"),N($O200),0))/$K200)</f>
        <v/>
      </c>
      <c r="AK200" s="15" t="str">
        <f aca="false">IF(OR($C200="",$N200=""),"",DATE(YEAR($N200),MONTH($N200),1))</f>
        <v/>
      </c>
      <c r="AL200" s="11" t="str">
        <f aca="false">IF($C200="","",IF($M200="Abierta",0,1))</f>
        <v/>
      </c>
      <c r="AM200" s="16" t="str">
        <f aca="false">IF(OR($AE200="",$AD200=""),"",$AD200*MAX(N($X200),1))</f>
        <v/>
      </c>
      <c r="AN200" s="10" t="str">
        <f aca="false">IF($C200="","",IF(OR($B200="",$D200="",$H200="",$K200="",$M200=""),"Faltan datos obligatorios",IF($T200="","Estrategia no reconocida",IF(AND($M200&lt;&gt;"Abierta",$N200=""),"Falta fecha cierre",IF(AND(OR($M200="Cerrada",$M200="Rolada"),$O200=""),"Falta prima cierre",IF(AND($N200&lt;&gt;"",$N200&lt;$B200),"Cierre anterior a apertura",IF(AND($M200="Asignada",$R200=""),"Asignada: falta ID lote acciones",IF(AND($R200&lt;&gt;"",ISNA(MATCH($R200,Acciones!$A$2:$A$201,0))),"El ID lote no existe en Acciones",IF($AD200="","Revisa capital en riesgo","OK")))))))))</f>
        <v/>
      </c>
    </row>
    <row r="201" customFormat="false" ht="15" hidden="false" customHeight="true" outlineLevel="0" collapsed="false">
      <c r="A201" s="5"/>
      <c r="B201" s="6"/>
      <c r="C201" s="7"/>
      <c r="D201" s="7"/>
      <c r="E201" s="8"/>
      <c r="F201" s="8"/>
      <c r="G201" s="6"/>
      <c r="H201" s="5"/>
      <c r="I201" s="5" t="n">
        <v>100</v>
      </c>
      <c r="J201" s="8"/>
      <c r="K201" s="8"/>
      <c r="L201" s="9"/>
      <c r="M201" s="7"/>
      <c r="N201" s="6"/>
      <c r="O201" s="8"/>
      <c r="P201" s="9"/>
      <c r="Q201" s="9"/>
      <c r="R201" s="7"/>
      <c r="S201" s="7"/>
      <c r="T201" s="10" t="str">
        <f aca="false">IF($C201="","",IFERROR(INDEX(Listas!$B$2:$B$20,MATCH($D201,Listas!$A$2:$A$20,0)),""))</f>
        <v/>
      </c>
      <c r="U201" s="10" t="str">
        <f aca="false">IF($C201="","",IFERROR(INDEX(Listas!$C$2:$C$20,MATCH($D201,Listas!$A$2:$A$20,0)),""))</f>
        <v/>
      </c>
      <c r="V201" s="10" t="str">
        <f aca="false">IF($C201="","",IFERROR(INDEX(Listas!$D$2:$D$20,MATCH($D201,Listas!$A$2:$A$20,0)),""))</f>
        <v/>
      </c>
      <c r="W201" s="11" t="str">
        <f aca="false">IF(OR($C201="",$B201="",$G201=""),"",$G201-$B201)</f>
        <v/>
      </c>
      <c r="X201" s="11" t="str">
        <f aca="true">IF(OR($C201="",$B201=""),"",IF($N201&lt;&gt;"",$N201,TODAY())-$B201)</f>
        <v/>
      </c>
      <c r="Y201" s="11" t="str">
        <f aca="true">IF(OR($C201="",$M201&lt;&gt;"Abierta",$G201=""),"",MAX($G201-TODAY(),0))</f>
        <v/>
      </c>
      <c r="Z201" s="12" t="str">
        <f aca="false">IF($C201="","",N($K201)*N($H201)*N($I201)*IF($U201="Débito",-1,1))</f>
        <v/>
      </c>
      <c r="AA201" s="13" t="str">
        <f aca="false">IF($C201="","",IF(AND($U201="Débito",$F201&lt;&gt;""),$F201,$E201))</f>
        <v/>
      </c>
      <c r="AB201" s="13" t="str">
        <f aca="false">IF(OR($C201="",$T201="Mixta",$AA201=""),"",IF($V201="Subyacente",IF($J201="","",$J201-$K201),IF($T201="Put",$AA201-$K201,$AA201+$K201)))</f>
        <v/>
      </c>
      <c r="AC201" s="14" t="str">
        <f aca="false">IF(OR($C201="",$T201="Mixta",$J201="",$AA201=""),"",IF($T201="Put",($J201-$AA201)/$J201,($AA201-$J201)/$J201))</f>
        <v/>
      </c>
      <c r="AD201" s="12" t="str">
        <f aca="false">IF($C201="","",IF($Q201&lt;&gt;"",$Q201,IF($V201="Strike",N($E201)*$H201*$I201,IF($V201="Subyacente",IF($J201="","",$J201*$H201*$I201),IF($V201="Ancho",IF($F201="","",ABS($E201-$F201)*$H201*$I201-$K201*$H201*$I201),IF($V201="Prima",$K201*$H201*$I201,""))))))</f>
        <v/>
      </c>
      <c r="AE201" s="12" t="str">
        <f aca="false">IF(OR($C201="",$M201="Abierta",$M201=""),"",(N($K201)-IF(OR($M201="Cerrada",$M201="Rolada"),N($O201),0))*$H201*$I201*IF($U201="Débito",-1,1)-N($L201)-N($P201))</f>
        <v/>
      </c>
      <c r="AF201" s="14" t="str">
        <f aca="false">IF(OR($AE201="",$AD201=""),"",IF($AD201&lt;=0,"",$AE201/$AD201))</f>
        <v/>
      </c>
      <c r="AG201" s="14" t="str">
        <f aca="false">IF($AF201="","",$AF201*365/MAX(N($X201),1))</f>
        <v/>
      </c>
      <c r="AH201" s="14" t="str">
        <f aca="false">IF(OR($C201="",$U201&lt;&gt;"Crédito",$AD201=""),"",IF($AD201&lt;=0,"",($Z201-N($L201))/$AD201))</f>
        <v/>
      </c>
      <c r="AI201" s="14" t="str">
        <f aca="false">IF(OR($AH201="",$W201=""),"",$AH201*365/MAX($W201,1))</f>
        <v/>
      </c>
      <c r="AJ201" s="14" t="str">
        <f aca="false">IF(OR($AE201="",$U201&lt;&gt;"Crédito",N($K201)=0),"",(N($K201)-IF(OR($M201="Cerrada",$M201="Rolada"),N($O201),0))/$K201)</f>
        <v/>
      </c>
      <c r="AK201" s="15" t="str">
        <f aca="false">IF(OR($C201="",$N201=""),"",DATE(YEAR($N201),MONTH($N201),1))</f>
        <v/>
      </c>
      <c r="AL201" s="11" t="str">
        <f aca="false">IF($C201="","",IF($M201="Abierta",0,1))</f>
        <v/>
      </c>
      <c r="AM201" s="16" t="str">
        <f aca="false">IF(OR($AE201="",$AD201=""),"",$AD201*MAX(N($X201),1))</f>
        <v/>
      </c>
      <c r="AN201" s="10" t="str">
        <f aca="false">IF($C201="","",IF(OR($B201="",$D201="",$H201="",$K201="",$M201=""),"Faltan datos obligatorios",IF($T201="","Estrategia no reconocida",IF(AND($M201&lt;&gt;"Abierta",$N201=""),"Falta fecha cierre",IF(AND(OR($M201="Cerrada",$M201="Rolada"),$O201=""),"Falta prima cierre",IF(AND($N201&lt;&gt;"",$N201&lt;$B201),"Cierre anterior a apertura",IF(AND($M201="Asignada",$R201=""),"Asignada: falta ID lote acciones",IF(AND($R201&lt;&gt;"",ISNA(MATCH($R201,Acciones!$A$2:$A$201,0))),"El ID lote no existe en Acciones",IF($AD201="","Revisa capital en riesgo","OK")))))))))</f>
        <v/>
      </c>
    </row>
    <row r="202" customFormat="false" ht="15" hidden="false" customHeight="true" outlineLevel="0" collapsed="false">
      <c r="A202" s="5"/>
      <c r="B202" s="6"/>
      <c r="C202" s="7"/>
      <c r="D202" s="7"/>
      <c r="E202" s="8"/>
      <c r="F202" s="8"/>
      <c r="G202" s="6"/>
      <c r="H202" s="5"/>
      <c r="I202" s="5" t="n">
        <v>100</v>
      </c>
      <c r="J202" s="8"/>
      <c r="K202" s="8"/>
      <c r="L202" s="9"/>
      <c r="M202" s="7"/>
      <c r="N202" s="6"/>
      <c r="O202" s="8"/>
      <c r="P202" s="9"/>
      <c r="Q202" s="9"/>
      <c r="R202" s="7"/>
      <c r="S202" s="7"/>
      <c r="T202" s="10" t="str">
        <f aca="false">IF($C202="","",IFERROR(INDEX(Listas!$B$2:$B$20,MATCH($D202,Listas!$A$2:$A$20,0)),""))</f>
        <v/>
      </c>
      <c r="U202" s="10" t="str">
        <f aca="false">IF($C202="","",IFERROR(INDEX(Listas!$C$2:$C$20,MATCH($D202,Listas!$A$2:$A$20,0)),""))</f>
        <v/>
      </c>
      <c r="V202" s="10" t="str">
        <f aca="false">IF($C202="","",IFERROR(INDEX(Listas!$D$2:$D$20,MATCH($D202,Listas!$A$2:$A$20,0)),""))</f>
        <v/>
      </c>
      <c r="W202" s="11" t="str">
        <f aca="false">IF(OR($C202="",$B202="",$G202=""),"",$G202-$B202)</f>
        <v/>
      </c>
      <c r="X202" s="11" t="str">
        <f aca="true">IF(OR($C202="",$B202=""),"",IF($N202&lt;&gt;"",$N202,TODAY())-$B202)</f>
        <v/>
      </c>
      <c r="Y202" s="11" t="str">
        <f aca="true">IF(OR($C202="",$M202&lt;&gt;"Abierta",$G202=""),"",MAX($G202-TODAY(),0))</f>
        <v/>
      </c>
      <c r="Z202" s="12" t="str">
        <f aca="false">IF($C202="","",N($K202)*N($H202)*N($I202)*IF($U202="Débito",-1,1))</f>
        <v/>
      </c>
      <c r="AA202" s="13" t="str">
        <f aca="false">IF($C202="","",IF(AND($U202="Débito",$F202&lt;&gt;""),$F202,$E202))</f>
        <v/>
      </c>
      <c r="AB202" s="13" t="str">
        <f aca="false">IF(OR($C202="",$T202="Mixta",$AA202=""),"",IF($V202="Subyacente",IF($J202="","",$J202-$K202),IF($T202="Put",$AA202-$K202,$AA202+$K202)))</f>
        <v/>
      </c>
      <c r="AC202" s="14" t="str">
        <f aca="false">IF(OR($C202="",$T202="Mixta",$J202="",$AA202=""),"",IF($T202="Put",($J202-$AA202)/$J202,($AA202-$J202)/$J202))</f>
        <v/>
      </c>
      <c r="AD202" s="12" t="str">
        <f aca="false">IF($C202="","",IF($Q202&lt;&gt;"",$Q202,IF($V202="Strike",N($E202)*$H202*$I202,IF($V202="Subyacente",IF($J202="","",$J202*$H202*$I202),IF($V202="Ancho",IF($F202="","",ABS($E202-$F202)*$H202*$I202-$K202*$H202*$I202),IF($V202="Prima",$K202*$H202*$I202,""))))))</f>
        <v/>
      </c>
      <c r="AE202" s="12" t="str">
        <f aca="false">IF(OR($C202="",$M202="Abierta",$M202=""),"",(N($K202)-IF(OR($M202="Cerrada",$M202="Rolada"),N($O202),0))*$H202*$I202*IF($U202="Débito",-1,1)-N($L202)-N($P202))</f>
        <v/>
      </c>
      <c r="AF202" s="14" t="str">
        <f aca="false">IF(OR($AE202="",$AD202=""),"",IF($AD202&lt;=0,"",$AE202/$AD202))</f>
        <v/>
      </c>
      <c r="AG202" s="14" t="str">
        <f aca="false">IF($AF202="","",$AF202*365/MAX(N($X202),1))</f>
        <v/>
      </c>
      <c r="AH202" s="14" t="str">
        <f aca="false">IF(OR($C202="",$U202&lt;&gt;"Crédito",$AD202=""),"",IF($AD202&lt;=0,"",($Z202-N($L202))/$AD202))</f>
        <v/>
      </c>
      <c r="AI202" s="14" t="str">
        <f aca="false">IF(OR($AH202="",$W202=""),"",$AH202*365/MAX($W202,1))</f>
        <v/>
      </c>
      <c r="AJ202" s="14" t="str">
        <f aca="false">IF(OR($AE202="",$U202&lt;&gt;"Crédito",N($K202)=0),"",(N($K202)-IF(OR($M202="Cerrada",$M202="Rolada"),N($O202),0))/$K202)</f>
        <v/>
      </c>
      <c r="AK202" s="15" t="str">
        <f aca="false">IF(OR($C202="",$N202=""),"",DATE(YEAR($N202),MONTH($N202),1))</f>
        <v/>
      </c>
      <c r="AL202" s="11" t="str">
        <f aca="false">IF($C202="","",IF($M202="Abierta",0,1))</f>
        <v/>
      </c>
      <c r="AM202" s="16" t="str">
        <f aca="false">IF(OR($AE202="",$AD202=""),"",$AD202*MAX(N($X202),1))</f>
        <v/>
      </c>
      <c r="AN202" s="10" t="str">
        <f aca="false">IF($C202="","",IF(OR($B202="",$D202="",$H202="",$K202="",$M202=""),"Faltan datos obligatorios",IF($T202="","Estrategia no reconocida",IF(AND($M202&lt;&gt;"Abierta",$N202=""),"Falta fecha cierre",IF(AND(OR($M202="Cerrada",$M202="Rolada"),$O202=""),"Falta prima cierre",IF(AND($N202&lt;&gt;"",$N202&lt;$B202),"Cierre anterior a apertura",IF(AND($M202="Asignada",$R202=""),"Asignada: falta ID lote acciones",IF(AND($R202&lt;&gt;"",ISNA(MATCH($R202,Acciones!$A$2:$A$201,0))),"El ID lote no existe en Acciones",IF($AD202="","Revisa capital en riesgo","OK")))))))))</f>
        <v/>
      </c>
    </row>
    <row r="203" customFormat="false" ht="15" hidden="false" customHeight="true" outlineLevel="0" collapsed="false">
      <c r="A203" s="5"/>
      <c r="B203" s="6"/>
      <c r="C203" s="7"/>
      <c r="D203" s="7"/>
      <c r="E203" s="8"/>
      <c r="F203" s="8"/>
      <c r="G203" s="6"/>
      <c r="H203" s="5"/>
      <c r="I203" s="5" t="n">
        <v>100</v>
      </c>
      <c r="J203" s="8"/>
      <c r="K203" s="8"/>
      <c r="L203" s="9"/>
      <c r="M203" s="7"/>
      <c r="N203" s="6"/>
      <c r="O203" s="8"/>
      <c r="P203" s="9"/>
      <c r="Q203" s="9"/>
      <c r="R203" s="7"/>
      <c r="S203" s="7"/>
      <c r="T203" s="10" t="str">
        <f aca="false">IF($C203="","",IFERROR(INDEX(Listas!$B$2:$B$20,MATCH($D203,Listas!$A$2:$A$20,0)),""))</f>
        <v/>
      </c>
      <c r="U203" s="10" t="str">
        <f aca="false">IF($C203="","",IFERROR(INDEX(Listas!$C$2:$C$20,MATCH($D203,Listas!$A$2:$A$20,0)),""))</f>
        <v/>
      </c>
      <c r="V203" s="10" t="str">
        <f aca="false">IF($C203="","",IFERROR(INDEX(Listas!$D$2:$D$20,MATCH($D203,Listas!$A$2:$A$20,0)),""))</f>
        <v/>
      </c>
      <c r="W203" s="11" t="str">
        <f aca="false">IF(OR($C203="",$B203="",$G203=""),"",$G203-$B203)</f>
        <v/>
      </c>
      <c r="X203" s="11" t="str">
        <f aca="true">IF(OR($C203="",$B203=""),"",IF($N203&lt;&gt;"",$N203,TODAY())-$B203)</f>
        <v/>
      </c>
      <c r="Y203" s="11" t="str">
        <f aca="true">IF(OR($C203="",$M203&lt;&gt;"Abierta",$G203=""),"",MAX($G203-TODAY(),0))</f>
        <v/>
      </c>
      <c r="Z203" s="12" t="str">
        <f aca="false">IF($C203="","",N($K203)*N($H203)*N($I203)*IF($U203="Débito",-1,1))</f>
        <v/>
      </c>
      <c r="AA203" s="13" t="str">
        <f aca="false">IF($C203="","",IF(AND($U203="Débito",$F203&lt;&gt;""),$F203,$E203))</f>
        <v/>
      </c>
      <c r="AB203" s="13" t="str">
        <f aca="false">IF(OR($C203="",$T203="Mixta",$AA203=""),"",IF($V203="Subyacente",IF($J203="","",$J203-$K203),IF($T203="Put",$AA203-$K203,$AA203+$K203)))</f>
        <v/>
      </c>
      <c r="AC203" s="14" t="str">
        <f aca="false">IF(OR($C203="",$T203="Mixta",$J203="",$AA203=""),"",IF($T203="Put",($J203-$AA203)/$J203,($AA203-$J203)/$J203))</f>
        <v/>
      </c>
      <c r="AD203" s="12" t="str">
        <f aca="false">IF($C203="","",IF($Q203&lt;&gt;"",$Q203,IF($V203="Strike",N($E203)*$H203*$I203,IF($V203="Subyacente",IF($J203="","",$J203*$H203*$I203),IF($V203="Ancho",IF($F203="","",ABS($E203-$F203)*$H203*$I203-$K203*$H203*$I203),IF($V203="Prima",$K203*$H203*$I203,""))))))</f>
        <v/>
      </c>
      <c r="AE203" s="12" t="str">
        <f aca="false">IF(OR($C203="",$M203="Abierta",$M203=""),"",(N($K203)-IF(OR($M203="Cerrada",$M203="Rolada"),N($O203),0))*$H203*$I203*IF($U203="Débito",-1,1)-N($L203)-N($P203))</f>
        <v/>
      </c>
      <c r="AF203" s="14" t="str">
        <f aca="false">IF(OR($AE203="",$AD203=""),"",IF($AD203&lt;=0,"",$AE203/$AD203))</f>
        <v/>
      </c>
      <c r="AG203" s="14" t="str">
        <f aca="false">IF($AF203="","",$AF203*365/MAX(N($X203),1))</f>
        <v/>
      </c>
      <c r="AH203" s="14" t="str">
        <f aca="false">IF(OR($C203="",$U203&lt;&gt;"Crédito",$AD203=""),"",IF($AD203&lt;=0,"",($Z203-N($L203))/$AD203))</f>
        <v/>
      </c>
      <c r="AI203" s="14" t="str">
        <f aca="false">IF(OR($AH203="",$W203=""),"",$AH203*365/MAX($W203,1))</f>
        <v/>
      </c>
      <c r="AJ203" s="14" t="str">
        <f aca="false">IF(OR($AE203="",$U203&lt;&gt;"Crédito",N($K203)=0),"",(N($K203)-IF(OR($M203="Cerrada",$M203="Rolada"),N($O203),0))/$K203)</f>
        <v/>
      </c>
      <c r="AK203" s="15" t="str">
        <f aca="false">IF(OR($C203="",$N203=""),"",DATE(YEAR($N203),MONTH($N203),1))</f>
        <v/>
      </c>
      <c r="AL203" s="11" t="str">
        <f aca="false">IF($C203="","",IF($M203="Abierta",0,1))</f>
        <v/>
      </c>
      <c r="AM203" s="16" t="str">
        <f aca="false">IF(OR($AE203="",$AD203=""),"",$AD203*MAX(N($X203),1))</f>
        <v/>
      </c>
      <c r="AN203" s="10" t="str">
        <f aca="false">IF($C203="","",IF(OR($B203="",$D203="",$H203="",$K203="",$M203=""),"Faltan datos obligatorios",IF($T203="","Estrategia no reconocida",IF(AND($M203&lt;&gt;"Abierta",$N203=""),"Falta fecha cierre",IF(AND(OR($M203="Cerrada",$M203="Rolada"),$O203=""),"Falta prima cierre",IF(AND($N203&lt;&gt;"",$N203&lt;$B203),"Cierre anterior a apertura",IF(AND($M203="Asignada",$R203=""),"Asignada: falta ID lote acciones",IF(AND($R203&lt;&gt;"",ISNA(MATCH($R203,Acciones!$A$2:$A$201,0))),"El ID lote no existe en Acciones",IF($AD203="","Revisa capital en riesgo","OK")))))))))</f>
        <v/>
      </c>
    </row>
    <row r="204" customFormat="false" ht="15" hidden="false" customHeight="true" outlineLevel="0" collapsed="false">
      <c r="A204" s="5"/>
      <c r="B204" s="6"/>
      <c r="C204" s="7"/>
      <c r="D204" s="7"/>
      <c r="E204" s="8"/>
      <c r="F204" s="8"/>
      <c r="G204" s="6"/>
      <c r="H204" s="5"/>
      <c r="I204" s="5" t="n">
        <v>100</v>
      </c>
      <c r="J204" s="8"/>
      <c r="K204" s="8"/>
      <c r="L204" s="9"/>
      <c r="M204" s="7"/>
      <c r="N204" s="6"/>
      <c r="O204" s="8"/>
      <c r="P204" s="9"/>
      <c r="Q204" s="9"/>
      <c r="R204" s="7"/>
      <c r="S204" s="7"/>
      <c r="T204" s="10" t="str">
        <f aca="false">IF($C204="","",IFERROR(INDEX(Listas!$B$2:$B$20,MATCH($D204,Listas!$A$2:$A$20,0)),""))</f>
        <v/>
      </c>
      <c r="U204" s="10" t="str">
        <f aca="false">IF($C204="","",IFERROR(INDEX(Listas!$C$2:$C$20,MATCH($D204,Listas!$A$2:$A$20,0)),""))</f>
        <v/>
      </c>
      <c r="V204" s="10" t="str">
        <f aca="false">IF($C204="","",IFERROR(INDEX(Listas!$D$2:$D$20,MATCH($D204,Listas!$A$2:$A$20,0)),""))</f>
        <v/>
      </c>
      <c r="W204" s="11" t="str">
        <f aca="false">IF(OR($C204="",$B204="",$G204=""),"",$G204-$B204)</f>
        <v/>
      </c>
      <c r="X204" s="11" t="str">
        <f aca="true">IF(OR($C204="",$B204=""),"",IF($N204&lt;&gt;"",$N204,TODAY())-$B204)</f>
        <v/>
      </c>
      <c r="Y204" s="11" t="str">
        <f aca="true">IF(OR($C204="",$M204&lt;&gt;"Abierta",$G204=""),"",MAX($G204-TODAY(),0))</f>
        <v/>
      </c>
      <c r="Z204" s="12" t="str">
        <f aca="false">IF($C204="","",N($K204)*N($H204)*N($I204)*IF($U204="Débito",-1,1))</f>
        <v/>
      </c>
      <c r="AA204" s="13" t="str">
        <f aca="false">IF($C204="","",IF(AND($U204="Débito",$F204&lt;&gt;""),$F204,$E204))</f>
        <v/>
      </c>
      <c r="AB204" s="13" t="str">
        <f aca="false">IF(OR($C204="",$T204="Mixta",$AA204=""),"",IF($V204="Subyacente",IF($J204="","",$J204-$K204),IF($T204="Put",$AA204-$K204,$AA204+$K204)))</f>
        <v/>
      </c>
      <c r="AC204" s="14" t="str">
        <f aca="false">IF(OR($C204="",$T204="Mixta",$J204="",$AA204=""),"",IF($T204="Put",($J204-$AA204)/$J204,($AA204-$J204)/$J204))</f>
        <v/>
      </c>
      <c r="AD204" s="12" t="str">
        <f aca="false">IF($C204="","",IF($Q204&lt;&gt;"",$Q204,IF($V204="Strike",N($E204)*$H204*$I204,IF($V204="Subyacente",IF($J204="","",$J204*$H204*$I204),IF($V204="Ancho",IF($F204="","",ABS($E204-$F204)*$H204*$I204-$K204*$H204*$I204),IF($V204="Prima",$K204*$H204*$I204,""))))))</f>
        <v/>
      </c>
      <c r="AE204" s="12" t="str">
        <f aca="false">IF(OR($C204="",$M204="Abierta",$M204=""),"",(N($K204)-IF(OR($M204="Cerrada",$M204="Rolada"),N($O204),0))*$H204*$I204*IF($U204="Débito",-1,1)-N($L204)-N($P204))</f>
        <v/>
      </c>
      <c r="AF204" s="14" t="str">
        <f aca="false">IF(OR($AE204="",$AD204=""),"",IF($AD204&lt;=0,"",$AE204/$AD204))</f>
        <v/>
      </c>
      <c r="AG204" s="14" t="str">
        <f aca="false">IF($AF204="","",$AF204*365/MAX(N($X204),1))</f>
        <v/>
      </c>
      <c r="AH204" s="14" t="str">
        <f aca="false">IF(OR($C204="",$U204&lt;&gt;"Crédito",$AD204=""),"",IF($AD204&lt;=0,"",($Z204-N($L204))/$AD204))</f>
        <v/>
      </c>
      <c r="AI204" s="14" t="str">
        <f aca="false">IF(OR($AH204="",$W204=""),"",$AH204*365/MAX($W204,1))</f>
        <v/>
      </c>
      <c r="AJ204" s="14" t="str">
        <f aca="false">IF(OR($AE204="",$U204&lt;&gt;"Crédito",N($K204)=0),"",(N($K204)-IF(OR($M204="Cerrada",$M204="Rolada"),N($O204),0))/$K204)</f>
        <v/>
      </c>
      <c r="AK204" s="15" t="str">
        <f aca="false">IF(OR($C204="",$N204=""),"",DATE(YEAR($N204),MONTH($N204),1))</f>
        <v/>
      </c>
      <c r="AL204" s="11" t="str">
        <f aca="false">IF($C204="","",IF($M204="Abierta",0,1))</f>
        <v/>
      </c>
      <c r="AM204" s="16" t="str">
        <f aca="false">IF(OR($AE204="",$AD204=""),"",$AD204*MAX(N($X204),1))</f>
        <v/>
      </c>
      <c r="AN204" s="10" t="str">
        <f aca="false">IF($C204="","",IF(OR($B204="",$D204="",$H204="",$K204="",$M204=""),"Faltan datos obligatorios",IF($T204="","Estrategia no reconocida",IF(AND($M204&lt;&gt;"Abierta",$N204=""),"Falta fecha cierre",IF(AND(OR($M204="Cerrada",$M204="Rolada"),$O204=""),"Falta prima cierre",IF(AND($N204&lt;&gt;"",$N204&lt;$B204),"Cierre anterior a apertura",IF(AND($M204="Asignada",$R204=""),"Asignada: falta ID lote acciones",IF(AND($R204&lt;&gt;"",ISNA(MATCH($R204,Acciones!$A$2:$A$201,0))),"El ID lote no existe en Acciones",IF($AD204="","Revisa capital en riesgo","OK")))))))))</f>
        <v/>
      </c>
    </row>
    <row r="205" customFormat="false" ht="15" hidden="false" customHeight="true" outlineLevel="0" collapsed="false">
      <c r="A205" s="5"/>
      <c r="B205" s="6"/>
      <c r="C205" s="7"/>
      <c r="D205" s="7"/>
      <c r="E205" s="8"/>
      <c r="F205" s="8"/>
      <c r="G205" s="6"/>
      <c r="H205" s="5"/>
      <c r="I205" s="5" t="n">
        <v>100</v>
      </c>
      <c r="J205" s="8"/>
      <c r="K205" s="8"/>
      <c r="L205" s="9"/>
      <c r="M205" s="7"/>
      <c r="N205" s="6"/>
      <c r="O205" s="8"/>
      <c r="P205" s="9"/>
      <c r="Q205" s="9"/>
      <c r="R205" s="7"/>
      <c r="S205" s="7"/>
      <c r="T205" s="10" t="str">
        <f aca="false">IF($C205="","",IFERROR(INDEX(Listas!$B$2:$B$20,MATCH($D205,Listas!$A$2:$A$20,0)),""))</f>
        <v/>
      </c>
      <c r="U205" s="10" t="str">
        <f aca="false">IF($C205="","",IFERROR(INDEX(Listas!$C$2:$C$20,MATCH($D205,Listas!$A$2:$A$20,0)),""))</f>
        <v/>
      </c>
      <c r="V205" s="10" t="str">
        <f aca="false">IF($C205="","",IFERROR(INDEX(Listas!$D$2:$D$20,MATCH($D205,Listas!$A$2:$A$20,0)),""))</f>
        <v/>
      </c>
      <c r="W205" s="11" t="str">
        <f aca="false">IF(OR($C205="",$B205="",$G205=""),"",$G205-$B205)</f>
        <v/>
      </c>
      <c r="X205" s="11" t="str">
        <f aca="true">IF(OR($C205="",$B205=""),"",IF($N205&lt;&gt;"",$N205,TODAY())-$B205)</f>
        <v/>
      </c>
      <c r="Y205" s="11" t="str">
        <f aca="true">IF(OR($C205="",$M205&lt;&gt;"Abierta",$G205=""),"",MAX($G205-TODAY(),0))</f>
        <v/>
      </c>
      <c r="Z205" s="12" t="str">
        <f aca="false">IF($C205="","",N($K205)*N($H205)*N($I205)*IF($U205="Débito",-1,1))</f>
        <v/>
      </c>
      <c r="AA205" s="13" t="str">
        <f aca="false">IF($C205="","",IF(AND($U205="Débito",$F205&lt;&gt;""),$F205,$E205))</f>
        <v/>
      </c>
      <c r="AB205" s="13" t="str">
        <f aca="false">IF(OR($C205="",$T205="Mixta",$AA205=""),"",IF($V205="Subyacente",IF($J205="","",$J205-$K205),IF($T205="Put",$AA205-$K205,$AA205+$K205)))</f>
        <v/>
      </c>
      <c r="AC205" s="14" t="str">
        <f aca="false">IF(OR($C205="",$T205="Mixta",$J205="",$AA205=""),"",IF($T205="Put",($J205-$AA205)/$J205,($AA205-$J205)/$J205))</f>
        <v/>
      </c>
      <c r="AD205" s="12" t="str">
        <f aca="false">IF($C205="","",IF($Q205&lt;&gt;"",$Q205,IF($V205="Strike",N($E205)*$H205*$I205,IF($V205="Subyacente",IF($J205="","",$J205*$H205*$I205),IF($V205="Ancho",IF($F205="","",ABS($E205-$F205)*$H205*$I205-$K205*$H205*$I205),IF($V205="Prima",$K205*$H205*$I205,""))))))</f>
        <v/>
      </c>
      <c r="AE205" s="12" t="str">
        <f aca="false">IF(OR($C205="",$M205="Abierta",$M205=""),"",(N($K205)-IF(OR($M205="Cerrada",$M205="Rolada"),N($O205),0))*$H205*$I205*IF($U205="Débito",-1,1)-N($L205)-N($P205))</f>
        <v/>
      </c>
      <c r="AF205" s="14" t="str">
        <f aca="false">IF(OR($AE205="",$AD205=""),"",IF($AD205&lt;=0,"",$AE205/$AD205))</f>
        <v/>
      </c>
      <c r="AG205" s="14" t="str">
        <f aca="false">IF($AF205="","",$AF205*365/MAX(N($X205),1))</f>
        <v/>
      </c>
      <c r="AH205" s="14" t="str">
        <f aca="false">IF(OR($C205="",$U205&lt;&gt;"Crédito",$AD205=""),"",IF($AD205&lt;=0,"",($Z205-N($L205))/$AD205))</f>
        <v/>
      </c>
      <c r="AI205" s="14" t="str">
        <f aca="false">IF(OR($AH205="",$W205=""),"",$AH205*365/MAX($W205,1))</f>
        <v/>
      </c>
      <c r="AJ205" s="14" t="str">
        <f aca="false">IF(OR($AE205="",$U205&lt;&gt;"Crédito",N($K205)=0),"",(N($K205)-IF(OR($M205="Cerrada",$M205="Rolada"),N($O205),0))/$K205)</f>
        <v/>
      </c>
      <c r="AK205" s="15" t="str">
        <f aca="false">IF(OR($C205="",$N205=""),"",DATE(YEAR($N205),MONTH($N205),1))</f>
        <v/>
      </c>
      <c r="AL205" s="11" t="str">
        <f aca="false">IF($C205="","",IF($M205="Abierta",0,1))</f>
        <v/>
      </c>
      <c r="AM205" s="16" t="str">
        <f aca="false">IF(OR($AE205="",$AD205=""),"",$AD205*MAX(N($X205),1))</f>
        <v/>
      </c>
      <c r="AN205" s="10" t="str">
        <f aca="false">IF($C205="","",IF(OR($B205="",$D205="",$H205="",$K205="",$M205=""),"Faltan datos obligatorios",IF($T205="","Estrategia no reconocida",IF(AND($M205&lt;&gt;"Abierta",$N205=""),"Falta fecha cierre",IF(AND(OR($M205="Cerrada",$M205="Rolada"),$O205=""),"Falta prima cierre",IF(AND($N205&lt;&gt;"",$N205&lt;$B205),"Cierre anterior a apertura",IF(AND($M205="Asignada",$R205=""),"Asignada: falta ID lote acciones",IF(AND($R205&lt;&gt;"",ISNA(MATCH($R205,Acciones!$A$2:$A$201,0))),"El ID lote no existe en Acciones",IF($AD205="","Revisa capital en riesgo","OK")))))))))</f>
        <v/>
      </c>
    </row>
    <row r="206" customFormat="false" ht="15" hidden="false" customHeight="true" outlineLevel="0" collapsed="false">
      <c r="A206" s="5"/>
      <c r="B206" s="6"/>
      <c r="C206" s="7"/>
      <c r="D206" s="7"/>
      <c r="E206" s="8"/>
      <c r="F206" s="8"/>
      <c r="G206" s="6"/>
      <c r="H206" s="5"/>
      <c r="I206" s="5" t="n">
        <v>100</v>
      </c>
      <c r="J206" s="8"/>
      <c r="K206" s="8"/>
      <c r="L206" s="9"/>
      <c r="M206" s="7"/>
      <c r="N206" s="6"/>
      <c r="O206" s="8"/>
      <c r="P206" s="9"/>
      <c r="Q206" s="9"/>
      <c r="R206" s="7"/>
      <c r="S206" s="7"/>
      <c r="T206" s="10" t="str">
        <f aca="false">IF($C206="","",IFERROR(INDEX(Listas!$B$2:$B$20,MATCH($D206,Listas!$A$2:$A$20,0)),""))</f>
        <v/>
      </c>
      <c r="U206" s="10" t="str">
        <f aca="false">IF($C206="","",IFERROR(INDEX(Listas!$C$2:$C$20,MATCH($D206,Listas!$A$2:$A$20,0)),""))</f>
        <v/>
      </c>
      <c r="V206" s="10" t="str">
        <f aca="false">IF($C206="","",IFERROR(INDEX(Listas!$D$2:$D$20,MATCH($D206,Listas!$A$2:$A$20,0)),""))</f>
        <v/>
      </c>
      <c r="W206" s="11" t="str">
        <f aca="false">IF(OR($C206="",$B206="",$G206=""),"",$G206-$B206)</f>
        <v/>
      </c>
      <c r="X206" s="11" t="str">
        <f aca="true">IF(OR($C206="",$B206=""),"",IF($N206&lt;&gt;"",$N206,TODAY())-$B206)</f>
        <v/>
      </c>
      <c r="Y206" s="11" t="str">
        <f aca="true">IF(OR($C206="",$M206&lt;&gt;"Abierta",$G206=""),"",MAX($G206-TODAY(),0))</f>
        <v/>
      </c>
      <c r="Z206" s="12" t="str">
        <f aca="false">IF($C206="","",N($K206)*N($H206)*N($I206)*IF($U206="Débito",-1,1))</f>
        <v/>
      </c>
      <c r="AA206" s="13" t="str">
        <f aca="false">IF($C206="","",IF(AND($U206="Débito",$F206&lt;&gt;""),$F206,$E206))</f>
        <v/>
      </c>
      <c r="AB206" s="13" t="str">
        <f aca="false">IF(OR($C206="",$T206="Mixta",$AA206=""),"",IF($V206="Subyacente",IF($J206="","",$J206-$K206),IF($T206="Put",$AA206-$K206,$AA206+$K206)))</f>
        <v/>
      </c>
      <c r="AC206" s="14" t="str">
        <f aca="false">IF(OR($C206="",$T206="Mixta",$J206="",$AA206=""),"",IF($T206="Put",($J206-$AA206)/$J206,($AA206-$J206)/$J206))</f>
        <v/>
      </c>
      <c r="AD206" s="12" t="str">
        <f aca="false">IF($C206="","",IF($Q206&lt;&gt;"",$Q206,IF($V206="Strike",N($E206)*$H206*$I206,IF($V206="Subyacente",IF($J206="","",$J206*$H206*$I206),IF($V206="Ancho",IF($F206="","",ABS($E206-$F206)*$H206*$I206-$K206*$H206*$I206),IF($V206="Prima",$K206*$H206*$I206,""))))))</f>
        <v/>
      </c>
      <c r="AE206" s="12" t="str">
        <f aca="false">IF(OR($C206="",$M206="Abierta",$M206=""),"",(N($K206)-IF(OR($M206="Cerrada",$M206="Rolada"),N($O206),0))*$H206*$I206*IF($U206="Débito",-1,1)-N($L206)-N($P206))</f>
        <v/>
      </c>
      <c r="AF206" s="14" t="str">
        <f aca="false">IF(OR($AE206="",$AD206=""),"",IF($AD206&lt;=0,"",$AE206/$AD206))</f>
        <v/>
      </c>
      <c r="AG206" s="14" t="str">
        <f aca="false">IF($AF206="","",$AF206*365/MAX(N($X206),1))</f>
        <v/>
      </c>
      <c r="AH206" s="14" t="str">
        <f aca="false">IF(OR($C206="",$U206&lt;&gt;"Crédito",$AD206=""),"",IF($AD206&lt;=0,"",($Z206-N($L206))/$AD206))</f>
        <v/>
      </c>
      <c r="AI206" s="14" t="str">
        <f aca="false">IF(OR($AH206="",$W206=""),"",$AH206*365/MAX($W206,1))</f>
        <v/>
      </c>
      <c r="AJ206" s="14" t="str">
        <f aca="false">IF(OR($AE206="",$U206&lt;&gt;"Crédito",N($K206)=0),"",(N($K206)-IF(OR($M206="Cerrada",$M206="Rolada"),N($O206),0))/$K206)</f>
        <v/>
      </c>
      <c r="AK206" s="15" t="str">
        <f aca="false">IF(OR($C206="",$N206=""),"",DATE(YEAR($N206),MONTH($N206),1))</f>
        <v/>
      </c>
      <c r="AL206" s="11" t="str">
        <f aca="false">IF($C206="","",IF($M206="Abierta",0,1))</f>
        <v/>
      </c>
      <c r="AM206" s="16" t="str">
        <f aca="false">IF(OR($AE206="",$AD206=""),"",$AD206*MAX(N($X206),1))</f>
        <v/>
      </c>
      <c r="AN206" s="10" t="str">
        <f aca="false">IF($C206="","",IF(OR($B206="",$D206="",$H206="",$K206="",$M206=""),"Faltan datos obligatorios",IF($T206="","Estrategia no reconocida",IF(AND($M206&lt;&gt;"Abierta",$N206=""),"Falta fecha cierre",IF(AND(OR($M206="Cerrada",$M206="Rolada"),$O206=""),"Falta prima cierre",IF(AND($N206&lt;&gt;"",$N206&lt;$B206),"Cierre anterior a apertura",IF(AND($M206="Asignada",$R206=""),"Asignada: falta ID lote acciones",IF(AND($R206&lt;&gt;"",ISNA(MATCH($R206,Acciones!$A$2:$A$201,0))),"El ID lote no existe en Acciones",IF($AD206="","Revisa capital en riesgo","OK")))))))))</f>
        <v/>
      </c>
    </row>
    <row r="207" customFormat="false" ht="15" hidden="false" customHeight="true" outlineLevel="0" collapsed="false">
      <c r="A207" s="5"/>
      <c r="B207" s="6"/>
      <c r="C207" s="7"/>
      <c r="D207" s="7"/>
      <c r="E207" s="8"/>
      <c r="F207" s="8"/>
      <c r="G207" s="6"/>
      <c r="H207" s="5"/>
      <c r="I207" s="5" t="n">
        <v>100</v>
      </c>
      <c r="J207" s="8"/>
      <c r="K207" s="8"/>
      <c r="L207" s="9"/>
      <c r="M207" s="7"/>
      <c r="N207" s="6"/>
      <c r="O207" s="8"/>
      <c r="P207" s="9"/>
      <c r="Q207" s="9"/>
      <c r="R207" s="7"/>
      <c r="S207" s="7"/>
      <c r="T207" s="10" t="str">
        <f aca="false">IF($C207="","",IFERROR(INDEX(Listas!$B$2:$B$20,MATCH($D207,Listas!$A$2:$A$20,0)),""))</f>
        <v/>
      </c>
      <c r="U207" s="10" t="str">
        <f aca="false">IF($C207="","",IFERROR(INDEX(Listas!$C$2:$C$20,MATCH($D207,Listas!$A$2:$A$20,0)),""))</f>
        <v/>
      </c>
      <c r="V207" s="10" t="str">
        <f aca="false">IF($C207="","",IFERROR(INDEX(Listas!$D$2:$D$20,MATCH($D207,Listas!$A$2:$A$20,0)),""))</f>
        <v/>
      </c>
      <c r="W207" s="11" t="str">
        <f aca="false">IF(OR($C207="",$B207="",$G207=""),"",$G207-$B207)</f>
        <v/>
      </c>
      <c r="X207" s="11" t="str">
        <f aca="true">IF(OR($C207="",$B207=""),"",IF($N207&lt;&gt;"",$N207,TODAY())-$B207)</f>
        <v/>
      </c>
      <c r="Y207" s="11" t="str">
        <f aca="true">IF(OR($C207="",$M207&lt;&gt;"Abierta",$G207=""),"",MAX($G207-TODAY(),0))</f>
        <v/>
      </c>
      <c r="Z207" s="12" t="str">
        <f aca="false">IF($C207="","",N($K207)*N($H207)*N($I207)*IF($U207="Débito",-1,1))</f>
        <v/>
      </c>
      <c r="AA207" s="13" t="str">
        <f aca="false">IF($C207="","",IF(AND($U207="Débito",$F207&lt;&gt;""),$F207,$E207))</f>
        <v/>
      </c>
      <c r="AB207" s="13" t="str">
        <f aca="false">IF(OR($C207="",$T207="Mixta",$AA207=""),"",IF($V207="Subyacente",IF($J207="","",$J207-$K207),IF($T207="Put",$AA207-$K207,$AA207+$K207)))</f>
        <v/>
      </c>
      <c r="AC207" s="14" t="str">
        <f aca="false">IF(OR($C207="",$T207="Mixta",$J207="",$AA207=""),"",IF($T207="Put",($J207-$AA207)/$J207,($AA207-$J207)/$J207))</f>
        <v/>
      </c>
      <c r="AD207" s="12" t="str">
        <f aca="false">IF($C207="","",IF($Q207&lt;&gt;"",$Q207,IF($V207="Strike",N($E207)*$H207*$I207,IF($V207="Subyacente",IF($J207="","",$J207*$H207*$I207),IF($V207="Ancho",IF($F207="","",ABS($E207-$F207)*$H207*$I207-$K207*$H207*$I207),IF($V207="Prima",$K207*$H207*$I207,""))))))</f>
        <v/>
      </c>
      <c r="AE207" s="12" t="str">
        <f aca="false">IF(OR($C207="",$M207="Abierta",$M207=""),"",(N($K207)-IF(OR($M207="Cerrada",$M207="Rolada"),N($O207),0))*$H207*$I207*IF($U207="Débito",-1,1)-N($L207)-N($P207))</f>
        <v/>
      </c>
      <c r="AF207" s="14" t="str">
        <f aca="false">IF(OR($AE207="",$AD207=""),"",IF($AD207&lt;=0,"",$AE207/$AD207))</f>
        <v/>
      </c>
      <c r="AG207" s="14" t="str">
        <f aca="false">IF($AF207="","",$AF207*365/MAX(N($X207),1))</f>
        <v/>
      </c>
      <c r="AH207" s="14" t="str">
        <f aca="false">IF(OR($C207="",$U207&lt;&gt;"Crédito",$AD207=""),"",IF($AD207&lt;=0,"",($Z207-N($L207))/$AD207))</f>
        <v/>
      </c>
      <c r="AI207" s="14" t="str">
        <f aca="false">IF(OR($AH207="",$W207=""),"",$AH207*365/MAX($W207,1))</f>
        <v/>
      </c>
      <c r="AJ207" s="14" t="str">
        <f aca="false">IF(OR($AE207="",$U207&lt;&gt;"Crédito",N($K207)=0),"",(N($K207)-IF(OR($M207="Cerrada",$M207="Rolada"),N($O207),0))/$K207)</f>
        <v/>
      </c>
      <c r="AK207" s="15" t="str">
        <f aca="false">IF(OR($C207="",$N207=""),"",DATE(YEAR($N207),MONTH($N207),1))</f>
        <v/>
      </c>
      <c r="AL207" s="11" t="str">
        <f aca="false">IF($C207="","",IF($M207="Abierta",0,1))</f>
        <v/>
      </c>
      <c r="AM207" s="16" t="str">
        <f aca="false">IF(OR($AE207="",$AD207=""),"",$AD207*MAX(N($X207),1))</f>
        <v/>
      </c>
      <c r="AN207" s="10" t="str">
        <f aca="false">IF($C207="","",IF(OR($B207="",$D207="",$H207="",$K207="",$M207=""),"Faltan datos obligatorios",IF($T207="","Estrategia no reconocida",IF(AND($M207&lt;&gt;"Abierta",$N207=""),"Falta fecha cierre",IF(AND(OR($M207="Cerrada",$M207="Rolada"),$O207=""),"Falta prima cierre",IF(AND($N207&lt;&gt;"",$N207&lt;$B207),"Cierre anterior a apertura",IF(AND($M207="Asignada",$R207=""),"Asignada: falta ID lote acciones",IF(AND($R207&lt;&gt;"",ISNA(MATCH($R207,Acciones!$A$2:$A$201,0))),"El ID lote no existe en Acciones",IF($AD207="","Revisa capital en riesgo","OK")))))))))</f>
        <v/>
      </c>
    </row>
    <row r="208" customFormat="false" ht="15" hidden="false" customHeight="true" outlineLevel="0" collapsed="false">
      <c r="A208" s="5"/>
      <c r="B208" s="6"/>
      <c r="C208" s="7"/>
      <c r="D208" s="7"/>
      <c r="E208" s="8"/>
      <c r="F208" s="8"/>
      <c r="G208" s="6"/>
      <c r="H208" s="5"/>
      <c r="I208" s="5" t="n">
        <v>100</v>
      </c>
      <c r="J208" s="8"/>
      <c r="K208" s="8"/>
      <c r="L208" s="9"/>
      <c r="M208" s="7"/>
      <c r="N208" s="6"/>
      <c r="O208" s="8"/>
      <c r="P208" s="9"/>
      <c r="Q208" s="9"/>
      <c r="R208" s="7"/>
      <c r="S208" s="7"/>
      <c r="T208" s="10" t="str">
        <f aca="false">IF($C208="","",IFERROR(INDEX(Listas!$B$2:$B$20,MATCH($D208,Listas!$A$2:$A$20,0)),""))</f>
        <v/>
      </c>
      <c r="U208" s="10" t="str">
        <f aca="false">IF($C208="","",IFERROR(INDEX(Listas!$C$2:$C$20,MATCH($D208,Listas!$A$2:$A$20,0)),""))</f>
        <v/>
      </c>
      <c r="V208" s="10" t="str">
        <f aca="false">IF($C208="","",IFERROR(INDEX(Listas!$D$2:$D$20,MATCH($D208,Listas!$A$2:$A$20,0)),""))</f>
        <v/>
      </c>
      <c r="W208" s="11" t="str">
        <f aca="false">IF(OR($C208="",$B208="",$G208=""),"",$G208-$B208)</f>
        <v/>
      </c>
      <c r="X208" s="11" t="str">
        <f aca="true">IF(OR($C208="",$B208=""),"",IF($N208&lt;&gt;"",$N208,TODAY())-$B208)</f>
        <v/>
      </c>
      <c r="Y208" s="11" t="str">
        <f aca="true">IF(OR($C208="",$M208&lt;&gt;"Abierta",$G208=""),"",MAX($G208-TODAY(),0))</f>
        <v/>
      </c>
      <c r="Z208" s="12" t="str">
        <f aca="false">IF($C208="","",N($K208)*N($H208)*N($I208)*IF($U208="Débito",-1,1))</f>
        <v/>
      </c>
      <c r="AA208" s="13" t="str">
        <f aca="false">IF($C208="","",IF(AND($U208="Débito",$F208&lt;&gt;""),$F208,$E208))</f>
        <v/>
      </c>
      <c r="AB208" s="13" t="str">
        <f aca="false">IF(OR($C208="",$T208="Mixta",$AA208=""),"",IF($V208="Subyacente",IF($J208="","",$J208-$K208),IF($T208="Put",$AA208-$K208,$AA208+$K208)))</f>
        <v/>
      </c>
      <c r="AC208" s="14" t="str">
        <f aca="false">IF(OR($C208="",$T208="Mixta",$J208="",$AA208=""),"",IF($T208="Put",($J208-$AA208)/$J208,($AA208-$J208)/$J208))</f>
        <v/>
      </c>
      <c r="AD208" s="12" t="str">
        <f aca="false">IF($C208="","",IF($Q208&lt;&gt;"",$Q208,IF($V208="Strike",N($E208)*$H208*$I208,IF($V208="Subyacente",IF($J208="","",$J208*$H208*$I208),IF($V208="Ancho",IF($F208="","",ABS($E208-$F208)*$H208*$I208-$K208*$H208*$I208),IF($V208="Prima",$K208*$H208*$I208,""))))))</f>
        <v/>
      </c>
      <c r="AE208" s="12" t="str">
        <f aca="false">IF(OR($C208="",$M208="Abierta",$M208=""),"",(N($K208)-IF(OR($M208="Cerrada",$M208="Rolada"),N($O208),0))*$H208*$I208*IF($U208="Débito",-1,1)-N($L208)-N($P208))</f>
        <v/>
      </c>
      <c r="AF208" s="14" t="str">
        <f aca="false">IF(OR($AE208="",$AD208=""),"",IF($AD208&lt;=0,"",$AE208/$AD208))</f>
        <v/>
      </c>
      <c r="AG208" s="14" t="str">
        <f aca="false">IF($AF208="","",$AF208*365/MAX(N($X208),1))</f>
        <v/>
      </c>
      <c r="AH208" s="14" t="str">
        <f aca="false">IF(OR($C208="",$U208&lt;&gt;"Crédito",$AD208=""),"",IF($AD208&lt;=0,"",($Z208-N($L208))/$AD208))</f>
        <v/>
      </c>
      <c r="AI208" s="14" t="str">
        <f aca="false">IF(OR($AH208="",$W208=""),"",$AH208*365/MAX($W208,1))</f>
        <v/>
      </c>
      <c r="AJ208" s="14" t="str">
        <f aca="false">IF(OR($AE208="",$U208&lt;&gt;"Crédito",N($K208)=0),"",(N($K208)-IF(OR($M208="Cerrada",$M208="Rolada"),N($O208),0))/$K208)</f>
        <v/>
      </c>
      <c r="AK208" s="15" t="str">
        <f aca="false">IF(OR($C208="",$N208=""),"",DATE(YEAR($N208),MONTH($N208),1))</f>
        <v/>
      </c>
      <c r="AL208" s="11" t="str">
        <f aca="false">IF($C208="","",IF($M208="Abierta",0,1))</f>
        <v/>
      </c>
      <c r="AM208" s="16" t="str">
        <f aca="false">IF(OR($AE208="",$AD208=""),"",$AD208*MAX(N($X208),1))</f>
        <v/>
      </c>
      <c r="AN208" s="10" t="str">
        <f aca="false">IF($C208="","",IF(OR($B208="",$D208="",$H208="",$K208="",$M208=""),"Faltan datos obligatorios",IF($T208="","Estrategia no reconocida",IF(AND($M208&lt;&gt;"Abierta",$N208=""),"Falta fecha cierre",IF(AND(OR($M208="Cerrada",$M208="Rolada"),$O208=""),"Falta prima cierre",IF(AND($N208&lt;&gt;"",$N208&lt;$B208),"Cierre anterior a apertura",IF(AND($M208="Asignada",$R208=""),"Asignada: falta ID lote acciones",IF(AND($R208&lt;&gt;"",ISNA(MATCH($R208,Acciones!$A$2:$A$201,0))),"El ID lote no existe en Acciones",IF($AD208="","Revisa capital en riesgo","OK")))))))))</f>
        <v/>
      </c>
    </row>
    <row r="209" customFormat="false" ht="15" hidden="false" customHeight="true" outlineLevel="0" collapsed="false">
      <c r="A209" s="5"/>
      <c r="B209" s="6"/>
      <c r="C209" s="7"/>
      <c r="D209" s="7"/>
      <c r="E209" s="8"/>
      <c r="F209" s="8"/>
      <c r="G209" s="6"/>
      <c r="H209" s="5"/>
      <c r="I209" s="5" t="n">
        <v>100</v>
      </c>
      <c r="J209" s="8"/>
      <c r="K209" s="8"/>
      <c r="L209" s="9"/>
      <c r="M209" s="7"/>
      <c r="N209" s="6"/>
      <c r="O209" s="8"/>
      <c r="P209" s="9"/>
      <c r="Q209" s="9"/>
      <c r="R209" s="7"/>
      <c r="S209" s="7"/>
      <c r="T209" s="10" t="str">
        <f aca="false">IF($C209="","",IFERROR(INDEX(Listas!$B$2:$B$20,MATCH($D209,Listas!$A$2:$A$20,0)),""))</f>
        <v/>
      </c>
      <c r="U209" s="10" t="str">
        <f aca="false">IF($C209="","",IFERROR(INDEX(Listas!$C$2:$C$20,MATCH($D209,Listas!$A$2:$A$20,0)),""))</f>
        <v/>
      </c>
      <c r="V209" s="10" t="str">
        <f aca="false">IF($C209="","",IFERROR(INDEX(Listas!$D$2:$D$20,MATCH($D209,Listas!$A$2:$A$20,0)),""))</f>
        <v/>
      </c>
      <c r="W209" s="11" t="str">
        <f aca="false">IF(OR($C209="",$B209="",$G209=""),"",$G209-$B209)</f>
        <v/>
      </c>
      <c r="X209" s="11" t="str">
        <f aca="true">IF(OR($C209="",$B209=""),"",IF($N209&lt;&gt;"",$N209,TODAY())-$B209)</f>
        <v/>
      </c>
      <c r="Y209" s="11" t="str">
        <f aca="true">IF(OR($C209="",$M209&lt;&gt;"Abierta",$G209=""),"",MAX($G209-TODAY(),0))</f>
        <v/>
      </c>
      <c r="Z209" s="12" t="str">
        <f aca="false">IF($C209="","",N($K209)*N($H209)*N($I209)*IF($U209="Débito",-1,1))</f>
        <v/>
      </c>
      <c r="AA209" s="13" t="str">
        <f aca="false">IF($C209="","",IF(AND($U209="Débito",$F209&lt;&gt;""),$F209,$E209))</f>
        <v/>
      </c>
      <c r="AB209" s="13" t="str">
        <f aca="false">IF(OR($C209="",$T209="Mixta",$AA209=""),"",IF($V209="Subyacente",IF($J209="","",$J209-$K209),IF($T209="Put",$AA209-$K209,$AA209+$K209)))</f>
        <v/>
      </c>
      <c r="AC209" s="14" t="str">
        <f aca="false">IF(OR($C209="",$T209="Mixta",$J209="",$AA209=""),"",IF($T209="Put",($J209-$AA209)/$J209,($AA209-$J209)/$J209))</f>
        <v/>
      </c>
      <c r="AD209" s="12" t="str">
        <f aca="false">IF($C209="","",IF($Q209&lt;&gt;"",$Q209,IF($V209="Strike",N($E209)*$H209*$I209,IF($V209="Subyacente",IF($J209="","",$J209*$H209*$I209),IF($V209="Ancho",IF($F209="","",ABS($E209-$F209)*$H209*$I209-$K209*$H209*$I209),IF($V209="Prima",$K209*$H209*$I209,""))))))</f>
        <v/>
      </c>
      <c r="AE209" s="12" t="str">
        <f aca="false">IF(OR($C209="",$M209="Abierta",$M209=""),"",(N($K209)-IF(OR($M209="Cerrada",$M209="Rolada"),N($O209),0))*$H209*$I209*IF($U209="Débito",-1,1)-N($L209)-N($P209))</f>
        <v/>
      </c>
      <c r="AF209" s="14" t="str">
        <f aca="false">IF(OR($AE209="",$AD209=""),"",IF($AD209&lt;=0,"",$AE209/$AD209))</f>
        <v/>
      </c>
      <c r="AG209" s="14" t="str">
        <f aca="false">IF($AF209="","",$AF209*365/MAX(N($X209),1))</f>
        <v/>
      </c>
      <c r="AH209" s="14" t="str">
        <f aca="false">IF(OR($C209="",$U209&lt;&gt;"Crédito",$AD209=""),"",IF($AD209&lt;=0,"",($Z209-N($L209))/$AD209))</f>
        <v/>
      </c>
      <c r="AI209" s="14" t="str">
        <f aca="false">IF(OR($AH209="",$W209=""),"",$AH209*365/MAX($W209,1))</f>
        <v/>
      </c>
      <c r="AJ209" s="14" t="str">
        <f aca="false">IF(OR($AE209="",$U209&lt;&gt;"Crédito",N($K209)=0),"",(N($K209)-IF(OR($M209="Cerrada",$M209="Rolada"),N($O209),0))/$K209)</f>
        <v/>
      </c>
      <c r="AK209" s="15" t="str">
        <f aca="false">IF(OR($C209="",$N209=""),"",DATE(YEAR($N209),MONTH($N209),1))</f>
        <v/>
      </c>
      <c r="AL209" s="11" t="str">
        <f aca="false">IF($C209="","",IF($M209="Abierta",0,1))</f>
        <v/>
      </c>
      <c r="AM209" s="16" t="str">
        <f aca="false">IF(OR($AE209="",$AD209=""),"",$AD209*MAX(N($X209),1))</f>
        <v/>
      </c>
      <c r="AN209" s="10" t="str">
        <f aca="false">IF($C209="","",IF(OR($B209="",$D209="",$H209="",$K209="",$M209=""),"Faltan datos obligatorios",IF($T209="","Estrategia no reconocida",IF(AND($M209&lt;&gt;"Abierta",$N209=""),"Falta fecha cierre",IF(AND(OR($M209="Cerrada",$M209="Rolada"),$O209=""),"Falta prima cierre",IF(AND($N209&lt;&gt;"",$N209&lt;$B209),"Cierre anterior a apertura",IF(AND($M209="Asignada",$R209=""),"Asignada: falta ID lote acciones",IF(AND($R209&lt;&gt;"",ISNA(MATCH($R209,Acciones!$A$2:$A$201,0))),"El ID lote no existe en Acciones",IF($AD209="","Revisa capital en riesgo","OK")))))))))</f>
        <v/>
      </c>
    </row>
    <row r="210" customFormat="false" ht="15" hidden="false" customHeight="true" outlineLevel="0" collapsed="false">
      <c r="A210" s="5"/>
      <c r="B210" s="6"/>
      <c r="C210" s="7"/>
      <c r="D210" s="7"/>
      <c r="E210" s="8"/>
      <c r="F210" s="8"/>
      <c r="G210" s="6"/>
      <c r="H210" s="5"/>
      <c r="I210" s="5" t="n">
        <v>100</v>
      </c>
      <c r="J210" s="8"/>
      <c r="K210" s="8"/>
      <c r="L210" s="9"/>
      <c r="M210" s="7"/>
      <c r="N210" s="6"/>
      <c r="O210" s="8"/>
      <c r="P210" s="9"/>
      <c r="Q210" s="9"/>
      <c r="R210" s="7"/>
      <c r="S210" s="7"/>
      <c r="T210" s="10" t="str">
        <f aca="false">IF($C210="","",IFERROR(INDEX(Listas!$B$2:$B$20,MATCH($D210,Listas!$A$2:$A$20,0)),""))</f>
        <v/>
      </c>
      <c r="U210" s="10" t="str">
        <f aca="false">IF($C210="","",IFERROR(INDEX(Listas!$C$2:$C$20,MATCH($D210,Listas!$A$2:$A$20,0)),""))</f>
        <v/>
      </c>
      <c r="V210" s="10" t="str">
        <f aca="false">IF($C210="","",IFERROR(INDEX(Listas!$D$2:$D$20,MATCH($D210,Listas!$A$2:$A$20,0)),""))</f>
        <v/>
      </c>
      <c r="W210" s="11" t="str">
        <f aca="false">IF(OR($C210="",$B210="",$G210=""),"",$G210-$B210)</f>
        <v/>
      </c>
      <c r="X210" s="11" t="str">
        <f aca="true">IF(OR($C210="",$B210=""),"",IF($N210&lt;&gt;"",$N210,TODAY())-$B210)</f>
        <v/>
      </c>
      <c r="Y210" s="11" t="str">
        <f aca="true">IF(OR($C210="",$M210&lt;&gt;"Abierta",$G210=""),"",MAX($G210-TODAY(),0))</f>
        <v/>
      </c>
      <c r="Z210" s="12" t="str">
        <f aca="false">IF($C210="","",N($K210)*N($H210)*N($I210)*IF($U210="Débito",-1,1))</f>
        <v/>
      </c>
      <c r="AA210" s="13" t="str">
        <f aca="false">IF($C210="","",IF(AND($U210="Débito",$F210&lt;&gt;""),$F210,$E210))</f>
        <v/>
      </c>
      <c r="AB210" s="13" t="str">
        <f aca="false">IF(OR($C210="",$T210="Mixta",$AA210=""),"",IF($V210="Subyacente",IF($J210="","",$J210-$K210),IF($T210="Put",$AA210-$K210,$AA210+$K210)))</f>
        <v/>
      </c>
      <c r="AC210" s="14" t="str">
        <f aca="false">IF(OR($C210="",$T210="Mixta",$J210="",$AA210=""),"",IF($T210="Put",($J210-$AA210)/$J210,($AA210-$J210)/$J210))</f>
        <v/>
      </c>
      <c r="AD210" s="12" t="str">
        <f aca="false">IF($C210="","",IF($Q210&lt;&gt;"",$Q210,IF($V210="Strike",N($E210)*$H210*$I210,IF($V210="Subyacente",IF($J210="","",$J210*$H210*$I210),IF($V210="Ancho",IF($F210="","",ABS($E210-$F210)*$H210*$I210-$K210*$H210*$I210),IF($V210="Prima",$K210*$H210*$I210,""))))))</f>
        <v/>
      </c>
      <c r="AE210" s="12" t="str">
        <f aca="false">IF(OR($C210="",$M210="Abierta",$M210=""),"",(N($K210)-IF(OR($M210="Cerrada",$M210="Rolada"),N($O210),0))*$H210*$I210*IF($U210="Débito",-1,1)-N($L210)-N($P210))</f>
        <v/>
      </c>
      <c r="AF210" s="14" t="str">
        <f aca="false">IF(OR($AE210="",$AD210=""),"",IF($AD210&lt;=0,"",$AE210/$AD210))</f>
        <v/>
      </c>
      <c r="AG210" s="14" t="str">
        <f aca="false">IF($AF210="","",$AF210*365/MAX(N($X210),1))</f>
        <v/>
      </c>
      <c r="AH210" s="14" t="str">
        <f aca="false">IF(OR($C210="",$U210&lt;&gt;"Crédito",$AD210=""),"",IF($AD210&lt;=0,"",($Z210-N($L210))/$AD210))</f>
        <v/>
      </c>
      <c r="AI210" s="14" t="str">
        <f aca="false">IF(OR($AH210="",$W210=""),"",$AH210*365/MAX($W210,1))</f>
        <v/>
      </c>
      <c r="AJ210" s="14" t="str">
        <f aca="false">IF(OR($AE210="",$U210&lt;&gt;"Crédito",N($K210)=0),"",(N($K210)-IF(OR($M210="Cerrada",$M210="Rolada"),N($O210),0))/$K210)</f>
        <v/>
      </c>
      <c r="AK210" s="15" t="str">
        <f aca="false">IF(OR($C210="",$N210=""),"",DATE(YEAR($N210),MONTH($N210),1))</f>
        <v/>
      </c>
      <c r="AL210" s="11" t="str">
        <f aca="false">IF($C210="","",IF($M210="Abierta",0,1))</f>
        <v/>
      </c>
      <c r="AM210" s="16" t="str">
        <f aca="false">IF(OR($AE210="",$AD210=""),"",$AD210*MAX(N($X210),1))</f>
        <v/>
      </c>
      <c r="AN210" s="10" t="str">
        <f aca="false">IF($C210="","",IF(OR($B210="",$D210="",$H210="",$K210="",$M210=""),"Faltan datos obligatorios",IF($T210="","Estrategia no reconocida",IF(AND($M210&lt;&gt;"Abierta",$N210=""),"Falta fecha cierre",IF(AND(OR($M210="Cerrada",$M210="Rolada"),$O210=""),"Falta prima cierre",IF(AND($N210&lt;&gt;"",$N210&lt;$B210),"Cierre anterior a apertura",IF(AND($M210="Asignada",$R210=""),"Asignada: falta ID lote acciones",IF(AND($R210&lt;&gt;"",ISNA(MATCH($R210,Acciones!$A$2:$A$201,0))),"El ID lote no existe en Acciones",IF($AD210="","Revisa capital en riesgo","OK")))))))))</f>
        <v/>
      </c>
    </row>
    <row r="211" customFormat="false" ht="15" hidden="false" customHeight="true" outlineLevel="0" collapsed="false">
      <c r="A211" s="5"/>
      <c r="B211" s="6"/>
      <c r="C211" s="7"/>
      <c r="D211" s="7"/>
      <c r="E211" s="8"/>
      <c r="F211" s="8"/>
      <c r="G211" s="6"/>
      <c r="H211" s="5"/>
      <c r="I211" s="5" t="n">
        <v>100</v>
      </c>
      <c r="J211" s="8"/>
      <c r="K211" s="8"/>
      <c r="L211" s="9"/>
      <c r="M211" s="7"/>
      <c r="N211" s="6"/>
      <c r="O211" s="8"/>
      <c r="P211" s="9"/>
      <c r="Q211" s="9"/>
      <c r="R211" s="7"/>
      <c r="S211" s="7"/>
      <c r="T211" s="10" t="str">
        <f aca="false">IF($C211="","",IFERROR(INDEX(Listas!$B$2:$B$20,MATCH($D211,Listas!$A$2:$A$20,0)),""))</f>
        <v/>
      </c>
      <c r="U211" s="10" t="str">
        <f aca="false">IF($C211="","",IFERROR(INDEX(Listas!$C$2:$C$20,MATCH($D211,Listas!$A$2:$A$20,0)),""))</f>
        <v/>
      </c>
      <c r="V211" s="10" t="str">
        <f aca="false">IF($C211="","",IFERROR(INDEX(Listas!$D$2:$D$20,MATCH($D211,Listas!$A$2:$A$20,0)),""))</f>
        <v/>
      </c>
      <c r="W211" s="11" t="str">
        <f aca="false">IF(OR($C211="",$B211="",$G211=""),"",$G211-$B211)</f>
        <v/>
      </c>
      <c r="X211" s="11" t="str">
        <f aca="true">IF(OR($C211="",$B211=""),"",IF($N211&lt;&gt;"",$N211,TODAY())-$B211)</f>
        <v/>
      </c>
      <c r="Y211" s="11" t="str">
        <f aca="true">IF(OR($C211="",$M211&lt;&gt;"Abierta",$G211=""),"",MAX($G211-TODAY(),0))</f>
        <v/>
      </c>
      <c r="Z211" s="12" t="str">
        <f aca="false">IF($C211="","",N($K211)*N($H211)*N($I211)*IF($U211="Débito",-1,1))</f>
        <v/>
      </c>
      <c r="AA211" s="13" t="str">
        <f aca="false">IF($C211="","",IF(AND($U211="Débito",$F211&lt;&gt;""),$F211,$E211))</f>
        <v/>
      </c>
      <c r="AB211" s="13" t="str">
        <f aca="false">IF(OR($C211="",$T211="Mixta",$AA211=""),"",IF($V211="Subyacente",IF($J211="","",$J211-$K211),IF($T211="Put",$AA211-$K211,$AA211+$K211)))</f>
        <v/>
      </c>
      <c r="AC211" s="14" t="str">
        <f aca="false">IF(OR($C211="",$T211="Mixta",$J211="",$AA211=""),"",IF($T211="Put",($J211-$AA211)/$J211,($AA211-$J211)/$J211))</f>
        <v/>
      </c>
      <c r="AD211" s="12" t="str">
        <f aca="false">IF($C211="","",IF($Q211&lt;&gt;"",$Q211,IF($V211="Strike",N($E211)*$H211*$I211,IF($V211="Subyacente",IF($J211="","",$J211*$H211*$I211),IF($V211="Ancho",IF($F211="","",ABS($E211-$F211)*$H211*$I211-$K211*$H211*$I211),IF($V211="Prima",$K211*$H211*$I211,""))))))</f>
        <v/>
      </c>
      <c r="AE211" s="12" t="str">
        <f aca="false">IF(OR($C211="",$M211="Abierta",$M211=""),"",(N($K211)-IF(OR($M211="Cerrada",$M211="Rolada"),N($O211),0))*$H211*$I211*IF($U211="Débito",-1,1)-N($L211)-N($P211))</f>
        <v/>
      </c>
      <c r="AF211" s="14" t="str">
        <f aca="false">IF(OR($AE211="",$AD211=""),"",IF($AD211&lt;=0,"",$AE211/$AD211))</f>
        <v/>
      </c>
      <c r="AG211" s="14" t="str">
        <f aca="false">IF($AF211="","",$AF211*365/MAX(N($X211),1))</f>
        <v/>
      </c>
      <c r="AH211" s="14" t="str">
        <f aca="false">IF(OR($C211="",$U211&lt;&gt;"Crédito",$AD211=""),"",IF($AD211&lt;=0,"",($Z211-N($L211))/$AD211))</f>
        <v/>
      </c>
      <c r="AI211" s="14" t="str">
        <f aca="false">IF(OR($AH211="",$W211=""),"",$AH211*365/MAX($W211,1))</f>
        <v/>
      </c>
      <c r="AJ211" s="14" t="str">
        <f aca="false">IF(OR($AE211="",$U211&lt;&gt;"Crédito",N($K211)=0),"",(N($K211)-IF(OR($M211="Cerrada",$M211="Rolada"),N($O211),0))/$K211)</f>
        <v/>
      </c>
      <c r="AK211" s="15" t="str">
        <f aca="false">IF(OR($C211="",$N211=""),"",DATE(YEAR($N211),MONTH($N211),1))</f>
        <v/>
      </c>
      <c r="AL211" s="11" t="str">
        <f aca="false">IF($C211="","",IF($M211="Abierta",0,1))</f>
        <v/>
      </c>
      <c r="AM211" s="16" t="str">
        <f aca="false">IF(OR($AE211="",$AD211=""),"",$AD211*MAX(N($X211),1))</f>
        <v/>
      </c>
      <c r="AN211" s="10" t="str">
        <f aca="false">IF($C211="","",IF(OR($B211="",$D211="",$H211="",$K211="",$M211=""),"Faltan datos obligatorios",IF($T211="","Estrategia no reconocida",IF(AND($M211&lt;&gt;"Abierta",$N211=""),"Falta fecha cierre",IF(AND(OR($M211="Cerrada",$M211="Rolada"),$O211=""),"Falta prima cierre",IF(AND($N211&lt;&gt;"",$N211&lt;$B211),"Cierre anterior a apertura",IF(AND($M211="Asignada",$R211=""),"Asignada: falta ID lote acciones",IF(AND($R211&lt;&gt;"",ISNA(MATCH($R211,Acciones!$A$2:$A$201,0))),"El ID lote no existe en Acciones",IF($AD211="","Revisa capital en riesgo","OK")))))))))</f>
        <v/>
      </c>
    </row>
    <row r="212" customFormat="false" ht="15" hidden="false" customHeight="true" outlineLevel="0" collapsed="false">
      <c r="A212" s="5"/>
      <c r="B212" s="6"/>
      <c r="C212" s="7"/>
      <c r="D212" s="7"/>
      <c r="E212" s="8"/>
      <c r="F212" s="8"/>
      <c r="G212" s="6"/>
      <c r="H212" s="5"/>
      <c r="I212" s="5" t="n">
        <v>100</v>
      </c>
      <c r="J212" s="8"/>
      <c r="K212" s="8"/>
      <c r="L212" s="9"/>
      <c r="M212" s="7"/>
      <c r="N212" s="6"/>
      <c r="O212" s="8"/>
      <c r="P212" s="9"/>
      <c r="Q212" s="9"/>
      <c r="R212" s="7"/>
      <c r="S212" s="7"/>
      <c r="T212" s="10" t="str">
        <f aca="false">IF($C212="","",IFERROR(INDEX(Listas!$B$2:$B$20,MATCH($D212,Listas!$A$2:$A$20,0)),""))</f>
        <v/>
      </c>
      <c r="U212" s="10" t="str">
        <f aca="false">IF($C212="","",IFERROR(INDEX(Listas!$C$2:$C$20,MATCH($D212,Listas!$A$2:$A$20,0)),""))</f>
        <v/>
      </c>
      <c r="V212" s="10" t="str">
        <f aca="false">IF($C212="","",IFERROR(INDEX(Listas!$D$2:$D$20,MATCH($D212,Listas!$A$2:$A$20,0)),""))</f>
        <v/>
      </c>
      <c r="W212" s="11" t="str">
        <f aca="false">IF(OR($C212="",$B212="",$G212=""),"",$G212-$B212)</f>
        <v/>
      </c>
      <c r="X212" s="11" t="str">
        <f aca="true">IF(OR($C212="",$B212=""),"",IF($N212&lt;&gt;"",$N212,TODAY())-$B212)</f>
        <v/>
      </c>
      <c r="Y212" s="11" t="str">
        <f aca="true">IF(OR($C212="",$M212&lt;&gt;"Abierta",$G212=""),"",MAX($G212-TODAY(),0))</f>
        <v/>
      </c>
      <c r="Z212" s="12" t="str">
        <f aca="false">IF($C212="","",N($K212)*N($H212)*N($I212)*IF($U212="Débito",-1,1))</f>
        <v/>
      </c>
      <c r="AA212" s="13" t="str">
        <f aca="false">IF($C212="","",IF(AND($U212="Débito",$F212&lt;&gt;""),$F212,$E212))</f>
        <v/>
      </c>
      <c r="AB212" s="13" t="str">
        <f aca="false">IF(OR($C212="",$T212="Mixta",$AA212=""),"",IF($V212="Subyacente",IF($J212="","",$J212-$K212),IF($T212="Put",$AA212-$K212,$AA212+$K212)))</f>
        <v/>
      </c>
      <c r="AC212" s="14" t="str">
        <f aca="false">IF(OR($C212="",$T212="Mixta",$J212="",$AA212=""),"",IF($T212="Put",($J212-$AA212)/$J212,($AA212-$J212)/$J212))</f>
        <v/>
      </c>
      <c r="AD212" s="12" t="str">
        <f aca="false">IF($C212="","",IF($Q212&lt;&gt;"",$Q212,IF($V212="Strike",N($E212)*$H212*$I212,IF($V212="Subyacente",IF($J212="","",$J212*$H212*$I212),IF($V212="Ancho",IF($F212="","",ABS($E212-$F212)*$H212*$I212-$K212*$H212*$I212),IF($V212="Prima",$K212*$H212*$I212,""))))))</f>
        <v/>
      </c>
      <c r="AE212" s="12" t="str">
        <f aca="false">IF(OR($C212="",$M212="Abierta",$M212=""),"",(N($K212)-IF(OR($M212="Cerrada",$M212="Rolada"),N($O212),0))*$H212*$I212*IF($U212="Débito",-1,1)-N($L212)-N($P212))</f>
        <v/>
      </c>
      <c r="AF212" s="14" t="str">
        <f aca="false">IF(OR($AE212="",$AD212=""),"",IF($AD212&lt;=0,"",$AE212/$AD212))</f>
        <v/>
      </c>
      <c r="AG212" s="14" t="str">
        <f aca="false">IF($AF212="","",$AF212*365/MAX(N($X212),1))</f>
        <v/>
      </c>
      <c r="AH212" s="14" t="str">
        <f aca="false">IF(OR($C212="",$U212&lt;&gt;"Crédito",$AD212=""),"",IF($AD212&lt;=0,"",($Z212-N($L212))/$AD212))</f>
        <v/>
      </c>
      <c r="AI212" s="14" t="str">
        <f aca="false">IF(OR($AH212="",$W212=""),"",$AH212*365/MAX($W212,1))</f>
        <v/>
      </c>
      <c r="AJ212" s="14" t="str">
        <f aca="false">IF(OR($AE212="",$U212&lt;&gt;"Crédito",N($K212)=0),"",(N($K212)-IF(OR($M212="Cerrada",$M212="Rolada"),N($O212),0))/$K212)</f>
        <v/>
      </c>
      <c r="AK212" s="15" t="str">
        <f aca="false">IF(OR($C212="",$N212=""),"",DATE(YEAR($N212),MONTH($N212),1))</f>
        <v/>
      </c>
      <c r="AL212" s="11" t="str">
        <f aca="false">IF($C212="","",IF($M212="Abierta",0,1))</f>
        <v/>
      </c>
      <c r="AM212" s="16" t="str">
        <f aca="false">IF(OR($AE212="",$AD212=""),"",$AD212*MAX(N($X212),1))</f>
        <v/>
      </c>
      <c r="AN212" s="10" t="str">
        <f aca="false">IF($C212="","",IF(OR($B212="",$D212="",$H212="",$K212="",$M212=""),"Faltan datos obligatorios",IF($T212="","Estrategia no reconocida",IF(AND($M212&lt;&gt;"Abierta",$N212=""),"Falta fecha cierre",IF(AND(OR($M212="Cerrada",$M212="Rolada"),$O212=""),"Falta prima cierre",IF(AND($N212&lt;&gt;"",$N212&lt;$B212),"Cierre anterior a apertura",IF(AND($M212="Asignada",$R212=""),"Asignada: falta ID lote acciones",IF(AND($R212&lt;&gt;"",ISNA(MATCH($R212,Acciones!$A$2:$A$201,0))),"El ID lote no existe en Acciones",IF($AD212="","Revisa capital en riesgo","OK")))))))))</f>
        <v/>
      </c>
    </row>
    <row r="213" customFormat="false" ht="15" hidden="false" customHeight="true" outlineLevel="0" collapsed="false">
      <c r="A213" s="5"/>
      <c r="B213" s="6"/>
      <c r="C213" s="7"/>
      <c r="D213" s="7"/>
      <c r="E213" s="8"/>
      <c r="F213" s="8"/>
      <c r="G213" s="6"/>
      <c r="H213" s="5"/>
      <c r="I213" s="5" t="n">
        <v>100</v>
      </c>
      <c r="J213" s="8"/>
      <c r="K213" s="8"/>
      <c r="L213" s="9"/>
      <c r="M213" s="7"/>
      <c r="N213" s="6"/>
      <c r="O213" s="8"/>
      <c r="P213" s="9"/>
      <c r="Q213" s="9"/>
      <c r="R213" s="7"/>
      <c r="S213" s="7"/>
      <c r="T213" s="10" t="str">
        <f aca="false">IF($C213="","",IFERROR(INDEX(Listas!$B$2:$B$20,MATCH($D213,Listas!$A$2:$A$20,0)),""))</f>
        <v/>
      </c>
      <c r="U213" s="10" t="str">
        <f aca="false">IF($C213="","",IFERROR(INDEX(Listas!$C$2:$C$20,MATCH($D213,Listas!$A$2:$A$20,0)),""))</f>
        <v/>
      </c>
      <c r="V213" s="10" t="str">
        <f aca="false">IF($C213="","",IFERROR(INDEX(Listas!$D$2:$D$20,MATCH($D213,Listas!$A$2:$A$20,0)),""))</f>
        <v/>
      </c>
      <c r="W213" s="11" t="str">
        <f aca="false">IF(OR($C213="",$B213="",$G213=""),"",$G213-$B213)</f>
        <v/>
      </c>
      <c r="X213" s="11" t="str">
        <f aca="true">IF(OR($C213="",$B213=""),"",IF($N213&lt;&gt;"",$N213,TODAY())-$B213)</f>
        <v/>
      </c>
      <c r="Y213" s="11" t="str">
        <f aca="true">IF(OR($C213="",$M213&lt;&gt;"Abierta",$G213=""),"",MAX($G213-TODAY(),0))</f>
        <v/>
      </c>
      <c r="Z213" s="12" t="str">
        <f aca="false">IF($C213="","",N($K213)*N($H213)*N($I213)*IF($U213="Débito",-1,1))</f>
        <v/>
      </c>
      <c r="AA213" s="13" t="str">
        <f aca="false">IF($C213="","",IF(AND($U213="Débito",$F213&lt;&gt;""),$F213,$E213))</f>
        <v/>
      </c>
      <c r="AB213" s="13" t="str">
        <f aca="false">IF(OR($C213="",$T213="Mixta",$AA213=""),"",IF($V213="Subyacente",IF($J213="","",$J213-$K213),IF($T213="Put",$AA213-$K213,$AA213+$K213)))</f>
        <v/>
      </c>
      <c r="AC213" s="14" t="str">
        <f aca="false">IF(OR($C213="",$T213="Mixta",$J213="",$AA213=""),"",IF($T213="Put",($J213-$AA213)/$J213,($AA213-$J213)/$J213))</f>
        <v/>
      </c>
      <c r="AD213" s="12" t="str">
        <f aca="false">IF($C213="","",IF($Q213&lt;&gt;"",$Q213,IF($V213="Strike",N($E213)*$H213*$I213,IF($V213="Subyacente",IF($J213="","",$J213*$H213*$I213),IF($V213="Ancho",IF($F213="","",ABS($E213-$F213)*$H213*$I213-$K213*$H213*$I213),IF($V213="Prima",$K213*$H213*$I213,""))))))</f>
        <v/>
      </c>
      <c r="AE213" s="12" t="str">
        <f aca="false">IF(OR($C213="",$M213="Abierta",$M213=""),"",(N($K213)-IF(OR($M213="Cerrada",$M213="Rolada"),N($O213),0))*$H213*$I213*IF($U213="Débito",-1,1)-N($L213)-N($P213))</f>
        <v/>
      </c>
      <c r="AF213" s="14" t="str">
        <f aca="false">IF(OR($AE213="",$AD213=""),"",IF($AD213&lt;=0,"",$AE213/$AD213))</f>
        <v/>
      </c>
      <c r="AG213" s="14" t="str">
        <f aca="false">IF($AF213="","",$AF213*365/MAX(N($X213),1))</f>
        <v/>
      </c>
      <c r="AH213" s="14" t="str">
        <f aca="false">IF(OR($C213="",$U213&lt;&gt;"Crédito",$AD213=""),"",IF($AD213&lt;=0,"",($Z213-N($L213))/$AD213))</f>
        <v/>
      </c>
      <c r="AI213" s="14" t="str">
        <f aca="false">IF(OR($AH213="",$W213=""),"",$AH213*365/MAX($W213,1))</f>
        <v/>
      </c>
      <c r="AJ213" s="14" t="str">
        <f aca="false">IF(OR($AE213="",$U213&lt;&gt;"Crédito",N($K213)=0),"",(N($K213)-IF(OR($M213="Cerrada",$M213="Rolada"),N($O213),0))/$K213)</f>
        <v/>
      </c>
      <c r="AK213" s="15" t="str">
        <f aca="false">IF(OR($C213="",$N213=""),"",DATE(YEAR($N213),MONTH($N213),1))</f>
        <v/>
      </c>
      <c r="AL213" s="11" t="str">
        <f aca="false">IF($C213="","",IF($M213="Abierta",0,1))</f>
        <v/>
      </c>
      <c r="AM213" s="16" t="str">
        <f aca="false">IF(OR($AE213="",$AD213=""),"",$AD213*MAX(N($X213),1))</f>
        <v/>
      </c>
      <c r="AN213" s="10" t="str">
        <f aca="false">IF($C213="","",IF(OR($B213="",$D213="",$H213="",$K213="",$M213=""),"Faltan datos obligatorios",IF($T213="","Estrategia no reconocida",IF(AND($M213&lt;&gt;"Abierta",$N213=""),"Falta fecha cierre",IF(AND(OR($M213="Cerrada",$M213="Rolada"),$O213=""),"Falta prima cierre",IF(AND($N213&lt;&gt;"",$N213&lt;$B213),"Cierre anterior a apertura",IF(AND($M213="Asignada",$R213=""),"Asignada: falta ID lote acciones",IF(AND($R213&lt;&gt;"",ISNA(MATCH($R213,Acciones!$A$2:$A$201,0))),"El ID lote no existe en Acciones",IF($AD213="","Revisa capital en riesgo","OK")))))))))</f>
        <v/>
      </c>
    </row>
    <row r="214" customFormat="false" ht="15" hidden="false" customHeight="true" outlineLevel="0" collapsed="false">
      <c r="A214" s="5"/>
      <c r="B214" s="6"/>
      <c r="C214" s="7"/>
      <c r="D214" s="7"/>
      <c r="E214" s="8"/>
      <c r="F214" s="8"/>
      <c r="G214" s="6"/>
      <c r="H214" s="5"/>
      <c r="I214" s="5" t="n">
        <v>100</v>
      </c>
      <c r="J214" s="8"/>
      <c r="K214" s="8"/>
      <c r="L214" s="9"/>
      <c r="M214" s="7"/>
      <c r="N214" s="6"/>
      <c r="O214" s="8"/>
      <c r="P214" s="9"/>
      <c r="Q214" s="9"/>
      <c r="R214" s="7"/>
      <c r="S214" s="7"/>
      <c r="T214" s="10" t="str">
        <f aca="false">IF($C214="","",IFERROR(INDEX(Listas!$B$2:$B$20,MATCH($D214,Listas!$A$2:$A$20,0)),""))</f>
        <v/>
      </c>
      <c r="U214" s="10" t="str">
        <f aca="false">IF($C214="","",IFERROR(INDEX(Listas!$C$2:$C$20,MATCH($D214,Listas!$A$2:$A$20,0)),""))</f>
        <v/>
      </c>
      <c r="V214" s="10" t="str">
        <f aca="false">IF($C214="","",IFERROR(INDEX(Listas!$D$2:$D$20,MATCH($D214,Listas!$A$2:$A$20,0)),""))</f>
        <v/>
      </c>
      <c r="W214" s="11" t="str">
        <f aca="false">IF(OR($C214="",$B214="",$G214=""),"",$G214-$B214)</f>
        <v/>
      </c>
      <c r="X214" s="11" t="str">
        <f aca="true">IF(OR($C214="",$B214=""),"",IF($N214&lt;&gt;"",$N214,TODAY())-$B214)</f>
        <v/>
      </c>
      <c r="Y214" s="11" t="str">
        <f aca="true">IF(OR($C214="",$M214&lt;&gt;"Abierta",$G214=""),"",MAX($G214-TODAY(),0))</f>
        <v/>
      </c>
      <c r="Z214" s="12" t="str">
        <f aca="false">IF($C214="","",N($K214)*N($H214)*N($I214)*IF($U214="Débito",-1,1))</f>
        <v/>
      </c>
      <c r="AA214" s="13" t="str">
        <f aca="false">IF($C214="","",IF(AND($U214="Débito",$F214&lt;&gt;""),$F214,$E214))</f>
        <v/>
      </c>
      <c r="AB214" s="13" t="str">
        <f aca="false">IF(OR($C214="",$T214="Mixta",$AA214=""),"",IF($V214="Subyacente",IF($J214="","",$J214-$K214),IF($T214="Put",$AA214-$K214,$AA214+$K214)))</f>
        <v/>
      </c>
      <c r="AC214" s="14" t="str">
        <f aca="false">IF(OR($C214="",$T214="Mixta",$J214="",$AA214=""),"",IF($T214="Put",($J214-$AA214)/$J214,($AA214-$J214)/$J214))</f>
        <v/>
      </c>
      <c r="AD214" s="12" t="str">
        <f aca="false">IF($C214="","",IF($Q214&lt;&gt;"",$Q214,IF($V214="Strike",N($E214)*$H214*$I214,IF($V214="Subyacente",IF($J214="","",$J214*$H214*$I214),IF($V214="Ancho",IF($F214="","",ABS($E214-$F214)*$H214*$I214-$K214*$H214*$I214),IF($V214="Prima",$K214*$H214*$I214,""))))))</f>
        <v/>
      </c>
      <c r="AE214" s="12" t="str">
        <f aca="false">IF(OR($C214="",$M214="Abierta",$M214=""),"",(N($K214)-IF(OR($M214="Cerrada",$M214="Rolada"),N($O214),0))*$H214*$I214*IF($U214="Débito",-1,1)-N($L214)-N($P214))</f>
        <v/>
      </c>
      <c r="AF214" s="14" t="str">
        <f aca="false">IF(OR($AE214="",$AD214=""),"",IF($AD214&lt;=0,"",$AE214/$AD214))</f>
        <v/>
      </c>
      <c r="AG214" s="14" t="str">
        <f aca="false">IF($AF214="","",$AF214*365/MAX(N($X214),1))</f>
        <v/>
      </c>
      <c r="AH214" s="14" t="str">
        <f aca="false">IF(OR($C214="",$U214&lt;&gt;"Crédito",$AD214=""),"",IF($AD214&lt;=0,"",($Z214-N($L214))/$AD214))</f>
        <v/>
      </c>
      <c r="AI214" s="14" t="str">
        <f aca="false">IF(OR($AH214="",$W214=""),"",$AH214*365/MAX($W214,1))</f>
        <v/>
      </c>
      <c r="AJ214" s="14" t="str">
        <f aca="false">IF(OR($AE214="",$U214&lt;&gt;"Crédito",N($K214)=0),"",(N($K214)-IF(OR($M214="Cerrada",$M214="Rolada"),N($O214),0))/$K214)</f>
        <v/>
      </c>
      <c r="AK214" s="15" t="str">
        <f aca="false">IF(OR($C214="",$N214=""),"",DATE(YEAR($N214),MONTH($N214),1))</f>
        <v/>
      </c>
      <c r="AL214" s="11" t="str">
        <f aca="false">IF($C214="","",IF($M214="Abierta",0,1))</f>
        <v/>
      </c>
      <c r="AM214" s="16" t="str">
        <f aca="false">IF(OR($AE214="",$AD214=""),"",$AD214*MAX(N($X214),1))</f>
        <v/>
      </c>
      <c r="AN214" s="10" t="str">
        <f aca="false">IF($C214="","",IF(OR($B214="",$D214="",$H214="",$K214="",$M214=""),"Faltan datos obligatorios",IF($T214="","Estrategia no reconocida",IF(AND($M214&lt;&gt;"Abierta",$N214=""),"Falta fecha cierre",IF(AND(OR($M214="Cerrada",$M214="Rolada"),$O214=""),"Falta prima cierre",IF(AND($N214&lt;&gt;"",$N214&lt;$B214),"Cierre anterior a apertura",IF(AND($M214="Asignada",$R214=""),"Asignada: falta ID lote acciones",IF(AND($R214&lt;&gt;"",ISNA(MATCH($R214,Acciones!$A$2:$A$201,0))),"El ID lote no existe en Acciones",IF($AD214="","Revisa capital en riesgo","OK")))))))))</f>
        <v/>
      </c>
    </row>
    <row r="215" customFormat="false" ht="15" hidden="false" customHeight="true" outlineLevel="0" collapsed="false">
      <c r="A215" s="5"/>
      <c r="B215" s="6"/>
      <c r="C215" s="7"/>
      <c r="D215" s="7"/>
      <c r="E215" s="8"/>
      <c r="F215" s="8"/>
      <c r="G215" s="6"/>
      <c r="H215" s="5"/>
      <c r="I215" s="5" t="n">
        <v>100</v>
      </c>
      <c r="J215" s="8"/>
      <c r="K215" s="8"/>
      <c r="L215" s="9"/>
      <c r="M215" s="7"/>
      <c r="N215" s="6"/>
      <c r="O215" s="8"/>
      <c r="P215" s="9"/>
      <c r="Q215" s="9"/>
      <c r="R215" s="7"/>
      <c r="S215" s="7"/>
      <c r="T215" s="10" t="str">
        <f aca="false">IF($C215="","",IFERROR(INDEX(Listas!$B$2:$B$20,MATCH($D215,Listas!$A$2:$A$20,0)),""))</f>
        <v/>
      </c>
      <c r="U215" s="10" t="str">
        <f aca="false">IF($C215="","",IFERROR(INDEX(Listas!$C$2:$C$20,MATCH($D215,Listas!$A$2:$A$20,0)),""))</f>
        <v/>
      </c>
      <c r="V215" s="10" t="str">
        <f aca="false">IF($C215="","",IFERROR(INDEX(Listas!$D$2:$D$20,MATCH($D215,Listas!$A$2:$A$20,0)),""))</f>
        <v/>
      </c>
      <c r="W215" s="11" t="str">
        <f aca="false">IF(OR($C215="",$B215="",$G215=""),"",$G215-$B215)</f>
        <v/>
      </c>
      <c r="X215" s="11" t="str">
        <f aca="true">IF(OR($C215="",$B215=""),"",IF($N215&lt;&gt;"",$N215,TODAY())-$B215)</f>
        <v/>
      </c>
      <c r="Y215" s="11" t="str">
        <f aca="true">IF(OR($C215="",$M215&lt;&gt;"Abierta",$G215=""),"",MAX($G215-TODAY(),0))</f>
        <v/>
      </c>
      <c r="Z215" s="12" t="str">
        <f aca="false">IF($C215="","",N($K215)*N($H215)*N($I215)*IF($U215="Débito",-1,1))</f>
        <v/>
      </c>
      <c r="AA215" s="13" t="str">
        <f aca="false">IF($C215="","",IF(AND($U215="Débito",$F215&lt;&gt;""),$F215,$E215))</f>
        <v/>
      </c>
      <c r="AB215" s="13" t="str">
        <f aca="false">IF(OR($C215="",$T215="Mixta",$AA215=""),"",IF($V215="Subyacente",IF($J215="","",$J215-$K215),IF($T215="Put",$AA215-$K215,$AA215+$K215)))</f>
        <v/>
      </c>
      <c r="AC215" s="14" t="str">
        <f aca="false">IF(OR($C215="",$T215="Mixta",$J215="",$AA215=""),"",IF($T215="Put",($J215-$AA215)/$J215,($AA215-$J215)/$J215))</f>
        <v/>
      </c>
      <c r="AD215" s="12" t="str">
        <f aca="false">IF($C215="","",IF($Q215&lt;&gt;"",$Q215,IF($V215="Strike",N($E215)*$H215*$I215,IF($V215="Subyacente",IF($J215="","",$J215*$H215*$I215),IF($V215="Ancho",IF($F215="","",ABS($E215-$F215)*$H215*$I215-$K215*$H215*$I215),IF($V215="Prima",$K215*$H215*$I215,""))))))</f>
        <v/>
      </c>
      <c r="AE215" s="12" t="str">
        <f aca="false">IF(OR($C215="",$M215="Abierta",$M215=""),"",(N($K215)-IF(OR($M215="Cerrada",$M215="Rolada"),N($O215),0))*$H215*$I215*IF($U215="Débito",-1,1)-N($L215)-N($P215))</f>
        <v/>
      </c>
      <c r="AF215" s="14" t="str">
        <f aca="false">IF(OR($AE215="",$AD215=""),"",IF($AD215&lt;=0,"",$AE215/$AD215))</f>
        <v/>
      </c>
      <c r="AG215" s="14" t="str">
        <f aca="false">IF($AF215="","",$AF215*365/MAX(N($X215),1))</f>
        <v/>
      </c>
      <c r="AH215" s="14" t="str">
        <f aca="false">IF(OR($C215="",$U215&lt;&gt;"Crédito",$AD215=""),"",IF($AD215&lt;=0,"",($Z215-N($L215))/$AD215))</f>
        <v/>
      </c>
      <c r="AI215" s="14" t="str">
        <f aca="false">IF(OR($AH215="",$W215=""),"",$AH215*365/MAX($W215,1))</f>
        <v/>
      </c>
      <c r="AJ215" s="14" t="str">
        <f aca="false">IF(OR($AE215="",$U215&lt;&gt;"Crédito",N($K215)=0),"",(N($K215)-IF(OR($M215="Cerrada",$M215="Rolada"),N($O215),0))/$K215)</f>
        <v/>
      </c>
      <c r="AK215" s="15" t="str">
        <f aca="false">IF(OR($C215="",$N215=""),"",DATE(YEAR($N215),MONTH($N215),1))</f>
        <v/>
      </c>
      <c r="AL215" s="11" t="str">
        <f aca="false">IF($C215="","",IF($M215="Abierta",0,1))</f>
        <v/>
      </c>
      <c r="AM215" s="16" t="str">
        <f aca="false">IF(OR($AE215="",$AD215=""),"",$AD215*MAX(N($X215),1))</f>
        <v/>
      </c>
      <c r="AN215" s="10" t="str">
        <f aca="false">IF($C215="","",IF(OR($B215="",$D215="",$H215="",$K215="",$M215=""),"Faltan datos obligatorios",IF($T215="","Estrategia no reconocida",IF(AND($M215&lt;&gt;"Abierta",$N215=""),"Falta fecha cierre",IF(AND(OR($M215="Cerrada",$M215="Rolada"),$O215=""),"Falta prima cierre",IF(AND($N215&lt;&gt;"",$N215&lt;$B215),"Cierre anterior a apertura",IF(AND($M215="Asignada",$R215=""),"Asignada: falta ID lote acciones",IF(AND($R215&lt;&gt;"",ISNA(MATCH($R215,Acciones!$A$2:$A$201,0))),"El ID lote no existe en Acciones",IF($AD215="","Revisa capital en riesgo","OK")))))))))</f>
        <v/>
      </c>
    </row>
    <row r="216" customFormat="false" ht="15" hidden="false" customHeight="true" outlineLevel="0" collapsed="false">
      <c r="A216" s="5"/>
      <c r="B216" s="6"/>
      <c r="C216" s="7"/>
      <c r="D216" s="7"/>
      <c r="E216" s="8"/>
      <c r="F216" s="8"/>
      <c r="G216" s="6"/>
      <c r="H216" s="5"/>
      <c r="I216" s="5" t="n">
        <v>100</v>
      </c>
      <c r="J216" s="8"/>
      <c r="K216" s="8"/>
      <c r="L216" s="9"/>
      <c r="M216" s="7"/>
      <c r="N216" s="6"/>
      <c r="O216" s="8"/>
      <c r="P216" s="9"/>
      <c r="Q216" s="9"/>
      <c r="R216" s="7"/>
      <c r="S216" s="7"/>
      <c r="T216" s="10" t="str">
        <f aca="false">IF($C216="","",IFERROR(INDEX(Listas!$B$2:$B$20,MATCH($D216,Listas!$A$2:$A$20,0)),""))</f>
        <v/>
      </c>
      <c r="U216" s="10" t="str">
        <f aca="false">IF($C216="","",IFERROR(INDEX(Listas!$C$2:$C$20,MATCH($D216,Listas!$A$2:$A$20,0)),""))</f>
        <v/>
      </c>
      <c r="V216" s="10" t="str">
        <f aca="false">IF($C216="","",IFERROR(INDEX(Listas!$D$2:$D$20,MATCH($D216,Listas!$A$2:$A$20,0)),""))</f>
        <v/>
      </c>
      <c r="W216" s="11" t="str">
        <f aca="false">IF(OR($C216="",$B216="",$G216=""),"",$G216-$B216)</f>
        <v/>
      </c>
      <c r="X216" s="11" t="str">
        <f aca="true">IF(OR($C216="",$B216=""),"",IF($N216&lt;&gt;"",$N216,TODAY())-$B216)</f>
        <v/>
      </c>
      <c r="Y216" s="11" t="str">
        <f aca="true">IF(OR($C216="",$M216&lt;&gt;"Abierta",$G216=""),"",MAX($G216-TODAY(),0))</f>
        <v/>
      </c>
      <c r="Z216" s="12" t="str">
        <f aca="false">IF($C216="","",N($K216)*N($H216)*N($I216)*IF($U216="Débito",-1,1))</f>
        <v/>
      </c>
      <c r="AA216" s="13" t="str">
        <f aca="false">IF($C216="","",IF(AND($U216="Débito",$F216&lt;&gt;""),$F216,$E216))</f>
        <v/>
      </c>
      <c r="AB216" s="13" t="str">
        <f aca="false">IF(OR($C216="",$T216="Mixta",$AA216=""),"",IF($V216="Subyacente",IF($J216="","",$J216-$K216),IF($T216="Put",$AA216-$K216,$AA216+$K216)))</f>
        <v/>
      </c>
      <c r="AC216" s="14" t="str">
        <f aca="false">IF(OR($C216="",$T216="Mixta",$J216="",$AA216=""),"",IF($T216="Put",($J216-$AA216)/$J216,($AA216-$J216)/$J216))</f>
        <v/>
      </c>
      <c r="AD216" s="12" t="str">
        <f aca="false">IF($C216="","",IF($Q216&lt;&gt;"",$Q216,IF($V216="Strike",N($E216)*$H216*$I216,IF($V216="Subyacente",IF($J216="","",$J216*$H216*$I216),IF($V216="Ancho",IF($F216="","",ABS($E216-$F216)*$H216*$I216-$K216*$H216*$I216),IF($V216="Prima",$K216*$H216*$I216,""))))))</f>
        <v/>
      </c>
      <c r="AE216" s="12" t="str">
        <f aca="false">IF(OR($C216="",$M216="Abierta",$M216=""),"",(N($K216)-IF(OR($M216="Cerrada",$M216="Rolada"),N($O216),0))*$H216*$I216*IF($U216="Débito",-1,1)-N($L216)-N($P216))</f>
        <v/>
      </c>
      <c r="AF216" s="14" t="str">
        <f aca="false">IF(OR($AE216="",$AD216=""),"",IF($AD216&lt;=0,"",$AE216/$AD216))</f>
        <v/>
      </c>
      <c r="AG216" s="14" t="str">
        <f aca="false">IF($AF216="","",$AF216*365/MAX(N($X216),1))</f>
        <v/>
      </c>
      <c r="AH216" s="14" t="str">
        <f aca="false">IF(OR($C216="",$U216&lt;&gt;"Crédito",$AD216=""),"",IF($AD216&lt;=0,"",($Z216-N($L216))/$AD216))</f>
        <v/>
      </c>
      <c r="AI216" s="14" t="str">
        <f aca="false">IF(OR($AH216="",$W216=""),"",$AH216*365/MAX($W216,1))</f>
        <v/>
      </c>
      <c r="AJ216" s="14" t="str">
        <f aca="false">IF(OR($AE216="",$U216&lt;&gt;"Crédito",N($K216)=0),"",(N($K216)-IF(OR($M216="Cerrada",$M216="Rolada"),N($O216),0))/$K216)</f>
        <v/>
      </c>
      <c r="AK216" s="15" t="str">
        <f aca="false">IF(OR($C216="",$N216=""),"",DATE(YEAR($N216),MONTH($N216),1))</f>
        <v/>
      </c>
      <c r="AL216" s="11" t="str">
        <f aca="false">IF($C216="","",IF($M216="Abierta",0,1))</f>
        <v/>
      </c>
      <c r="AM216" s="16" t="str">
        <f aca="false">IF(OR($AE216="",$AD216=""),"",$AD216*MAX(N($X216),1))</f>
        <v/>
      </c>
      <c r="AN216" s="10" t="str">
        <f aca="false">IF($C216="","",IF(OR($B216="",$D216="",$H216="",$K216="",$M216=""),"Faltan datos obligatorios",IF($T216="","Estrategia no reconocida",IF(AND($M216&lt;&gt;"Abierta",$N216=""),"Falta fecha cierre",IF(AND(OR($M216="Cerrada",$M216="Rolada"),$O216=""),"Falta prima cierre",IF(AND($N216&lt;&gt;"",$N216&lt;$B216),"Cierre anterior a apertura",IF(AND($M216="Asignada",$R216=""),"Asignada: falta ID lote acciones",IF(AND($R216&lt;&gt;"",ISNA(MATCH($R216,Acciones!$A$2:$A$201,0))),"El ID lote no existe en Acciones",IF($AD216="","Revisa capital en riesgo","OK")))))))))</f>
        <v/>
      </c>
    </row>
    <row r="217" customFormat="false" ht="15" hidden="false" customHeight="true" outlineLevel="0" collapsed="false">
      <c r="A217" s="5"/>
      <c r="B217" s="6"/>
      <c r="C217" s="7"/>
      <c r="D217" s="7"/>
      <c r="E217" s="8"/>
      <c r="F217" s="8"/>
      <c r="G217" s="6"/>
      <c r="H217" s="5"/>
      <c r="I217" s="5" t="n">
        <v>100</v>
      </c>
      <c r="J217" s="8"/>
      <c r="K217" s="8"/>
      <c r="L217" s="9"/>
      <c r="M217" s="7"/>
      <c r="N217" s="6"/>
      <c r="O217" s="8"/>
      <c r="P217" s="9"/>
      <c r="Q217" s="9"/>
      <c r="R217" s="7"/>
      <c r="S217" s="7"/>
      <c r="T217" s="10" t="str">
        <f aca="false">IF($C217="","",IFERROR(INDEX(Listas!$B$2:$B$20,MATCH($D217,Listas!$A$2:$A$20,0)),""))</f>
        <v/>
      </c>
      <c r="U217" s="10" t="str">
        <f aca="false">IF($C217="","",IFERROR(INDEX(Listas!$C$2:$C$20,MATCH($D217,Listas!$A$2:$A$20,0)),""))</f>
        <v/>
      </c>
      <c r="V217" s="10" t="str">
        <f aca="false">IF($C217="","",IFERROR(INDEX(Listas!$D$2:$D$20,MATCH($D217,Listas!$A$2:$A$20,0)),""))</f>
        <v/>
      </c>
      <c r="W217" s="11" t="str">
        <f aca="false">IF(OR($C217="",$B217="",$G217=""),"",$G217-$B217)</f>
        <v/>
      </c>
      <c r="X217" s="11" t="str">
        <f aca="true">IF(OR($C217="",$B217=""),"",IF($N217&lt;&gt;"",$N217,TODAY())-$B217)</f>
        <v/>
      </c>
      <c r="Y217" s="11" t="str">
        <f aca="true">IF(OR($C217="",$M217&lt;&gt;"Abierta",$G217=""),"",MAX($G217-TODAY(),0))</f>
        <v/>
      </c>
      <c r="Z217" s="12" t="str">
        <f aca="false">IF($C217="","",N($K217)*N($H217)*N($I217)*IF($U217="Débito",-1,1))</f>
        <v/>
      </c>
      <c r="AA217" s="13" t="str">
        <f aca="false">IF($C217="","",IF(AND($U217="Débito",$F217&lt;&gt;""),$F217,$E217))</f>
        <v/>
      </c>
      <c r="AB217" s="13" t="str">
        <f aca="false">IF(OR($C217="",$T217="Mixta",$AA217=""),"",IF($V217="Subyacente",IF($J217="","",$J217-$K217),IF($T217="Put",$AA217-$K217,$AA217+$K217)))</f>
        <v/>
      </c>
      <c r="AC217" s="14" t="str">
        <f aca="false">IF(OR($C217="",$T217="Mixta",$J217="",$AA217=""),"",IF($T217="Put",($J217-$AA217)/$J217,($AA217-$J217)/$J217))</f>
        <v/>
      </c>
      <c r="AD217" s="12" t="str">
        <f aca="false">IF($C217="","",IF($Q217&lt;&gt;"",$Q217,IF($V217="Strike",N($E217)*$H217*$I217,IF($V217="Subyacente",IF($J217="","",$J217*$H217*$I217),IF($V217="Ancho",IF($F217="","",ABS($E217-$F217)*$H217*$I217-$K217*$H217*$I217),IF($V217="Prima",$K217*$H217*$I217,""))))))</f>
        <v/>
      </c>
      <c r="AE217" s="12" t="str">
        <f aca="false">IF(OR($C217="",$M217="Abierta",$M217=""),"",(N($K217)-IF(OR($M217="Cerrada",$M217="Rolada"),N($O217),0))*$H217*$I217*IF($U217="Débito",-1,1)-N($L217)-N($P217))</f>
        <v/>
      </c>
      <c r="AF217" s="14" t="str">
        <f aca="false">IF(OR($AE217="",$AD217=""),"",IF($AD217&lt;=0,"",$AE217/$AD217))</f>
        <v/>
      </c>
      <c r="AG217" s="14" t="str">
        <f aca="false">IF($AF217="","",$AF217*365/MAX(N($X217),1))</f>
        <v/>
      </c>
      <c r="AH217" s="14" t="str">
        <f aca="false">IF(OR($C217="",$U217&lt;&gt;"Crédito",$AD217=""),"",IF($AD217&lt;=0,"",($Z217-N($L217))/$AD217))</f>
        <v/>
      </c>
      <c r="AI217" s="14" t="str">
        <f aca="false">IF(OR($AH217="",$W217=""),"",$AH217*365/MAX($W217,1))</f>
        <v/>
      </c>
      <c r="AJ217" s="14" t="str">
        <f aca="false">IF(OR($AE217="",$U217&lt;&gt;"Crédito",N($K217)=0),"",(N($K217)-IF(OR($M217="Cerrada",$M217="Rolada"),N($O217),0))/$K217)</f>
        <v/>
      </c>
      <c r="AK217" s="15" t="str">
        <f aca="false">IF(OR($C217="",$N217=""),"",DATE(YEAR($N217),MONTH($N217),1))</f>
        <v/>
      </c>
      <c r="AL217" s="11" t="str">
        <f aca="false">IF($C217="","",IF($M217="Abierta",0,1))</f>
        <v/>
      </c>
      <c r="AM217" s="16" t="str">
        <f aca="false">IF(OR($AE217="",$AD217=""),"",$AD217*MAX(N($X217),1))</f>
        <v/>
      </c>
      <c r="AN217" s="10" t="str">
        <f aca="false">IF($C217="","",IF(OR($B217="",$D217="",$H217="",$K217="",$M217=""),"Faltan datos obligatorios",IF($T217="","Estrategia no reconocida",IF(AND($M217&lt;&gt;"Abierta",$N217=""),"Falta fecha cierre",IF(AND(OR($M217="Cerrada",$M217="Rolada"),$O217=""),"Falta prima cierre",IF(AND($N217&lt;&gt;"",$N217&lt;$B217),"Cierre anterior a apertura",IF(AND($M217="Asignada",$R217=""),"Asignada: falta ID lote acciones",IF(AND($R217&lt;&gt;"",ISNA(MATCH($R217,Acciones!$A$2:$A$201,0))),"El ID lote no existe en Acciones",IF($AD217="","Revisa capital en riesgo","OK")))))))))</f>
        <v/>
      </c>
    </row>
    <row r="218" customFormat="false" ht="15" hidden="false" customHeight="true" outlineLevel="0" collapsed="false">
      <c r="A218" s="5"/>
      <c r="B218" s="6"/>
      <c r="C218" s="7"/>
      <c r="D218" s="7"/>
      <c r="E218" s="8"/>
      <c r="F218" s="8"/>
      <c r="G218" s="6"/>
      <c r="H218" s="5"/>
      <c r="I218" s="5" t="n">
        <v>100</v>
      </c>
      <c r="J218" s="8"/>
      <c r="K218" s="8"/>
      <c r="L218" s="9"/>
      <c r="M218" s="7"/>
      <c r="N218" s="6"/>
      <c r="O218" s="8"/>
      <c r="P218" s="9"/>
      <c r="Q218" s="9"/>
      <c r="R218" s="7"/>
      <c r="S218" s="7"/>
      <c r="T218" s="10" t="str">
        <f aca="false">IF($C218="","",IFERROR(INDEX(Listas!$B$2:$B$20,MATCH($D218,Listas!$A$2:$A$20,0)),""))</f>
        <v/>
      </c>
      <c r="U218" s="10" t="str">
        <f aca="false">IF($C218="","",IFERROR(INDEX(Listas!$C$2:$C$20,MATCH($D218,Listas!$A$2:$A$20,0)),""))</f>
        <v/>
      </c>
      <c r="V218" s="10" t="str">
        <f aca="false">IF($C218="","",IFERROR(INDEX(Listas!$D$2:$D$20,MATCH($D218,Listas!$A$2:$A$20,0)),""))</f>
        <v/>
      </c>
      <c r="W218" s="11" t="str">
        <f aca="false">IF(OR($C218="",$B218="",$G218=""),"",$G218-$B218)</f>
        <v/>
      </c>
      <c r="X218" s="11" t="str">
        <f aca="true">IF(OR($C218="",$B218=""),"",IF($N218&lt;&gt;"",$N218,TODAY())-$B218)</f>
        <v/>
      </c>
      <c r="Y218" s="11" t="str">
        <f aca="true">IF(OR($C218="",$M218&lt;&gt;"Abierta",$G218=""),"",MAX($G218-TODAY(),0))</f>
        <v/>
      </c>
      <c r="Z218" s="12" t="str">
        <f aca="false">IF($C218="","",N($K218)*N($H218)*N($I218)*IF($U218="Débito",-1,1))</f>
        <v/>
      </c>
      <c r="AA218" s="13" t="str">
        <f aca="false">IF($C218="","",IF(AND($U218="Débito",$F218&lt;&gt;""),$F218,$E218))</f>
        <v/>
      </c>
      <c r="AB218" s="13" t="str">
        <f aca="false">IF(OR($C218="",$T218="Mixta",$AA218=""),"",IF($V218="Subyacente",IF($J218="","",$J218-$K218),IF($T218="Put",$AA218-$K218,$AA218+$K218)))</f>
        <v/>
      </c>
      <c r="AC218" s="14" t="str">
        <f aca="false">IF(OR($C218="",$T218="Mixta",$J218="",$AA218=""),"",IF($T218="Put",($J218-$AA218)/$J218,($AA218-$J218)/$J218))</f>
        <v/>
      </c>
      <c r="AD218" s="12" t="str">
        <f aca="false">IF($C218="","",IF($Q218&lt;&gt;"",$Q218,IF($V218="Strike",N($E218)*$H218*$I218,IF($V218="Subyacente",IF($J218="","",$J218*$H218*$I218),IF($V218="Ancho",IF($F218="","",ABS($E218-$F218)*$H218*$I218-$K218*$H218*$I218),IF($V218="Prima",$K218*$H218*$I218,""))))))</f>
        <v/>
      </c>
      <c r="AE218" s="12" t="str">
        <f aca="false">IF(OR($C218="",$M218="Abierta",$M218=""),"",(N($K218)-IF(OR($M218="Cerrada",$M218="Rolada"),N($O218),0))*$H218*$I218*IF($U218="Débito",-1,1)-N($L218)-N($P218))</f>
        <v/>
      </c>
      <c r="AF218" s="14" t="str">
        <f aca="false">IF(OR($AE218="",$AD218=""),"",IF($AD218&lt;=0,"",$AE218/$AD218))</f>
        <v/>
      </c>
      <c r="AG218" s="14" t="str">
        <f aca="false">IF($AF218="","",$AF218*365/MAX(N($X218),1))</f>
        <v/>
      </c>
      <c r="AH218" s="14" t="str">
        <f aca="false">IF(OR($C218="",$U218&lt;&gt;"Crédito",$AD218=""),"",IF($AD218&lt;=0,"",($Z218-N($L218))/$AD218))</f>
        <v/>
      </c>
      <c r="AI218" s="14" t="str">
        <f aca="false">IF(OR($AH218="",$W218=""),"",$AH218*365/MAX($W218,1))</f>
        <v/>
      </c>
      <c r="AJ218" s="14" t="str">
        <f aca="false">IF(OR($AE218="",$U218&lt;&gt;"Crédito",N($K218)=0),"",(N($K218)-IF(OR($M218="Cerrada",$M218="Rolada"),N($O218),0))/$K218)</f>
        <v/>
      </c>
      <c r="AK218" s="15" t="str">
        <f aca="false">IF(OR($C218="",$N218=""),"",DATE(YEAR($N218),MONTH($N218),1))</f>
        <v/>
      </c>
      <c r="AL218" s="11" t="str">
        <f aca="false">IF($C218="","",IF($M218="Abierta",0,1))</f>
        <v/>
      </c>
      <c r="AM218" s="16" t="str">
        <f aca="false">IF(OR($AE218="",$AD218=""),"",$AD218*MAX(N($X218),1))</f>
        <v/>
      </c>
      <c r="AN218" s="10" t="str">
        <f aca="false">IF($C218="","",IF(OR($B218="",$D218="",$H218="",$K218="",$M218=""),"Faltan datos obligatorios",IF($T218="","Estrategia no reconocida",IF(AND($M218&lt;&gt;"Abierta",$N218=""),"Falta fecha cierre",IF(AND(OR($M218="Cerrada",$M218="Rolada"),$O218=""),"Falta prima cierre",IF(AND($N218&lt;&gt;"",$N218&lt;$B218),"Cierre anterior a apertura",IF(AND($M218="Asignada",$R218=""),"Asignada: falta ID lote acciones",IF(AND($R218&lt;&gt;"",ISNA(MATCH($R218,Acciones!$A$2:$A$201,0))),"El ID lote no existe en Acciones",IF($AD218="","Revisa capital en riesgo","OK")))))))))</f>
        <v/>
      </c>
    </row>
    <row r="219" customFormat="false" ht="15" hidden="false" customHeight="true" outlineLevel="0" collapsed="false">
      <c r="A219" s="5"/>
      <c r="B219" s="6"/>
      <c r="C219" s="7"/>
      <c r="D219" s="7"/>
      <c r="E219" s="8"/>
      <c r="F219" s="8"/>
      <c r="G219" s="6"/>
      <c r="H219" s="5"/>
      <c r="I219" s="5" t="n">
        <v>100</v>
      </c>
      <c r="J219" s="8"/>
      <c r="K219" s="8"/>
      <c r="L219" s="9"/>
      <c r="M219" s="7"/>
      <c r="N219" s="6"/>
      <c r="O219" s="8"/>
      <c r="P219" s="9"/>
      <c r="Q219" s="9"/>
      <c r="R219" s="7"/>
      <c r="S219" s="7"/>
      <c r="T219" s="10" t="str">
        <f aca="false">IF($C219="","",IFERROR(INDEX(Listas!$B$2:$B$20,MATCH($D219,Listas!$A$2:$A$20,0)),""))</f>
        <v/>
      </c>
      <c r="U219" s="10" t="str">
        <f aca="false">IF($C219="","",IFERROR(INDEX(Listas!$C$2:$C$20,MATCH($D219,Listas!$A$2:$A$20,0)),""))</f>
        <v/>
      </c>
      <c r="V219" s="10" t="str">
        <f aca="false">IF($C219="","",IFERROR(INDEX(Listas!$D$2:$D$20,MATCH($D219,Listas!$A$2:$A$20,0)),""))</f>
        <v/>
      </c>
      <c r="W219" s="11" t="str">
        <f aca="false">IF(OR($C219="",$B219="",$G219=""),"",$G219-$B219)</f>
        <v/>
      </c>
      <c r="X219" s="11" t="str">
        <f aca="true">IF(OR($C219="",$B219=""),"",IF($N219&lt;&gt;"",$N219,TODAY())-$B219)</f>
        <v/>
      </c>
      <c r="Y219" s="11" t="str">
        <f aca="true">IF(OR($C219="",$M219&lt;&gt;"Abierta",$G219=""),"",MAX($G219-TODAY(),0))</f>
        <v/>
      </c>
      <c r="Z219" s="12" t="str">
        <f aca="false">IF($C219="","",N($K219)*N($H219)*N($I219)*IF($U219="Débito",-1,1))</f>
        <v/>
      </c>
      <c r="AA219" s="13" t="str">
        <f aca="false">IF($C219="","",IF(AND($U219="Débito",$F219&lt;&gt;""),$F219,$E219))</f>
        <v/>
      </c>
      <c r="AB219" s="13" t="str">
        <f aca="false">IF(OR($C219="",$T219="Mixta",$AA219=""),"",IF($V219="Subyacente",IF($J219="","",$J219-$K219),IF($T219="Put",$AA219-$K219,$AA219+$K219)))</f>
        <v/>
      </c>
      <c r="AC219" s="14" t="str">
        <f aca="false">IF(OR($C219="",$T219="Mixta",$J219="",$AA219=""),"",IF($T219="Put",($J219-$AA219)/$J219,($AA219-$J219)/$J219))</f>
        <v/>
      </c>
      <c r="AD219" s="12" t="str">
        <f aca="false">IF($C219="","",IF($Q219&lt;&gt;"",$Q219,IF($V219="Strike",N($E219)*$H219*$I219,IF($V219="Subyacente",IF($J219="","",$J219*$H219*$I219),IF($V219="Ancho",IF($F219="","",ABS($E219-$F219)*$H219*$I219-$K219*$H219*$I219),IF($V219="Prima",$K219*$H219*$I219,""))))))</f>
        <v/>
      </c>
      <c r="AE219" s="12" t="str">
        <f aca="false">IF(OR($C219="",$M219="Abierta",$M219=""),"",(N($K219)-IF(OR($M219="Cerrada",$M219="Rolada"),N($O219),0))*$H219*$I219*IF($U219="Débito",-1,1)-N($L219)-N($P219))</f>
        <v/>
      </c>
      <c r="AF219" s="14" t="str">
        <f aca="false">IF(OR($AE219="",$AD219=""),"",IF($AD219&lt;=0,"",$AE219/$AD219))</f>
        <v/>
      </c>
      <c r="AG219" s="14" t="str">
        <f aca="false">IF($AF219="","",$AF219*365/MAX(N($X219),1))</f>
        <v/>
      </c>
      <c r="AH219" s="14" t="str">
        <f aca="false">IF(OR($C219="",$U219&lt;&gt;"Crédito",$AD219=""),"",IF($AD219&lt;=0,"",($Z219-N($L219))/$AD219))</f>
        <v/>
      </c>
      <c r="AI219" s="14" t="str">
        <f aca="false">IF(OR($AH219="",$W219=""),"",$AH219*365/MAX($W219,1))</f>
        <v/>
      </c>
      <c r="AJ219" s="14" t="str">
        <f aca="false">IF(OR($AE219="",$U219&lt;&gt;"Crédito",N($K219)=0),"",(N($K219)-IF(OR($M219="Cerrada",$M219="Rolada"),N($O219),0))/$K219)</f>
        <v/>
      </c>
      <c r="AK219" s="15" t="str">
        <f aca="false">IF(OR($C219="",$N219=""),"",DATE(YEAR($N219),MONTH($N219),1))</f>
        <v/>
      </c>
      <c r="AL219" s="11" t="str">
        <f aca="false">IF($C219="","",IF($M219="Abierta",0,1))</f>
        <v/>
      </c>
      <c r="AM219" s="16" t="str">
        <f aca="false">IF(OR($AE219="",$AD219=""),"",$AD219*MAX(N($X219),1))</f>
        <v/>
      </c>
      <c r="AN219" s="10" t="str">
        <f aca="false">IF($C219="","",IF(OR($B219="",$D219="",$H219="",$K219="",$M219=""),"Faltan datos obligatorios",IF($T219="","Estrategia no reconocida",IF(AND($M219&lt;&gt;"Abierta",$N219=""),"Falta fecha cierre",IF(AND(OR($M219="Cerrada",$M219="Rolada"),$O219=""),"Falta prima cierre",IF(AND($N219&lt;&gt;"",$N219&lt;$B219),"Cierre anterior a apertura",IF(AND($M219="Asignada",$R219=""),"Asignada: falta ID lote acciones",IF(AND($R219&lt;&gt;"",ISNA(MATCH($R219,Acciones!$A$2:$A$201,0))),"El ID lote no existe en Acciones",IF($AD219="","Revisa capital en riesgo","OK")))))))))</f>
        <v/>
      </c>
    </row>
    <row r="220" customFormat="false" ht="15" hidden="false" customHeight="true" outlineLevel="0" collapsed="false">
      <c r="A220" s="5"/>
      <c r="B220" s="6"/>
      <c r="C220" s="7"/>
      <c r="D220" s="7"/>
      <c r="E220" s="8"/>
      <c r="F220" s="8"/>
      <c r="G220" s="6"/>
      <c r="H220" s="5"/>
      <c r="I220" s="5" t="n">
        <v>100</v>
      </c>
      <c r="J220" s="8"/>
      <c r="K220" s="8"/>
      <c r="L220" s="9"/>
      <c r="M220" s="7"/>
      <c r="N220" s="6"/>
      <c r="O220" s="8"/>
      <c r="P220" s="9"/>
      <c r="Q220" s="9"/>
      <c r="R220" s="7"/>
      <c r="S220" s="7"/>
      <c r="T220" s="10" t="str">
        <f aca="false">IF($C220="","",IFERROR(INDEX(Listas!$B$2:$B$20,MATCH($D220,Listas!$A$2:$A$20,0)),""))</f>
        <v/>
      </c>
      <c r="U220" s="10" t="str">
        <f aca="false">IF($C220="","",IFERROR(INDEX(Listas!$C$2:$C$20,MATCH($D220,Listas!$A$2:$A$20,0)),""))</f>
        <v/>
      </c>
      <c r="V220" s="10" t="str">
        <f aca="false">IF($C220="","",IFERROR(INDEX(Listas!$D$2:$D$20,MATCH($D220,Listas!$A$2:$A$20,0)),""))</f>
        <v/>
      </c>
      <c r="W220" s="11" t="str">
        <f aca="false">IF(OR($C220="",$B220="",$G220=""),"",$G220-$B220)</f>
        <v/>
      </c>
      <c r="X220" s="11" t="str">
        <f aca="true">IF(OR($C220="",$B220=""),"",IF($N220&lt;&gt;"",$N220,TODAY())-$B220)</f>
        <v/>
      </c>
      <c r="Y220" s="11" t="str">
        <f aca="true">IF(OR($C220="",$M220&lt;&gt;"Abierta",$G220=""),"",MAX($G220-TODAY(),0))</f>
        <v/>
      </c>
      <c r="Z220" s="12" t="str">
        <f aca="false">IF($C220="","",N($K220)*N($H220)*N($I220)*IF($U220="Débito",-1,1))</f>
        <v/>
      </c>
      <c r="AA220" s="13" t="str">
        <f aca="false">IF($C220="","",IF(AND($U220="Débito",$F220&lt;&gt;""),$F220,$E220))</f>
        <v/>
      </c>
      <c r="AB220" s="13" t="str">
        <f aca="false">IF(OR($C220="",$T220="Mixta",$AA220=""),"",IF($V220="Subyacente",IF($J220="","",$J220-$K220),IF($T220="Put",$AA220-$K220,$AA220+$K220)))</f>
        <v/>
      </c>
      <c r="AC220" s="14" t="str">
        <f aca="false">IF(OR($C220="",$T220="Mixta",$J220="",$AA220=""),"",IF($T220="Put",($J220-$AA220)/$J220,($AA220-$J220)/$J220))</f>
        <v/>
      </c>
      <c r="AD220" s="12" t="str">
        <f aca="false">IF($C220="","",IF($Q220&lt;&gt;"",$Q220,IF($V220="Strike",N($E220)*$H220*$I220,IF($V220="Subyacente",IF($J220="","",$J220*$H220*$I220),IF($V220="Ancho",IF($F220="","",ABS($E220-$F220)*$H220*$I220-$K220*$H220*$I220),IF($V220="Prima",$K220*$H220*$I220,""))))))</f>
        <v/>
      </c>
      <c r="AE220" s="12" t="str">
        <f aca="false">IF(OR($C220="",$M220="Abierta",$M220=""),"",(N($K220)-IF(OR($M220="Cerrada",$M220="Rolada"),N($O220),0))*$H220*$I220*IF($U220="Débito",-1,1)-N($L220)-N($P220))</f>
        <v/>
      </c>
      <c r="AF220" s="14" t="str">
        <f aca="false">IF(OR($AE220="",$AD220=""),"",IF($AD220&lt;=0,"",$AE220/$AD220))</f>
        <v/>
      </c>
      <c r="AG220" s="14" t="str">
        <f aca="false">IF($AF220="","",$AF220*365/MAX(N($X220),1))</f>
        <v/>
      </c>
      <c r="AH220" s="14" t="str">
        <f aca="false">IF(OR($C220="",$U220&lt;&gt;"Crédito",$AD220=""),"",IF($AD220&lt;=0,"",($Z220-N($L220))/$AD220))</f>
        <v/>
      </c>
      <c r="AI220" s="14" t="str">
        <f aca="false">IF(OR($AH220="",$W220=""),"",$AH220*365/MAX($W220,1))</f>
        <v/>
      </c>
      <c r="AJ220" s="14" t="str">
        <f aca="false">IF(OR($AE220="",$U220&lt;&gt;"Crédito",N($K220)=0),"",(N($K220)-IF(OR($M220="Cerrada",$M220="Rolada"),N($O220),0))/$K220)</f>
        <v/>
      </c>
      <c r="AK220" s="15" t="str">
        <f aca="false">IF(OR($C220="",$N220=""),"",DATE(YEAR($N220),MONTH($N220),1))</f>
        <v/>
      </c>
      <c r="AL220" s="11" t="str">
        <f aca="false">IF($C220="","",IF($M220="Abierta",0,1))</f>
        <v/>
      </c>
      <c r="AM220" s="16" t="str">
        <f aca="false">IF(OR($AE220="",$AD220=""),"",$AD220*MAX(N($X220),1))</f>
        <v/>
      </c>
      <c r="AN220" s="10" t="str">
        <f aca="false">IF($C220="","",IF(OR($B220="",$D220="",$H220="",$K220="",$M220=""),"Faltan datos obligatorios",IF($T220="","Estrategia no reconocida",IF(AND($M220&lt;&gt;"Abierta",$N220=""),"Falta fecha cierre",IF(AND(OR($M220="Cerrada",$M220="Rolada"),$O220=""),"Falta prima cierre",IF(AND($N220&lt;&gt;"",$N220&lt;$B220),"Cierre anterior a apertura",IF(AND($M220="Asignada",$R220=""),"Asignada: falta ID lote acciones",IF(AND($R220&lt;&gt;"",ISNA(MATCH($R220,Acciones!$A$2:$A$201,0))),"El ID lote no existe en Acciones",IF($AD220="","Revisa capital en riesgo","OK")))))))))</f>
        <v/>
      </c>
    </row>
    <row r="221" customFormat="false" ht="15" hidden="false" customHeight="true" outlineLevel="0" collapsed="false">
      <c r="A221" s="5"/>
      <c r="B221" s="6"/>
      <c r="C221" s="7"/>
      <c r="D221" s="7"/>
      <c r="E221" s="8"/>
      <c r="F221" s="8"/>
      <c r="G221" s="6"/>
      <c r="H221" s="5"/>
      <c r="I221" s="5" t="n">
        <v>100</v>
      </c>
      <c r="J221" s="8"/>
      <c r="K221" s="8"/>
      <c r="L221" s="9"/>
      <c r="M221" s="7"/>
      <c r="N221" s="6"/>
      <c r="O221" s="8"/>
      <c r="P221" s="9"/>
      <c r="Q221" s="9"/>
      <c r="R221" s="7"/>
      <c r="S221" s="7"/>
      <c r="T221" s="10" t="str">
        <f aca="false">IF($C221="","",IFERROR(INDEX(Listas!$B$2:$B$20,MATCH($D221,Listas!$A$2:$A$20,0)),""))</f>
        <v/>
      </c>
      <c r="U221" s="10" t="str">
        <f aca="false">IF($C221="","",IFERROR(INDEX(Listas!$C$2:$C$20,MATCH($D221,Listas!$A$2:$A$20,0)),""))</f>
        <v/>
      </c>
      <c r="V221" s="10" t="str">
        <f aca="false">IF($C221="","",IFERROR(INDEX(Listas!$D$2:$D$20,MATCH($D221,Listas!$A$2:$A$20,0)),""))</f>
        <v/>
      </c>
      <c r="W221" s="11" t="str">
        <f aca="false">IF(OR($C221="",$B221="",$G221=""),"",$G221-$B221)</f>
        <v/>
      </c>
      <c r="X221" s="11" t="str">
        <f aca="true">IF(OR($C221="",$B221=""),"",IF($N221&lt;&gt;"",$N221,TODAY())-$B221)</f>
        <v/>
      </c>
      <c r="Y221" s="11" t="str">
        <f aca="true">IF(OR($C221="",$M221&lt;&gt;"Abierta",$G221=""),"",MAX($G221-TODAY(),0))</f>
        <v/>
      </c>
      <c r="Z221" s="12" t="str">
        <f aca="false">IF($C221="","",N($K221)*N($H221)*N($I221)*IF($U221="Débito",-1,1))</f>
        <v/>
      </c>
      <c r="AA221" s="13" t="str">
        <f aca="false">IF($C221="","",IF(AND($U221="Débito",$F221&lt;&gt;""),$F221,$E221))</f>
        <v/>
      </c>
      <c r="AB221" s="13" t="str">
        <f aca="false">IF(OR($C221="",$T221="Mixta",$AA221=""),"",IF($V221="Subyacente",IF($J221="","",$J221-$K221),IF($T221="Put",$AA221-$K221,$AA221+$K221)))</f>
        <v/>
      </c>
      <c r="AC221" s="14" t="str">
        <f aca="false">IF(OR($C221="",$T221="Mixta",$J221="",$AA221=""),"",IF($T221="Put",($J221-$AA221)/$J221,($AA221-$J221)/$J221))</f>
        <v/>
      </c>
      <c r="AD221" s="12" t="str">
        <f aca="false">IF($C221="","",IF($Q221&lt;&gt;"",$Q221,IF($V221="Strike",N($E221)*$H221*$I221,IF($V221="Subyacente",IF($J221="","",$J221*$H221*$I221),IF($V221="Ancho",IF($F221="","",ABS($E221-$F221)*$H221*$I221-$K221*$H221*$I221),IF($V221="Prima",$K221*$H221*$I221,""))))))</f>
        <v/>
      </c>
      <c r="AE221" s="12" t="str">
        <f aca="false">IF(OR($C221="",$M221="Abierta",$M221=""),"",(N($K221)-IF(OR($M221="Cerrada",$M221="Rolada"),N($O221),0))*$H221*$I221*IF($U221="Débito",-1,1)-N($L221)-N($P221))</f>
        <v/>
      </c>
      <c r="AF221" s="14" t="str">
        <f aca="false">IF(OR($AE221="",$AD221=""),"",IF($AD221&lt;=0,"",$AE221/$AD221))</f>
        <v/>
      </c>
      <c r="AG221" s="14" t="str">
        <f aca="false">IF($AF221="","",$AF221*365/MAX(N($X221),1))</f>
        <v/>
      </c>
      <c r="AH221" s="14" t="str">
        <f aca="false">IF(OR($C221="",$U221&lt;&gt;"Crédito",$AD221=""),"",IF($AD221&lt;=0,"",($Z221-N($L221))/$AD221))</f>
        <v/>
      </c>
      <c r="AI221" s="14" t="str">
        <f aca="false">IF(OR($AH221="",$W221=""),"",$AH221*365/MAX($W221,1))</f>
        <v/>
      </c>
      <c r="AJ221" s="14" t="str">
        <f aca="false">IF(OR($AE221="",$U221&lt;&gt;"Crédito",N($K221)=0),"",(N($K221)-IF(OR($M221="Cerrada",$M221="Rolada"),N($O221),0))/$K221)</f>
        <v/>
      </c>
      <c r="AK221" s="15" t="str">
        <f aca="false">IF(OR($C221="",$N221=""),"",DATE(YEAR($N221),MONTH($N221),1))</f>
        <v/>
      </c>
      <c r="AL221" s="11" t="str">
        <f aca="false">IF($C221="","",IF($M221="Abierta",0,1))</f>
        <v/>
      </c>
      <c r="AM221" s="16" t="str">
        <f aca="false">IF(OR($AE221="",$AD221=""),"",$AD221*MAX(N($X221),1))</f>
        <v/>
      </c>
      <c r="AN221" s="10" t="str">
        <f aca="false">IF($C221="","",IF(OR($B221="",$D221="",$H221="",$K221="",$M221=""),"Faltan datos obligatorios",IF($T221="","Estrategia no reconocida",IF(AND($M221&lt;&gt;"Abierta",$N221=""),"Falta fecha cierre",IF(AND(OR($M221="Cerrada",$M221="Rolada"),$O221=""),"Falta prima cierre",IF(AND($N221&lt;&gt;"",$N221&lt;$B221),"Cierre anterior a apertura",IF(AND($M221="Asignada",$R221=""),"Asignada: falta ID lote acciones",IF(AND($R221&lt;&gt;"",ISNA(MATCH($R221,Acciones!$A$2:$A$201,0))),"El ID lote no existe en Acciones",IF($AD221="","Revisa capital en riesgo","OK")))))))))</f>
        <v/>
      </c>
    </row>
    <row r="222" customFormat="false" ht="15" hidden="false" customHeight="true" outlineLevel="0" collapsed="false">
      <c r="A222" s="5"/>
      <c r="B222" s="6"/>
      <c r="C222" s="7"/>
      <c r="D222" s="7"/>
      <c r="E222" s="8"/>
      <c r="F222" s="8"/>
      <c r="G222" s="6"/>
      <c r="H222" s="5"/>
      <c r="I222" s="5" t="n">
        <v>100</v>
      </c>
      <c r="J222" s="8"/>
      <c r="K222" s="8"/>
      <c r="L222" s="9"/>
      <c r="M222" s="7"/>
      <c r="N222" s="6"/>
      <c r="O222" s="8"/>
      <c r="P222" s="9"/>
      <c r="Q222" s="9"/>
      <c r="R222" s="7"/>
      <c r="S222" s="7"/>
      <c r="T222" s="10" t="str">
        <f aca="false">IF($C222="","",IFERROR(INDEX(Listas!$B$2:$B$20,MATCH($D222,Listas!$A$2:$A$20,0)),""))</f>
        <v/>
      </c>
      <c r="U222" s="10" t="str">
        <f aca="false">IF($C222="","",IFERROR(INDEX(Listas!$C$2:$C$20,MATCH($D222,Listas!$A$2:$A$20,0)),""))</f>
        <v/>
      </c>
      <c r="V222" s="10" t="str">
        <f aca="false">IF($C222="","",IFERROR(INDEX(Listas!$D$2:$D$20,MATCH($D222,Listas!$A$2:$A$20,0)),""))</f>
        <v/>
      </c>
      <c r="W222" s="11" t="str">
        <f aca="false">IF(OR($C222="",$B222="",$G222=""),"",$G222-$B222)</f>
        <v/>
      </c>
      <c r="X222" s="11" t="str">
        <f aca="true">IF(OR($C222="",$B222=""),"",IF($N222&lt;&gt;"",$N222,TODAY())-$B222)</f>
        <v/>
      </c>
      <c r="Y222" s="11" t="str">
        <f aca="true">IF(OR($C222="",$M222&lt;&gt;"Abierta",$G222=""),"",MAX($G222-TODAY(),0))</f>
        <v/>
      </c>
      <c r="Z222" s="12" t="str">
        <f aca="false">IF($C222="","",N($K222)*N($H222)*N($I222)*IF($U222="Débito",-1,1))</f>
        <v/>
      </c>
      <c r="AA222" s="13" t="str">
        <f aca="false">IF($C222="","",IF(AND($U222="Débito",$F222&lt;&gt;""),$F222,$E222))</f>
        <v/>
      </c>
      <c r="AB222" s="13" t="str">
        <f aca="false">IF(OR($C222="",$T222="Mixta",$AA222=""),"",IF($V222="Subyacente",IF($J222="","",$J222-$K222),IF($T222="Put",$AA222-$K222,$AA222+$K222)))</f>
        <v/>
      </c>
      <c r="AC222" s="14" t="str">
        <f aca="false">IF(OR($C222="",$T222="Mixta",$J222="",$AA222=""),"",IF($T222="Put",($J222-$AA222)/$J222,($AA222-$J222)/$J222))</f>
        <v/>
      </c>
      <c r="AD222" s="12" t="str">
        <f aca="false">IF($C222="","",IF($Q222&lt;&gt;"",$Q222,IF($V222="Strike",N($E222)*$H222*$I222,IF($V222="Subyacente",IF($J222="","",$J222*$H222*$I222),IF($V222="Ancho",IF($F222="","",ABS($E222-$F222)*$H222*$I222-$K222*$H222*$I222),IF($V222="Prima",$K222*$H222*$I222,""))))))</f>
        <v/>
      </c>
      <c r="AE222" s="12" t="str">
        <f aca="false">IF(OR($C222="",$M222="Abierta",$M222=""),"",(N($K222)-IF(OR($M222="Cerrada",$M222="Rolada"),N($O222),0))*$H222*$I222*IF($U222="Débito",-1,1)-N($L222)-N($P222))</f>
        <v/>
      </c>
      <c r="AF222" s="14" t="str">
        <f aca="false">IF(OR($AE222="",$AD222=""),"",IF($AD222&lt;=0,"",$AE222/$AD222))</f>
        <v/>
      </c>
      <c r="AG222" s="14" t="str">
        <f aca="false">IF($AF222="","",$AF222*365/MAX(N($X222),1))</f>
        <v/>
      </c>
      <c r="AH222" s="14" t="str">
        <f aca="false">IF(OR($C222="",$U222&lt;&gt;"Crédito",$AD222=""),"",IF($AD222&lt;=0,"",($Z222-N($L222))/$AD222))</f>
        <v/>
      </c>
      <c r="AI222" s="14" t="str">
        <f aca="false">IF(OR($AH222="",$W222=""),"",$AH222*365/MAX($W222,1))</f>
        <v/>
      </c>
      <c r="AJ222" s="14" t="str">
        <f aca="false">IF(OR($AE222="",$U222&lt;&gt;"Crédito",N($K222)=0),"",(N($K222)-IF(OR($M222="Cerrada",$M222="Rolada"),N($O222),0))/$K222)</f>
        <v/>
      </c>
      <c r="AK222" s="15" t="str">
        <f aca="false">IF(OR($C222="",$N222=""),"",DATE(YEAR($N222),MONTH($N222),1))</f>
        <v/>
      </c>
      <c r="AL222" s="11" t="str">
        <f aca="false">IF($C222="","",IF($M222="Abierta",0,1))</f>
        <v/>
      </c>
      <c r="AM222" s="16" t="str">
        <f aca="false">IF(OR($AE222="",$AD222=""),"",$AD222*MAX(N($X222),1))</f>
        <v/>
      </c>
      <c r="AN222" s="10" t="str">
        <f aca="false">IF($C222="","",IF(OR($B222="",$D222="",$H222="",$K222="",$M222=""),"Faltan datos obligatorios",IF($T222="","Estrategia no reconocida",IF(AND($M222&lt;&gt;"Abierta",$N222=""),"Falta fecha cierre",IF(AND(OR($M222="Cerrada",$M222="Rolada"),$O222=""),"Falta prima cierre",IF(AND($N222&lt;&gt;"",$N222&lt;$B222),"Cierre anterior a apertura",IF(AND($M222="Asignada",$R222=""),"Asignada: falta ID lote acciones",IF(AND($R222&lt;&gt;"",ISNA(MATCH($R222,Acciones!$A$2:$A$201,0))),"El ID lote no existe en Acciones",IF($AD222="","Revisa capital en riesgo","OK")))))))))</f>
        <v/>
      </c>
    </row>
    <row r="223" customFormat="false" ht="15" hidden="false" customHeight="true" outlineLevel="0" collapsed="false">
      <c r="A223" s="5"/>
      <c r="B223" s="6"/>
      <c r="C223" s="7"/>
      <c r="D223" s="7"/>
      <c r="E223" s="8"/>
      <c r="F223" s="8"/>
      <c r="G223" s="6"/>
      <c r="H223" s="5"/>
      <c r="I223" s="5" t="n">
        <v>100</v>
      </c>
      <c r="J223" s="8"/>
      <c r="K223" s="8"/>
      <c r="L223" s="9"/>
      <c r="M223" s="7"/>
      <c r="N223" s="6"/>
      <c r="O223" s="8"/>
      <c r="P223" s="9"/>
      <c r="Q223" s="9"/>
      <c r="R223" s="7"/>
      <c r="S223" s="7"/>
      <c r="T223" s="10" t="str">
        <f aca="false">IF($C223="","",IFERROR(INDEX(Listas!$B$2:$B$20,MATCH($D223,Listas!$A$2:$A$20,0)),""))</f>
        <v/>
      </c>
      <c r="U223" s="10" t="str">
        <f aca="false">IF($C223="","",IFERROR(INDEX(Listas!$C$2:$C$20,MATCH($D223,Listas!$A$2:$A$20,0)),""))</f>
        <v/>
      </c>
      <c r="V223" s="10" t="str">
        <f aca="false">IF($C223="","",IFERROR(INDEX(Listas!$D$2:$D$20,MATCH($D223,Listas!$A$2:$A$20,0)),""))</f>
        <v/>
      </c>
      <c r="W223" s="11" t="str">
        <f aca="false">IF(OR($C223="",$B223="",$G223=""),"",$G223-$B223)</f>
        <v/>
      </c>
      <c r="X223" s="11" t="str">
        <f aca="true">IF(OR($C223="",$B223=""),"",IF($N223&lt;&gt;"",$N223,TODAY())-$B223)</f>
        <v/>
      </c>
      <c r="Y223" s="11" t="str">
        <f aca="true">IF(OR($C223="",$M223&lt;&gt;"Abierta",$G223=""),"",MAX($G223-TODAY(),0))</f>
        <v/>
      </c>
      <c r="Z223" s="12" t="str">
        <f aca="false">IF($C223="","",N($K223)*N($H223)*N($I223)*IF($U223="Débito",-1,1))</f>
        <v/>
      </c>
      <c r="AA223" s="13" t="str">
        <f aca="false">IF($C223="","",IF(AND($U223="Débito",$F223&lt;&gt;""),$F223,$E223))</f>
        <v/>
      </c>
      <c r="AB223" s="13" t="str">
        <f aca="false">IF(OR($C223="",$T223="Mixta",$AA223=""),"",IF($V223="Subyacente",IF($J223="","",$J223-$K223),IF($T223="Put",$AA223-$K223,$AA223+$K223)))</f>
        <v/>
      </c>
      <c r="AC223" s="14" t="str">
        <f aca="false">IF(OR($C223="",$T223="Mixta",$J223="",$AA223=""),"",IF($T223="Put",($J223-$AA223)/$J223,($AA223-$J223)/$J223))</f>
        <v/>
      </c>
      <c r="AD223" s="12" t="str">
        <f aca="false">IF($C223="","",IF($Q223&lt;&gt;"",$Q223,IF($V223="Strike",N($E223)*$H223*$I223,IF($V223="Subyacente",IF($J223="","",$J223*$H223*$I223),IF($V223="Ancho",IF($F223="","",ABS($E223-$F223)*$H223*$I223-$K223*$H223*$I223),IF($V223="Prima",$K223*$H223*$I223,""))))))</f>
        <v/>
      </c>
      <c r="AE223" s="12" t="str">
        <f aca="false">IF(OR($C223="",$M223="Abierta",$M223=""),"",(N($K223)-IF(OR($M223="Cerrada",$M223="Rolada"),N($O223),0))*$H223*$I223*IF($U223="Débito",-1,1)-N($L223)-N($P223))</f>
        <v/>
      </c>
      <c r="AF223" s="14" t="str">
        <f aca="false">IF(OR($AE223="",$AD223=""),"",IF($AD223&lt;=0,"",$AE223/$AD223))</f>
        <v/>
      </c>
      <c r="AG223" s="14" t="str">
        <f aca="false">IF($AF223="","",$AF223*365/MAX(N($X223),1))</f>
        <v/>
      </c>
      <c r="AH223" s="14" t="str">
        <f aca="false">IF(OR($C223="",$U223&lt;&gt;"Crédito",$AD223=""),"",IF($AD223&lt;=0,"",($Z223-N($L223))/$AD223))</f>
        <v/>
      </c>
      <c r="AI223" s="14" t="str">
        <f aca="false">IF(OR($AH223="",$W223=""),"",$AH223*365/MAX($W223,1))</f>
        <v/>
      </c>
      <c r="AJ223" s="14" t="str">
        <f aca="false">IF(OR($AE223="",$U223&lt;&gt;"Crédito",N($K223)=0),"",(N($K223)-IF(OR($M223="Cerrada",$M223="Rolada"),N($O223),0))/$K223)</f>
        <v/>
      </c>
      <c r="AK223" s="15" t="str">
        <f aca="false">IF(OR($C223="",$N223=""),"",DATE(YEAR($N223),MONTH($N223),1))</f>
        <v/>
      </c>
      <c r="AL223" s="11" t="str">
        <f aca="false">IF($C223="","",IF($M223="Abierta",0,1))</f>
        <v/>
      </c>
      <c r="AM223" s="16" t="str">
        <f aca="false">IF(OR($AE223="",$AD223=""),"",$AD223*MAX(N($X223),1))</f>
        <v/>
      </c>
      <c r="AN223" s="10" t="str">
        <f aca="false">IF($C223="","",IF(OR($B223="",$D223="",$H223="",$K223="",$M223=""),"Faltan datos obligatorios",IF($T223="","Estrategia no reconocida",IF(AND($M223&lt;&gt;"Abierta",$N223=""),"Falta fecha cierre",IF(AND(OR($M223="Cerrada",$M223="Rolada"),$O223=""),"Falta prima cierre",IF(AND($N223&lt;&gt;"",$N223&lt;$B223),"Cierre anterior a apertura",IF(AND($M223="Asignada",$R223=""),"Asignada: falta ID lote acciones",IF(AND($R223&lt;&gt;"",ISNA(MATCH($R223,Acciones!$A$2:$A$201,0))),"El ID lote no existe en Acciones",IF($AD223="","Revisa capital en riesgo","OK")))))))))</f>
        <v/>
      </c>
    </row>
    <row r="224" customFormat="false" ht="15" hidden="false" customHeight="true" outlineLevel="0" collapsed="false">
      <c r="A224" s="5"/>
      <c r="B224" s="6"/>
      <c r="C224" s="7"/>
      <c r="D224" s="7"/>
      <c r="E224" s="8"/>
      <c r="F224" s="8"/>
      <c r="G224" s="6"/>
      <c r="H224" s="5"/>
      <c r="I224" s="5" t="n">
        <v>100</v>
      </c>
      <c r="J224" s="8"/>
      <c r="K224" s="8"/>
      <c r="L224" s="9"/>
      <c r="M224" s="7"/>
      <c r="N224" s="6"/>
      <c r="O224" s="8"/>
      <c r="P224" s="9"/>
      <c r="Q224" s="9"/>
      <c r="R224" s="7"/>
      <c r="S224" s="7"/>
      <c r="T224" s="10" t="str">
        <f aca="false">IF($C224="","",IFERROR(INDEX(Listas!$B$2:$B$20,MATCH($D224,Listas!$A$2:$A$20,0)),""))</f>
        <v/>
      </c>
      <c r="U224" s="10" t="str">
        <f aca="false">IF($C224="","",IFERROR(INDEX(Listas!$C$2:$C$20,MATCH($D224,Listas!$A$2:$A$20,0)),""))</f>
        <v/>
      </c>
      <c r="V224" s="10" t="str">
        <f aca="false">IF($C224="","",IFERROR(INDEX(Listas!$D$2:$D$20,MATCH($D224,Listas!$A$2:$A$20,0)),""))</f>
        <v/>
      </c>
      <c r="W224" s="11" t="str">
        <f aca="false">IF(OR($C224="",$B224="",$G224=""),"",$G224-$B224)</f>
        <v/>
      </c>
      <c r="X224" s="11" t="str">
        <f aca="true">IF(OR($C224="",$B224=""),"",IF($N224&lt;&gt;"",$N224,TODAY())-$B224)</f>
        <v/>
      </c>
      <c r="Y224" s="11" t="str">
        <f aca="true">IF(OR($C224="",$M224&lt;&gt;"Abierta",$G224=""),"",MAX($G224-TODAY(),0))</f>
        <v/>
      </c>
      <c r="Z224" s="12" t="str">
        <f aca="false">IF($C224="","",N($K224)*N($H224)*N($I224)*IF($U224="Débito",-1,1))</f>
        <v/>
      </c>
      <c r="AA224" s="13" t="str">
        <f aca="false">IF($C224="","",IF(AND($U224="Débito",$F224&lt;&gt;""),$F224,$E224))</f>
        <v/>
      </c>
      <c r="AB224" s="13" t="str">
        <f aca="false">IF(OR($C224="",$T224="Mixta",$AA224=""),"",IF($V224="Subyacente",IF($J224="","",$J224-$K224),IF($T224="Put",$AA224-$K224,$AA224+$K224)))</f>
        <v/>
      </c>
      <c r="AC224" s="14" t="str">
        <f aca="false">IF(OR($C224="",$T224="Mixta",$J224="",$AA224=""),"",IF($T224="Put",($J224-$AA224)/$J224,($AA224-$J224)/$J224))</f>
        <v/>
      </c>
      <c r="AD224" s="12" t="str">
        <f aca="false">IF($C224="","",IF($Q224&lt;&gt;"",$Q224,IF($V224="Strike",N($E224)*$H224*$I224,IF($V224="Subyacente",IF($J224="","",$J224*$H224*$I224),IF($V224="Ancho",IF($F224="","",ABS($E224-$F224)*$H224*$I224-$K224*$H224*$I224),IF($V224="Prima",$K224*$H224*$I224,""))))))</f>
        <v/>
      </c>
      <c r="AE224" s="12" t="str">
        <f aca="false">IF(OR($C224="",$M224="Abierta",$M224=""),"",(N($K224)-IF(OR($M224="Cerrada",$M224="Rolada"),N($O224),0))*$H224*$I224*IF($U224="Débito",-1,1)-N($L224)-N($P224))</f>
        <v/>
      </c>
      <c r="AF224" s="14" t="str">
        <f aca="false">IF(OR($AE224="",$AD224=""),"",IF($AD224&lt;=0,"",$AE224/$AD224))</f>
        <v/>
      </c>
      <c r="AG224" s="14" t="str">
        <f aca="false">IF($AF224="","",$AF224*365/MAX(N($X224),1))</f>
        <v/>
      </c>
      <c r="AH224" s="14" t="str">
        <f aca="false">IF(OR($C224="",$U224&lt;&gt;"Crédito",$AD224=""),"",IF($AD224&lt;=0,"",($Z224-N($L224))/$AD224))</f>
        <v/>
      </c>
      <c r="AI224" s="14" t="str">
        <f aca="false">IF(OR($AH224="",$W224=""),"",$AH224*365/MAX($W224,1))</f>
        <v/>
      </c>
      <c r="AJ224" s="14" t="str">
        <f aca="false">IF(OR($AE224="",$U224&lt;&gt;"Crédito",N($K224)=0),"",(N($K224)-IF(OR($M224="Cerrada",$M224="Rolada"),N($O224),0))/$K224)</f>
        <v/>
      </c>
      <c r="AK224" s="15" t="str">
        <f aca="false">IF(OR($C224="",$N224=""),"",DATE(YEAR($N224),MONTH($N224),1))</f>
        <v/>
      </c>
      <c r="AL224" s="11" t="str">
        <f aca="false">IF($C224="","",IF($M224="Abierta",0,1))</f>
        <v/>
      </c>
      <c r="AM224" s="16" t="str">
        <f aca="false">IF(OR($AE224="",$AD224=""),"",$AD224*MAX(N($X224),1))</f>
        <v/>
      </c>
      <c r="AN224" s="10" t="str">
        <f aca="false">IF($C224="","",IF(OR($B224="",$D224="",$H224="",$K224="",$M224=""),"Faltan datos obligatorios",IF($T224="","Estrategia no reconocida",IF(AND($M224&lt;&gt;"Abierta",$N224=""),"Falta fecha cierre",IF(AND(OR($M224="Cerrada",$M224="Rolada"),$O224=""),"Falta prima cierre",IF(AND($N224&lt;&gt;"",$N224&lt;$B224),"Cierre anterior a apertura",IF(AND($M224="Asignada",$R224=""),"Asignada: falta ID lote acciones",IF(AND($R224&lt;&gt;"",ISNA(MATCH($R224,Acciones!$A$2:$A$201,0))),"El ID lote no existe en Acciones",IF($AD224="","Revisa capital en riesgo","OK")))))))))</f>
        <v/>
      </c>
    </row>
    <row r="225" customFormat="false" ht="15" hidden="false" customHeight="true" outlineLevel="0" collapsed="false">
      <c r="A225" s="5"/>
      <c r="B225" s="6"/>
      <c r="C225" s="7"/>
      <c r="D225" s="7"/>
      <c r="E225" s="8"/>
      <c r="F225" s="8"/>
      <c r="G225" s="6"/>
      <c r="H225" s="5"/>
      <c r="I225" s="5" t="n">
        <v>100</v>
      </c>
      <c r="J225" s="8"/>
      <c r="K225" s="8"/>
      <c r="L225" s="9"/>
      <c r="M225" s="7"/>
      <c r="N225" s="6"/>
      <c r="O225" s="8"/>
      <c r="P225" s="9"/>
      <c r="Q225" s="9"/>
      <c r="R225" s="7"/>
      <c r="S225" s="7"/>
      <c r="T225" s="10" t="str">
        <f aca="false">IF($C225="","",IFERROR(INDEX(Listas!$B$2:$B$20,MATCH($D225,Listas!$A$2:$A$20,0)),""))</f>
        <v/>
      </c>
      <c r="U225" s="10" t="str">
        <f aca="false">IF($C225="","",IFERROR(INDEX(Listas!$C$2:$C$20,MATCH($D225,Listas!$A$2:$A$20,0)),""))</f>
        <v/>
      </c>
      <c r="V225" s="10" t="str">
        <f aca="false">IF($C225="","",IFERROR(INDEX(Listas!$D$2:$D$20,MATCH($D225,Listas!$A$2:$A$20,0)),""))</f>
        <v/>
      </c>
      <c r="W225" s="11" t="str">
        <f aca="false">IF(OR($C225="",$B225="",$G225=""),"",$G225-$B225)</f>
        <v/>
      </c>
      <c r="X225" s="11" t="str">
        <f aca="true">IF(OR($C225="",$B225=""),"",IF($N225&lt;&gt;"",$N225,TODAY())-$B225)</f>
        <v/>
      </c>
      <c r="Y225" s="11" t="str">
        <f aca="true">IF(OR($C225="",$M225&lt;&gt;"Abierta",$G225=""),"",MAX($G225-TODAY(),0))</f>
        <v/>
      </c>
      <c r="Z225" s="12" t="str">
        <f aca="false">IF($C225="","",N($K225)*N($H225)*N($I225)*IF($U225="Débito",-1,1))</f>
        <v/>
      </c>
      <c r="AA225" s="13" t="str">
        <f aca="false">IF($C225="","",IF(AND($U225="Débito",$F225&lt;&gt;""),$F225,$E225))</f>
        <v/>
      </c>
      <c r="AB225" s="13" t="str">
        <f aca="false">IF(OR($C225="",$T225="Mixta",$AA225=""),"",IF($V225="Subyacente",IF($J225="","",$J225-$K225),IF($T225="Put",$AA225-$K225,$AA225+$K225)))</f>
        <v/>
      </c>
      <c r="AC225" s="14" t="str">
        <f aca="false">IF(OR($C225="",$T225="Mixta",$J225="",$AA225=""),"",IF($T225="Put",($J225-$AA225)/$J225,($AA225-$J225)/$J225))</f>
        <v/>
      </c>
      <c r="AD225" s="12" t="str">
        <f aca="false">IF($C225="","",IF($Q225&lt;&gt;"",$Q225,IF($V225="Strike",N($E225)*$H225*$I225,IF($V225="Subyacente",IF($J225="","",$J225*$H225*$I225),IF($V225="Ancho",IF($F225="","",ABS($E225-$F225)*$H225*$I225-$K225*$H225*$I225),IF($V225="Prima",$K225*$H225*$I225,""))))))</f>
        <v/>
      </c>
      <c r="AE225" s="12" t="str">
        <f aca="false">IF(OR($C225="",$M225="Abierta",$M225=""),"",(N($K225)-IF(OR($M225="Cerrada",$M225="Rolada"),N($O225),0))*$H225*$I225*IF($U225="Débito",-1,1)-N($L225)-N($P225))</f>
        <v/>
      </c>
      <c r="AF225" s="14" t="str">
        <f aca="false">IF(OR($AE225="",$AD225=""),"",IF($AD225&lt;=0,"",$AE225/$AD225))</f>
        <v/>
      </c>
      <c r="AG225" s="14" t="str">
        <f aca="false">IF($AF225="","",$AF225*365/MAX(N($X225),1))</f>
        <v/>
      </c>
      <c r="AH225" s="14" t="str">
        <f aca="false">IF(OR($C225="",$U225&lt;&gt;"Crédito",$AD225=""),"",IF($AD225&lt;=0,"",($Z225-N($L225))/$AD225))</f>
        <v/>
      </c>
      <c r="AI225" s="14" t="str">
        <f aca="false">IF(OR($AH225="",$W225=""),"",$AH225*365/MAX($W225,1))</f>
        <v/>
      </c>
      <c r="AJ225" s="14" t="str">
        <f aca="false">IF(OR($AE225="",$U225&lt;&gt;"Crédito",N($K225)=0),"",(N($K225)-IF(OR($M225="Cerrada",$M225="Rolada"),N($O225),0))/$K225)</f>
        <v/>
      </c>
      <c r="AK225" s="15" t="str">
        <f aca="false">IF(OR($C225="",$N225=""),"",DATE(YEAR($N225),MONTH($N225),1))</f>
        <v/>
      </c>
      <c r="AL225" s="11" t="str">
        <f aca="false">IF($C225="","",IF($M225="Abierta",0,1))</f>
        <v/>
      </c>
      <c r="AM225" s="16" t="str">
        <f aca="false">IF(OR($AE225="",$AD225=""),"",$AD225*MAX(N($X225),1))</f>
        <v/>
      </c>
      <c r="AN225" s="10" t="str">
        <f aca="false">IF($C225="","",IF(OR($B225="",$D225="",$H225="",$K225="",$M225=""),"Faltan datos obligatorios",IF($T225="","Estrategia no reconocida",IF(AND($M225&lt;&gt;"Abierta",$N225=""),"Falta fecha cierre",IF(AND(OR($M225="Cerrada",$M225="Rolada"),$O225=""),"Falta prima cierre",IF(AND($N225&lt;&gt;"",$N225&lt;$B225),"Cierre anterior a apertura",IF(AND($M225="Asignada",$R225=""),"Asignada: falta ID lote acciones",IF(AND($R225&lt;&gt;"",ISNA(MATCH($R225,Acciones!$A$2:$A$201,0))),"El ID lote no existe en Acciones",IF($AD225="","Revisa capital en riesgo","OK")))))))))</f>
        <v/>
      </c>
    </row>
    <row r="226" customFormat="false" ht="15" hidden="false" customHeight="true" outlineLevel="0" collapsed="false">
      <c r="A226" s="5"/>
      <c r="B226" s="6"/>
      <c r="C226" s="7"/>
      <c r="D226" s="7"/>
      <c r="E226" s="8"/>
      <c r="F226" s="8"/>
      <c r="G226" s="6"/>
      <c r="H226" s="5"/>
      <c r="I226" s="5" t="n">
        <v>100</v>
      </c>
      <c r="J226" s="8"/>
      <c r="K226" s="8"/>
      <c r="L226" s="9"/>
      <c r="M226" s="7"/>
      <c r="N226" s="6"/>
      <c r="O226" s="8"/>
      <c r="P226" s="9"/>
      <c r="Q226" s="9"/>
      <c r="R226" s="7"/>
      <c r="S226" s="7"/>
      <c r="T226" s="10" t="str">
        <f aca="false">IF($C226="","",IFERROR(INDEX(Listas!$B$2:$B$20,MATCH($D226,Listas!$A$2:$A$20,0)),""))</f>
        <v/>
      </c>
      <c r="U226" s="10" t="str">
        <f aca="false">IF($C226="","",IFERROR(INDEX(Listas!$C$2:$C$20,MATCH($D226,Listas!$A$2:$A$20,0)),""))</f>
        <v/>
      </c>
      <c r="V226" s="10" t="str">
        <f aca="false">IF($C226="","",IFERROR(INDEX(Listas!$D$2:$D$20,MATCH($D226,Listas!$A$2:$A$20,0)),""))</f>
        <v/>
      </c>
      <c r="W226" s="11" t="str">
        <f aca="false">IF(OR($C226="",$B226="",$G226=""),"",$G226-$B226)</f>
        <v/>
      </c>
      <c r="X226" s="11" t="str">
        <f aca="true">IF(OR($C226="",$B226=""),"",IF($N226&lt;&gt;"",$N226,TODAY())-$B226)</f>
        <v/>
      </c>
      <c r="Y226" s="11" t="str">
        <f aca="true">IF(OR($C226="",$M226&lt;&gt;"Abierta",$G226=""),"",MAX($G226-TODAY(),0))</f>
        <v/>
      </c>
      <c r="Z226" s="12" t="str">
        <f aca="false">IF($C226="","",N($K226)*N($H226)*N($I226)*IF($U226="Débito",-1,1))</f>
        <v/>
      </c>
      <c r="AA226" s="13" t="str">
        <f aca="false">IF($C226="","",IF(AND($U226="Débito",$F226&lt;&gt;""),$F226,$E226))</f>
        <v/>
      </c>
      <c r="AB226" s="13" t="str">
        <f aca="false">IF(OR($C226="",$T226="Mixta",$AA226=""),"",IF($V226="Subyacente",IF($J226="","",$J226-$K226),IF($T226="Put",$AA226-$K226,$AA226+$K226)))</f>
        <v/>
      </c>
      <c r="AC226" s="14" t="str">
        <f aca="false">IF(OR($C226="",$T226="Mixta",$J226="",$AA226=""),"",IF($T226="Put",($J226-$AA226)/$J226,($AA226-$J226)/$J226))</f>
        <v/>
      </c>
      <c r="AD226" s="12" t="str">
        <f aca="false">IF($C226="","",IF($Q226&lt;&gt;"",$Q226,IF($V226="Strike",N($E226)*$H226*$I226,IF($V226="Subyacente",IF($J226="","",$J226*$H226*$I226),IF($V226="Ancho",IF($F226="","",ABS($E226-$F226)*$H226*$I226-$K226*$H226*$I226),IF($V226="Prima",$K226*$H226*$I226,""))))))</f>
        <v/>
      </c>
      <c r="AE226" s="12" t="str">
        <f aca="false">IF(OR($C226="",$M226="Abierta",$M226=""),"",(N($K226)-IF(OR($M226="Cerrada",$M226="Rolada"),N($O226),0))*$H226*$I226*IF($U226="Débito",-1,1)-N($L226)-N($P226))</f>
        <v/>
      </c>
      <c r="AF226" s="14" t="str">
        <f aca="false">IF(OR($AE226="",$AD226=""),"",IF($AD226&lt;=0,"",$AE226/$AD226))</f>
        <v/>
      </c>
      <c r="AG226" s="14" t="str">
        <f aca="false">IF($AF226="","",$AF226*365/MAX(N($X226),1))</f>
        <v/>
      </c>
      <c r="AH226" s="14" t="str">
        <f aca="false">IF(OR($C226="",$U226&lt;&gt;"Crédito",$AD226=""),"",IF($AD226&lt;=0,"",($Z226-N($L226))/$AD226))</f>
        <v/>
      </c>
      <c r="AI226" s="14" t="str">
        <f aca="false">IF(OR($AH226="",$W226=""),"",$AH226*365/MAX($W226,1))</f>
        <v/>
      </c>
      <c r="AJ226" s="14" t="str">
        <f aca="false">IF(OR($AE226="",$U226&lt;&gt;"Crédito",N($K226)=0),"",(N($K226)-IF(OR($M226="Cerrada",$M226="Rolada"),N($O226),0))/$K226)</f>
        <v/>
      </c>
      <c r="AK226" s="15" t="str">
        <f aca="false">IF(OR($C226="",$N226=""),"",DATE(YEAR($N226),MONTH($N226),1))</f>
        <v/>
      </c>
      <c r="AL226" s="11" t="str">
        <f aca="false">IF($C226="","",IF($M226="Abierta",0,1))</f>
        <v/>
      </c>
      <c r="AM226" s="16" t="str">
        <f aca="false">IF(OR($AE226="",$AD226=""),"",$AD226*MAX(N($X226),1))</f>
        <v/>
      </c>
      <c r="AN226" s="10" t="str">
        <f aca="false">IF($C226="","",IF(OR($B226="",$D226="",$H226="",$K226="",$M226=""),"Faltan datos obligatorios",IF($T226="","Estrategia no reconocida",IF(AND($M226&lt;&gt;"Abierta",$N226=""),"Falta fecha cierre",IF(AND(OR($M226="Cerrada",$M226="Rolada"),$O226=""),"Falta prima cierre",IF(AND($N226&lt;&gt;"",$N226&lt;$B226),"Cierre anterior a apertura",IF(AND($M226="Asignada",$R226=""),"Asignada: falta ID lote acciones",IF(AND($R226&lt;&gt;"",ISNA(MATCH($R226,Acciones!$A$2:$A$201,0))),"El ID lote no existe en Acciones",IF($AD226="","Revisa capital en riesgo","OK")))))))))</f>
        <v/>
      </c>
    </row>
    <row r="227" customFormat="false" ht="15" hidden="false" customHeight="true" outlineLevel="0" collapsed="false">
      <c r="A227" s="5"/>
      <c r="B227" s="6"/>
      <c r="C227" s="7"/>
      <c r="D227" s="7"/>
      <c r="E227" s="8"/>
      <c r="F227" s="8"/>
      <c r="G227" s="6"/>
      <c r="H227" s="5"/>
      <c r="I227" s="5" t="n">
        <v>100</v>
      </c>
      <c r="J227" s="8"/>
      <c r="K227" s="8"/>
      <c r="L227" s="9"/>
      <c r="M227" s="7"/>
      <c r="N227" s="6"/>
      <c r="O227" s="8"/>
      <c r="P227" s="9"/>
      <c r="Q227" s="9"/>
      <c r="R227" s="7"/>
      <c r="S227" s="7"/>
      <c r="T227" s="10" t="str">
        <f aca="false">IF($C227="","",IFERROR(INDEX(Listas!$B$2:$B$20,MATCH($D227,Listas!$A$2:$A$20,0)),""))</f>
        <v/>
      </c>
      <c r="U227" s="10" t="str">
        <f aca="false">IF($C227="","",IFERROR(INDEX(Listas!$C$2:$C$20,MATCH($D227,Listas!$A$2:$A$20,0)),""))</f>
        <v/>
      </c>
      <c r="V227" s="10" t="str">
        <f aca="false">IF($C227="","",IFERROR(INDEX(Listas!$D$2:$D$20,MATCH($D227,Listas!$A$2:$A$20,0)),""))</f>
        <v/>
      </c>
      <c r="W227" s="11" t="str">
        <f aca="false">IF(OR($C227="",$B227="",$G227=""),"",$G227-$B227)</f>
        <v/>
      </c>
      <c r="X227" s="11" t="str">
        <f aca="true">IF(OR($C227="",$B227=""),"",IF($N227&lt;&gt;"",$N227,TODAY())-$B227)</f>
        <v/>
      </c>
      <c r="Y227" s="11" t="str">
        <f aca="true">IF(OR($C227="",$M227&lt;&gt;"Abierta",$G227=""),"",MAX($G227-TODAY(),0))</f>
        <v/>
      </c>
      <c r="Z227" s="12" t="str">
        <f aca="false">IF($C227="","",N($K227)*N($H227)*N($I227)*IF($U227="Débito",-1,1))</f>
        <v/>
      </c>
      <c r="AA227" s="13" t="str">
        <f aca="false">IF($C227="","",IF(AND($U227="Débito",$F227&lt;&gt;""),$F227,$E227))</f>
        <v/>
      </c>
      <c r="AB227" s="13" t="str">
        <f aca="false">IF(OR($C227="",$T227="Mixta",$AA227=""),"",IF($V227="Subyacente",IF($J227="","",$J227-$K227),IF($T227="Put",$AA227-$K227,$AA227+$K227)))</f>
        <v/>
      </c>
      <c r="AC227" s="14" t="str">
        <f aca="false">IF(OR($C227="",$T227="Mixta",$J227="",$AA227=""),"",IF($T227="Put",($J227-$AA227)/$J227,($AA227-$J227)/$J227))</f>
        <v/>
      </c>
      <c r="AD227" s="12" t="str">
        <f aca="false">IF($C227="","",IF($Q227&lt;&gt;"",$Q227,IF($V227="Strike",N($E227)*$H227*$I227,IF($V227="Subyacente",IF($J227="","",$J227*$H227*$I227),IF($V227="Ancho",IF($F227="","",ABS($E227-$F227)*$H227*$I227-$K227*$H227*$I227),IF($V227="Prima",$K227*$H227*$I227,""))))))</f>
        <v/>
      </c>
      <c r="AE227" s="12" t="str">
        <f aca="false">IF(OR($C227="",$M227="Abierta",$M227=""),"",(N($K227)-IF(OR($M227="Cerrada",$M227="Rolada"),N($O227),0))*$H227*$I227*IF($U227="Débito",-1,1)-N($L227)-N($P227))</f>
        <v/>
      </c>
      <c r="AF227" s="14" t="str">
        <f aca="false">IF(OR($AE227="",$AD227=""),"",IF($AD227&lt;=0,"",$AE227/$AD227))</f>
        <v/>
      </c>
      <c r="AG227" s="14" t="str">
        <f aca="false">IF($AF227="","",$AF227*365/MAX(N($X227),1))</f>
        <v/>
      </c>
      <c r="AH227" s="14" t="str">
        <f aca="false">IF(OR($C227="",$U227&lt;&gt;"Crédito",$AD227=""),"",IF($AD227&lt;=0,"",($Z227-N($L227))/$AD227))</f>
        <v/>
      </c>
      <c r="AI227" s="14" t="str">
        <f aca="false">IF(OR($AH227="",$W227=""),"",$AH227*365/MAX($W227,1))</f>
        <v/>
      </c>
      <c r="AJ227" s="14" t="str">
        <f aca="false">IF(OR($AE227="",$U227&lt;&gt;"Crédito",N($K227)=0),"",(N($K227)-IF(OR($M227="Cerrada",$M227="Rolada"),N($O227),0))/$K227)</f>
        <v/>
      </c>
      <c r="AK227" s="15" t="str">
        <f aca="false">IF(OR($C227="",$N227=""),"",DATE(YEAR($N227),MONTH($N227),1))</f>
        <v/>
      </c>
      <c r="AL227" s="11" t="str">
        <f aca="false">IF($C227="","",IF($M227="Abierta",0,1))</f>
        <v/>
      </c>
      <c r="AM227" s="16" t="str">
        <f aca="false">IF(OR($AE227="",$AD227=""),"",$AD227*MAX(N($X227),1))</f>
        <v/>
      </c>
      <c r="AN227" s="10" t="str">
        <f aca="false">IF($C227="","",IF(OR($B227="",$D227="",$H227="",$K227="",$M227=""),"Faltan datos obligatorios",IF($T227="","Estrategia no reconocida",IF(AND($M227&lt;&gt;"Abierta",$N227=""),"Falta fecha cierre",IF(AND(OR($M227="Cerrada",$M227="Rolada"),$O227=""),"Falta prima cierre",IF(AND($N227&lt;&gt;"",$N227&lt;$B227),"Cierre anterior a apertura",IF(AND($M227="Asignada",$R227=""),"Asignada: falta ID lote acciones",IF(AND($R227&lt;&gt;"",ISNA(MATCH($R227,Acciones!$A$2:$A$201,0))),"El ID lote no existe en Acciones",IF($AD227="","Revisa capital en riesgo","OK")))))))))</f>
        <v/>
      </c>
    </row>
    <row r="228" customFormat="false" ht="15" hidden="false" customHeight="true" outlineLevel="0" collapsed="false">
      <c r="A228" s="5"/>
      <c r="B228" s="6"/>
      <c r="C228" s="7"/>
      <c r="D228" s="7"/>
      <c r="E228" s="8"/>
      <c r="F228" s="8"/>
      <c r="G228" s="6"/>
      <c r="H228" s="5"/>
      <c r="I228" s="5" t="n">
        <v>100</v>
      </c>
      <c r="J228" s="8"/>
      <c r="K228" s="8"/>
      <c r="L228" s="9"/>
      <c r="M228" s="7"/>
      <c r="N228" s="6"/>
      <c r="O228" s="8"/>
      <c r="P228" s="9"/>
      <c r="Q228" s="9"/>
      <c r="R228" s="7"/>
      <c r="S228" s="7"/>
      <c r="T228" s="10" t="str">
        <f aca="false">IF($C228="","",IFERROR(INDEX(Listas!$B$2:$B$20,MATCH($D228,Listas!$A$2:$A$20,0)),""))</f>
        <v/>
      </c>
      <c r="U228" s="10" t="str">
        <f aca="false">IF($C228="","",IFERROR(INDEX(Listas!$C$2:$C$20,MATCH($D228,Listas!$A$2:$A$20,0)),""))</f>
        <v/>
      </c>
      <c r="V228" s="10" t="str">
        <f aca="false">IF($C228="","",IFERROR(INDEX(Listas!$D$2:$D$20,MATCH($D228,Listas!$A$2:$A$20,0)),""))</f>
        <v/>
      </c>
      <c r="W228" s="11" t="str">
        <f aca="false">IF(OR($C228="",$B228="",$G228=""),"",$G228-$B228)</f>
        <v/>
      </c>
      <c r="X228" s="11" t="str">
        <f aca="true">IF(OR($C228="",$B228=""),"",IF($N228&lt;&gt;"",$N228,TODAY())-$B228)</f>
        <v/>
      </c>
      <c r="Y228" s="11" t="str">
        <f aca="true">IF(OR($C228="",$M228&lt;&gt;"Abierta",$G228=""),"",MAX($G228-TODAY(),0))</f>
        <v/>
      </c>
      <c r="Z228" s="12" t="str">
        <f aca="false">IF($C228="","",N($K228)*N($H228)*N($I228)*IF($U228="Débito",-1,1))</f>
        <v/>
      </c>
      <c r="AA228" s="13" t="str">
        <f aca="false">IF($C228="","",IF(AND($U228="Débito",$F228&lt;&gt;""),$F228,$E228))</f>
        <v/>
      </c>
      <c r="AB228" s="13" t="str">
        <f aca="false">IF(OR($C228="",$T228="Mixta",$AA228=""),"",IF($V228="Subyacente",IF($J228="","",$J228-$K228),IF($T228="Put",$AA228-$K228,$AA228+$K228)))</f>
        <v/>
      </c>
      <c r="AC228" s="14" t="str">
        <f aca="false">IF(OR($C228="",$T228="Mixta",$J228="",$AA228=""),"",IF($T228="Put",($J228-$AA228)/$J228,($AA228-$J228)/$J228))</f>
        <v/>
      </c>
      <c r="AD228" s="12" t="str">
        <f aca="false">IF($C228="","",IF($Q228&lt;&gt;"",$Q228,IF($V228="Strike",N($E228)*$H228*$I228,IF($V228="Subyacente",IF($J228="","",$J228*$H228*$I228),IF($V228="Ancho",IF($F228="","",ABS($E228-$F228)*$H228*$I228-$K228*$H228*$I228),IF($V228="Prima",$K228*$H228*$I228,""))))))</f>
        <v/>
      </c>
      <c r="AE228" s="12" t="str">
        <f aca="false">IF(OR($C228="",$M228="Abierta",$M228=""),"",(N($K228)-IF(OR($M228="Cerrada",$M228="Rolada"),N($O228),0))*$H228*$I228*IF($U228="Débito",-1,1)-N($L228)-N($P228))</f>
        <v/>
      </c>
      <c r="AF228" s="14" t="str">
        <f aca="false">IF(OR($AE228="",$AD228=""),"",IF($AD228&lt;=0,"",$AE228/$AD228))</f>
        <v/>
      </c>
      <c r="AG228" s="14" t="str">
        <f aca="false">IF($AF228="","",$AF228*365/MAX(N($X228),1))</f>
        <v/>
      </c>
      <c r="AH228" s="14" t="str">
        <f aca="false">IF(OR($C228="",$U228&lt;&gt;"Crédito",$AD228=""),"",IF($AD228&lt;=0,"",($Z228-N($L228))/$AD228))</f>
        <v/>
      </c>
      <c r="AI228" s="14" t="str">
        <f aca="false">IF(OR($AH228="",$W228=""),"",$AH228*365/MAX($W228,1))</f>
        <v/>
      </c>
      <c r="AJ228" s="14" t="str">
        <f aca="false">IF(OR($AE228="",$U228&lt;&gt;"Crédito",N($K228)=0),"",(N($K228)-IF(OR($M228="Cerrada",$M228="Rolada"),N($O228),0))/$K228)</f>
        <v/>
      </c>
      <c r="AK228" s="15" t="str">
        <f aca="false">IF(OR($C228="",$N228=""),"",DATE(YEAR($N228),MONTH($N228),1))</f>
        <v/>
      </c>
      <c r="AL228" s="11" t="str">
        <f aca="false">IF($C228="","",IF($M228="Abierta",0,1))</f>
        <v/>
      </c>
      <c r="AM228" s="16" t="str">
        <f aca="false">IF(OR($AE228="",$AD228=""),"",$AD228*MAX(N($X228),1))</f>
        <v/>
      </c>
      <c r="AN228" s="10" t="str">
        <f aca="false">IF($C228="","",IF(OR($B228="",$D228="",$H228="",$K228="",$M228=""),"Faltan datos obligatorios",IF($T228="","Estrategia no reconocida",IF(AND($M228&lt;&gt;"Abierta",$N228=""),"Falta fecha cierre",IF(AND(OR($M228="Cerrada",$M228="Rolada"),$O228=""),"Falta prima cierre",IF(AND($N228&lt;&gt;"",$N228&lt;$B228),"Cierre anterior a apertura",IF(AND($M228="Asignada",$R228=""),"Asignada: falta ID lote acciones",IF(AND($R228&lt;&gt;"",ISNA(MATCH($R228,Acciones!$A$2:$A$201,0))),"El ID lote no existe en Acciones",IF($AD228="","Revisa capital en riesgo","OK")))))))))</f>
        <v/>
      </c>
    </row>
    <row r="229" customFormat="false" ht="15" hidden="false" customHeight="true" outlineLevel="0" collapsed="false">
      <c r="A229" s="5"/>
      <c r="B229" s="6"/>
      <c r="C229" s="7"/>
      <c r="D229" s="7"/>
      <c r="E229" s="8"/>
      <c r="F229" s="8"/>
      <c r="G229" s="6"/>
      <c r="H229" s="5"/>
      <c r="I229" s="5" t="n">
        <v>100</v>
      </c>
      <c r="J229" s="8"/>
      <c r="K229" s="8"/>
      <c r="L229" s="9"/>
      <c r="M229" s="7"/>
      <c r="N229" s="6"/>
      <c r="O229" s="8"/>
      <c r="P229" s="9"/>
      <c r="Q229" s="9"/>
      <c r="R229" s="7"/>
      <c r="S229" s="7"/>
      <c r="T229" s="10" t="str">
        <f aca="false">IF($C229="","",IFERROR(INDEX(Listas!$B$2:$B$20,MATCH($D229,Listas!$A$2:$A$20,0)),""))</f>
        <v/>
      </c>
      <c r="U229" s="10" t="str">
        <f aca="false">IF($C229="","",IFERROR(INDEX(Listas!$C$2:$C$20,MATCH($D229,Listas!$A$2:$A$20,0)),""))</f>
        <v/>
      </c>
      <c r="V229" s="10" t="str">
        <f aca="false">IF($C229="","",IFERROR(INDEX(Listas!$D$2:$D$20,MATCH($D229,Listas!$A$2:$A$20,0)),""))</f>
        <v/>
      </c>
      <c r="W229" s="11" t="str">
        <f aca="false">IF(OR($C229="",$B229="",$G229=""),"",$G229-$B229)</f>
        <v/>
      </c>
      <c r="X229" s="11" t="str">
        <f aca="true">IF(OR($C229="",$B229=""),"",IF($N229&lt;&gt;"",$N229,TODAY())-$B229)</f>
        <v/>
      </c>
      <c r="Y229" s="11" t="str">
        <f aca="true">IF(OR($C229="",$M229&lt;&gt;"Abierta",$G229=""),"",MAX($G229-TODAY(),0))</f>
        <v/>
      </c>
      <c r="Z229" s="12" t="str">
        <f aca="false">IF($C229="","",N($K229)*N($H229)*N($I229)*IF($U229="Débito",-1,1))</f>
        <v/>
      </c>
      <c r="AA229" s="13" t="str">
        <f aca="false">IF($C229="","",IF(AND($U229="Débito",$F229&lt;&gt;""),$F229,$E229))</f>
        <v/>
      </c>
      <c r="AB229" s="13" t="str">
        <f aca="false">IF(OR($C229="",$T229="Mixta",$AA229=""),"",IF($V229="Subyacente",IF($J229="","",$J229-$K229),IF($T229="Put",$AA229-$K229,$AA229+$K229)))</f>
        <v/>
      </c>
      <c r="AC229" s="14" t="str">
        <f aca="false">IF(OR($C229="",$T229="Mixta",$J229="",$AA229=""),"",IF($T229="Put",($J229-$AA229)/$J229,($AA229-$J229)/$J229))</f>
        <v/>
      </c>
      <c r="AD229" s="12" t="str">
        <f aca="false">IF($C229="","",IF($Q229&lt;&gt;"",$Q229,IF($V229="Strike",N($E229)*$H229*$I229,IF($V229="Subyacente",IF($J229="","",$J229*$H229*$I229),IF($V229="Ancho",IF($F229="","",ABS($E229-$F229)*$H229*$I229-$K229*$H229*$I229),IF($V229="Prima",$K229*$H229*$I229,""))))))</f>
        <v/>
      </c>
      <c r="AE229" s="12" t="str">
        <f aca="false">IF(OR($C229="",$M229="Abierta",$M229=""),"",(N($K229)-IF(OR($M229="Cerrada",$M229="Rolada"),N($O229),0))*$H229*$I229*IF($U229="Débito",-1,1)-N($L229)-N($P229))</f>
        <v/>
      </c>
      <c r="AF229" s="14" t="str">
        <f aca="false">IF(OR($AE229="",$AD229=""),"",IF($AD229&lt;=0,"",$AE229/$AD229))</f>
        <v/>
      </c>
      <c r="AG229" s="14" t="str">
        <f aca="false">IF($AF229="","",$AF229*365/MAX(N($X229),1))</f>
        <v/>
      </c>
      <c r="AH229" s="14" t="str">
        <f aca="false">IF(OR($C229="",$U229&lt;&gt;"Crédito",$AD229=""),"",IF($AD229&lt;=0,"",($Z229-N($L229))/$AD229))</f>
        <v/>
      </c>
      <c r="AI229" s="14" t="str">
        <f aca="false">IF(OR($AH229="",$W229=""),"",$AH229*365/MAX($W229,1))</f>
        <v/>
      </c>
      <c r="AJ229" s="14" t="str">
        <f aca="false">IF(OR($AE229="",$U229&lt;&gt;"Crédito",N($K229)=0),"",(N($K229)-IF(OR($M229="Cerrada",$M229="Rolada"),N($O229),0))/$K229)</f>
        <v/>
      </c>
      <c r="AK229" s="15" t="str">
        <f aca="false">IF(OR($C229="",$N229=""),"",DATE(YEAR($N229),MONTH($N229),1))</f>
        <v/>
      </c>
      <c r="AL229" s="11" t="str">
        <f aca="false">IF($C229="","",IF($M229="Abierta",0,1))</f>
        <v/>
      </c>
      <c r="AM229" s="16" t="str">
        <f aca="false">IF(OR($AE229="",$AD229=""),"",$AD229*MAX(N($X229),1))</f>
        <v/>
      </c>
      <c r="AN229" s="10" t="str">
        <f aca="false">IF($C229="","",IF(OR($B229="",$D229="",$H229="",$K229="",$M229=""),"Faltan datos obligatorios",IF($T229="","Estrategia no reconocida",IF(AND($M229&lt;&gt;"Abierta",$N229=""),"Falta fecha cierre",IF(AND(OR($M229="Cerrada",$M229="Rolada"),$O229=""),"Falta prima cierre",IF(AND($N229&lt;&gt;"",$N229&lt;$B229),"Cierre anterior a apertura",IF(AND($M229="Asignada",$R229=""),"Asignada: falta ID lote acciones",IF(AND($R229&lt;&gt;"",ISNA(MATCH($R229,Acciones!$A$2:$A$201,0))),"El ID lote no existe en Acciones",IF($AD229="","Revisa capital en riesgo","OK")))))))))</f>
        <v/>
      </c>
    </row>
    <row r="230" customFormat="false" ht="15" hidden="false" customHeight="true" outlineLevel="0" collapsed="false">
      <c r="A230" s="5"/>
      <c r="B230" s="6"/>
      <c r="C230" s="7"/>
      <c r="D230" s="7"/>
      <c r="E230" s="8"/>
      <c r="F230" s="8"/>
      <c r="G230" s="6"/>
      <c r="H230" s="5"/>
      <c r="I230" s="5" t="n">
        <v>100</v>
      </c>
      <c r="J230" s="8"/>
      <c r="K230" s="8"/>
      <c r="L230" s="9"/>
      <c r="M230" s="7"/>
      <c r="N230" s="6"/>
      <c r="O230" s="8"/>
      <c r="P230" s="9"/>
      <c r="Q230" s="9"/>
      <c r="R230" s="7"/>
      <c r="S230" s="7"/>
      <c r="T230" s="10" t="str">
        <f aca="false">IF($C230="","",IFERROR(INDEX(Listas!$B$2:$B$20,MATCH($D230,Listas!$A$2:$A$20,0)),""))</f>
        <v/>
      </c>
      <c r="U230" s="10" t="str">
        <f aca="false">IF($C230="","",IFERROR(INDEX(Listas!$C$2:$C$20,MATCH($D230,Listas!$A$2:$A$20,0)),""))</f>
        <v/>
      </c>
      <c r="V230" s="10" t="str">
        <f aca="false">IF($C230="","",IFERROR(INDEX(Listas!$D$2:$D$20,MATCH($D230,Listas!$A$2:$A$20,0)),""))</f>
        <v/>
      </c>
      <c r="W230" s="11" t="str">
        <f aca="false">IF(OR($C230="",$B230="",$G230=""),"",$G230-$B230)</f>
        <v/>
      </c>
      <c r="X230" s="11" t="str">
        <f aca="true">IF(OR($C230="",$B230=""),"",IF($N230&lt;&gt;"",$N230,TODAY())-$B230)</f>
        <v/>
      </c>
      <c r="Y230" s="11" t="str">
        <f aca="true">IF(OR($C230="",$M230&lt;&gt;"Abierta",$G230=""),"",MAX($G230-TODAY(),0))</f>
        <v/>
      </c>
      <c r="Z230" s="12" t="str">
        <f aca="false">IF($C230="","",N($K230)*N($H230)*N($I230)*IF($U230="Débito",-1,1))</f>
        <v/>
      </c>
      <c r="AA230" s="13" t="str">
        <f aca="false">IF($C230="","",IF(AND($U230="Débito",$F230&lt;&gt;""),$F230,$E230))</f>
        <v/>
      </c>
      <c r="AB230" s="13" t="str">
        <f aca="false">IF(OR($C230="",$T230="Mixta",$AA230=""),"",IF($V230="Subyacente",IF($J230="","",$J230-$K230),IF($T230="Put",$AA230-$K230,$AA230+$K230)))</f>
        <v/>
      </c>
      <c r="AC230" s="14" t="str">
        <f aca="false">IF(OR($C230="",$T230="Mixta",$J230="",$AA230=""),"",IF($T230="Put",($J230-$AA230)/$J230,($AA230-$J230)/$J230))</f>
        <v/>
      </c>
      <c r="AD230" s="12" t="str">
        <f aca="false">IF($C230="","",IF($Q230&lt;&gt;"",$Q230,IF($V230="Strike",N($E230)*$H230*$I230,IF($V230="Subyacente",IF($J230="","",$J230*$H230*$I230),IF($V230="Ancho",IF($F230="","",ABS($E230-$F230)*$H230*$I230-$K230*$H230*$I230),IF($V230="Prima",$K230*$H230*$I230,""))))))</f>
        <v/>
      </c>
      <c r="AE230" s="12" t="str">
        <f aca="false">IF(OR($C230="",$M230="Abierta",$M230=""),"",(N($K230)-IF(OR($M230="Cerrada",$M230="Rolada"),N($O230),0))*$H230*$I230*IF($U230="Débito",-1,1)-N($L230)-N($P230))</f>
        <v/>
      </c>
      <c r="AF230" s="14" t="str">
        <f aca="false">IF(OR($AE230="",$AD230=""),"",IF($AD230&lt;=0,"",$AE230/$AD230))</f>
        <v/>
      </c>
      <c r="AG230" s="14" t="str">
        <f aca="false">IF($AF230="","",$AF230*365/MAX(N($X230),1))</f>
        <v/>
      </c>
      <c r="AH230" s="14" t="str">
        <f aca="false">IF(OR($C230="",$U230&lt;&gt;"Crédito",$AD230=""),"",IF($AD230&lt;=0,"",($Z230-N($L230))/$AD230))</f>
        <v/>
      </c>
      <c r="AI230" s="14" t="str">
        <f aca="false">IF(OR($AH230="",$W230=""),"",$AH230*365/MAX($W230,1))</f>
        <v/>
      </c>
      <c r="AJ230" s="14" t="str">
        <f aca="false">IF(OR($AE230="",$U230&lt;&gt;"Crédito",N($K230)=0),"",(N($K230)-IF(OR($M230="Cerrada",$M230="Rolada"),N($O230),0))/$K230)</f>
        <v/>
      </c>
      <c r="AK230" s="15" t="str">
        <f aca="false">IF(OR($C230="",$N230=""),"",DATE(YEAR($N230),MONTH($N230),1))</f>
        <v/>
      </c>
      <c r="AL230" s="11" t="str">
        <f aca="false">IF($C230="","",IF($M230="Abierta",0,1))</f>
        <v/>
      </c>
      <c r="AM230" s="16" t="str">
        <f aca="false">IF(OR($AE230="",$AD230=""),"",$AD230*MAX(N($X230),1))</f>
        <v/>
      </c>
      <c r="AN230" s="10" t="str">
        <f aca="false">IF($C230="","",IF(OR($B230="",$D230="",$H230="",$K230="",$M230=""),"Faltan datos obligatorios",IF($T230="","Estrategia no reconocida",IF(AND($M230&lt;&gt;"Abierta",$N230=""),"Falta fecha cierre",IF(AND(OR($M230="Cerrada",$M230="Rolada"),$O230=""),"Falta prima cierre",IF(AND($N230&lt;&gt;"",$N230&lt;$B230),"Cierre anterior a apertura",IF(AND($M230="Asignada",$R230=""),"Asignada: falta ID lote acciones",IF(AND($R230&lt;&gt;"",ISNA(MATCH($R230,Acciones!$A$2:$A$201,0))),"El ID lote no existe en Acciones",IF($AD230="","Revisa capital en riesgo","OK")))))))))</f>
        <v/>
      </c>
    </row>
    <row r="231" customFormat="false" ht="15" hidden="false" customHeight="true" outlineLevel="0" collapsed="false">
      <c r="A231" s="5"/>
      <c r="B231" s="6"/>
      <c r="C231" s="7"/>
      <c r="D231" s="7"/>
      <c r="E231" s="8"/>
      <c r="F231" s="8"/>
      <c r="G231" s="6"/>
      <c r="H231" s="5"/>
      <c r="I231" s="5" t="n">
        <v>100</v>
      </c>
      <c r="J231" s="8"/>
      <c r="K231" s="8"/>
      <c r="L231" s="9"/>
      <c r="M231" s="7"/>
      <c r="N231" s="6"/>
      <c r="O231" s="8"/>
      <c r="P231" s="9"/>
      <c r="Q231" s="9"/>
      <c r="R231" s="7"/>
      <c r="S231" s="7"/>
      <c r="T231" s="10" t="str">
        <f aca="false">IF($C231="","",IFERROR(INDEX(Listas!$B$2:$B$20,MATCH($D231,Listas!$A$2:$A$20,0)),""))</f>
        <v/>
      </c>
      <c r="U231" s="10" t="str">
        <f aca="false">IF($C231="","",IFERROR(INDEX(Listas!$C$2:$C$20,MATCH($D231,Listas!$A$2:$A$20,0)),""))</f>
        <v/>
      </c>
      <c r="V231" s="10" t="str">
        <f aca="false">IF($C231="","",IFERROR(INDEX(Listas!$D$2:$D$20,MATCH($D231,Listas!$A$2:$A$20,0)),""))</f>
        <v/>
      </c>
      <c r="W231" s="11" t="str">
        <f aca="false">IF(OR($C231="",$B231="",$G231=""),"",$G231-$B231)</f>
        <v/>
      </c>
      <c r="X231" s="11" t="str">
        <f aca="true">IF(OR($C231="",$B231=""),"",IF($N231&lt;&gt;"",$N231,TODAY())-$B231)</f>
        <v/>
      </c>
      <c r="Y231" s="11" t="str">
        <f aca="true">IF(OR($C231="",$M231&lt;&gt;"Abierta",$G231=""),"",MAX($G231-TODAY(),0))</f>
        <v/>
      </c>
      <c r="Z231" s="12" t="str">
        <f aca="false">IF($C231="","",N($K231)*N($H231)*N($I231)*IF($U231="Débito",-1,1))</f>
        <v/>
      </c>
      <c r="AA231" s="13" t="str">
        <f aca="false">IF($C231="","",IF(AND($U231="Débito",$F231&lt;&gt;""),$F231,$E231))</f>
        <v/>
      </c>
      <c r="AB231" s="13" t="str">
        <f aca="false">IF(OR($C231="",$T231="Mixta",$AA231=""),"",IF($V231="Subyacente",IF($J231="","",$J231-$K231),IF($T231="Put",$AA231-$K231,$AA231+$K231)))</f>
        <v/>
      </c>
      <c r="AC231" s="14" t="str">
        <f aca="false">IF(OR($C231="",$T231="Mixta",$J231="",$AA231=""),"",IF($T231="Put",($J231-$AA231)/$J231,($AA231-$J231)/$J231))</f>
        <v/>
      </c>
      <c r="AD231" s="12" t="str">
        <f aca="false">IF($C231="","",IF($Q231&lt;&gt;"",$Q231,IF($V231="Strike",N($E231)*$H231*$I231,IF($V231="Subyacente",IF($J231="","",$J231*$H231*$I231),IF($V231="Ancho",IF($F231="","",ABS($E231-$F231)*$H231*$I231-$K231*$H231*$I231),IF($V231="Prima",$K231*$H231*$I231,""))))))</f>
        <v/>
      </c>
      <c r="AE231" s="12" t="str">
        <f aca="false">IF(OR($C231="",$M231="Abierta",$M231=""),"",(N($K231)-IF(OR($M231="Cerrada",$M231="Rolada"),N($O231),0))*$H231*$I231*IF($U231="Débito",-1,1)-N($L231)-N($P231))</f>
        <v/>
      </c>
      <c r="AF231" s="14" t="str">
        <f aca="false">IF(OR($AE231="",$AD231=""),"",IF($AD231&lt;=0,"",$AE231/$AD231))</f>
        <v/>
      </c>
      <c r="AG231" s="14" t="str">
        <f aca="false">IF($AF231="","",$AF231*365/MAX(N($X231),1))</f>
        <v/>
      </c>
      <c r="AH231" s="14" t="str">
        <f aca="false">IF(OR($C231="",$U231&lt;&gt;"Crédito",$AD231=""),"",IF($AD231&lt;=0,"",($Z231-N($L231))/$AD231))</f>
        <v/>
      </c>
      <c r="AI231" s="14" t="str">
        <f aca="false">IF(OR($AH231="",$W231=""),"",$AH231*365/MAX($W231,1))</f>
        <v/>
      </c>
      <c r="AJ231" s="14" t="str">
        <f aca="false">IF(OR($AE231="",$U231&lt;&gt;"Crédito",N($K231)=0),"",(N($K231)-IF(OR($M231="Cerrada",$M231="Rolada"),N($O231),0))/$K231)</f>
        <v/>
      </c>
      <c r="AK231" s="15" t="str">
        <f aca="false">IF(OR($C231="",$N231=""),"",DATE(YEAR($N231),MONTH($N231),1))</f>
        <v/>
      </c>
      <c r="AL231" s="11" t="str">
        <f aca="false">IF($C231="","",IF($M231="Abierta",0,1))</f>
        <v/>
      </c>
      <c r="AM231" s="16" t="str">
        <f aca="false">IF(OR($AE231="",$AD231=""),"",$AD231*MAX(N($X231),1))</f>
        <v/>
      </c>
      <c r="AN231" s="10" t="str">
        <f aca="false">IF($C231="","",IF(OR($B231="",$D231="",$H231="",$K231="",$M231=""),"Faltan datos obligatorios",IF($T231="","Estrategia no reconocida",IF(AND($M231&lt;&gt;"Abierta",$N231=""),"Falta fecha cierre",IF(AND(OR($M231="Cerrada",$M231="Rolada"),$O231=""),"Falta prima cierre",IF(AND($N231&lt;&gt;"",$N231&lt;$B231),"Cierre anterior a apertura",IF(AND($M231="Asignada",$R231=""),"Asignada: falta ID lote acciones",IF(AND($R231&lt;&gt;"",ISNA(MATCH($R231,Acciones!$A$2:$A$201,0))),"El ID lote no existe en Acciones",IF($AD231="","Revisa capital en riesgo","OK")))))))))</f>
        <v/>
      </c>
    </row>
    <row r="232" customFormat="false" ht="15" hidden="false" customHeight="true" outlineLevel="0" collapsed="false">
      <c r="A232" s="5"/>
      <c r="B232" s="6"/>
      <c r="C232" s="7"/>
      <c r="D232" s="7"/>
      <c r="E232" s="8"/>
      <c r="F232" s="8"/>
      <c r="G232" s="6"/>
      <c r="H232" s="5"/>
      <c r="I232" s="5" t="n">
        <v>100</v>
      </c>
      <c r="J232" s="8"/>
      <c r="K232" s="8"/>
      <c r="L232" s="9"/>
      <c r="M232" s="7"/>
      <c r="N232" s="6"/>
      <c r="O232" s="8"/>
      <c r="P232" s="9"/>
      <c r="Q232" s="9"/>
      <c r="R232" s="7"/>
      <c r="S232" s="7"/>
      <c r="T232" s="10" t="str">
        <f aca="false">IF($C232="","",IFERROR(INDEX(Listas!$B$2:$B$20,MATCH($D232,Listas!$A$2:$A$20,0)),""))</f>
        <v/>
      </c>
      <c r="U232" s="10" t="str">
        <f aca="false">IF($C232="","",IFERROR(INDEX(Listas!$C$2:$C$20,MATCH($D232,Listas!$A$2:$A$20,0)),""))</f>
        <v/>
      </c>
      <c r="V232" s="10" t="str">
        <f aca="false">IF($C232="","",IFERROR(INDEX(Listas!$D$2:$D$20,MATCH($D232,Listas!$A$2:$A$20,0)),""))</f>
        <v/>
      </c>
      <c r="W232" s="11" t="str">
        <f aca="false">IF(OR($C232="",$B232="",$G232=""),"",$G232-$B232)</f>
        <v/>
      </c>
      <c r="X232" s="11" t="str">
        <f aca="true">IF(OR($C232="",$B232=""),"",IF($N232&lt;&gt;"",$N232,TODAY())-$B232)</f>
        <v/>
      </c>
      <c r="Y232" s="11" t="str">
        <f aca="true">IF(OR($C232="",$M232&lt;&gt;"Abierta",$G232=""),"",MAX($G232-TODAY(),0))</f>
        <v/>
      </c>
      <c r="Z232" s="12" t="str">
        <f aca="false">IF($C232="","",N($K232)*N($H232)*N($I232)*IF($U232="Débito",-1,1))</f>
        <v/>
      </c>
      <c r="AA232" s="13" t="str">
        <f aca="false">IF($C232="","",IF(AND($U232="Débito",$F232&lt;&gt;""),$F232,$E232))</f>
        <v/>
      </c>
      <c r="AB232" s="13" t="str">
        <f aca="false">IF(OR($C232="",$T232="Mixta",$AA232=""),"",IF($V232="Subyacente",IF($J232="","",$J232-$K232),IF($T232="Put",$AA232-$K232,$AA232+$K232)))</f>
        <v/>
      </c>
      <c r="AC232" s="14" t="str">
        <f aca="false">IF(OR($C232="",$T232="Mixta",$J232="",$AA232=""),"",IF($T232="Put",($J232-$AA232)/$J232,($AA232-$J232)/$J232))</f>
        <v/>
      </c>
      <c r="AD232" s="12" t="str">
        <f aca="false">IF($C232="","",IF($Q232&lt;&gt;"",$Q232,IF($V232="Strike",N($E232)*$H232*$I232,IF($V232="Subyacente",IF($J232="","",$J232*$H232*$I232),IF($V232="Ancho",IF($F232="","",ABS($E232-$F232)*$H232*$I232-$K232*$H232*$I232),IF($V232="Prima",$K232*$H232*$I232,""))))))</f>
        <v/>
      </c>
      <c r="AE232" s="12" t="str">
        <f aca="false">IF(OR($C232="",$M232="Abierta",$M232=""),"",(N($K232)-IF(OR($M232="Cerrada",$M232="Rolada"),N($O232),0))*$H232*$I232*IF($U232="Débito",-1,1)-N($L232)-N($P232))</f>
        <v/>
      </c>
      <c r="AF232" s="14" t="str">
        <f aca="false">IF(OR($AE232="",$AD232=""),"",IF($AD232&lt;=0,"",$AE232/$AD232))</f>
        <v/>
      </c>
      <c r="AG232" s="14" t="str">
        <f aca="false">IF($AF232="","",$AF232*365/MAX(N($X232),1))</f>
        <v/>
      </c>
      <c r="AH232" s="14" t="str">
        <f aca="false">IF(OR($C232="",$U232&lt;&gt;"Crédito",$AD232=""),"",IF($AD232&lt;=0,"",($Z232-N($L232))/$AD232))</f>
        <v/>
      </c>
      <c r="AI232" s="14" t="str">
        <f aca="false">IF(OR($AH232="",$W232=""),"",$AH232*365/MAX($W232,1))</f>
        <v/>
      </c>
      <c r="AJ232" s="14" t="str">
        <f aca="false">IF(OR($AE232="",$U232&lt;&gt;"Crédito",N($K232)=0),"",(N($K232)-IF(OR($M232="Cerrada",$M232="Rolada"),N($O232),0))/$K232)</f>
        <v/>
      </c>
      <c r="AK232" s="15" t="str">
        <f aca="false">IF(OR($C232="",$N232=""),"",DATE(YEAR($N232),MONTH($N232),1))</f>
        <v/>
      </c>
      <c r="AL232" s="11" t="str">
        <f aca="false">IF($C232="","",IF($M232="Abierta",0,1))</f>
        <v/>
      </c>
      <c r="AM232" s="16" t="str">
        <f aca="false">IF(OR($AE232="",$AD232=""),"",$AD232*MAX(N($X232),1))</f>
        <v/>
      </c>
      <c r="AN232" s="10" t="str">
        <f aca="false">IF($C232="","",IF(OR($B232="",$D232="",$H232="",$K232="",$M232=""),"Faltan datos obligatorios",IF($T232="","Estrategia no reconocida",IF(AND($M232&lt;&gt;"Abierta",$N232=""),"Falta fecha cierre",IF(AND(OR($M232="Cerrada",$M232="Rolada"),$O232=""),"Falta prima cierre",IF(AND($N232&lt;&gt;"",$N232&lt;$B232),"Cierre anterior a apertura",IF(AND($M232="Asignada",$R232=""),"Asignada: falta ID lote acciones",IF(AND($R232&lt;&gt;"",ISNA(MATCH($R232,Acciones!$A$2:$A$201,0))),"El ID lote no existe en Acciones",IF($AD232="","Revisa capital en riesgo","OK")))))))))</f>
        <v/>
      </c>
    </row>
    <row r="233" customFormat="false" ht="15" hidden="false" customHeight="true" outlineLevel="0" collapsed="false">
      <c r="A233" s="5"/>
      <c r="B233" s="6"/>
      <c r="C233" s="7"/>
      <c r="D233" s="7"/>
      <c r="E233" s="8"/>
      <c r="F233" s="8"/>
      <c r="G233" s="6"/>
      <c r="H233" s="5"/>
      <c r="I233" s="5" t="n">
        <v>100</v>
      </c>
      <c r="J233" s="8"/>
      <c r="K233" s="8"/>
      <c r="L233" s="9"/>
      <c r="M233" s="7"/>
      <c r="N233" s="6"/>
      <c r="O233" s="8"/>
      <c r="P233" s="9"/>
      <c r="Q233" s="9"/>
      <c r="R233" s="7"/>
      <c r="S233" s="7"/>
      <c r="T233" s="10" t="str">
        <f aca="false">IF($C233="","",IFERROR(INDEX(Listas!$B$2:$B$20,MATCH($D233,Listas!$A$2:$A$20,0)),""))</f>
        <v/>
      </c>
      <c r="U233" s="10" t="str">
        <f aca="false">IF($C233="","",IFERROR(INDEX(Listas!$C$2:$C$20,MATCH($D233,Listas!$A$2:$A$20,0)),""))</f>
        <v/>
      </c>
      <c r="V233" s="10" t="str">
        <f aca="false">IF($C233="","",IFERROR(INDEX(Listas!$D$2:$D$20,MATCH($D233,Listas!$A$2:$A$20,0)),""))</f>
        <v/>
      </c>
      <c r="W233" s="11" t="str">
        <f aca="false">IF(OR($C233="",$B233="",$G233=""),"",$G233-$B233)</f>
        <v/>
      </c>
      <c r="X233" s="11" t="str">
        <f aca="true">IF(OR($C233="",$B233=""),"",IF($N233&lt;&gt;"",$N233,TODAY())-$B233)</f>
        <v/>
      </c>
      <c r="Y233" s="11" t="str">
        <f aca="true">IF(OR($C233="",$M233&lt;&gt;"Abierta",$G233=""),"",MAX($G233-TODAY(),0))</f>
        <v/>
      </c>
      <c r="Z233" s="12" t="str">
        <f aca="false">IF($C233="","",N($K233)*N($H233)*N($I233)*IF($U233="Débito",-1,1))</f>
        <v/>
      </c>
      <c r="AA233" s="13" t="str">
        <f aca="false">IF($C233="","",IF(AND($U233="Débito",$F233&lt;&gt;""),$F233,$E233))</f>
        <v/>
      </c>
      <c r="AB233" s="13" t="str">
        <f aca="false">IF(OR($C233="",$T233="Mixta",$AA233=""),"",IF($V233="Subyacente",IF($J233="","",$J233-$K233),IF($T233="Put",$AA233-$K233,$AA233+$K233)))</f>
        <v/>
      </c>
      <c r="AC233" s="14" t="str">
        <f aca="false">IF(OR($C233="",$T233="Mixta",$J233="",$AA233=""),"",IF($T233="Put",($J233-$AA233)/$J233,($AA233-$J233)/$J233))</f>
        <v/>
      </c>
      <c r="AD233" s="12" t="str">
        <f aca="false">IF($C233="","",IF($Q233&lt;&gt;"",$Q233,IF($V233="Strike",N($E233)*$H233*$I233,IF($V233="Subyacente",IF($J233="","",$J233*$H233*$I233),IF($V233="Ancho",IF($F233="","",ABS($E233-$F233)*$H233*$I233-$K233*$H233*$I233),IF($V233="Prima",$K233*$H233*$I233,""))))))</f>
        <v/>
      </c>
      <c r="AE233" s="12" t="str">
        <f aca="false">IF(OR($C233="",$M233="Abierta",$M233=""),"",(N($K233)-IF(OR($M233="Cerrada",$M233="Rolada"),N($O233),0))*$H233*$I233*IF($U233="Débito",-1,1)-N($L233)-N($P233))</f>
        <v/>
      </c>
      <c r="AF233" s="14" t="str">
        <f aca="false">IF(OR($AE233="",$AD233=""),"",IF($AD233&lt;=0,"",$AE233/$AD233))</f>
        <v/>
      </c>
      <c r="AG233" s="14" t="str">
        <f aca="false">IF($AF233="","",$AF233*365/MAX(N($X233),1))</f>
        <v/>
      </c>
      <c r="AH233" s="14" t="str">
        <f aca="false">IF(OR($C233="",$U233&lt;&gt;"Crédito",$AD233=""),"",IF($AD233&lt;=0,"",($Z233-N($L233))/$AD233))</f>
        <v/>
      </c>
      <c r="AI233" s="14" t="str">
        <f aca="false">IF(OR($AH233="",$W233=""),"",$AH233*365/MAX($W233,1))</f>
        <v/>
      </c>
      <c r="AJ233" s="14" t="str">
        <f aca="false">IF(OR($AE233="",$U233&lt;&gt;"Crédito",N($K233)=0),"",(N($K233)-IF(OR($M233="Cerrada",$M233="Rolada"),N($O233),0))/$K233)</f>
        <v/>
      </c>
      <c r="AK233" s="15" t="str">
        <f aca="false">IF(OR($C233="",$N233=""),"",DATE(YEAR($N233),MONTH($N233),1))</f>
        <v/>
      </c>
      <c r="AL233" s="11" t="str">
        <f aca="false">IF($C233="","",IF($M233="Abierta",0,1))</f>
        <v/>
      </c>
      <c r="AM233" s="16" t="str">
        <f aca="false">IF(OR($AE233="",$AD233=""),"",$AD233*MAX(N($X233),1))</f>
        <v/>
      </c>
      <c r="AN233" s="10" t="str">
        <f aca="false">IF($C233="","",IF(OR($B233="",$D233="",$H233="",$K233="",$M233=""),"Faltan datos obligatorios",IF($T233="","Estrategia no reconocida",IF(AND($M233&lt;&gt;"Abierta",$N233=""),"Falta fecha cierre",IF(AND(OR($M233="Cerrada",$M233="Rolada"),$O233=""),"Falta prima cierre",IF(AND($N233&lt;&gt;"",$N233&lt;$B233),"Cierre anterior a apertura",IF(AND($M233="Asignada",$R233=""),"Asignada: falta ID lote acciones",IF(AND($R233&lt;&gt;"",ISNA(MATCH($R233,Acciones!$A$2:$A$201,0))),"El ID lote no existe en Acciones",IF($AD233="","Revisa capital en riesgo","OK")))))))))</f>
        <v/>
      </c>
    </row>
    <row r="234" customFormat="false" ht="15" hidden="false" customHeight="true" outlineLevel="0" collapsed="false">
      <c r="A234" s="5"/>
      <c r="B234" s="6"/>
      <c r="C234" s="7"/>
      <c r="D234" s="7"/>
      <c r="E234" s="8"/>
      <c r="F234" s="8"/>
      <c r="G234" s="6"/>
      <c r="H234" s="5"/>
      <c r="I234" s="5" t="n">
        <v>100</v>
      </c>
      <c r="J234" s="8"/>
      <c r="K234" s="8"/>
      <c r="L234" s="9"/>
      <c r="M234" s="7"/>
      <c r="N234" s="6"/>
      <c r="O234" s="8"/>
      <c r="P234" s="9"/>
      <c r="Q234" s="9"/>
      <c r="R234" s="7"/>
      <c r="S234" s="7"/>
      <c r="T234" s="10" t="str">
        <f aca="false">IF($C234="","",IFERROR(INDEX(Listas!$B$2:$B$20,MATCH($D234,Listas!$A$2:$A$20,0)),""))</f>
        <v/>
      </c>
      <c r="U234" s="10" t="str">
        <f aca="false">IF($C234="","",IFERROR(INDEX(Listas!$C$2:$C$20,MATCH($D234,Listas!$A$2:$A$20,0)),""))</f>
        <v/>
      </c>
      <c r="V234" s="10" t="str">
        <f aca="false">IF($C234="","",IFERROR(INDEX(Listas!$D$2:$D$20,MATCH($D234,Listas!$A$2:$A$20,0)),""))</f>
        <v/>
      </c>
      <c r="W234" s="11" t="str">
        <f aca="false">IF(OR($C234="",$B234="",$G234=""),"",$G234-$B234)</f>
        <v/>
      </c>
      <c r="X234" s="11" t="str">
        <f aca="true">IF(OR($C234="",$B234=""),"",IF($N234&lt;&gt;"",$N234,TODAY())-$B234)</f>
        <v/>
      </c>
      <c r="Y234" s="11" t="str">
        <f aca="true">IF(OR($C234="",$M234&lt;&gt;"Abierta",$G234=""),"",MAX($G234-TODAY(),0))</f>
        <v/>
      </c>
      <c r="Z234" s="12" t="str">
        <f aca="false">IF($C234="","",N($K234)*N($H234)*N($I234)*IF($U234="Débito",-1,1))</f>
        <v/>
      </c>
      <c r="AA234" s="13" t="str">
        <f aca="false">IF($C234="","",IF(AND($U234="Débito",$F234&lt;&gt;""),$F234,$E234))</f>
        <v/>
      </c>
      <c r="AB234" s="13" t="str">
        <f aca="false">IF(OR($C234="",$T234="Mixta",$AA234=""),"",IF($V234="Subyacente",IF($J234="","",$J234-$K234),IF($T234="Put",$AA234-$K234,$AA234+$K234)))</f>
        <v/>
      </c>
      <c r="AC234" s="14" t="str">
        <f aca="false">IF(OR($C234="",$T234="Mixta",$J234="",$AA234=""),"",IF($T234="Put",($J234-$AA234)/$J234,($AA234-$J234)/$J234))</f>
        <v/>
      </c>
      <c r="AD234" s="12" t="str">
        <f aca="false">IF($C234="","",IF($Q234&lt;&gt;"",$Q234,IF($V234="Strike",N($E234)*$H234*$I234,IF($V234="Subyacente",IF($J234="","",$J234*$H234*$I234),IF($V234="Ancho",IF($F234="","",ABS($E234-$F234)*$H234*$I234-$K234*$H234*$I234),IF($V234="Prima",$K234*$H234*$I234,""))))))</f>
        <v/>
      </c>
      <c r="AE234" s="12" t="str">
        <f aca="false">IF(OR($C234="",$M234="Abierta",$M234=""),"",(N($K234)-IF(OR($M234="Cerrada",$M234="Rolada"),N($O234),0))*$H234*$I234*IF($U234="Débito",-1,1)-N($L234)-N($P234))</f>
        <v/>
      </c>
      <c r="AF234" s="14" t="str">
        <f aca="false">IF(OR($AE234="",$AD234=""),"",IF($AD234&lt;=0,"",$AE234/$AD234))</f>
        <v/>
      </c>
      <c r="AG234" s="14" t="str">
        <f aca="false">IF($AF234="","",$AF234*365/MAX(N($X234),1))</f>
        <v/>
      </c>
      <c r="AH234" s="14" t="str">
        <f aca="false">IF(OR($C234="",$U234&lt;&gt;"Crédito",$AD234=""),"",IF($AD234&lt;=0,"",($Z234-N($L234))/$AD234))</f>
        <v/>
      </c>
      <c r="AI234" s="14" t="str">
        <f aca="false">IF(OR($AH234="",$W234=""),"",$AH234*365/MAX($W234,1))</f>
        <v/>
      </c>
      <c r="AJ234" s="14" t="str">
        <f aca="false">IF(OR($AE234="",$U234&lt;&gt;"Crédito",N($K234)=0),"",(N($K234)-IF(OR($M234="Cerrada",$M234="Rolada"),N($O234),0))/$K234)</f>
        <v/>
      </c>
      <c r="AK234" s="15" t="str">
        <f aca="false">IF(OR($C234="",$N234=""),"",DATE(YEAR($N234),MONTH($N234),1))</f>
        <v/>
      </c>
      <c r="AL234" s="11" t="str">
        <f aca="false">IF($C234="","",IF($M234="Abierta",0,1))</f>
        <v/>
      </c>
      <c r="AM234" s="16" t="str">
        <f aca="false">IF(OR($AE234="",$AD234=""),"",$AD234*MAX(N($X234),1))</f>
        <v/>
      </c>
      <c r="AN234" s="10" t="str">
        <f aca="false">IF($C234="","",IF(OR($B234="",$D234="",$H234="",$K234="",$M234=""),"Faltan datos obligatorios",IF($T234="","Estrategia no reconocida",IF(AND($M234&lt;&gt;"Abierta",$N234=""),"Falta fecha cierre",IF(AND(OR($M234="Cerrada",$M234="Rolada"),$O234=""),"Falta prima cierre",IF(AND($N234&lt;&gt;"",$N234&lt;$B234),"Cierre anterior a apertura",IF(AND($M234="Asignada",$R234=""),"Asignada: falta ID lote acciones",IF(AND($R234&lt;&gt;"",ISNA(MATCH($R234,Acciones!$A$2:$A$201,0))),"El ID lote no existe en Acciones",IF($AD234="","Revisa capital en riesgo","OK")))))))))</f>
        <v/>
      </c>
    </row>
    <row r="235" customFormat="false" ht="15" hidden="false" customHeight="true" outlineLevel="0" collapsed="false">
      <c r="A235" s="5"/>
      <c r="B235" s="6"/>
      <c r="C235" s="7"/>
      <c r="D235" s="7"/>
      <c r="E235" s="8"/>
      <c r="F235" s="8"/>
      <c r="G235" s="6"/>
      <c r="H235" s="5"/>
      <c r="I235" s="5" t="n">
        <v>100</v>
      </c>
      <c r="J235" s="8"/>
      <c r="K235" s="8"/>
      <c r="L235" s="9"/>
      <c r="M235" s="7"/>
      <c r="N235" s="6"/>
      <c r="O235" s="8"/>
      <c r="P235" s="9"/>
      <c r="Q235" s="9"/>
      <c r="R235" s="7"/>
      <c r="S235" s="7"/>
      <c r="T235" s="10" t="str">
        <f aca="false">IF($C235="","",IFERROR(INDEX(Listas!$B$2:$B$20,MATCH($D235,Listas!$A$2:$A$20,0)),""))</f>
        <v/>
      </c>
      <c r="U235" s="10" t="str">
        <f aca="false">IF($C235="","",IFERROR(INDEX(Listas!$C$2:$C$20,MATCH($D235,Listas!$A$2:$A$20,0)),""))</f>
        <v/>
      </c>
      <c r="V235" s="10" t="str">
        <f aca="false">IF($C235="","",IFERROR(INDEX(Listas!$D$2:$D$20,MATCH($D235,Listas!$A$2:$A$20,0)),""))</f>
        <v/>
      </c>
      <c r="W235" s="11" t="str">
        <f aca="false">IF(OR($C235="",$B235="",$G235=""),"",$G235-$B235)</f>
        <v/>
      </c>
      <c r="X235" s="11" t="str">
        <f aca="true">IF(OR($C235="",$B235=""),"",IF($N235&lt;&gt;"",$N235,TODAY())-$B235)</f>
        <v/>
      </c>
      <c r="Y235" s="11" t="str">
        <f aca="true">IF(OR($C235="",$M235&lt;&gt;"Abierta",$G235=""),"",MAX($G235-TODAY(),0))</f>
        <v/>
      </c>
      <c r="Z235" s="12" t="str">
        <f aca="false">IF($C235="","",N($K235)*N($H235)*N($I235)*IF($U235="Débito",-1,1))</f>
        <v/>
      </c>
      <c r="AA235" s="13" t="str">
        <f aca="false">IF($C235="","",IF(AND($U235="Débito",$F235&lt;&gt;""),$F235,$E235))</f>
        <v/>
      </c>
      <c r="AB235" s="13" t="str">
        <f aca="false">IF(OR($C235="",$T235="Mixta",$AA235=""),"",IF($V235="Subyacente",IF($J235="","",$J235-$K235),IF($T235="Put",$AA235-$K235,$AA235+$K235)))</f>
        <v/>
      </c>
      <c r="AC235" s="14" t="str">
        <f aca="false">IF(OR($C235="",$T235="Mixta",$J235="",$AA235=""),"",IF($T235="Put",($J235-$AA235)/$J235,($AA235-$J235)/$J235))</f>
        <v/>
      </c>
      <c r="AD235" s="12" t="str">
        <f aca="false">IF($C235="","",IF($Q235&lt;&gt;"",$Q235,IF($V235="Strike",N($E235)*$H235*$I235,IF($V235="Subyacente",IF($J235="","",$J235*$H235*$I235),IF($V235="Ancho",IF($F235="","",ABS($E235-$F235)*$H235*$I235-$K235*$H235*$I235),IF($V235="Prima",$K235*$H235*$I235,""))))))</f>
        <v/>
      </c>
      <c r="AE235" s="12" t="str">
        <f aca="false">IF(OR($C235="",$M235="Abierta",$M235=""),"",(N($K235)-IF(OR($M235="Cerrada",$M235="Rolada"),N($O235),0))*$H235*$I235*IF($U235="Débito",-1,1)-N($L235)-N($P235))</f>
        <v/>
      </c>
      <c r="AF235" s="14" t="str">
        <f aca="false">IF(OR($AE235="",$AD235=""),"",IF($AD235&lt;=0,"",$AE235/$AD235))</f>
        <v/>
      </c>
      <c r="AG235" s="14" t="str">
        <f aca="false">IF($AF235="","",$AF235*365/MAX(N($X235),1))</f>
        <v/>
      </c>
      <c r="AH235" s="14" t="str">
        <f aca="false">IF(OR($C235="",$U235&lt;&gt;"Crédito",$AD235=""),"",IF($AD235&lt;=0,"",($Z235-N($L235))/$AD235))</f>
        <v/>
      </c>
      <c r="AI235" s="14" t="str">
        <f aca="false">IF(OR($AH235="",$W235=""),"",$AH235*365/MAX($W235,1))</f>
        <v/>
      </c>
      <c r="AJ235" s="14" t="str">
        <f aca="false">IF(OR($AE235="",$U235&lt;&gt;"Crédito",N($K235)=0),"",(N($K235)-IF(OR($M235="Cerrada",$M235="Rolada"),N($O235),0))/$K235)</f>
        <v/>
      </c>
      <c r="AK235" s="15" t="str">
        <f aca="false">IF(OR($C235="",$N235=""),"",DATE(YEAR($N235),MONTH($N235),1))</f>
        <v/>
      </c>
      <c r="AL235" s="11" t="str">
        <f aca="false">IF($C235="","",IF($M235="Abierta",0,1))</f>
        <v/>
      </c>
      <c r="AM235" s="16" t="str">
        <f aca="false">IF(OR($AE235="",$AD235=""),"",$AD235*MAX(N($X235),1))</f>
        <v/>
      </c>
      <c r="AN235" s="10" t="str">
        <f aca="false">IF($C235="","",IF(OR($B235="",$D235="",$H235="",$K235="",$M235=""),"Faltan datos obligatorios",IF($T235="","Estrategia no reconocida",IF(AND($M235&lt;&gt;"Abierta",$N235=""),"Falta fecha cierre",IF(AND(OR($M235="Cerrada",$M235="Rolada"),$O235=""),"Falta prima cierre",IF(AND($N235&lt;&gt;"",$N235&lt;$B235),"Cierre anterior a apertura",IF(AND($M235="Asignada",$R235=""),"Asignada: falta ID lote acciones",IF(AND($R235&lt;&gt;"",ISNA(MATCH($R235,Acciones!$A$2:$A$201,0))),"El ID lote no existe en Acciones",IF($AD235="","Revisa capital en riesgo","OK")))))))))</f>
        <v/>
      </c>
    </row>
    <row r="236" customFormat="false" ht="15" hidden="false" customHeight="true" outlineLevel="0" collapsed="false">
      <c r="A236" s="5"/>
      <c r="B236" s="6"/>
      <c r="C236" s="7"/>
      <c r="D236" s="7"/>
      <c r="E236" s="8"/>
      <c r="F236" s="8"/>
      <c r="G236" s="6"/>
      <c r="H236" s="5"/>
      <c r="I236" s="5" t="n">
        <v>100</v>
      </c>
      <c r="J236" s="8"/>
      <c r="K236" s="8"/>
      <c r="L236" s="9"/>
      <c r="M236" s="7"/>
      <c r="N236" s="6"/>
      <c r="O236" s="8"/>
      <c r="P236" s="9"/>
      <c r="Q236" s="9"/>
      <c r="R236" s="7"/>
      <c r="S236" s="7"/>
      <c r="T236" s="10" t="str">
        <f aca="false">IF($C236="","",IFERROR(INDEX(Listas!$B$2:$B$20,MATCH($D236,Listas!$A$2:$A$20,0)),""))</f>
        <v/>
      </c>
      <c r="U236" s="10" t="str">
        <f aca="false">IF($C236="","",IFERROR(INDEX(Listas!$C$2:$C$20,MATCH($D236,Listas!$A$2:$A$20,0)),""))</f>
        <v/>
      </c>
      <c r="V236" s="10" t="str">
        <f aca="false">IF($C236="","",IFERROR(INDEX(Listas!$D$2:$D$20,MATCH($D236,Listas!$A$2:$A$20,0)),""))</f>
        <v/>
      </c>
      <c r="W236" s="11" t="str">
        <f aca="false">IF(OR($C236="",$B236="",$G236=""),"",$G236-$B236)</f>
        <v/>
      </c>
      <c r="X236" s="11" t="str">
        <f aca="true">IF(OR($C236="",$B236=""),"",IF($N236&lt;&gt;"",$N236,TODAY())-$B236)</f>
        <v/>
      </c>
      <c r="Y236" s="11" t="str">
        <f aca="true">IF(OR($C236="",$M236&lt;&gt;"Abierta",$G236=""),"",MAX($G236-TODAY(),0))</f>
        <v/>
      </c>
      <c r="Z236" s="12" t="str">
        <f aca="false">IF($C236="","",N($K236)*N($H236)*N($I236)*IF($U236="Débito",-1,1))</f>
        <v/>
      </c>
      <c r="AA236" s="13" t="str">
        <f aca="false">IF($C236="","",IF(AND($U236="Débito",$F236&lt;&gt;""),$F236,$E236))</f>
        <v/>
      </c>
      <c r="AB236" s="13" t="str">
        <f aca="false">IF(OR($C236="",$T236="Mixta",$AA236=""),"",IF($V236="Subyacente",IF($J236="","",$J236-$K236),IF($T236="Put",$AA236-$K236,$AA236+$K236)))</f>
        <v/>
      </c>
      <c r="AC236" s="14" t="str">
        <f aca="false">IF(OR($C236="",$T236="Mixta",$J236="",$AA236=""),"",IF($T236="Put",($J236-$AA236)/$J236,($AA236-$J236)/$J236))</f>
        <v/>
      </c>
      <c r="AD236" s="12" t="str">
        <f aca="false">IF($C236="","",IF($Q236&lt;&gt;"",$Q236,IF($V236="Strike",N($E236)*$H236*$I236,IF($V236="Subyacente",IF($J236="","",$J236*$H236*$I236),IF($V236="Ancho",IF($F236="","",ABS($E236-$F236)*$H236*$I236-$K236*$H236*$I236),IF($V236="Prima",$K236*$H236*$I236,""))))))</f>
        <v/>
      </c>
      <c r="AE236" s="12" t="str">
        <f aca="false">IF(OR($C236="",$M236="Abierta",$M236=""),"",(N($K236)-IF(OR($M236="Cerrada",$M236="Rolada"),N($O236),0))*$H236*$I236*IF($U236="Débito",-1,1)-N($L236)-N($P236))</f>
        <v/>
      </c>
      <c r="AF236" s="14" t="str">
        <f aca="false">IF(OR($AE236="",$AD236=""),"",IF($AD236&lt;=0,"",$AE236/$AD236))</f>
        <v/>
      </c>
      <c r="AG236" s="14" t="str">
        <f aca="false">IF($AF236="","",$AF236*365/MAX(N($X236),1))</f>
        <v/>
      </c>
      <c r="AH236" s="14" t="str">
        <f aca="false">IF(OR($C236="",$U236&lt;&gt;"Crédito",$AD236=""),"",IF($AD236&lt;=0,"",($Z236-N($L236))/$AD236))</f>
        <v/>
      </c>
      <c r="AI236" s="14" t="str">
        <f aca="false">IF(OR($AH236="",$W236=""),"",$AH236*365/MAX($W236,1))</f>
        <v/>
      </c>
      <c r="AJ236" s="14" t="str">
        <f aca="false">IF(OR($AE236="",$U236&lt;&gt;"Crédito",N($K236)=0),"",(N($K236)-IF(OR($M236="Cerrada",$M236="Rolada"),N($O236),0))/$K236)</f>
        <v/>
      </c>
      <c r="AK236" s="15" t="str">
        <f aca="false">IF(OR($C236="",$N236=""),"",DATE(YEAR($N236),MONTH($N236),1))</f>
        <v/>
      </c>
      <c r="AL236" s="11" t="str">
        <f aca="false">IF($C236="","",IF($M236="Abierta",0,1))</f>
        <v/>
      </c>
      <c r="AM236" s="16" t="str">
        <f aca="false">IF(OR($AE236="",$AD236=""),"",$AD236*MAX(N($X236),1))</f>
        <v/>
      </c>
      <c r="AN236" s="10" t="str">
        <f aca="false">IF($C236="","",IF(OR($B236="",$D236="",$H236="",$K236="",$M236=""),"Faltan datos obligatorios",IF($T236="","Estrategia no reconocida",IF(AND($M236&lt;&gt;"Abierta",$N236=""),"Falta fecha cierre",IF(AND(OR($M236="Cerrada",$M236="Rolada"),$O236=""),"Falta prima cierre",IF(AND($N236&lt;&gt;"",$N236&lt;$B236),"Cierre anterior a apertura",IF(AND($M236="Asignada",$R236=""),"Asignada: falta ID lote acciones",IF(AND($R236&lt;&gt;"",ISNA(MATCH($R236,Acciones!$A$2:$A$201,0))),"El ID lote no existe en Acciones",IF($AD236="","Revisa capital en riesgo","OK")))))))))</f>
        <v/>
      </c>
    </row>
    <row r="237" customFormat="false" ht="15" hidden="false" customHeight="true" outlineLevel="0" collapsed="false">
      <c r="A237" s="5"/>
      <c r="B237" s="6"/>
      <c r="C237" s="7"/>
      <c r="D237" s="7"/>
      <c r="E237" s="8"/>
      <c r="F237" s="8"/>
      <c r="G237" s="6"/>
      <c r="H237" s="5"/>
      <c r="I237" s="5" t="n">
        <v>100</v>
      </c>
      <c r="J237" s="8"/>
      <c r="K237" s="8"/>
      <c r="L237" s="9"/>
      <c r="M237" s="7"/>
      <c r="N237" s="6"/>
      <c r="O237" s="8"/>
      <c r="P237" s="9"/>
      <c r="Q237" s="9"/>
      <c r="R237" s="7"/>
      <c r="S237" s="7"/>
      <c r="T237" s="10" t="str">
        <f aca="false">IF($C237="","",IFERROR(INDEX(Listas!$B$2:$B$20,MATCH($D237,Listas!$A$2:$A$20,0)),""))</f>
        <v/>
      </c>
      <c r="U237" s="10" t="str">
        <f aca="false">IF($C237="","",IFERROR(INDEX(Listas!$C$2:$C$20,MATCH($D237,Listas!$A$2:$A$20,0)),""))</f>
        <v/>
      </c>
      <c r="V237" s="10" t="str">
        <f aca="false">IF($C237="","",IFERROR(INDEX(Listas!$D$2:$D$20,MATCH($D237,Listas!$A$2:$A$20,0)),""))</f>
        <v/>
      </c>
      <c r="W237" s="11" t="str">
        <f aca="false">IF(OR($C237="",$B237="",$G237=""),"",$G237-$B237)</f>
        <v/>
      </c>
      <c r="X237" s="11" t="str">
        <f aca="true">IF(OR($C237="",$B237=""),"",IF($N237&lt;&gt;"",$N237,TODAY())-$B237)</f>
        <v/>
      </c>
      <c r="Y237" s="11" t="str">
        <f aca="true">IF(OR($C237="",$M237&lt;&gt;"Abierta",$G237=""),"",MAX($G237-TODAY(),0))</f>
        <v/>
      </c>
      <c r="Z237" s="12" t="str">
        <f aca="false">IF($C237="","",N($K237)*N($H237)*N($I237)*IF($U237="Débito",-1,1))</f>
        <v/>
      </c>
      <c r="AA237" s="13" t="str">
        <f aca="false">IF($C237="","",IF(AND($U237="Débito",$F237&lt;&gt;""),$F237,$E237))</f>
        <v/>
      </c>
      <c r="AB237" s="13" t="str">
        <f aca="false">IF(OR($C237="",$T237="Mixta",$AA237=""),"",IF($V237="Subyacente",IF($J237="","",$J237-$K237),IF($T237="Put",$AA237-$K237,$AA237+$K237)))</f>
        <v/>
      </c>
      <c r="AC237" s="14" t="str">
        <f aca="false">IF(OR($C237="",$T237="Mixta",$J237="",$AA237=""),"",IF($T237="Put",($J237-$AA237)/$J237,($AA237-$J237)/$J237))</f>
        <v/>
      </c>
      <c r="AD237" s="12" t="str">
        <f aca="false">IF($C237="","",IF($Q237&lt;&gt;"",$Q237,IF($V237="Strike",N($E237)*$H237*$I237,IF($V237="Subyacente",IF($J237="","",$J237*$H237*$I237),IF($V237="Ancho",IF($F237="","",ABS($E237-$F237)*$H237*$I237-$K237*$H237*$I237),IF($V237="Prima",$K237*$H237*$I237,""))))))</f>
        <v/>
      </c>
      <c r="AE237" s="12" t="str">
        <f aca="false">IF(OR($C237="",$M237="Abierta",$M237=""),"",(N($K237)-IF(OR($M237="Cerrada",$M237="Rolada"),N($O237),0))*$H237*$I237*IF($U237="Débito",-1,1)-N($L237)-N($P237))</f>
        <v/>
      </c>
      <c r="AF237" s="14" t="str">
        <f aca="false">IF(OR($AE237="",$AD237=""),"",IF($AD237&lt;=0,"",$AE237/$AD237))</f>
        <v/>
      </c>
      <c r="AG237" s="14" t="str">
        <f aca="false">IF($AF237="","",$AF237*365/MAX(N($X237),1))</f>
        <v/>
      </c>
      <c r="AH237" s="14" t="str">
        <f aca="false">IF(OR($C237="",$U237&lt;&gt;"Crédito",$AD237=""),"",IF($AD237&lt;=0,"",($Z237-N($L237))/$AD237))</f>
        <v/>
      </c>
      <c r="AI237" s="14" t="str">
        <f aca="false">IF(OR($AH237="",$W237=""),"",$AH237*365/MAX($W237,1))</f>
        <v/>
      </c>
      <c r="AJ237" s="14" t="str">
        <f aca="false">IF(OR($AE237="",$U237&lt;&gt;"Crédito",N($K237)=0),"",(N($K237)-IF(OR($M237="Cerrada",$M237="Rolada"),N($O237),0))/$K237)</f>
        <v/>
      </c>
      <c r="AK237" s="15" t="str">
        <f aca="false">IF(OR($C237="",$N237=""),"",DATE(YEAR($N237),MONTH($N237),1))</f>
        <v/>
      </c>
      <c r="AL237" s="11" t="str">
        <f aca="false">IF($C237="","",IF($M237="Abierta",0,1))</f>
        <v/>
      </c>
      <c r="AM237" s="16" t="str">
        <f aca="false">IF(OR($AE237="",$AD237=""),"",$AD237*MAX(N($X237),1))</f>
        <v/>
      </c>
      <c r="AN237" s="10" t="str">
        <f aca="false">IF($C237="","",IF(OR($B237="",$D237="",$H237="",$K237="",$M237=""),"Faltan datos obligatorios",IF($T237="","Estrategia no reconocida",IF(AND($M237&lt;&gt;"Abierta",$N237=""),"Falta fecha cierre",IF(AND(OR($M237="Cerrada",$M237="Rolada"),$O237=""),"Falta prima cierre",IF(AND($N237&lt;&gt;"",$N237&lt;$B237),"Cierre anterior a apertura",IF(AND($M237="Asignada",$R237=""),"Asignada: falta ID lote acciones",IF(AND($R237&lt;&gt;"",ISNA(MATCH($R237,Acciones!$A$2:$A$201,0))),"El ID lote no existe en Acciones",IF($AD237="","Revisa capital en riesgo","OK")))))))))</f>
        <v/>
      </c>
    </row>
    <row r="238" customFormat="false" ht="15" hidden="false" customHeight="true" outlineLevel="0" collapsed="false">
      <c r="A238" s="5"/>
      <c r="B238" s="6"/>
      <c r="C238" s="7"/>
      <c r="D238" s="7"/>
      <c r="E238" s="8"/>
      <c r="F238" s="8"/>
      <c r="G238" s="6"/>
      <c r="H238" s="5"/>
      <c r="I238" s="5" t="n">
        <v>100</v>
      </c>
      <c r="J238" s="8"/>
      <c r="K238" s="8"/>
      <c r="L238" s="9"/>
      <c r="M238" s="7"/>
      <c r="N238" s="6"/>
      <c r="O238" s="8"/>
      <c r="P238" s="9"/>
      <c r="Q238" s="9"/>
      <c r="R238" s="7"/>
      <c r="S238" s="7"/>
      <c r="T238" s="10" t="str">
        <f aca="false">IF($C238="","",IFERROR(INDEX(Listas!$B$2:$B$20,MATCH($D238,Listas!$A$2:$A$20,0)),""))</f>
        <v/>
      </c>
      <c r="U238" s="10" t="str">
        <f aca="false">IF($C238="","",IFERROR(INDEX(Listas!$C$2:$C$20,MATCH($D238,Listas!$A$2:$A$20,0)),""))</f>
        <v/>
      </c>
      <c r="V238" s="10" t="str">
        <f aca="false">IF($C238="","",IFERROR(INDEX(Listas!$D$2:$D$20,MATCH($D238,Listas!$A$2:$A$20,0)),""))</f>
        <v/>
      </c>
      <c r="W238" s="11" t="str">
        <f aca="false">IF(OR($C238="",$B238="",$G238=""),"",$G238-$B238)</f>
        <v/>
      </c>
      <c r="X238" s="11" t="str">
        <f aca="true">IF(OR($C238="",$B238=""),"",IF($N238&lt;&gt;"",$N238,TODAY())-$B238)</f>
        <v/>
      </c>
      <c r="Y238" s="11" t="str">
        <f aca="true">IF(OR($C238="",$M238&lt;&gt;"Abierta",$G238=""),"",MAX($G238-TODAY(),0))</f>
        <v/>
      </c>
      <c r="Z238" s="12" t="str">
        <f aca="false">IF($C238="","",N($K238)*N($H238)*N($I238)*IF($U238="Débito",-1,1))</f>
        <v/>
      </c>
      <c r="AA238" s="13" t="str">
        <f aca="false">IF($C238="","",IF(AND($U238="Débito",$F238&lt;&gt;""),$F238,$E238))</f>
        <v/>
      </c>
      <c r="AB238" s="13" t="str">
        <f aca="false">IF(OR($C238="",$T238="Mixta",$AA238=""),"",IF($V238="Subyacente",IF($J238="","",$J238-$K238),IF($T238="Put",$AA238-$K238,$AA238+$K238)))</f>
        <v/>
      </c>
      <c r="AC238" s="14" t="str">
        <f aca="false">IF(OR($C238="",$T238="Mixta",$J238="",$AA238=""),"",IF($T238="Put",($J238-$AA238)/$J238,($AA238-$J238)/$J238))</f>
        <v/>
      </c>
      <c r="AD238" s="12" t="str">
        <f aca="false">IF($C238="","",IF($Q238&lt;&gt;"",$Q238,IF($V238="Strike",N($E238)*$H238*$I238,IF($V238="Subyacente",IF($J238="","",$J238*$H238*$I238),IF($V238="Ancho",IF($F238="","",ABS($E238-$F238)*$H238*$I238-$K238*$H238*$I238),IF($V238="Prima",$K238*$H238*$I238,""))))))</f>
        <v/>
      </c>
      <c r="AE238" s="12" t="str">
        <f aca="false">IF(OR($C238="",$M238="Abierta",$M238=""),"",(N($K238)-IF(OR($M238="Cerrada",$M238="Rolada"),N($O238),0))*$H238*$I238*IF($U238="Débito",-1,1)-N($L238)-N($P238))</f>
        <v/>
      </c>
      <c r="AF238" s="14" t="str">
        <f aca="false">IF(OR($AE238="",$AD238=""),"",IF($AD238&lt;=0,"",$AE238/$AD238))</f>
        <v/>
      </c>
      <c r="AG238" s="14" t="str">
        <f aca="false">IF($AF238="","",$AF238*365/MAX(N($X238),1))</f>
        <v/>
      </c>
      <c r="AH238" s="14" t="str">
        <f aca="false">IF(OR($C238="",$U238&lt;&gt;"Crédito",$AD238=""),"",IF($AD238&lt;=0,"",($Z238-N($L238))/$AD238))</f>
        <v/>
      </c>
      <c r="AI238" s="14" t="str">
        <f aca="false">IF(OR($AH238="",$W238=""),"",$AH238*365/MAX($W238,1))</f>
        <v/>
      </c>
      <c r="AJ238" s="14" t="str">
        <f aca="false">IF(OR($AE238="",$U238&lt;&gt;"Crédito",N($K238)=0),"",(N($K238)-IF(OR($M238="Cerrada",$M238="Rolada"),N($O238),0))/$K238)</f>
        <v/>
      </c>
      <c r="AK238" s="15" t="str">
        <f aca="false">IF(OR($C238="",$N238=""),"",DATE(YEAR($N238),MONTH($N238),1))</f>
        <v/>
      </c>
      <c r="AL238" s="11" t="str">
        <f aca="false">IF($C238="","",IF($M238="Abierta",0,1))</f>
        <v/>
      </c>
      <c r="AM238" s="16" t="str">
        <f aca="false">IF(OR($AE238="",$AD238=""),"",$AD238*MAX(N($X238),1))</f>
        <v/>
      </c>
      <c r="AN238" s="10" t="str">
        <f aca="false">IF($C238="","",IF(OR($B238="",$D238="",$H238="",$K238="",$M238=""),"Faltan datos obligatorios",IF($T238="","Estrategia no reconocida",IF(AND($M238&lt;&gt;"Abierta",$N238=""),"Falta fecha cierre",IF(AND(OR($M238="Cerrada",$M238="Rolada"),$O238=""),"Falta prima cierre",IF(AND($N238&lt;&gt;"",$N238&lt;$B238),"Cierre anterior a apertura",IF(AND($M238="Asignada",$R238=""),"Asignada: falta ID lote acciones",IF(AND($R238&lt;&gt;"",ISNA(MATCH($R238,Acciones!$A$2:$A$201,0))),"El ID lote no existe en Acciones",IF($AD238="","Revisa capital en riesgo","OK")))))))))</f>
        <v/>
      </c>
    </row>
    <row r="239" customFormat="false" ht="15" hidden="false" customHeight="true" outlineLevel="0" collapsed="false">
      <c r="A239" s="5"/>
      <c r="B239" s="6"/>
      <c r="C239" s="7"/>
      <c r="D239" s="7"/>
      <c r="E239" s="8"/>
      <c r="F239" s="8"/>
      <c r="G239" s="6"/>
      <c r="H239" s="5"/>
      <c r="I239" s="5" t="n">
        <v>100</v>
      </c>
      <c r="J239" s="8"/>
      <c r="K239" s="8"/>
      <c r="L239" s="9"/>
      <c r="M239" s="7"/>
      <c r="N239" s="6"/>
      <c r="O239" s="8"/>
      <c r="P239" s="9"/>
      <c r="Q239" s="9"/>
      <c r="R239" s="7"/>
      <c r="S239" s="7"/>
      <c r="T239" s="10" t="str">
        <f aca="false">IF($C239="","",IFERROR(INDEX(Listas!$B$2:$B$20,MATCH($D239,Listas!$A$2:$A$20,0)),""))</f>
        <v/>
      </c>
      <c r="U239" s="10" t="str">
        <f aca="false">IF($C239="","",IFERROR(INDEX(Listas!$C$2:$C$20,MATCH($D239,Listas!$A$2:$A$20,0)),""))</f>
        <v/>
      </c>
      <c r="V239" s="10" t="str">
        <f aca="false">IF($C239="","",IFERROR(INDEX(Listas!$D$2:$D$20,MATCH($D239,Listas!$A$2:$A$20,0)),""))</f>
        <v/>
      </c>
      <c r="W239" s="11" t="str">
        <f aca="false">IF(OR($C239="",$B239="",$G239=""),"",$G239-$B239)</f>
        <v/>
      </c>
      <c r="X239" s="11" t="str">
        <f aca="true">IF(OR($C239="",$B239=""),"",IF($N239&lt;&gt;"",$N239,TODAY())-$B239)</f>
        <v/>
      </c>
      <c r="Y239" s="11" t="str">
        <f aca="true">IF(OR($C239="",$M239&lt;&gt;"Abierta",$G239=""),"",MAX($G239-TODAY(),0))</f>
        <v/>
      </c>
      <c r="Z239" s="12" t="str">
        <f aca="false">IF($C239="","",N($K239)*N($H239)*N($I239)*IF($U239="Débito",-1,1))</f>
        <v/>
      </c>
      <c r="AA239" s="13" t="str">
        <f aca="false">IF($C239="","",IF(AND($U239="Débito",$F239&lt;&gt;""),$F239,$E239))</f>
        <v/>
      </c>
      <c r="AB239" s="13" t="str">
        <f aca="false">IF(OR($C239="",$T239="Mixta",$AA239=""),"",IF($V239="Subyacente",IF($J239="","",$J239-$K239),IF($T239="Put",$AA239-$K239,$AA239+$K239)))</f>
        <v/>
      </c>
      <c r="AC239" s="14" t="str">
        <f aca="false">IF(OR($C239="",$T239="Mixta",$J239="",$AA239=""),"",IF($T239="Put",($J239-$AA239)/$J239,($AA239-$J239)/$J239))</f>
        <v/>
      </c>
      <c r="AD239" s="12" t="str">
        <f aca="false">IF($C239="","",IF($Q239&lt;&gt;"",$Q239,IF($V239="Strike",N($E239)*$H239*$I239,IF($V239="Subyacente",IF($J239="","",$J239*$H239*$I239),IF($V239="Ancho",IF($F239="","",ABS($E239-$F239)*$H239*$I239-$K239*$H239*$I239),IF($V239="Prima",$K239*$H239*$I239,""))))))</f>
        <v/>
      </c>
      <c r="AE239" s="12" t="str">
        <f aca="false">IF(OR($C239="",$M239="Abierta",$M239=""),"",(N($K239)-IF(OR($M239="Cerrada",$M239="Rolada"),N($O239),0))*$H239*$I239*IF($U239="Débito",-1,1)-N($L239)-N($P239))</f>
        <v/>
      </c>
      <c r="AF239" s="14" t="str">
        <f aca="false">IF(OR($AE239="",$AD239=""),"",IF($AD239&lt;=0,"",$AE239/$AD239))</f>
        <v/>
      </c>
      <c r="AG239" s="14" t="str">
        <f aca="false">IF($AF239="","",$AF239*365/MAX(N($X239),1))</f>
        <v/>
      </c>
      <c r="AH239" s="14" t="str">
        <f aca="false">IF(OR($C239="",$U239&lt;&gt;"Crédito",$AD239=""),"",IF($AD239&lt;=0,"",($Z239-N($L239))/$AD239))</f>
        <v/>
      </c>
      <c r="AI239" s="14" t="str">
        <f aca="false">IF(OR($AH239="",$W239=""),"",$AH239*365/MAX($W239,1))</f>
        <v/>
      </c>
      <c r="AJ239" s="14" t="str">
        <f aca="false">IF(OR($AE239="",$U239&lt;&gt;"Crédito",N($K239)=0),"",(N($K239)-IF(OR($M239="Cerrada",$M239="Rolada"),N($O239),0))/$K239)</f>
        <v/>
      </c>
      <c r="AK239" s="15" t="str">
        <f aca="false">IF(OR($C239="",$N239=""),"",DATE(YEAR($N239),MONTH($N239),1))</f>
        <v/>
      </c>
      <c r="AL239" s="11" t="str">
        <f aca="false">IF($C239="","",IF($M239="Abierta",0,1))</f>
        <v/>
      </c>
      <c r="AM239" s="16" t="str">
        <f aca="false">IF(OR($AE239="",$AD239=""),"",$AD239*MAX(N($X239),1))</f>
        <v/>
      </c>
      <c r="AN239" s="10" t="str">
        <f aca="false">IF($C239="","",IF(OR($B239="",$D239="",$H239="",$K239="",$M239=""),"Faltan datos obligatorios",IF($T239="","Estrategia no reconocida",IF(AND($M239&lt;&gt;"Abierta",$N239=""),"Falta fecha cierre",IF(AND(OR($M239="Cerrada",$M239="Rolada"),$O239=""),"Falta prima cierre",IF(AND($N239&lt;&gt;"",$N239&lt;$B239),"Cierre anterior a apertura",IF(AND($M239="Asignada",$R239=""),"Asignada: falta ID lote acciones",IF(AND($R239&lt;&gt;"",ISNA(MATCH($R239,Acciones!$A$2:$A$201,0))),"El ID lote no existe en Acciones",IF($AD239="","Revisa capital en riesgo","OK")))))))))</f>
        <v/>
      </c>
    </row>
    <row r="240" customFormat="false" ht="15" hidden="false" customHeight="true" outlineLevel="0" collapsed="false">
      <c r="A240" s="5"/>
      <c r="B240" s="6"/>
      <c r="C240" s="7"/>
      <c r="D240" s="7"/>
      <c r="E240" s="8"/>
      <c r="F240" s="8"/>
      <c r="G240" s="6"/>
      <c r="H240" s="5"/>
      <c r="I240" s="5" t="n">
        <v>100</v>
      </c>
      <c r="J240" s="8"/>
      <c r="K240" s="8"/>
      <c r="L240" s="9"/>
      <c r="M240" s="7"/>
      <c r="N240" s="6"/>
      <c r="O240" s="8"/>
      <c r="P240" s="9"/>
      <c r="Q240" s="9"/>
      <c r="R240" s="7"/>
      <c r="S240" s="7"/>
      <c r="T240" s="10" t="str">
        <f aca="false">IF($C240="","",IFERROR(INDEX(Listas!$B$2:$B$20,MATCH($D240,Listas!$A$2:$A$20,0)),""))</f>
        <v/>
      </c>
      <c r="U240" s="10" t="str">
        <f aca="false">IF($C240="","",IFERROR(INDEX(Listas!$C$2:$C$20,MATCH($D240,Listas!$A$2:$A$20,0)),""))</f>
        <v/>
      </c>
      <c r="V240" s="10" t="str">
        <f aca="false">IF($C240="","",IFERROR(INDEX(Listas!$D$2:$D$20,MATCH($D240,Listas!$A$2:$A$20,0)),""))</f>
        <v/>
      </c>
      <c r="W240" s="11" t="str">
        <f aca="false">IF(OR($C240="",$B240="",$G240=""),"",$G240-$B240)</f>
        <v/>
      </c>
      <c r="X240" s="11" t="str">
        <f aca="true">IF(OR($C240="",$B240=""),"",IF($N240&lt;&gt;"",$N240,TODAY())-$B240)</f>
        <v/>
      </c>
      <c r="Y240" s="11" t="str">
        <f aca="true">IF(OR($C240="",$M240&lt;&gt;"Abierta",$G240=""),"",MAX($G240-TODAY(),0))</f>
        <v/>
      </c>
      <c r="Z240" s="12" t="str">
        <f aca="false">IF($C240="","",N($K240)*N($H240)*N($I240)*IF($U240="Débito",-1,1))</f>
        <v/>
      </c>
      <c r="AA240" s="13" t="str">
        <f aca="false">IF($C240="","",IF(AND($U240="Débito",$F240&lt;&gt;""),$F240,$E240))</f>
        <v/>
      </c>
      <c r="AB240" s="13" t="str">
        <f aca="false">IF(OR($C240="",$T240="Mixta",$AA240=""),"",IF($V240="Subyacente",IF($J240="","",$J240-$K240),IF($T240="Put",$AA240-$K240,$AA240+$K240)))</f>
        <v/>
      </c>
      <c r="AC240" s="14" t="str">
        <f aca="false">IF(OR($C240="",$T240="Mixta",$J240="",$AA240=""),"",IF($T240="Put",($J240-$AA240)/$J240,($AA240-$J240)/$J240))</f>
        <v/>
      </c>
      <c r="AD240" s="12" t="str">
        <f aca="false">IF($C240="","",IF($Q240&lt;&gt;"",$Q240,IF($V240="Strike",N($E240)*$H240*$I240,IF($V240="Subyacente",IF($J240="","",$J240*$H240*$I240),IF($V240="Ancho",IF($F240="","",ABS($E240-$F240)*$H240*$I240-$K240*$H240*$I240),IF($V240="Prima",$K240*$H240*$I240,""))))))</f>
        <v/>
      </c>
      <c r="AE240" s="12" t="str">
        <f aca="false">IF(OR($C240="",$M240="Abierta",$M240=""),"",(N($K240)-IF(OR($M240="Cerrada",$M240="Rolada"),N($O240),0))*$H240*$I240*IF($U240="Débito",-1,1)-N($L240)-N($P240))</f>
        <v/>
      </c>
      <c r="AF240" s="14" t="str">
        <f aca="false">IF(OR($AE240="",$AD240=""),"",IF($AD240&lt;=0,"",$AE240/$AD240))</f>
        <v/>
      </c>
      <c r="AG240" s="14" t="str">
        <f aca="false">IF($AF240="","",$AF240*365/MAX(N($X240),1))</f>
        <v/>
      </c>
      <c r="AH240" s="14" t="str">
        <f aca="false">IF(OR($C240="",$U240&lt;&gt;"Crédito",$AD240=""),"",IF($AD240&lt;=0,"",($Z240-N($L240))/$AD240))</f>
        <v/>
      </c>
      <c r="AI240" s="14" t="str">
        <f aca="false">IF(OR($AH240="",$W240=""),"",$AH240*365/MAX($W240,1))</f>
        <v/>
      </c>
      <c r="AJ240" s="14" t="str">
        <f aca="false">IF(OR($AE240="",$U240&lt;&gt;"Crédito",N($K240)=0),"",(N($K240)-IF(OR($M240="Cerrada",$M240="Rolada"),N($O240),0))/$K240)</f>
        <v/>
      </c>
      <c r="AK240" s="15" t="str">
        <f aca="false">IF(OR($C240="",$N240=""),"",DATE(YEAR($N240),MONTH($N240),1))</f>
        <v/>
      </c>
      <c r="AL240" s="11" t="str">
        <f aca="false">IF($C240="","",IF($M240="Abierta",0,1))</f>
        <v/>
      </c>
      <c r="AM240" s="16" t="str">
        <f aca="false">IF(OR($AE240="",$AD240=""),"",$AD240*MAX(N($X240),1))</f>
        <v/>
      </c>
      <c r="AN240" s="10" t="str">
        <f aca="false">IF($C240="","",IF(OR($B240="",$D240="",$H240="",$K240="",$M240=""),"Faltan datos obligatorios",IF($T240="","Estrategia no reconocida",IF(AND($M240&lt;&gt;"Abierta",$N240=""),"Falta fecha cierre",IF(AND(OR($M240="Cerrada",$M240="Rolada"),$O240=""),"Falta prima cierre",IF(AND($N240&lt;&gt;"",$N240&lt;$B240),"Cierre anterior a apertura",IF(AND($M240="Asignada",$R240=""),"Asignada: falta ID lote acciones",IF(AND($R240&lt;&gt;"",ISNA(MATCH($R240,Acciones!$A$2:$A$201,0))),"El ID lote no existe en Acciones",IF($AD240="","Revisa capital en riesgo","OK")))))))))</f>
        <v/>
      </c>
    </row>
    <row r="241" customFormat="false" ht="15" hidden="false" customHeight="true" outlineLevel="0" collapsed="false">
      <c r="A241" s="5"/>
      <c r="B241" s="6"/>
      <c r="C241" s="7"/>
      <c r="D241" s="7"/>
      <c r="E241" s="8"/>
      <c r="F241" s="8"/>
      <c r="G241" s="6"/>
      <c r="H241" s="5"/>
      <c r="I241" s="5" t="n">
        <v>100</v>
      </c>
      <c r="J241" s="8"/>
      <c r="K241" s="8"/>
      <c r="L241" s="9"/>
      <c r="M241" s="7"/>
      <c r="N241" s="6"/>
      <c r="O241" s="8"/>
      <c r="P241" s="9"/>
      <c r="Q241" s="9"/>
      <c r="R241" s="7"/>
      <c r="S241" s="7"/>
      <c r="T241" s="10" t="str">
        <f aca="false">IF($C241="","",IFERROR(INDEX(Listas!$B$2:$B$20,MATCH($D241,Listas!$A$2:$A$20,0)),""))</f>
        <v/>
      </c>
      <c r="U241" s="10" t="str">
        <f aca="false">IF($C241="","",IFERROR(INDEX(Listas!$C$2:$C$20,MATCH($D241,Listas!$A$2:$A$20,0)),""))</f>
        <v/>
      </c>
      <c r="V241" s="10" t="str">
        <f aca="false">IF($C241="","",IFERROR(INDEX(Listas!$D$2:$D$20,MATCH($D241,Listas!$A$2:$A$20,0)),""))</f>
        <v/>
      </c>
      <c r="W241" s="11" t="str">
        <f aca="false">IF(OR($C241="",$B241="",$G241=""),"",$G241-$B241)</f>
        <v/>
      </c>
      <c r="X241" s="11" t="str">
        <f aca="true">IF(OR($C241="",$B241=""),"",IF($N241&lt;&gt;"",$N241,TODAY())-$B241)</f>
        <v/>
      </c>
      <c r="Y241" s="11" t="str">
        <f aca="true">IF(OR($C241="",$M241&lt;&gt;"Abierta",$G241=""),"",MAX($G241-TODAY(),0))</f>
        <v/>
      </c>
      <c r="Z241" s="12" t="str">
        <f aca="false">IF($C241="","",N($K241)*N($H241)*N($I241)*IF($U241="Débito",-1,1))</f>
        <v/>
      </c>
      <c r="AA241" s="13" t="str">
        <f aca="false">IF($C241="","",IF(AND($U241="Débito",$F241&lt;&gt;""),$F241,$E241))</f>
        <v/>
      </c>
      <c r="AB241" s="13" t="str">
        <f aca="false">IF(OR($C241="",$T241="Mixta",$AA241=""),"",IF($V241="Subyacente",IF($J241="","",$J241-$K241),IF($T241="Put",$AA241-$K241,$AA241+$K241)))</f>
        <v/>
      </c>
      <c r="AC241" s="14" t="str">
        <f aca="false">IF(OR($C241="",$T241="Mixta",$J241="",$AA241=""),"",IF($T241="Put",($J241-$AA241)/$J241,($AA241-$J241)/$J241))</f>
        <v/>
      </c>
      <c r="AD241" s="12" t="str">
        <f aca="false">IF($C241="","",IF($Q241&lt;&gt;"",$Q241,IF($V241="Strike",N($E241)*$H241*$I241,IF($V241="Subyacente",IF($J241="","",$J241*$H241*$I241),IF($V241="Ancho",IF($F241="","",ABS($E241-$F241)*$H241*$I241-$K241*$H241*$I241),IF($V241="Prima",$K241*$H241*$I241,""))))))</f>
        <v/>
      </c>
      <c r="AE241" s="12" t="str">
        <f aca="false">IF(OR($C241="",$M241="Abierta",$M241=""),"",(N($K241)-IF(OR($M241="Cerrada",$M241="Rolada"),N($O241),0))*$H241*$I241*IF($U241="Débito",-1,1)-N($L241)-N($P241))</f>
        <v/>
      </c>
      <c r="AF241" s="14" t="str">
        <f aca="false">IF(OR($AE241="",$AD241=""),"",IF($AD241&lt;=0,"",$AE241/$AD241))</f>
        <v/>
      </c>
      <c r="AG241" s="14" t="str">
        <f aca="false">IF($AF241="","",$AF241*365/MAX(N($X241),1))</f>
        <v/>
      </c>
      <c r="AH241" s="14" t="str">
        <f aca="false">IF(OR($C241="",$U241&lt;&gt;"Crédito",$AD241=""),"",IF($AD241&lt;=0,"",($Z241-N($L241))/$AD241))</f>
        <v/>
      </c>
      <c r="AI241" s="14" t="str">
        <f aca="false">IF(OR($AH241="",$W241=""),"",$AH241*365/MAX($W241,1))</f>
        <v/>
      </c>
      <c r="AJ241" s="14" t="str">
        <f aca="false">IF(OR($AE241="",$U241&lt;&gt;"Crédito",N($K241)=0),"",(N($K241)-IF(OR($M241="Cerrada",$M241="Rolada"),N($O241),0))/$K241)</f>
        <v/>
      </c>
      <c r="AK241" s="15" t="str">
        <f aca="false">IF(OR($C241="",$N241=""),"",DATE(YEAR($N241),MONTH($N241),1))</f>
        <v/>
      </c>
      <c r="AL241" s="11" t="str">
        <f aca="false">IF($C241="","",IF($M241="Abierta",0,1))</f>
        <v/>
      </c>
      <c r="AM241" s="16" t="str">
        <f aca="false">IF(OR($AE241="",$AD241=""),"",$AD241*MAX(N($X241),1))</f>
        <v/>
      </c>
      <c r="AN241" s="10" t="str">
        <f aca="false">IF($C241="","",IF(OR($B241="",$D241="",$H241="",$K241="",$M241=""),"Faltan datos obligatorios",IF($T241="","Estrategia no reconocida",IF(AND($M241&lt;&gt;"Abierta",$N241=""),"Falta fecha cierre",IF(AND(OR($M241="Cerrada",$M241="Rolada"),$O241=""),"Falta prima cierre",IF(AND($N241&lt;&gt;"",$N241&lt;$B241),"Cierre anterior a apertura",IF(AND($M241="Asignada",$R241=""),"Asignada: falta ID lote acciones",IF(AND($R241&lt;&gt;"",ISNA(MATCH($R241,Acciones!$A$2:$A$201,0))),"El ID lote no existe en Acciones",IF($AD241="","Revisa capital en riesgo","OK")))))))))</f>
        <v/>
      </c>
    </row>
    <row r="242" customFormat="false" ht="15" hidden="false" customHeight="true" outlineLevel="0" collapsed="false">
      <c r="A242" s="5"/>
      <c r="B242" s="6"/>
      <c r="C242" s="7"/>
      <c r="D242" s="7"/>
      <c r="E242" s="8"/>
      <c r="F242" s="8"/>
      <c r="G242" s="6"/>
      <c r="H242" s="5"/>
      <c r="I242" s="5" t="n">
        <v>100</v>
      </c>
      <c r="J242" s="8"/>
      <c r="K242" s="8"/>
      <c r="L242" s="9"/>
      <c r="M242" s="7"/>
      <c r="N242" s="6"/>
      <c r="O242" s="8"/>
      <c r="P242" s="9"/>
      <c r="Q242" s="9"/>
      <c r="R242" s="7"/>
      <c r="S242" s="7"/>
      <c r="T242" s="10" t="str">
        <f aca="false">IF($C242="","",IFERROR(INDEX(Listas!$B$2:$B$20,MATCH($D242,Listas!$A$2:$A$20,0)),""))</f>
        <v/>
      </c>
      <c r="U242" s="10" t="str">
        <f aca="false">IF($C242="","",IFERROR(INDEX(Listas!$C$2:$C$20,MATCH($D242,Listas!$A$2:$A$20,0)),""))</f>
        <v/>
      </c>
      <c r="V242" s="10" t="str">
        <f aca="false">IF($C242="","",IFERROR(INDEX(Listas!$D$2:$D$20,MATCH($D242,Listas!$A$2:$A$20,0)),""))</f>
        <v/>
      </c>
      <c r="W242" s="11" t="str">
        <f aca="false">IF(OR($C242="",$B242="",$G242=""),"",$G242-$B242)</f>
        <v/>
      </c>
      <c r="X242" s="11" t="str">
        <f aca="true">IF(OR($C242="",$B242=""),"",IF($N242&lt;&gt;"",$N242,TODAY())-$B242)</f>
        <v/>
      </c>
      <c r="Y242" s="11" t="str">
        <f aca="true">IF(OR($C242="",$M242&lt;&gt;"Abierta",$G242=""),"",MAX($G242-TODAY(),0))</f>
        <v/>
      </c>
      <c r="Z242" s="12" t="str">
        <f aca="false">IF($C242="","",N($K242)*N($H242)*N($I242)*IF($U242="Débito",-1,1))</f>
        <v/>
      </c>
      <c r="AA242" s="13" t="str">
        <f aca="false">IF($C242="","",IF(AND($U242="Débito",$F242&lt;&gt;""),$F242,$E242))</f>
        <v/>
      </c>
      <c r="AB242" s="13" t="str">
        <f aca="false">IF(OR($C242="",$T242="Mixta",$AA242=""),"",IF($V242="Subyacente",IF($J242="","",$J242-$K242),IF($T242="Put",$AA242-$K242,$AA242+$K242)))</f>
        <v/>
      </c>
      <c r="AC242" s="14" t="str">
        <f aca="false">IF(OR($C242="",$T242="Mixta",$J242="",$AA242=""),"",IF($T242="Put",($J242-$AA242)/$J242,($AA242-$J242)/$J242))</f>
        <v/>
      </c>
      <c r="AD242" s="12" t="str">
        <f aca="false">IF($C242="","",IF($Q242&lt;&gt;"",$Q242,IF($V242="Strike",N($E242)*$H242*$I242,IF($V242="Subyacente",IF($J242="","",$J242*$H242*$I242),IF($V242="Ancho",IF($F242="","",ABS($E242-$F242)*$H242*$I242-$K242*$H242*$I242),IF($V242="Prima",$K242*$H242*$I242,""))))))</f>
        <v/>
      </c>
      <c r="AE242" s="12" t="str">
        <f aca="false">IF(OR($C242="",$M242="Abierta",$M242=""),"",(N($K242)-IF(OR($M242="Cerrada",$M242="Rolada"),N($O242),0))*$H242*$I242*IF($U242="Débito",-1,1)-N($L242)-N($P242))</f>
        <v/>
      </c>
      <c r="AF242" s="14" t="str">
        <f aca="false">IF(OR($AE242="",$AD242=""),"",IF($AD242&lt;=0,"",$AE242/$AD242))</f>
        <v/>
      </c>
      <c r="AG242" s="14" t="str">
        <f aca="false">IF($AF242="","",$AF242*365/MAX(N($X242),1))</f>
        <v/>
      </c>
      <c r="AH242" s="14" t="str">
        <f aca="false">IF(OR($C242="",$U242&lt;&gt;"Crédito",$AD242=""),"",IF($AD242&lt;=0,"",($Z242-N($L242))/$AD242))</f>
        <v/>
      </c>
      <c r="AI242" s="14" t="str">
        <f aca="false">IF(OR($AH242="",$W242=""),"",$AH242*365/MAX($W242,1))</f>
        <v/>
      </c>
      <c r="AJ242" s="14" t="str">
        <f aca="false">IF(OR($AE242="",$U242&lt;&gt;"Crédito",N($K242)=0),"",(N($K242)-IF(OR($M242="Cerrada",$M242="Rolada"),N($O242),0))/$K242)</f>
        <v/>
      </c>
      <c r="AK242" s="15" t="str">
        <f aca="false">IF(OR($C242="",$N242=""),"",DATE(YEAR($N242),MONTH($N242),1))</f>
        <v/>
      </c>
      <c r="AL242" s="11" t="str">
        <f aca="false">IF($C242="","",IF($M242="Abierta",0,1))</f>
        <v/>
      </c>
      <c r="AM242" s="16" t="str">
        <f aca="false">IF(OR($AE242="",$AD242=""),"",$AD242*MAX(N($X242),1))</f>
        <v/>
      </c>
      <c r="AN242" s="10" t="str">
        <f aca="false">IF($C242="","",IF(OR($B242="",$D242="",$H242="",$K242="",$M242=""),"Faltan datos obligatorios",IF($T242="","Estrategia no reconocida",IF(AND($M242&lt;&gt;"Abierta",$N242=""),"Falta fecha cierre",IF(AND(OR($M242="Cerrada",$M242="Rolada"),$O242=""),"Falta prima cierre",IF(AND($N242&lt;&gt;"",$N242&lt;$B242),"Cierre anterior a apertura",IF(AND($M242="Asignada",$R242=""),"Asignada: falta ID lote acciones",IF(AND($R242&lt;&gt;"",ISNA(MATCH($R242,Acciones!$A$2:$A$201,0))),"El ID lote no existe en Acciones",IF($AD242="","Revisa capital en riesgo","OK")))))))))</f>
        <v/>
      </c>
    </row>
    <row r="243" customFormat="false" ht="15" hidden="false" customHeight="true" outlineLevel="0" collapsed="false">
      <c r="A243" s="5"/>
      <c r="B243" s="6"/>
      <c r="C243" s="7"/>
      <c r="D243" s="7"/>
      <c r="E243" s="8"/>
      <c r="F243" s="8"/>
      <c r="G243" s="6"/>
      <c r="H243" s="5"/>
      <c r="I243" s="5" t="n">
        <v>100</v>
      </c>
      <c r="J243" s="8"/>
      <c r="K243" s="8"/>
      <c r="L243" s="9"/>
      <c r="M243" s="7"/>
      <c r="N243" s="6"/>
      <c r="O243" s="8"/>
      <c r="P243" s="9"/>
      <c r="Q243" s="9"/>
      <c r="R243" s="7"/>
      <c r="S243" s="7"/>
      <c r="T243" s="10" t="str">
        <f aca="false">IF($C243="","",IFERROR(INDEX(Listas!$B$2:$B$20,MATCH($D243,Listas!$A$2:$A$20,0)),""))</f>
        <v/>
      </c>
      <c r="U243" s="10" t="str">
        <f aca="false">IF($C243="","",IFERROR(INDEX(Listas!$C$2:$C$20,MATCH($D243,Listas!$A$2:$A$20,0)),""))</f>
        <v/>
      </c>
      <c r="V243" s="10" t="str">
        <f aca="false">IF($C243="","",IFERROR(INDEX(Listas!$D$2:$D$20,MATCH($D243,Listas!$A$2:$A$20,0)),""))</f>
        <v/>
      </c>
      <c r="W243" s="11" t="str">
        <f aca="false">IF(OR($C243="",$B243="",$G243=""),"",$G243-$B243)</f>
        <v/>
      </c>
      <c r="X243" s="11" t="str">
        <f aca="true">IF(OR($C243="",$B243=""),"",IF($N243&lt;&gt;"",$N243,TODAY())-$B243)</f>
        <v/>
      </c>
      <c r="Y243" s="11" t="str">
        <f aca="true">IF(OR($C243="",$M243&lt;&gt;"Abierta",$G243=""),"",MAX($G243-TODAY(),0))</f>
        <v/>
      </c>
      <c r="Z243" s="12" t="str">
        <f aca="false">IF($C243="","",N($K243)*N($H243)*N($I243)*IF($U243="Débito",-1,1))</f>
        <v/>
      </c>
      <c r="AA243" s="13" t="str">
        <f aca="false">IF($C243="","",IF(AND($U243="Débito",$F243&lt;&gt;""),$F243,$E243))</f>
        <v/>
      </c>
      <c r="AB243" s="13" t="str">
        <f aca="false">IF(OR($C243="",$T243="Mixta",$AA243=""),"",IF($V243="Subyacente",IF($J243="","",$J243-$K243),IF($T243="Put",$AA243-$K243,$AA243+$K243)))</f>
        <v/>
      </c>
      <c r="AC243" s="14" t="str">
        <f aca="false">IF(OR($C243="",$T243="Mixta",$J243="",$AA243=""),"",IF($T243="Put",($J243-$AA243)/$J243,($AA243-$J243)/$J243))</f>
        <v/>
      </c>
      <c r="AD243" s="12" t="str">
        <f aca="false">IF($C243="","",IF($Q243&lt;&gt;"",$Q243,IF($V243="Strike",N($E243)*$H243*$I243,IF($V243="Subyacente",IF($J243="","",$J243*$H243*$I243),IF($V243="Ancho",IF($F243="","",ABS($E243-$F243)*$H243*$I243-$K243*$H243*$I243),IF($V243="Prima",$K243*$H243*$I243,""))))))</f>
        <v/>
      </c>
      <c r="AE243" s="12" t="str">
        <f aca="false">IF(OR($C243="",$M243="Abierta",$M243=""),"",(N($K243)-IF(OR($M243="Cerrada",$M243="Rolada"),N($O243),0))*$H243*$I243*IF($U243="Débito",-1,1)-N($L243)-N($P243))</f>
        <v/>
      </c>
      <c r="AF243" s="14" t="str">
        <f aca="false">IF(OR($AE243="",$AD243=""),"",IF($AD243&lt;=0,"",$AE243/$AD243))</f>
        <v/>
      </c>
      <c r="AG243" s="14" t="str">
        <f aca="false">IF($AF243="","",$AF243*365/MAX(N($X243),1))</f>
        <v/>
      </c>
      <c r="AH243" s="14" t="str">
        <f aca="false">IF(OR($C243="",$U243&lt;&gt;"Crédito",$AD243=""),"",IF($AD243&lt;=0,"",($Z243-N($L243))/$AD243))</f>
        <v/>
      </c>
      <c r="AI243" s="14" t="str">
        <f aca="false">IF(OR($AH243="",$W243=""),"",$AH243*365/MAX($W243,1))</f>
        <v/>
      </c>
      <c r="AJ243" s="14" t="str">
        <f aca="false">IF(OR($AE243="",$U243&lt;&gt;"Crédito",N($K243)=0),"",(N($K243)-IF(OR($M243="Cerrada",$M243="Rolada"),N($O243),0))/$K243)</f>
        <v/>
      </c>
      <c r="AK243" s="15" t="str">
        <f aca="false">IF(OR($C243="",$N243=""),"",DATE(YEAR($N243),MONTH($N243),1))</f>
        <v/>
      </c>
      <c r="AL243" s="11" t="str">
        <f aca="false">IF($C243="","",IF($M243="Abierta",0,1))</f>
        <v/>
      </c>
      <c r="AM243" s="16" t="str">
        <f aca="false">IF(OR($AE243="",$AD243=""),"",$AD243*MAX(N($X243),1))</f>
        <v/>
      </c>
      <c r="AN243" s="10" t="str">
        <f aca="false">IF($C243="","",IF(OR($B243="",$D243="",$H243="",$K243="",$M243=""),"Faltan datos obligatorios",IF($T243="","Estrategia no reconocida",IF(AND($M243&lt;&gt;"Abierta",$N243=""),"Falta fecha cierre",IF(AND(OR($M243="Cerrada",$M243="Rolada"),$O243=""),"Falta prima cierre",IF(AND($N243&lt;&gt;"",$N243&lt;$B243),"Cierre anterior a apertura",IF(AND($M243="Asignada",$R243=""),"Asignada: falta ID lote acciones",IF(AND($R243&lt;&gt;"",ISNA(MATCH($R243,Acciones!$A$2:$A$201,0))),"El ID lote no existe en Acciones",IF($AD243="","Revisa capital en riesgo","OK")))))))))</f>
        <v/>
      </c>
    </row>
    <row r="244" customFormat="false" ht="15" hidden="false" customHeight="true" outlineLevel="0" collapsed="false">
      <c r="A244" s="5"/>
      <c r="B244" s="6"/>
      <c r="C244" s="7"/>
      <c r="D244" s="7"/>
      <c r="E244" s="8"/>
      <c r="F244" s="8"/>
      <c r="G244" s="6"/>
      <c r="H244" s="5"/>
      <c r="I244" s="5" t="n">
        <v>100</v>
      </c>
      <c r="J244" s="8"/>
      <c r="K244" s="8"/>
      <c r="L244" s="9"/>
      <c r="M244" s="7"/>
      <c r="N244" s="6"/>
      <c r="O244" s="8"/>
      <c r="P244" s="9"/>
      <c r="Q244" s="9"/>
      <c r="R244" s="7"/>
      <c r="S244" s="7"/>
      <c r="T244" s="10" t="str">
        <f aca="false">IF($C244="","",IFERROR(INDEX(Listas!$B$2:$B$20,MATCH($D244,Listas!$A$2:$A$20,0)),""))</f>
        <v/>
      </c>
      <c r="U244" s="10" t="str">
        <f aca="false">IF($C244="","",IFERROR(INDEX(Listas!$C$2:$C$20,MATCH($D244,Listas!$A$2:$A$20,0)),""))</f>
        <v/>
      </c>
      <c r="V244" s="10" t="str">
        <f aca="false">IF($C244="","",IFERROR(INDEX(Listas!$D$2:$D$20,MATCH($D244,Listas!$A$2:$A$20,0)),""))</f>
        <v/>
      </c>
      <c r="W244" s="11" t="str">
        <f aca="false">IF(OR($C244="",$B244="",$G244=""),"",$G244-$B244)</f>
        <v/>
      </c>
      <c r="X244" s="11" t="str">
        <f aca="true">IF(OR($C244="",$B244=""),"",IF($N244&lt;&gt;"",$N244,TODAY())-$B244)</f>
        <v/>
      </c>
      <c r="Y244" s="11" t="str">
        <f aca="true">IF(OR($C244="",$M244&lt;&gt;"Abierta",$G244=""),"",MAX($G244-TODAY(),0))</f>
        <v/>
      </c>
      <c r="Z244" s="12" t="str">
        <f aca="false">IF($C244="","",N($K244)*N($H244)*N($I244)*IF($U244="Débito",-1,1))</f>
        <v/>
      </c>
      <c r="AA244" s="13" t="str">
        <f aca="false">IF($C244="","",IF(AND($U244="Débito",$F244&lt;&gt;""),$F244,$E244))</f>
        <v/>
      </c>
      <c r="AB244" s="13" t="str">
        <f aca="false">IF(OR($C244="",$T244="Mixta",$AA244=""),"",IF($V244="Subyacente",IF($J244="","",$J244-$K244),IF($T244="Put",$AA244-$K244,$AA244+$K244)))</f>
        <v/>
      </c>
      <c r="AC244" s="14" t="str">
        <f aca="false">IF(OR($C244="",$T244="Mixta",$J244="",$AA244=""),"",IF($T244="Put",($J244-$AA244)/$J244,($AA244-$J244)/$J244))</f>
        <v/>
      </c>
      <c r="AD244" s="12" t="str">
        <f aca="false">IF($C244="","",IF($Q244&lt;&gt;"",$Q244,IF($V244="Strike",N($E244)*$H244*$I244,IF($V244="Subyacente",IF($J244="","",$J244*$H244*$I244),IF($V244="Ancho",IF($F244="","",ABS($E244-$F244)*$H244*$I244-$K244*$H244*$I244),IF($V244="Prima",$K244*$H244*$I244,""))))))</f>
        <v/>
      </c>
      <c r="AE244" s="12" t="str">
        <f aca="false">IF(OR($C244="",$M244="Abierta",$M244=""),"",(N($K244)-IF(OR($M244="Cerrada",$M244="Rolada"),N($O244),0))*$H244*$I244*IF($U244="Débito",-1,1)-N($L244)-N($P244))</f>
        <v/>
      </c>
      <c r="AF244" s="14" t="str">
        <f aca="false">IF(OR($AE244="",$AD244=""),"",IF($AD244&lt;=0,"",$AE244/$AD244))</f>
        <v/>
      </c>
      <c r="AG244" s="14" t="str">
        <f aca="false">IF($AF244="","",$AF244*365/MAX(N($X244),1))</f>
        <v/>
      </c>
      <c r="AH244" s="14" t="str">
        <f aca="false">IF(OR($C244="",$U244&lt;&gt;"Crédito",$AD244=""),"",IF($AD244&lt;=0,"",($Z244-N($L244))/$AD244))</f>
        <v/>
      </c>
      <c r="AI244" s="14" t="str">
        <f aca="false">IF(OR($AH244="",$W244=""),"",$AH244*365/MAX($W244,1))</f>
        <v/>
      </c>
      <c r="AJ244" s="14" t="str">
        <f aca="false">IF(OR($AE244="",$U244&lt;&gt;"Crédito",N($K244)=0),"",(N($K244)-IF(OR($M244="Cerrada",$M244="Rolada"),N($O244),0))/$K244)</f>
        <v/>
      </c>
      <c r="AK244" s="15" t="str">
        <f aca="false">IF(OR($C244="",$N244=""),"",DATE(YEAR($N244),MONTH($N244),1))</f>
        <v/>
      </c>
      <c r="AL244" s="11" t="str">
        <f aca="false">IF($C244="","",IF($M244="Abierta",0,1))</f>
        <v/>
      </c>
      <c r="AM244" s="16" t="str">
        <f aca="false">IF(OR($AE244="",$AD244=""),"",$AD244*MAX(N($X244),1))</f>
        <v/>
      </c>
      <c r="AN244" s="10" t="str">
        <f aca="false">IF($C244="","",IF(OR($B244="",$D244="",$H244="",$K244="",$M244=""),"Faltan datos obligatorios",IF($T244="","Estrategia no reconocida",IF(AND($M244&lt;&gt;"Abierta",$N244=""),"Falta fecha cierre",IF(AND(OR($M244="Cerrada",$M244="Rolada"),$O244=""),"Falta prima cierre",IF(AND($N244&lt;&gt;"",$N244&lt;$B244),"Cierre anterior a apertura",IF(AND($M244="Asignada",$R244=""),"Asignada: falta ID lote acciones",IF(AND($R244&lt;&gt;"",ISNA(MATCH($R244,Acciones!$A$2:$A$201,0))),"El ID lote no existe en Acciones",IF($AD244="","Revisa capital en riesgo","OK")))))))))</f>
        <v/>
      </c>
    </row>
    <row r="245" customFormat="false" ht="15" hidden="false" customHeight="true" outlineLevel="0" collapsed="false">
      <c r="A245" s="5"/>
      <c r="B245" s="6"/>
      <c r="C245" s="7"/>
      <c r="D245" s="7"/>
      <c r="E245" s="8"/>
      <c r="F245" s="8"/>
      <c r="G245" s="6"/>
      <c r="H245" s="5"/>
      <c r="I245" s="5" t="n">
        <v>100</v>
      </c>
      <c r="J245" s="8"/>
      <c r="K245" s="8"/>
      <c r="L245" s="9"/>
      <c r="M245" s="7"/>
      <c r="N245" s="6"/>
      <c r="O245" s="8"/>
      <c r="P245" s="9"/>
      <c r="Q245" s="9"/>
      <c r="R245" s="7"/>
      <c r="S245" s="7"/>
      <c r="T245" s="10" t="str">
        <f aca="false">IF($C245="","",IFERROR(INDEX(Listas!$B$2:$B$20,MATCH($D245,Listas!$A$2:$A$20,0)),""))</f>
        <v/>
      </c>
      <c r="U245" s="10" t="str">
        <f aca="false">IF($C245="","",IFERROR(INDEX(Listas!$C$2:$C$20,MATCH($D245,Listas!$A$2:$A$20,0)),""))</f>
        <v/>
      </c>
      <c r="V245" s="10" t="str">
        <f aca="false">IF($C245="","",IFERROR(INDEX(Listas!$D$2:$D$20,MATCH($D245,Listas!$A$2:$A$20,0)),""))</f>
        <v/>
      </c>
      <c r="W245" s="11" t="str">
        <f aca="false">IF(OR($C245="",$B245="",$G245=""),"",$G245-$B245)</f>
        <v/>
      </c>
      <c r="X245" s="11" t="str">
        <f aca="true">IF(OR($C245="",$B245=""),"",IF($N245&lt;&gt;"",$N245,TODAY())-$B245)</f>
        <v/>
      </c>
      <c r="Y245" s="11" t="str">
        <f aca="true">IF(OR($C245="",$M245&lt;&gt;"Abierta",$G245=""),"",MAX($G245-TODAY(),0))</f>
        <v/>
      </c>
      <c r="Z245" s="12" t="str">
        <f aca="false">IF($C245="","",N($K245)*N($H245)*N($I245)*IF($U245="Débito",-1,1))</f>
        <v/>
      </c>
      <c r="AA245" s="13" t="str">
        <f aca="false">IF($C245="","",IF(AND($U245="Débito",$F245&lt;&gt;""),$F245,$E245))</f>
        <v/>
      </c>
      <c r="AB245" s="13" t="str">
        <f aca="false">IF(OR($C245="",$T245="Mixta",$AA245=""),"",IF($V245="Subyacente",IF($J245="","",$J245-$K245),IF($T245="Put",$AA245-$K245,$AA245+$K245)))</f>
        <v/>
      </c>
      <c r="AC245" s="14" t="str">
        <f aca="false">IF(OR($C245="",$T245="Mixta",$J245="",$AA245=""),"",IF($T245="Put",($J245-$AA245)/$J245,($AA245-$J245)/$J245))</f>
        <v/>
      </c>
      <c r="AD245" s="12" t="str">
        <f aca="false">IF($C245="","",IF($Q245&lt;&gt;"",$Q245,IF($V245="Strike",N($E245)*$H245*$I245,IF($V245="Subyacente",IF($J245="","",$J245*$H245*$I245),IF($V245="Ancho",IF($F245="","",ABS($E245-$F245)*$H245*$I245-$K245*$H245*$I245),IF($V245="Prima",$K245*$H245*$I245,""))))))</f>
        <v/>
      </c>
      <c r="AE245" s="12" t="str">
        <f aca="false">IF(OR($C245="",$M245="Abierta",$M245=""),"",(N($K245)-IF(OR($M245="Cerrada",$M245="Rolada"),N($O245),0))*$H245*$I245*IF($U245="Débito",-1,1)-N($L245)-N($P245))</f>
        <v/>
      </c>
      <c r="AF245" s="14" t="str">
        <f aca="false">IF(OR($AE245="",$AD245=""),"",IF($AD245&lt;=0,"",$AE245/$AD245))</f>
        <v/>
      </c>
      <c r="AG245" s="14" t="str">
        <f aca="false">IF($AF245="","",$AF245*365/MAX(N($X245),1))</f>
        <v/>
      </c>
      <c r="AH245" s="14" t="str">
        <f aca="false">IF(OR($C245="",$U245&lt;&gt;"Crédito",$AD245=""),"",IF($AD245&lt;=0,"",($Z245-N($L245))/$AD245))</f>
        <v/>
      </c>
      <c r="AI245" s="14" t="str">
        <f aca="false">IF(OR($AH245="",$W245=""),"",$AH245*365/MAX($W245,1))</f>
        <v/>
      </c>
      <c r="AJ245" s="14" t="str">
        <f aca="false">IF(OR($AE245="",$U245&lt;&gt;"Crédito",N($K245)=0),"",(N($K245)-IF(OR($M245="Cerrada",$M245="Rolada"),N($O245),0))/$K245)</f>
        <v/>
      </c>
      <c r="AK245" s="15" t="str">
        <f aca="false">IF(OR($C245="",$N245=""),"",DATE(YEAR($N245),MONTH($N245),1))</f>
        <v/>
      </c>
      <c r="AL245" s="11" t="str">
        <f aca="false">IF($C245="","",IF($M245="Abierta",0,1))</f>
        <v/>
      </c>
      <c r="AM245" s="16" t="str">
        <f aca="false">IF(OR($AE245="",$AD245=""),"",$AD245*MAX(N($X245),1))</f>
        <v/>
      </c>
      <c r="AN245" s="10" t="str">
        <f aca="false">IF($C245="","",IF(OR($B245="",$D245="",$H245="",$K245="",$M245=""),"Faltan datos obligatorios",IF($T245="","Estrategia no reconocida",IF(AND($M245&lt;&gt;"Abierta",$N245=""),"Falta fecha cierre",IF(AND(OR($M245="Cerrada",$M245="Rolada"),$O245=""),"Falta prima cierre",IF(AND($N245&lt;&gt;"",$N245&lt;$B245),"Cierre anterior a apertura",IF(AND($M245="Asignada",$R245=""),"Asignada: falta ID lote acciones",IF(AND($R245&lt;&gt;"",ISNA(MATCH($R245,Acciones!$A$2:$A$201,0))),"El ID lote no existe en Acciones",IF($AD245="","Revisa capital en riesgo","OK")))))))))</f>
        <v/>
      </c>
    </row>
    <row r="246" customFormat="false" ht="15" hidden="false" customHeight="true" outlineLevel="0" collapsed="false">
      <c r="A246" s="5"/>
      <c r="B246" s="6"/>
      <c r="C246" s="7"/>
      <c r="D246" s="7"/>
      <c r="E246" s="8"/>
      <c r="F246" s="8"/>
      <c r="G246" s="6"/>
      <c r="H246" s="5"/>
      <c r="I246" s="5" t="n">
        <v>100</v>
      </c>
      <c r="J246" s="8"/>
      <c r="K246" s="8"/>
      <c r="L246" s="9"/>
      <c r="M246" s="7"/>
      <c r="N246" s="6"/>
      <c r="O246" s="8"/>
      <c r="P246" s="9"/>
      <c r="Q246" s="9"/>
      <c r="R246" s="7"/>
      <c r="S246" s="7"/>
      <c r="T246" s="10" t="str">
        <f aca="false">IF($C246="","",IFERROR(INDEX(Listas!$B$2:$B$20,MATCH($D246,Listas!$A$2:$A$20,0)),""))</f>
        <v/>
      </c>
      <c r="U246" s="10" t="str">
        <f aca="false">IF($C246="","",IFERROR(INDEX(Listas!$C$2:$C$20,MATCH($D246,Listas!$A$2:$A$20,0)),""))</f>
        <v/>
      </c>
      <c r="V246" s="10" t="str">
        <f aca="false">IF($C246="","",IFERROR(INDEX(Listas!$D$2:$D$20,MATCH($D246,Listas!$A$2:$A$20,0)),""))</f>
        <v/>
      </c>
      <c r="W246" s="11" t="str">
        <f aca="false">IF(OR($C246="",$B246="",$G246=""),"",$G246-$B246)</f>
        <v/>
      </c>
      <c r="X246" s="11" t="str">
        <f aca="true">IF(OR($C246="",$B246=""),"",IF($N246&lt;&gt;"",$N246,TODAY())-$B246)</f>
        <v/>
      </c>
      <c r="Y246" s="11" t="str">
        <f aca="true">IF(OR($C246="",$M246&lt;&gt;"Abierta",$G246=""),"",MAX($G246-TODAY(),0))</f>
        <v/>
      </c>
      <c r="Z246" s="12" t="str">
        <f aca="false">IF($C246="","",N($K246)*N($H246)*N($I246)*IF($U246="Débito",-1,1))</f>
        <v/>
      </c>
      <c r="AA246" s="13" t="str">
        <f aca="false">IF($C246="","",IF(AND($U246="Débito",$F246&lt;&gt;""),$F246,$E246))</f>
        <v/>
      </c>
      <c r="AB246" s="13" t="str">
        <f aca="false">IF(OR($C246="",$T246="Mixta",$AA246=""),"",IF($V246="Subyacente",IF($J246="","",$J246-$K246),IF($T246="Put",$AA246-$K246,$AA246+$K246)))</f>
        <v/>
      </c>
      <c r="AC246" s="14" t="str">
        <f aca="false">IF(OR($C246="",$T246="Mixta",$J246="",$AA246=""),"",IF($T246="Put",($J246-$AA246)/$J246,($AA246-$J246)/$J246))</f>
        <v/>
      </c>
      <c r="AD246" s="12" t="str">
        <f aca="false">IF($C246="","",IF($Q246&lt;&gt;"",$Q246,IF($V246="Strike",N($E246)*$H246*$I246,IF($V246="Subyacente",IF($J246="","",$J246*$H246*$I246),IF($V246="Ancho",IF($F246="","",ABS($E246-$F246)*$H246*$I246-$K246*$H246*$I246),IF($V246="Prima",$K246*$H246*$I246,""))))))</f>
        <v/>
      </c>
      <c r="AE246" s="12" t="str">
        <f aca="false">IF(OR($C246="",$M246="Abierta",$M246=""),"",(N($K246)-IF(OR($M246="Cerrada",$M246="Rolada"),N($O246),0))*$H246*$I246*IF($U246="Débito",-1,1)-N($L246)-N($P246))</f>
        <v/>
      </c>
      <c r="AF246" s="14" t="str">
        <f aca="false">IF(OR($AE246="",$AD246=""),"",IF($AD246&lt;=0,"",$AE246/$AD246))</f>
        <v/>
      </c>
      <c r="AG246" s="14" t="str">
        <f aca="false">IF($AF246="","",$AF246*365/MAX(N($X246),1))</f>
        <v/>
      </c>
      <c r="AH246" s="14" t="str">
        <f aca="false">IF(OR($C246="",$U246&lt;&gt;"Crédito",$AD246=""),"",IF($AD246&lt;=0,"",($Z246-N($L246))/$AD246))</f>
        <v/>
      </c>
      <c r="AI246" s="14" t="str">
        <f aca="false">IF(OR($AH246="",$W246=""),"",$AH246*365/MAX($W246,1))</f>
        <v/>
      </c>
      <c r="AJ246" s="14" t="str">
        <f aca="false">IF(OR($AE246="",$U246&lt;&gt;"Crédito",N($K246)=0),"",(N($K246)-IF(OR($M246="Cerrada",$M246="Rolada"),N($O246),0))/$K246)</f>
        <v/>
      </c>
      <c r="AK246" s="15" t="str">
        <f aca="false">IF(OR($C246="",$N246=""),"",DATE(YEAR($N246),MONTH($N246),1))</f>
        <v/>
      </c>
      <c r="AL246" s="11" t="str">
        <f aca="false">IF($C246="","",IF($M246="Abierta",0,1))</f>
        <v/>
      </c>
      <c r="AM246" s="16" t="str">
        <f aca="false">IF(OR($AE246="",$AD246=""),"",$AD246*MAX(N($X246),1))</f>
        <v/>
      </c>
      <c r="AN246" s="10" t="str">
        <f aca="false">IF($C246="","",IF(OR($B246="",$D246="",$H246="",$K246="",$M246=""),"Faltan datos obligatorios",IF($T246="","Estrategia no reconocida",IF(AND($M246&lt;&gt;"Abierta",$N246=""),"Falta fecha cierre",IF(AND(OR($M246="Cerrada",$M246="Rolada"),$O246=""),"Falta prima cierre",IF(AND($N246&lt;&gt;"",$N246&lt;$B246),"Cierre anterior a apertura",IF(AND($M246="Asignada",$R246=""),"Asignada: falta ID lote acciones",IF(AND($R246&lt;&gt;"",ISNA(MATCH($R246,Acciones!$A$2:$A$201,0))),"El ID lote no existe en Acciones",IF($AD246="","Revisa capital en riesgo","OK")))))))))</f>
        <v/>
      </c>
    </row>
    <row r="247" customFormat="false" ht="15" hidden="false" customHeight="true" outlineLevel="0" collapsed="false">
      <c r="A247" s="5"/>
      <c r="B247" s="6"/>
      <c r="C247" s="7"/>
      <c r="D247" s="7"/>
      <c r="E247" s="8"/>
      <c r="F247" s="8"/>
      <c r="G247" s="6"/>
      <c r="H247" s="5"/>
      <c r="I247" s="5" t="n">
        <v>100</v>
      </c>
      <c r="J247" s="8"/>
      <c r="K247" s="8"/>
      <c r="L247" s="9"/>
      <c r="M247" s="7"/>
      <c r="N247" s="6"/>
      <c r="O247" s="8"/>
      <c r="P247" s="9"/>
      <c r="Q247" s="9"/>
      <c r="R247" s="7"/>
      <c r="S247" s="7"/>
      <c r="T247" s="10" t="str">
        <f aca="false">IF($C247="","",IFERROR(INDEX(Listas!$B$2:$B$20,MATCH($D247,Listas!$A$2:$A$20,0)),""))</f>
        <v/>
      </c>
      <c r="U247" s="10" t="str">
        <f aca="false">IF($C247="","",IFERROR(INDEX(Listas!$C$2:$C$20,MATCH($D247,Listas!$A$2:$A$20,0)),""))</f>
        <v/>
      </c>
      <c r="V247" s="10" t="str">
        <f aca="false">IF($C247="","",IFERROR(INDEX(Listas!$D$2:$D$20,MATCH($D247,Listas!$A$2:$A$20,0)),""))</f>
        <v/>
      </c>
      <c r="W247" s="11" t="str">
        <f aca="false">IF(OR($C247="",$B247="",$G247=""),"",$G247-$B247)</f>
        <v/>
      </c>
      <c r="X247" s="11" t="str">
        <f aca="true">IF(OR($C247="",$B247=""),"",IF($N247&lt;&gt;"",$N247,TODAY())-$B247)</f>
        <v/>
      </c>
      <c r="Y247" s="11" t="str">
        <f aca="true">IF(OR($C247="",$M247&lt;&gt;"Abierta",$G247=""),"",MAX($G247-TODAY(),0))</f>
        <v/>
      </c>
      <c r="Z247" s="12" t="str">
        <f aca="false">IF($C247="","",N($K247)*N($H247)*N($I247)*IF($U247="Débito",-1,1))</f>
        <v/>
      </c>
      <c r="AA247" s="13" t="str">
        <f aca="false">IF($C247="","",IF(AND($U247="Débito",$F247&lt;&gt;""),$F247,$E247))</f>
        <v/>
      </c>
      <c r="AB247" s="13" t="str">
        <f aca="false">IF(OR($C247="",$T247="Mixta",$AA247=""),"",IF($V247="Subyacente",IF($J247="","",$J247-$K247),IF($T247="Put",$AA247-$K247,$AA247+$K247)))</f>
        <v/>
      </c>
      <c r="AC247" s="14" t="str">
        <f aca="false">IF(OR($C247="",$T247="Mixta",$J247="",$AA247=""),"",IF($T247="Put",($J247-$AA247)/$J247,($AA247-$J247)/$J247))</f>
        <v/>
      </c>
      <c r="AD247" s="12" t="str">
        <f aca="false">IF($C247="","",IF($Q247&lt;&gt;"",$Q247,IF($V247="Strike",N($E247)*$H247*$I247,IF($V247="Subyacente",IF($J247="","",$J247*$H247*$I247),IF($V247="Ancho",IF($F247="","",ABS($E247-$F247)*$H247*$I247-$K247*$H247*$I247),IF($V247="Prima",$K247*$H247*$I247,""))))))</f>
        <v/>
      </c>
      <c r="AE247" s="12" t="str">
        <f aca="false">IF(OR($C247="",$M247="Abierta",$M247=""),"",(N($K247)-IF(OR($M247="Cerrada",$M247="Rolada"),N($O247),0))*$H247*$I247*IF($U247="Débito",-1,1)-N($L247)-N($P247))</f>
        <v/>
      </c>
      <c r="AF247" s="14" t="str">
        <f aca="false">IF(OR($AE247="",$AD247=""),"",IF($AD247&lt;=0,"",$AE247/$AD247))</f>
        <v/>
      </c>
      <c r="AG247" s="14" t="str">
        <f aca="false">IF($AF247="","",$AF247*365/MAX(N($X247),1))</f>
        <v/>
      </c>
      <c r="AH247" s="14" t="str">
        <f aca="false">IF(OR($C247="",$U247&lt;&gt;"Crédito",$AD247=""),"",IF($AD247&lt;=0,"",($Z247-N($L247))/$AD247))</f>
        <v/>
      </c>
      <c r="AI247" s="14" t="str">
        <f aca="false">IF(OR($AH247="",$W247=""),"",$AH247*365/MAX($W247,1))</f>
        <v/>
      </c>
      <c r="AJ247" s="14" t="str">
        <f aca="false">IF(OR($AE247="",$U247&lt;&gt;"Crédito",N($K247)=0),"",(N($K247)-IF(OR($M247="Cerrada",$M247="Rolada"),N($O247),0))/$K247)</f>
        <v/>
      </c>
      <c r="AK247" s="15" t="str">
        <f aca="false">IF(OR($C247="",$N247=""),"",DATE(YEAR($N247),MONTH($N247),1))</f>
        <v/>
      </c>
      <c r="AL247" s="11" t="str">
        <f aca="false">IF($C247="","",IF($M247="Abierta",0,1))</f>
        <v/>
      </c>
      <c r="AM247" s="16" t="str">
        <f aca="false">IF(OR($AE247="",$AD247=""),"",$AD247*MAX(N($X247),1))</f>
        <v/>
      </c>
      <c r="AN247" s="10" t="str">
        <f aca="false">IF($C247="","",IF(OR($B247="",$D247="",$H247="",$K247="",$M247=""),"Faltan datos obligatorios",IF($T247="","Estrategia no reconocida",IF(AND($M247&lt;&gt;"Abierta",$N247=""),"Falta fecha cierre",IF(AND(OR($M247="Cerrada",$M247="Rolada"),$O247=""),"Falta prima cierre",IF(AND($N247&lt;&gt;"",$N247&lt;$B247),"Cierre anterior a apertura",IF(AND($M247="Asignada",$R247=""),"Asignada: falta ID lote acciones",IF(AND($R247&lt;&gt;"",ISNA(MATCH($R247,Acciones!$A$2:$A$201,0))),"El ID lote no existe en Acciones",IF($AD247="","Revisa capital en riesgo","OK")))))))))</f>
        <v/>
      </c>
    </row>
    <row r="248" customFormat="false" ht="15" hidden="false" customHeight="true" outlineLevel="0" collapsed="false">
      <c r="A248" s="5"/>
      <c r="B248" s="6"/>
      <c r="C248" s="7"/>
      <c r="D248" s="7"/>
      <c r="E248" s="8"/>
      <c r="F248" s="8"/>
      <c r="G248" s="6"/>
      <c r="H248" s="5"/>
      <c r="I248" s="5" t="n">
        <v>100</v>
      </c>
      <c r="J248" s="8"/>
      <c r="K248" s="8"/>
      <c r="L248" s="9"/>
      <c r="M248" s="7"/>
      <c r="N248" s="6"/>
      <c r="O248" s="8"/>
      <c r="P248" s="9"/>
      <c r="Q248" s="9"/>
      <c r="R248" s="7"/>
      <c r="S248" s="7"/>
      <c r="T248" s="10" t="str">
        <f aca="false">IF($C248="","",IFERROR(INDEX(Listas!$B$2:$B$20,MATCH($D248,Listas!$A$2:$A$20,0)),""))</f>
        <v/>
      </c>
      <c r="U248" s="10" t="str">
        <f aca="false">IF($C248="","",IFERROR(INDEX(Listas!$C$2:$C$20,MATCH($D248,Listas!$A$2:$A$20,0)),""))</f>
        <v/>
      </c>
      <c r="V248" s="10" t="str">
        <f aca="false">IF($C248="","",IFERROR(INDEX(Listas!$D$2:$D$20,MATCH($D248,Listas!$A$2:$A$20,0)),""))</f>
        <v/>
      </c>
      <c r="W248" s="11" t="str">
        <f aca="false">IF(OR($C248="",$B248="",$G248=""),"",$G248-$B248)</f>
        <v/>
      </c>
      <c r="X248" s="11" t="str">
        <f aca="true">IF(OR($C248="",$B248=""),"",IF($N248&lt;&gt;"",$N248,TODAY())-$B248)</f>
        <v/>
      </c>
      <c r="Y248" s="11" t="str">
        <f aca="true">IF(OR($C248="",$M248&lt;&gt;"Abierta",$G248=""),"",MAX($G248-TODAY(),0))</f>
        <v/>
      </c>
      <c r="Z248" s="12" t="str">
        <f aca="false">IF($C248="","",N($K248)*N($H248)*N($I248)*IF($U248="Débito",-1,1))</f>
        <v/>
      </c>
      <c r="AA248" s="13" t="str">
        <f aca="false">IF($C248="","",IF(AND($U248="Débito",$F248&lt;&gt;""),$F248,$E248))</f>
        <v/>
      </c>
      <c r="AB248" s="13" t="str">
        <f aca="false">IF(OR($C248="",$T248="Mixta",$AA248=""),"",IF($V248="Subyacente",IF($J248="","",$J248-$K248),IF($T248="Put",$AA248-$K248,$AA248+$K248)))</f>
        <v/>
      </c>
      <c r="AC248" s="14" t="str">
        <f aca="false">IF(OR($C248="",$T248="Mixta",$J248="",$AA248=""),"",IF($T248="Put",($J248-$AA248)/$J248,($AA248-$J248)/$J248))</f>
        <v/>
      </c>
      <c r="AD248" s="12" t="str">
        <f aca="false">IF($C248="","",IF($Q248&lt;&gt;"",$Q248,IF($V248="Strike",N($E248)*$H248*$I248,IF($V248="Subyacente",IF($J248="","",$J248*$H248*$I248),IF($V248="Ancho",IF($F248="","",ABS($E248-$F248)*$H248*$I248-$K248*$H248*$I248),IF($V248="Prima",$K248*$H248*$I248,""))))))</f>
        <v/>
      </c>
      <c r="AE248" s="12" t="str">
        <f aca="false">IF(OR($C248="",$M248="Abierta",$M248=""),"",(N($K248)-IF(OR($M248="Cerrada",$M248="Rolada"),N($O248),0))*$H248*$I248*IF($U248="Débito",-1,1)-N($L248)-N($P248))</f>
        <v/>
      </c>
      <c r="AF248" s="14" t="str">
        <f aca="false">IF(OR($AE248="",$AD248=""),"",IF($AD248&lt;=0,"",$AE248/$AD248))</f>
        <v/>
      </c>
      <c r="AG248" s="14" t="str">
        <f aca="false">IF($AF248="","",$AF248*365/MAX(N($X248),1))</f>
        <v/>
      </c>
      <c r="AH248" s="14" t="str">
        <f aca="false">IF(OR($C248="",$U248&lt;&gt;"Crédito",$AD248=""),"",IF($AD248&lt;=0,"",($Z248-N($L248))/$AD248))</f>
        <v/>
      </c>
      <c r="AI248" s="14" t="str">
        <f aca="false">IF(OR($AH248="",$W248=""),"",$AH248*365/MAX($W248,1))</f>
        <v/>
      </c>
      <c r="AJ248" s="14" t="str">
        <f aca="false">IF(OR($AE248="",$U248&lt;&gt;"Crédito",N($K248)=0),"",(N($K248)-IF(OR($M248="Cerrada",$M248="Rolada"),N($O248),0))/$K248)</f>
        <v/>
      </c>
      <c r="AK248" s="15" t="str">
        <f aca="false">IF(OR($C248="",$N248=""),"",DATE(YEAR($N248),MONTH($N248),1))</f>
        <v/>
      </c>
      <c r="AL248" s="11" t="str">
        <f aca="false">IF($C248="","",IF($M248="Abierta",0,1))</f>
        <v/>
      </c>
      <c r="AM248" s="16" t="str">
        <f aca="false">IF(OR($AE248="",$AD248=""),"",$AD248*MAX(N($X248),1))</f>
        <v/>
      </c>
      <c r="AN248" s="10" t="str">
        <f aca="false">IF($C248="","",IF(OR($B248="",$D248="",$H248="",$K248="",$M248=""),"Faltan datos obligatorios",IF($T248="","Estrategia no reconocida",IF(AND($M248&lt;&gt;"Abierta",$N248=""),"Falta fecha cierre",IF(AND(OR($M248="Cerrada",$M248="Rolada"),$O248=""),"Falta prima cierre",IF(AND($N248&lt;&gt;"",$N248&lt;$B248),"Cierre anterior a apertura",IF(AND($M248="Asignada",$R248=""),"Asignada: falta ID lote acciones",IF(AND($R248&lt;&gt;"",ISNA(MATCH($R248,Acciones!$A$2:$A$201,0))),"El ID lote no existe en Acciones",IF($AD248="","Revisa capital en riesgo","OK")))))))))</f>
        <v/>
      </c>
    </row>
    <row r="249" customFormat="false" ht="15" hidden="false" customHeight="true" outlineLevel="0" collapsed="false">
      <c r="A249" s="5"/>
      <c r="B249" s="6"/>
      <c r="C249" s="7"/>
      <c r="D249" s="7"/>
      <c r="E249" s="8"/>
      <c r="F249" s="8"/>
      <c r="G249" s="6"/>
      <c r="H249" s="5"/>
      <c r="I249" s="5" t="n">
        <v>100</v>
      </c>
      <c r="J249" s="8"/>
      <c r="K249" s="8"/>
      <c r="L249" s="9"/>
      <c r="M249" s="7"/>
      <c r="N249" s="6"/>
      <c r="O249" s="8"/>
      <c r="P249" s="9"/>
      <c r="Q249" s="9"/>
      <c r="R249" s="7"/>
      <c r="S249" s="7"/>
      <c r="T249" s="10" t="str">
        <f aca="false">IF($C249="","",IFERROR(INDEX(Listas!$B$2:$B$20,MATCH($D249,Listas!$A$2:$A$20,0)),""))</f>
        <v/>
      </c>
      <c r="U249" s="10" t="str">
        <f aca="false">IF($C249="","",IFERROR(INDEX(Listas!$C$2:$C$20,MATCH($D249,Listas!$A$2:$A$20,0)),""))</f>
        <v/>
      </c>
      <c r="V249" s="10" t="str">
        <f aca="false">IF($C249="","",IFERROR(INDEX(Listas!$D$2:$D$20,MATCH($D249,Listas!$A$2:$A$20,0)),""))</f>
        <v/>
      </c>
      <c r="W249" s="11" t="str">
        <f aca="false">IF(OR($C249="",$B249="",$G249=""),"",$G249-$B249)</f>
        <v/>
      </c>
      <c r="X249" s="11" t="str">
        <f aca="true">IF(OR($C249="",$B249=""),"",IF($N249&lt;&gt;"",$N249,TODAY())-$B249)</f>
        <v/>
      </c>
      <c r="Y249" s="11" t="str">
        <f aca="true">IF(OR($C249="",$M249&lt;&gt;"Abierta",$G249=""),"",MAX($G249-TODAY(),0))</f>
        <v/>
      </c>
      <c r="Z249" s="12" t="str">
        <f aca="false">IF($C249="","",N($K249)*N($H249)*N($I249)*IF($U249="Débito",-1,1))</f>
        <v/>
      </c>
      <c r="AA249" s="13" t="str">
        <f aca="false">IF($C249="","",IF(AND($U249="Débito",$F249&lt;&gt;""),$F249,$E249))</f>
        <v/>
      </c>
      <c r="AB249" s="13" t="str">
        <f aca="false">IF(OR($C249="",$T249="Mixta",$AA249=""),"",IF($V249="Subyacente",IF($J249="","",$J249-$K249),IF($T249="Put",$AA249-$K249,$AA249+$K249)))</f>
        <v/>
      </c>
      <c r="AC249" s="14" t="str">
        <f aca="false">IF(OR($C249="",$T249="Mixta",$J249="",$AA249=""),"",IF($T249="Put",($J249-$AA249)/$J249,($AA249-$J249)/$J249))</f>
        <v/>
      </c>
      <c r="AD249" s="12" t="str">
        <f aca="false">IF($C249="","",IF($Q249&lt;&gt;"",$Q249,IF($V249="Strike",N($E249)*$H249*$I249,IF($V249="Subyacente",IF($J249="","",$J249*$H249*$I249),IF($V249="Ancho",IF($F249="","",ABS($E249-$F249)*$H249*$I249-$K249*$H249*$I249),IF($V249="Prima",$K249*$H249*$I249,""))))))</f>
        <v/>
      </c>
      <c r="AE249" s="12" t="str">
        <f aca="false">IF(OR($C249="",$M249="Abierta",$M249=""),"",(N($K249)-IF(OR($M249="Cerrada",$M249="Rolada"),N($O249),0))*$H249*$I249*IF($U249="Débito",-1,1)-N($L249)-N($P249))</f>
        <v/>
      </c>
      <c r="AF249" s="14" t="str">
        <f aca="false">IF(OR($AE249="",$AD249=""),"",IF($AD249&lt;=0,"",$AE249/$AD249))</f>
        <v/>
      </c>
      <c r="AG249" s="14" t="str">
        <f aca="false">IF($AF249="","",$AF249*365/MAX(N($X249),1))</f>
        <v/>
      </c>
      <c r="AH249" s="14" t="str">
        <f aca="false">IF(OR($C249="",$U249&lt;&gt;"Crédito",$AD249=""),"",IF($AD249&lt;=0,"",($Z249-N($L249))/$AD249))</f>
        <v/>
      </c>
      <c r="AI249" s="14" t="str">
        <f aca="false">IF(OR($AH249="",$W249=""),"",$AH249*365/MAX($W249,1))</f>
        <v/>
      </c>
      <c r="AJ249" s="14" t="str">
        <f aca="false">IF(OR($AE249="",$U249&lt;&gt;"Crédito",N($K249)=0),"",(N($K249)-IF(OR($M249="Cerrada",$M249="Rolada"),N($O249),0))/$K249)</f>
        <v/>
      </c>
      <c r="AK249" s="15" t="str">
        <f aca="false">IF(OR($C249="",$N249=""),"",DATE(YEAR($N249),MONTH($N249),1))</f>
        <v/>
      </c>
      <c r="AL249" s="11" t="str">
        <f aca="false">IF($C249="","",IF($M249="Abierta",0,1))</f>
        <v/>
      </c>
      <c r="AM249" s="16" t="str">
        <f aca="false">IF(OR($AE249="",$AD249=""),"",$AD249*MAX(N($X249),1))</f>
        <v/>
      </c>
      <c r="AN249" s="10" t="str">
        <f aca="false">IF($C249="","",IF(OR($B249="",$D249="",$H249="",$K249="",$M249=""),"Faltan datos obligatorios",IF($T249="","Estrategia no reconocida",IF(AND($M249&lt;&gt;"Abierta",$N249=""),"Falta fecha cierre",IF(AND(OR($M249="Cerrada",$M249="Rolada"),$O249=""),"Falta prima cierre",IF(AND($N249&lt;&gt;"",$N249&lt;$B249),"Cierre anterior a apertura",IF(AND($M249="Asignada",$R249=""),"Asignada: falta ID lote acciones",IF(AND($R249&lt;&gt;"",ISNA(MATCH($R249,Acciones!$A$2:$A$201,0))),"El ID lote no existe en Acciones",IF($AD249="","Revisa capital en riesgo","OK")))))))))</f>
        <v/>
      </c>
    </row>
    <row r="250" customFormat="false" ht="15" hidden="false" customHeight="true" outlineLevel="0" collapsed="false">
      <c r="A250" s="5"/>
      <c r="B250" s="6"/>
      <c r="C250" s="7"/>
      <c r="D250" s="7"/>
      <c r="E250" s="8"/>
      <c r="F250" s="8"/>
      <c r="G250" s="6"/>
      <c r="H250" s="5"/>
      <c r="I250" s="5" t="n">
        <v>100</v>
      </c>
      <c r="J250" s="8"/>
      <c r="K250" s="8"/>
      <c r="L250" s="9"/>
      <c r="M250" s="7"/>
      <c r="N250" s="6"/>
      <c r="O250" s="8"/>
      <c r="P250" s="9"/>
      <c r="Q250" s="9"/>
      <c r="R250" s="7"/>
      <c r="S250" s="7"/>
      <c r="T250" s="10" t="str">
        <f aca="false">IF($C250="","",IFERROR(INDEX(Listas!$B$2:$B$20,MATCH($D250,Listas!$A$2:$A$20,0)),""))</f>
        <v/>
      </c>
      <c r="U250" s="10" t="str">
        <f aca="false">IF($C250="","",IFERROR(INDEX(Listas!$C$2:$C$20,MATCH($D250,Listas!$A$2:$A$20,0)),""))</f>
        <v/>
      </c>
      <c r="V250" s="10" t="str">
        <f aca="false">IF($C250="","",IFERROR(INDEX(Listas!$D$2:$D$20,MATCH($D250,Listas!$A$2:$A$20,0)),""))</f>
        <v/>
      </c>
      <c r="W250" s="11" t="str">
        <f aca="false">IF(OR($C250="",$B250="",$G250=""),"",$G250-$B250)</f>
        <v/>
      </c>
      <c r="X250" s="11" t="str">
        <f aca="true">IF(OR($C250="",$B250=""),"",IF($N250&lt;&gt;"",$N250,TODAY())-$B250)</f>
        <v/>
      </c>
      <c r="Y250" s="11" t="str">
        <f aca="true">IF(OR($C250="",$M250&lt;&gt;"Abierta",$G250=""),"",MAX($G250-TODAY(),0))</f>
        <v/>
      </c>
      <c r="Z250" s="12" t="str">
        <f aca="false">IF($C250="","",N($K250)*N($H250)*N($I250)*IF($U250="Débito",-1,1))</f>
        <v/>
      </c>
      <c r="AA250" s="13" t="str">
        <f aca="false">IF($C250="","",IF(AND($U250="Débito",$F250&lt;&gt;""),$F250,$E250))</f>
        <v/>
      </c>
      <c r="AB250" s="13" t="str">
        <f aca="false">IF(OR($C250="",$T250="Mixta",$AA250=""),"",IF($V250="Subyacente",IF($J250="","",$J250-$K250),IF($T250="Put",$AA250-$K250,$AA250+$K250)))</f>
        <v/>
      </c>
      <c r="AC250" s="14" t="str">
        <f aca="false">IF(OR($C250="",$T250="Mixta",$J250="",$AA250=""),"",IF($T250="Put",($J250-$AA250)/$J250,($AA250-$J250)/$J250))</f>
        <v/>
      </c>
      <c r="AD250" s="12" t="str">
        <f aca="false">IF($C250="","",IF($Q250&lt;&gt;"",$Q250,IF($V250="Strike",N($E250)*$H250*$I250,IF($V250="Subyacente",IF($J250="","",$J250*$H250*$I250),IF($V250="Ancho",IF($F250="","",ABS($E250-$F250)*$H250*$I250-$K250*$H250*$I250),IF($V250="Prima",$K250*$H250*$I250,""))))))</f>
        <v/>
      </c>
      <c r="AE250" s="12" t="str">
        <f aca="false">IF(OR($C250="",$M250="Abierta",$M250=""),"",(N($K250)-IF(OR($M250="Cerrada",$M250="Rolada"),N($O250),0))*$H250*$I250*IF($U250="Débito",-1,1)-N($L250)-N($P250))</f>
        <v/>
      </c>
      <c r="AF250" s="14" t="str">
        <f aca="false">IF(OR($AE250="",$AD250=""),"",IF($AD250&lt;=0,"",$AE250/$AD250))</f>
        <v/>
      </c>
      <c r="AG250" s="14" t="str">
        <f aca="false">IF($AF250="","",$AF250*365/MAX(N($X250),1))</f>
        <v/>
      </c>
      <c r="AH250" s="14" t="str">
        <f aca="false">IF(OR($C250="",$U250&lt;&gt;"Crédito",$AD250=""),"",IF($AD250&lt;=0,"",($Z250-N($L250))/$AD250))</f>
        <v/>
      </c>
      <c r="AI250" s="14" t="str">
        <f aca="false">IF(OR($AH250="",$W250=""),"",$AH250*365/MAX($W250,1))</f>
        <v/>
      </c>
      <c r="AJ250" s="14" t="str">
        <f aca="false">IF(OR($AE250="",$U250&lt;&gt;"Crédito",N($K250)=0),"",(N($K250)-IF(OR($M250="Cerrada",$M250="Rolada"),N($O250),0))/$K250)</f>
        <v/>
      </c>
      <c r="AK250" s="15" t="str">
        <f aca="false">IF(OR($C250="",$N250=""),"",DATE(YEAR($N250),MONTH($N250),1))</f>
        <v/>
      </c>
      <c r="AL250" s="11" t="str">
        <f aca="false">IF($C250="","",IF($M250="Abierta",0,1))</f>
        <v/>
      </c>
      <c r="AM250" s="16" t="str">
        <f aca="false">IF(OR($AE250="",$AD250=""),"",$AD250*MAX(N($X250),1))</f>
        <v/>
      </c>
      <c r="AN250" s="10" t="str">
        <f aca="false">IF($C250="","",IF(OR($B250="",$D250="",$H250="",$K250="",$M250=""),"Faltan datos obligatorios",IF($T250="","Estrategia no reconocida",IF(AND($M250&lt;&gt;"Abierta",$N250=""),"Falta fecha cierre",IF(AND(OR($M250="Cerrada",$M250="Rolada"),$O250=""),"Falta prima cierre",IF(AND($N250&lt;&gt;"",$N250&lt;$B250),"Cierre anterior a apertura",IF(AND($M250="Asignada",$R250=""),"Asignada: falta ID lote acciones",IF(AND($R250&lt;&gt;"",ISNA(MATCH($R250,Acciones!$A$2:$A$201,0))),"El ID lote no existe en Acciones",IF($AD250="","Revisa capital en riesgo","OK")))))))))</f>
        <v/>
      </c>
    </row>
    <row r="251" customFormat="false" ht="15" hidden="false" customHeight="true" outlineLevel="0" collapsed="false">
      <c r="A251" s="5"/>
      <c r="B251" s="6"/>
      <c r="C251" s="7"/>
      <c r="D251" s="7"/>
      <c r="E251" s="8"/>
      <c r="F251" s="8"/>
      <c r="G251" s="6"/>
      <c r="H251" s="5"/>
      <c r="I251" s="5" t="n">
        <v>100</v>
      </c>
      <c r="J251" s="8"/>
      <c r="K251" s="8"/>
      <c r="L251" s="9"/>
      <c r="M251" s="7"/>
      <c r="N251" s="6"/>
      <c r="O251" s="8"/>
      <c r="P251" s="9"/>
      <c r="Q251" s="9"/>
      <c r="R251" s="7"/>
      <c r="S251" s="7"/>
      <c r="T251" s="10" t="str">
        <f aca="false">IF($C251="","",IFERROR(INDEX(Listas!$B$2:$B$20,MATCH($D251,Listas!$A$2:$A$20,0)),""))</f>
        <v/>
      </c>
      <c r="U251" s="10" t="str">
        <f aca="false">IF($C251="","",IFERROR(INDEX(Listas!$C$2:$C$20,MATCH($D251,Listas!$A$2:$A$20,0)),""))</f>
        <v/>
      </c>
      <c r="V251" s="10" t="str">
        <f aca="false">IF($C251="","",IFERROR(INDEX(Listas!$D$2:$D$20,MATCH($D251,Listas!$A$2:$A$20,0)),""))</f>
        <v/>
      </c>
      <c r="W251" s="11" t="str">
        <f aca="false">IF(OR($C251="",$B251="",$G251=""),"",$G251-$B251)</f>
        <v/>
      </c>
      <c r="X251" s="11" t="str">
        <f aca="true">IF(OR($C251="",$B251=""),"",IF($N251&lt;&gt;"",$N251,TODAY())-$B251)</f>
        <v/>
      </c>
      <c r="Y251" s="11" t="str">
        <f aca="true">IF(OR($C251="",$M251&lt;&gt;"Abierta",$G251=""),"",MAX($G251-TODAY(),0))</f>
        <v/>
      </c>
      <c r="Z251" s="12" t="str">
        <f aca="false">IF($C251="","",N($K251)*N($H251)*N($I251)*IF($U251="Débito",-1,1))</f>
        <v/>
      </c>
      <c r="AA251" s="13" t="str">
        <f aca="false">IF($C251="","",IF(AND($U251="Débito",$F251&lt;&gt;""),$F251,$E251))</f>
        <v/>
      </c>
      <c r="AB251" s="13" t="str">
        <f aca="false">IF(OR($C251="",$T251="Mixta",$AA251=""),"",IF($V251="Subyacente",IF($J251="","",$J251-$K251),IF($T251="Put",$AA251-$K251,$AA251+$K251)))</f>
        <v/>
      </c>
      <c r="AC251" s="14" t="str">
        <f aca="false">IF(OR($C251="",$T251="Mixta",$J251="",$AA251=""),"",IF($T251="Put",($J251-$AA251)/$J251,($AA251-$J251)/$J251))</f>
        <v/>
      </c>
      <c r="AD251" s="12" t="str">
        <f aca="false">IF($C251="","",IF($Q251&lt;&gt;"",$Q251,IF($V251="Strike",N($E251)*$H251*$I251,IF($V251="Subyacente",IF($J251="","",$J251*$H251*$I251),IF($V251="Ancho",IF($F251="","",ABS($E251-$F251)*$H251*$I251-$K251*$H251*$I251),IF($V251="Prima",$K251*$H251*$I251,""))))))</f>
        <v/>
      </c>
      <c r="AE251" s="12" t="str">
        <f aca="false">IF(OR($C251="",$M251="Abierta",$M251=""),"",(N($K251)-IF(OR($M251="Cerrada",$M251="Rolada"),N($O251),0))*$H251*$I251*IF($U251="Débito",-1,1)-N($L251)-N($P251))</f>
        <v/>
      </c>
      <c r="AF251" s="14" t="str">
        <f aca="false">IF(OR($AE251="",$AD251=""),"",IF($AD251&lt;=0,"",$AE251/$AD251))</f>
        <v/>
      </c>
      <c r="AG251" s="14" t="str">
        <f aca="false">IF($AF251="","",$AF251*365/MAX(N($X251),1))</f>
        <v/>
      </c>
      <c r="AH251" s="14" t="str">
        <f aca="false">IF(OR($C251="",$U251&lt;&gt;"Crédito",$AD251=""),"",IF($AD251&lt;=0,"",($Z251-N($L251))/$AD251))</f>
        <v/>
      </c>
      <c r="AI251" s="14" t="str">
        <f aca="false">IF(OR($AH251="",$W251=""),"",$AH251*365/MAX($W251,1))</f>
        <v/>
      </c>
      <c r="AJ251" s="14" t="str">
        <f aca="false">IF(OR($AE251="",$U251&lt;&gt;"Crédito",N($K251)=0),"",(N($K251)-IF(OR($M251="Cerrada",$M251="Rolada"),N($O251),0))/$K251)</f>
        <v/>
      </c>
      <c r="AK251" s="15" t="str">
        <f aca="false">IF(OR($C251="",$N251=""),"",DATE(YEAR($N251),MONTH($N251),1))</f>
        <v/>
      </c>
      <c r="AL251" s="11" t="str">
        <f aca="false">IF($C251="","",IF($M251="Abierta",0,1))</f>
        <v/>
      </c>
      <c r="AM251" s="16" t="str">
        <f aca="false">IF(OR($AE251="",$AD251=""),"",$AD251*MAX(N($X251),1))</f>
        <v/>
      </c>
      <c r="AN251" s="10" t="str">
        <f aca="false">IF($C251="","",IF(OR($B251="",$D251="",$H251="",$K251="",$M251=""),"Faltan datos obligatorios",IF($T251="","Estrategia no reconocida",IF(AND($M251&lt;&gt;"Abierta",$N251=""),"Falta fecha cierre",IF(AND(OR($M251="Cerrada",$M251="Rolada"),$O251=""),"Falta prima cierre",IF(AND($N251&lt;&gt;"",$N251&lt;$B251),"Cierre anterior a apertura",IF(AND($M251="Asignada",$R251=""),"Asignada: falta ID lote acciones",IF(AND($R251&lt;&gt;"",ISNA(MATCH($R251,Acciones!$A$2:$A$201,0))),"El ID lote no existe en Acciones",IF($AD251="","Revisa capital en riesgo","OK")))))))))</f>
        <v/>
      </c>
    </row>
    <row r="252" customFormat="false" ht="15" hidden="false" customHeight="true" outlineLevel="0" collapsed="false">
      <c r="A252" s="5"/>
      <c r="B252" s="6"/>
      <c r="C252" s="7"/>
      <c r="D252" s="7"/>
      <c r="E252" s="8"/>
      <c r="F252" s="8"/>
      <c r="G252" s="6"/>
      <c r="H252" s="5"/>
      <c r="I252" s="5" t="n">
        <v>100</v>
      </c>
      <c r="J252" s="8"/>
      <c r="K252" s="8"/>
      <c r="L252" s="9"/>
      <c r="M252" s="7"/>
      <c r="N252" s="6"/>
      <c r="O252" s="8"/>
      <c r="P252" s="9"/>
      <c r="Q252" s="9"/>
      <c r="R252" s="7"/>
      <c r="S252" s="7"/>
      <c r="T252" s="10" t="str">
        <f aca="false">IF($C252="","",IFERROR(INDEX(Listas!$B$2:$B$20,MATCH($D252,Listas!$A$2:$A$20,0)),""))</f>
        <v/>
      </c>
      <c r="U252" s="10" t="str">
        <f aca="false">IF($C252="","",IFERROR(INDEX(Listas!$C$2:$C$20,MATCH($D252,Listas!$A$2:$A$20,0)),""))</f>
        <v/>
      </c>
      <c r="V252" s="10" t="str">
        <f aca="false">IF($C252="","",IFERROR(INDEX(Listas!$D$2:$D$20,MATCH($D252,Listas!$A$2:$A$20,0)),""))</f>
        <v/>
      </c>
      <c r="W252" s="11" t="str">
        <f aca="false">IF(OR($C252="",$B252="",$G252=""),"",$G252-$B252)</f>
        <v/>
      </c>
      <c r="X252" s="11" t="str">
        <f aca="true">IF(OR($C252="",$B252=""),"",IF($N252&lt;&gt;"",$N252,TODAY())-$B252)</f>
        <v/>
      </c>
      <c r="Y252" s="11" t="str">
        <f aca="true">IF(OR($C252="",$M252&lt;&gt;"Abierta",$G252=""),"",MAX($G252-TODAY(),0))</f>
        <v/>
      </c>
      <c r="Z252" s="12" t="str">
        <f aca="false">IF($C252="","",N($K252)*N($H252)*N($I252)*IF($U252="Débito",-1,1))</f>
        <v/>
      </c>
      <c r="AA252" s="13" t="str">
        <f aca="false">IF($C252="","",IF(AND($U252="Débito",$F252&lt;&gt;""),$F252,$E252))</f>
        <v/>
      </c>
      <c r="AB252" s="13" t="str">
        <f aca="false">IF(OR($C252="",$T252="Mixta",$AA252=""),"",IF($V252="Subyacente",IF($J252="","",$J252-$K252),IF($T252="Put",$AA252-$K252,$AA252+$K252)))</f>
        <v/>
      </c>
      <c r="AC252" s="14" t="str">
        <f aca="false">IF(OR($C252="",$T252="Mixta",$J252="",$AA252=""),"",IF($T252="Put",($J252-$AA252)/$J252,($AA252-$J252)/$J252))</f>
        <v/>
      </c>
      <c r="AD252" s="12" t="str">
        <f aca="false">IF($C252="","",IF($Q252&lt;&gt;"",$Q252,IF($V252="Strike",N($E252)*$H252*$I252,IF($V252="Subyacente",IF($J252="","",$J252*$H252*$I252),IF($V252="Ancho",IF($F252="","",ABS($E252-$F252)*$H252*$I252-$K252*$H252*$I252),IF($V252="Prima",$K252*$H252*$I252,""))))))</f>
        <v/>
      </c>
      <c r="AE252" s="12" t="str">
        <f aca="false">IF(OR($C252="",$M252="Abierta",$M252=""),"",(N($K252)-IF(OR($M252="Cerrada",$M252="Rolada"),N($O252),0))*$H252*$I252*IF($U252="Débito",-1,1)-N($L252)-N($P252))</f>
        <v/>
      </c>
      <c r="AF252" s="14" t="str">
        <f aca="false">IF(OR($AE252="",$AD252=""),"",IF($AD252&lt;=0,"",$AE252/$AD252))</f>
        <v/>
      </c>
      <c r="AG252" s="14" t="str">
        <f aca="false">IF($AF252="","",$AF252*365/MAX(N($X252),1))</f>
        <v/>
      </c>
      <c r="AH252" s="14" t="str">
        <f aca="false">IF(OR($C252="",$U252&lt;&gt;"Crédito",$AD252=""),"",IF($AD252&lt;=0,"",($Z252-N($L252))/$AD252))</f>
        <v/>
      </c>
      <c r="AI252" s="14" t="str">
        <f aca="false">IF(OR($AH252="",$W252=""),"",$AH252*365/MAX($W252,1))</f>
        <v/>
      </c>
      <c r="AJ252" s="14" t="str">
        <f aca="false">IF(OR($AE252="",$U252&lt;&gt;"Crédito",N($K252)=0),"",(N($K252)-IF(OR($M252="Cerrada",$M252="Rolada"),N($O252),0))/$K252)</f>
        <v/>
      </c>
      <c r="AK252" s="15" t="str">
        <f aca="false">IF(OR($C252="",$N252=""),"",DATE(YEAR($N252),MONTH($N252),1))</f>
        <v/>
      </c>
      <c r="AL252" s="11" t="str">
        <f aca="false">IF($C252="","",IF($M252="Abierta",0,1))</f>
        <v/>
      </c>
      <c r="AM252" s="16" t="str">
        <f aca="false">IF(OR($AE252="",$AD252=""),"",$AD252*MAX(N($X252),1))</f>
        <v/>
      </c>
      <c r="AN252" s="10" t="str">
        <f aca="false">IF($C252="","",IF(OR($B252="",$D252="",$H252="",$K252="",$M252=""),"Faltan datos obligatorios",IF($T252="","Estrategia no reconocida",IF(AND($M252&lt;&gt;"Abierta",$N252=""),"Falta fecha cierre",IF(AND(OR($M252="Cerrada",$M252="Rolada"),$O252=""),"Falta prima cierre",IF(AND($N252&lt;&gt;"",$N252&lt;$B252),"Cierre anterior a apertura",IF(AND($M252="Asignada",$R252=""),"Asignada: falta ID lote acciones",IF(AND($R252&lt;&gt;"",ISNA(MATCH($R252,Acciones!$A$2:$A$201,0))),"El ID lote no existe en Acciones",IF($AD252="","Revisa capital en riesgo","OK")))))))))</f>
        <v/>
      </c>
    </row>
    <row r="253" customFormat="false" ht="15" hidden="false" customHeight="true" outlineLevel="0" collapsed="false">
      <c r="A253" s="5"/>
      <c r="B253" s="6"/>
      <c r="C253" s="7"/>
      <c r="D253" s="7"/>
      <c r="E253" s="8"/>
      <c r="F253" s="8"/>
      <c r="G253" s="6"/>
      <c r="H253" s="5"/>
      <c r="I253" s="5" t="n">
        <v>100</v>
      </c>
      <c r="J253" s="8"/>
      <c r="K253" s="8"/>
      <c r="L253" s="9"/>
      <c r="M253" s="7"/>
      <c r="N253" s="6"/>
      <c r="O253" s="8"/>
      <c r="P253" s="9"/>
      <c r="Q253" s="9"/>
      <c r="R253" s="7"/>
      <c r="S253" s="7"/>
      <c r="T253" s="10" t="str">
        <f aca="false">IF($C253="","",IFERROR(INDEX(Listas!$B$2:$B$20,MATCH($D253,Listas!$A$2:$A$20,0)),""))</f>
        <v/>
      </c>
      <c r="U253" s="10" t="str">
        <f aca="false">IF($C253="","",IFERROR(INDEX(Listas!$C$2:$C$20,MATCH($D253,Listas!$A$2:$A$20,0)),""))</f>
        <v/>
      </c>
      <c r="V253" s="10" t="str">
        <f aca="false">IF($C253="","",IFERROR(INDEX(Listas!$D$2:$D$20,MATCH($D253,Listas!$A$2:$A$20,0)),""))</f>
        <v/>
      </c>
      <c r="W253" s="11" t="str">
        <f aca="false">IF(OR($C253="",$B253="",$G253=""),"",$G253-$B253)</f>
        <v/>
      </c>
      <c r="X253" s="11" t="str">
        <f aca="true">IF(OR($C253="",$B253=""),"",IF($N253&lt;&gt;"",$N253,TODAY())-$B253)</f>
        <v/>
      </c>
      <c r="Y253" s="11" t="str">
        <f aca="true">IF(OR($C253="",$M253&lt;&gt;"Abierta",$G253=""),"",MAX($G253-TODAY(),0))</f>
        <v/>
      </c>
      <c r="Z253" s="12" t="str">
        <f aca="false">IF($C253="","",N($K253)*N($H253)*N($I253)*IF($U253="Débito",-1,1))</f>
        <v/>
      </c>
      <c r="AA253" s="13" t="str">
        <f aca="false">IF($C253="","",IF(AND($U253="Débito",$F253&lt;&gt;""),$F253,$E253))</f>
        <v/>
      </c>
      <c r="AB253" s="13" t="str">
        <f aca="false">IF(OR($C253="",$T253="Mixta",$AA253=""),"",IF($V253="Subyacente",IF($J253="","",$J253-$K253),IF($T253="Put",$AA253-$K253,$AA253+$K253)))</f>
        <v/>
      </c>
      <c r="AC253" s="14" t="str">
        <f aca="false">IF(OR($C253="",$T253="Mixta",$J253="",$AA253=""),"",IF($T253="Put",($J253-$AA253)/$J253,($AA253-$J253)/$J253))</f>
        <v/>
      </c>
      <c r="AD253" s="12" t="str">
        <f aca="false">IF($C253="","",IF($Q253&lt;&gt;"",$Q253,IF($V253="Strike",N($E253)*$H253*$I253,IF($V253="Subyacente",IF($J253="","",$J253*$H253*$I253),IF($V253="Ancho",IF($F253="","",ABS($E253-$F253)*$H253*$I253-$K253*$H253*$I253),IF($V253="Prima",$K253*$H253*$I253,""))))))</f>
        <v/>
      </c>
      <c r="AE253" s="12" t="str">
        <f aca="false">IF(OR($C253="",$M253="Abierta",$M253=""),"",(N($K253)-IF(OR($M253="Cerrada",$M253="Rolada"),N($O253),0))*$H253*$I253*IF($U253="Débito",-1,1)-N($L253)-N($P253))</f>
        <v/>
      </c>
      <c r="AF253" s="14" t="str">
        <f aca="false">IF(OR($AE253="",$AD253=""),"",IF($AD253&lt;=0,"",$AE253/$AD253))</f>
        <v/>
      </c>
      <c r="AG253" s="14" t="str">
        <f aca="false">IF($AF253="","",$AF253*365/MAX(N($X253),1))</f>
        <v/>
      </c>
      <c r="AH253" s="14" t="str">
        <f aca="false">IF(OR($C253="",$U253&lt;&gt;"Crédito",$AD253=""),"",IF($AD253&lt;=0,"",($Z253-N($L253))/$AD253))</f>
        <v/>
      </c>
      <c r="AI253" s="14" t="str">
        <f aca="false">IF(OR($AH253="",$W253=""),"",$AH253*365/MAX($W253,1))</f>
        <v/>
      </c>
      <c r="AJ253" s="14" t="str">
        <f aca="false">IF(OR($AE253="",$U253&lt;&gt;"Crédito",N($K253)=0),"",(N($K253)-IF(OR($M253="Cerrada",$M253="Rolada"),N($O253),0))/$K253)</f>
        <v/>
      </c>
      <c r="AK253" s="15" t="str">
        <f aca="false">IF(OR($C253="",$N253=""),"",DATE(YEAR($N253),MONTH($N253),1))</f>
        <v/>
      </c>
      <c r="AL253" s="11" t="str">
        <f aca="false">IF($C253="","",IF($M253="Abierta",0,1))</f>
        <v/>
      </c>
      <c r="AM253" s="16" t="str">
        <f aca="false">IF(OR($AE253="",$AD253=""),"",$AD253*MAX(N($X253),1))</f>
        <v/>
      </c>
      <c r="AN253" s="10" t="str">
        <f aca="false">IF($C253="","",IF(OR($B253="",$D253="",$H253="",$K253="",$M253=""),"Faltan datos obligatorios",IF($T253="","Estrategia no reconocida",IF(AND($M253&lt;&gt;"Abierta",$N253=""),"Falta fecha cierre",IF(AND(OR($M253="Cerrada",$M253="Rolada"),$O253=""),"Falta prima cierre",IF(AND($N253&lt;&gt;"",$N253&lt;$B253),"Cierre anterior a apertura",IF(AND($M253="Asignada",$R253=""),"Asignada: falta ID lote acciones",IF(AND($R253&lt;&gt;"",ISNA(MATCH($R253,Acciones!$A$2:$A$201,0))),"El ID lote no existe en Acciones",IF($AD253="","Revisa capital en riesgo","OK")))))))))</f>
        <v/>
      </c>
    </row>
    <row r="254" customFormat="false" ht="15" hidden="false" customHeight="true" outlineLevel="0" collapsed="false">
      <c r="A254" s="5"/>
      <c r="B254" s="6"/>
      <c r="C254" s="7"/>
      <c r="D254" s="7"/>
      <c r="E254" s="8"/>
      <c r="F254" s="8"/>
      <c r="G254" s="6"/>
      <c r="H254" s="5"/>
      <c r="I254" s="5" t="n">
        <v>100</v>
      </c>
      <c r="J254" s="8"/>
      <c r="K254" s="8"/>
      <c r="L254" s="9"/>
      <c r="M254" s="7"/>
      <c r="N254" s="6"/>
      <c r="O254" s="8"/>
      <c r="P254" s="9"/>
      <c r="Q254" s="9"/>
      <c r="R254" s="7"/>
      <c r="S254" s="7"/>
      <c r="T254" s="10" t="str">
        <f aca="false">IF($C254="","",IFERROR(INDEX(Listas!$B$2:$B$20,MATCH($D254,Listas!$A$2:$A$20,0)),""))</f>
        <v/>
      </c>
      <c r="U254" s="10" t="str">
        <f aca="false">IF($C254="","",IFERROR(INDEX(Listas!$C$2:$C$20,MATCH($D254,Listas!$A$2:$A$20,0)),""))</f>
        <v/>
      </c>
      <c r="V254" s="10" t="str">
        <f aca="false">IF($C254="","",IFERROR(INDEX(Listas!$D$2:$D$20,MATCH($D254,Listas!$A$2:$A$20,0)),""))</f>
        <v/>
      </c>
      <c r="W254" s="11" t="str">
        <f aca="false">IF(OR($C254="",$B254="",$G254=""),"",$G254-$B254)</f>
        <v/>
      </c>
      <c r="X254" s="11" t="str">
        <f aca="true">IF(OR($C254="",$B254=""),"",IF($N254&lt;&gt;"",$N254,TODAY())-$B254)</f>
        <v/>
      </c>
      <c r="Y254" s="11" t="str">
        <f aca="true">IF(OR($C254="",$M254&lt;&gt;"Abierta",$G254=""),"",MAX($G254-TODAY(),0))</f>
        <v/>
      </c>
      <c r="Z254" s="12" t="str">
        <f aca="false">IF($C254="","",N($K254)*N($H254)*N($I254)*IF($U254="Débito",-1,1))</f>
        <v/>
      </c>
      <c r="AA254" s="13" t="str">
        <f aca="false">IF($C254="","",IF(AND($U254="Débito",$F254&lt;&gt;""),$F254,$E254))</f>
        <v/>
      </c>
      <c r="AB254" s="13" t="str">
        <f aca="false">IF(OR($C254="",$T254="Mixta",$AA254=""),"",IF($V254="Subyacente",IF($J254="","",$J254-$K254),IF($T254="Put",$AA254-$K254,$AA254+$K254)))</f>
        <v/>
      </c>
      <c r="AC254" s="14" t="str">
        <f aca="false">IF(OR($C254="",$T254="Mixta",$J254="",$AA254=""),"",IF($T254="Put",($J254-$AA254)/$J254,($AA254-$J254)/$J254))</f>
        <v/>
      </c>
      <c r="AD254" s="12" t="str">
        <f aca="false">IF($C254="","",IF($Q254&lt;&gt;"",$Q254,IF($V254="Strike",N($E254)*$H254*$I254,IF($V254="Subyacente",IF($J254="","",$J254*$H254*$I254),IF($V254="Ancho",IF($F254="","",ABS($E254-$F254)*$H254*$I254-$K254*$H254*$I254),IF($V254="Prima",$K254*$H254*$I254,""))))))</f>
        <v/>
      </c>
      <c r="AE254" s="12" t="str">
        <f aca="false">IF(OR($C254="",$M254="Abierta",$M254=""),"",(N($K254)-IF(OR($M254="Cerrada",$M254="Rolada"),N($O254),0))*$H254*$I254*IF($U254="Débito",-1,1)-N($L254)-N($P254))</f>
        <v/>
      </c>
      <c r="AF254" s="14" t="str">
        <f aca="false">IF(OR($AE254="",$AD254=""),"",IF($AD254&lt;=0,"",$AE254/$AD254))</f>
        <v/>
      </c>
      <c r="AG254" s="14" t="str">
        <f aca="false">IF($AF254="","",$AF254*365/MAX(N($X254),1))</f>
        <v/>
      </c>
      <c r="AH254" s="14" t="str">
        <f aca="false">IF(OR($C254="",$U254&lt;&gt;"Crédito",$AD254=""),"",IF($AD254&lt;=0,"",($Z254-N($L254))/$AD254))</f>
        <v/>
      </c>
      <c r="AI254" s="14" t="str">
        <f aca="false">IF(OR($AH254="",$W254=""),"",$AH254*365/MAX($W254,1))</f>
        <v/>
      </c>
      <c r="AJ254" s="14" t="str">
        <f aca="false">IF(OR($AE254="",$U254&lt;&gt;"Crédito",N($K254)=0),"",(N($K254)-IF(OR($M254="Cerrada",$M254="Rolada"),N($O254),0))/$K254)</f>
        <v/>
      </c>
      <c r="AK254" s="15" t="str">
        <f aca="false">IF(OR($C254="",$N254=""),"",DATE(YEAR($N254),MONTH($N254),1))</f>
        <v/>
      </c>
      <c r="AL254" s="11" t="str">
        <f aca="false">IF($C254="","",IF($M254="Abierta",0,1))</f>
        <v/>
      </c>
      <c r="AM254" s="16" t="str">
        <f aca="false">IF(OR($AE254="",$AD254=""),"",$AD254*MAX(N($X254),1))</f>
        <v/>
      </c>
      <c r="AN254" s="10" t="str">
        <f aca="false">IF($C254="","",IF(OR($B254="",$D254="",$H254="",$K254="",$M254=""),"Faltan datos obligatorios",IF($T254="","Estrategia no reconocida",IF(AND($M254&lt;&gt;"Abierta",$N254=""),"Falta fecha cierre",IF(AND(OR($M254="Cerrada",$M254="Rolada"),$O254=""),"Falta prima cierre",IF(AND($N254&lt;&gt;"",$N254&lt;$B254),"Cierre anterior a apertura",IF(AND($M254="Asignada",$R254=""),"Asignada: falta ID lote acciones",IF(AND($R254&lt;&gt;"",ISNA(MATCH($R254,Acciones!$A$2:$A$201,0))),"El ID lote no existe en Acciones",IF($AD254="","Revisa capital en riesgo","OK")))))))))</f>
        <v/>
      </c>
    </row>
    <row r="255" customFormat="false" ht="15" hidden="false" customHeight="true" outlineLevel="0" collapsed="false">
      <c r="A255" s="5"/>
      <c r="B255" s="6"/>
      <c r="C255" s="7"/>
      <c r="D255" s="7"/>
      <c r="E255" s="8"/>
      <c r="F255" s="8"/>
      <c r="G255" s="6"/>
      <c r="H255" s="5"/>
      <c r="I255" s="5" t="n">
        <v>100</v>
      </c>
      <c r="J255" s="8"/>
      <c r="K255" s="8"/>
      <c r="L255" s="9"/>
      <c r="M255" s="7"/>
      <c r="N255" s="6"/>
      <c r="O255" s="8"/>
      <c r="P255" s="9"/>
      <c r="Q255" s="9"/>
      <c r="R255" s="7"/>
      <c r="S255" s="7"/>
      <c r="T255" s="10" t="str">
        <f aca="false">IF($C255="","",IFERROR(INDEX(Listas!$B$2:$B$20,MATCH($D255,Listas!$A$2:$A$20,0)),""))</f>
        <v/>
      </c>
      <c r="U255" s="10" t="str">
        <f aca="false">IF($C255="","",IFERROR(INDEX(Listas!$C$2:$C$20,MATCH($D255,Listas!$A$2:$A$20,0)),""))</f>
        <v/>
      </c>
      <c r="V255" s="10" t="str">
        <f aca="false">IF($C255="","",IFERROR(INDEX(Listas!$D$2:$D$20,MATCH($D255,Listas!$A$2:$A$20,0)),""))</f>
        <v/>
      </c>
      <c r="W255" s="11" t="str">
        <f aca="false">IF(OR($C255="",$B255="",$G255=""),"",$G255-$B255)</f>
        <v/>
      </c>
      <c r="X255" s="11" t="str">
        <f aca="true">IF(OR($C255="",$B255=""),"",IF($N255&lt;&gt;"",$N255,TODAY())-$B255)</f>
        <v/>
      </c>
      <c r="Y255" s="11" t="str">
        <f aca="true">IF(OR($C255="",$M255&lt;&gt;"Abierta",$G255=""),"",MAX($G255-TODAY(),0))</f>
        <v/>
      </c>
      <c r="Z255" s="12" t="str">
        <f aca="false">IF($C255="","",N($K255)*N($H255)*N($I255)*IF($U255="Débito",-1,1))</f>
        <v/>
      </c>
      <c r="AA255" s="13" t="str">
        <f aca="false">IF($C255="","",IF(AND($U255="Débito",$F255&lt;&gt;""),$F255,$E255))</f>
        <v/>
      </c>
      <c r="AB255" s="13" t="str">
        <f aca="false">IF(OR($C255="",$T255="Mixta",$AA255=""),"",IF($V255="Subyacente",IF($J255="","",$J255-$K255),IF($T255="Put",$AA255-$K255,$AA255+$K255)))</f>
        <v/>
      </c>
      <c r="AC255" s="14" t="str">
        <f aca="false">IF(OR($C255="",$T255="Mixta",$J255="",$AA255=""),"",IF($T255="Put",($J255-$AA255)/$J255,($AA255-$J255)/$J255))</f>
        <v/>
      </c>
      <c r="AD255" s="12" t="str">
        <f aca="false">IF($C255="","",IF($Q255&lt;&gt;"",$Q255,IF($V255="Strike",N($E255)*$H255*$I255,IF($V255="Subyacente",IF($J255="","",$J255*$H255*$I255),IF($V255="Ancho",IF($F255="","",ABS($E255-$F255)*$H255*$I255-$K255*$H255*$I255),IF($V255="Prima",$K255*$H255*$I255,""))))))</f>
        <v/>
      </c>
      <c r="AE255" s="12" t="str">
        <f aca="false">IF(OR($C255="",$M255="Abierta",$M255=""),"",(N($K255)-IF(OR($M255="Cerrada",$M255="Rolada"),N($O255),0))*$H255*$I255*IF($U255="Débito",-1,1)-N($L255)-N($P255))</f>
        <v/>
      </c>
      <c r="AF255" s="14" t="str">
        <f aca="false">IF(OR($AE255="",$AD255=""),"",IF($AD255&lt;=0,"",$AE255/$AD255))</f>
        <v/>
      </c>
      <c r="AG255" s="14" t="str">
        <f aca="false">IF($AF255="","",$AF255*365/MAX(N($X255),1))</f>
        <v/>
      </c>
      <c r="AH255" s="14" t="str">
        <f aca="false">IF(OR($C255="",$U255&lt;&gt;"Crédito",$AD255=""),"",IF($AD255&lt;=0,"",($Z255-N($L255))/$AD255))</f>
        <v/>
      </c>
      <c r="AI255" s="14" t="str">
        <f aca="false">IF(OR($AH255="",$W255=""),"",$AH255*365/MAX($W255,1))</f>
        <v/>
      </c>
      <c r="AJ255" s="14" t="str">
        <f aca="false">IF(OR($AE255="",$U255&lt;&gt;"Crédito",N($K255)=0),"",(N($K255)-IF(OR($M255="Cerrada",$M255="Rolada"),N($O255),0))/$K255)</f>
        <v/>
      </c>
      <c r="AK255" s="15" t="str">
        <f aca="false">IF(OR($C255="",$N255=""),"",DATE(YEAR($N255),MONTH($N255),1))</f>
        <v/>
      </c>
      <c r="AL255" s="11" t="str">
        <f aca="false">IF($C255="","",IF($M255="Abierta",0,1))</f>
        <v/>
      </c>
      <c r="AM255" s="16" t="str">
        <f aca="false">IF(OR($AE255="",$AD255=""),"",$AD255*MAX(N($X255),1))</f>
        <v/>
      </c>
      <c r="AN255" s="10" t="str">
        <f aca="false">IF($C255="","",IF(OR($B255="",$D255="",$H255="",$K255="",$M255=""),"Faltan datos obligatorios",IF($T255="","Estrategia no reconocida",IF(AND($M255&lt;&gt;"Abierta",$N255=""),"Falta fecha cierre",IF(AND(OR($M255="Cerrada",$M255="Rolada"),$O255=""),"Falta prima cierre",IF(AND($N255&lt;&gt;"",$N255&lt;$B255),"Cierre anterior a apertura",IF(AND($M255="Asignada",$R255=""),"Asignada: falta ID lote acciones",IF(AND($R255&lt;&gt;"",ISNA(MATCH($R255,Acciones!$A$2:$A$201,0))),"El ID lote no existe en Acciones",IF($AD255="","Revisa capital en riesgo","OK")))))))))</f>
        <v/>
      </c>
    </row>
    <row r="256" customFormat="false" ht="15" hidden="false" customHeight="true" outlineLevel="0" collapsed="false">
      <c r="A256" s="5"/>
      <c r="B256" s="6"/>
      <c r="C256" s="7"/>
      <c r="D256" s="7"/>
      <c r="E256" s="8"/>
      <c r="F256" s="8"/>
      <c r="G256" s="6"/>
      <c r="H256" s="5"/>
      <c r="I256" s="5" t="n">
        <v>100</v>
      </c>
      <c r="J256" s="8"/>
      <c r="K256" s="8"/>
      <c r="L256" s="9"/>
      <c r="M256" s="7"/>
      <c r="N256" s="6"/>
      <c r="O256" s="8"/>
      <c r="P256" s="9"/>
      <c r="Q256" s="9"/>
      <c r="R256" s="7"/>
      <c r="S256" s="7"/>
      <c r="T256" s="10" t="str">
        <f aca="false">IF($C256="","",IFERROR(INDEX(Listas!$B$2:$B$20,MATCH($D256,Listas!$A$2:$A$20,0)),""))</f>
        <v/>
      </c>
      <c r="U256" s="10" t="str">
        <f aca="false">IF($C256="","",IFERROR(INDEX(Listas!$C$2:$C$20,MATCH($D256,Listas!$A$2:$A$20,0)),""))</f>
        <v/>
      </c>
      <c r="V256" s="10" t="str">
        <f aca="false">IF($C256="","",IFERROR(INDEX(Listas!$D$2:$D$20,MATCH($D256,Listas!$A$2:$A$20,0)),""))</f>
        <v/>
      </c>
      <c r="W256" s="11" t="str">
        <f aca="false">IF(OR($C256="",$B256="",$G256=""),"",$G256-$B256)</f>
        <v/>
      </c>
      <c r="X256" s="11" t="str">
        <f aca="true">IF(OR($C256="",$B256=""),"",IF($N256&lt;&gt;"",$N256,TODAY())-$B256)</f>
        <v/>
      </c>
      <c r="Y256" s="11" t="str">
        <f aca="true">IF(OR($C256="",$M256&lt;&gt;"Abierta",$G256=""),"",MAX($G256-TODAY(),0))</f>
        <v/>
      </c>
      <c r="Z256" s="12" t="str">
        <f aca="false">IF($C256="","",N($K256)*N($H256)*N($I256)*IF($U256="Débito",-1,1))</f>
        <v/>
      </c>
      <c r="AA256" s="13" t="str">
        <f aca="false">IF($C256="","",IF(AND($U256="Débito",$F256&lt;&gt;""),$F256,$E256))</f>
        <v/>
      </c>
      <c r="AB256" s="13" t="str">
        <f aca="false">IF(OR($C256="",$T256="Mixta",$AA256=""),"",IF($V256="Subyacente",IF($J256="","",$J256-$K256),IF($T256="Put",$AA256-$K256,$AA256+$K256)))</f>
        <v/>
      </c>
      <c r="AC256" s="14" t="str">
        <f aca="false">IF(OR($C256="",$T256="Mixta",$J256="",$AA256=""),"",IF($T256="Put",($J256-$AA256)/$J256,($AA256-$J256)/$J256))</f>
        <v/>
      </c>
      <c r="AD256" s="12" t="str">
        <f aca="false">IF($C256="","",IF($Q256&lt;&gt;"",$Q256,IF($V256="Strike",N($E256)*$H256*$I256,IF($V256="Subyacente",IF($J256="","",$J256*$H256*$I256),IF($V256="Ancho",IF($F256="","",ABS($E256-$F256)*$H256*$I256-$K256*$H256*$I256),IF($V256="Prima",$K256*$H256*$I256,""))))))</f>
        <v/>
      </c>
      <c r="AE256" s="12" t="str">
        <f aca="false">IF(OR($C256="",$M256="Abierta",$M256=""),"",(N($K256)-IF(OR($M256="Cerrada",$M256="Rolada"),N($O256),0))*$H256*$I256*IF($U256="Débito",-1,1)-N($L256)-N($P256))</f>
        <v/>
      </c>
      <c r="AF256" s="14" t="str">
        <f aca="false">IF(OR($AE256="",$AD256=""),"",IF($AD256&lt;=0,"",$AE256/$AD256))</f>
        <v/>
      </c>
      <c r="AG256" s="14" t="str">
        <f aca="false">IF($AF256="","",$AF256*365/MAX(N($X256),1))</f>
        <v/>
      </c>
      <c r="AH256" s="14" t="str">
        <f aca="false">IF(OR($C256="",$U256&lt;&gt;"Crédito",$AD256=""),"",IF($AD256&lt;=0,"",($Z256-N($L256))/$AD256))</f>
        <v/>
      </c>
      <c r="AI256" s="14" t="str">
        <f aca="false">IF(OR($AH256="",$W256=""),"",$AH256*365/MAX($W256,1))</f>
        <v/>
      </c>
      <c r="AJ256" s="14" t="str">
        <f aca="false">IF(OR($AE256="",$U256&lt;&gt;"Crédito",N($K256)=0),"",(N($K256)-IF(OR($M256="Cerrada",$M256="Rolada"),N($O256),0))/$K256)</f>
        <v/>
      </c>
      <c r="AK256" s="15" t="str">
        <f aca="false">IF(OR($C256="",$N256=""),"",DATE(YEAR($N256),MONTH($N256),1))</f>
        <v/>
      </c>
      <c r="AL256" s="11" t="str">
        <f aca="false">IF($C256="","",IF($M256="Abierta",0,1))</f>
        <v/>
      </c>
      <c r="AM256" s="16" t="str">
        <f aca="false">IF(OR($AE256="",$AD256=""),"",$AD256*MAX(N($X256),1))</f>
        <v/>
      </c>
      <c r="AN256" s="10" t="str">
        <f aca="false">IF($C256="","",IF(OR($B256="",$D256="",$H256="",$K256="",$M256=""),"Faltan datos obligatorios",IF($T256="","Estrategia no reconocida",IF(AND($M256&lt;&gt;"Abierta",$N256=""),"Falta fecha cierre",IF(AND(OR($M256="Cerrada",$M256="Rolada"),$O256=""),"Falta prima cierre",IF(AND($N256&lt;&gt;"",$N256&lt;$B256),"Cierre anterior a apertura",IF(AND($M256="Asignada",$R256=""),"Asignada: falta ID lote acciones",IF(AND($R256&lt;&gt;"",ISNA(MATCH($R256,Acciones!$A$2:$A$201,0))),"El ID lote no existe en Acciones",IF($AD256="","Revisa capital en riesgo","OK")))))))))</f>
        <v/>
      </c>
    </row>
    <row r="257" customFormat="false" ht="15" hidden="false" customHeight="true" outlineLevel="0" collapsed="false">
      <c r="A257" s="5"/>
      <c r="B257" s="6"/>
      <c r="C257" s="7"/>
      <c r="D257" s="7"/>
      <c r="E257" s="8"/>
      <c r="F257" s="8"/>
      <c r="G257" s="6"/>
      <c r="H257" s="5"/>
      <c r="I257" s="5" t="n">
        <v>100</v>
      </c>
      <c r="J257" s="8"/>
      <c r="K257" s="8"/>
      <c r="L257" s="9"/>
      <c r="M257" s="7"/>
      <c r="N257" s="6"/>
      <c r="O257" s="8"/>
      <c r="P257" s="9"/>
      <c r="Q257" s="9"/>
      <c r="R257" s="7"/>
      <c r="S257" s="7"/>
      <c r="T257" s="10" t="str">
        <f aca="false">IF($C257="","",IFERROR(INDEX(Listas!$B$2:$B$20,MATCH($D257,Listas!$A$2:$A$20,0)),""))</f>
        <v/>
      </c>
      <c r="U257" s="10" t="str">
        <f aca="false">IF($C257="","",IFERROR(INDEX(Listas!$C$2:$C$20,MATCH($D257,Listas!$A$2:$A$20,0)),""))</f>
        <v/>
      </c>
      <c r="V257" s="10" t="str">
        <f aca="false">IF($C257="","",IFERROR(INDEX(Listas!$D$2:$D$20,MATCH($D257,Listas!$A$2:$A$20,0)),""))</f>
        <v/>
      </c>
      <c r="W257" s="11" t="str">
        <f aca="false">IF(OR($C257="",$B257="",$G257=""),"",$G257-$B257)</f>
        <v/>
      </c>
      <c r="X257" s="11" t="str">
        <f aca="true">IF(OR($C257="",$B257=""),"",IF($N257&lt;&gt;"",$N257,TODAY())-$B257)</f>
        <v/>
      </c>
      <c r="Y257" s="11" t="str">
        <f aca="true">IF(OR($C257="",$M257&lt;&gt;"Abierta",$G257=""),"",MAX($G257-TODAY(),0))</f>
        <v/>
      </c>
      <c r="Z257" s="12" t="str">
        <f aca="false">IF($C257="","",N($K257)*N($H257)*N($I257)*IF($U257="Débito",-1,1))</f>
        <v/>
      </c>
      <c r="AA257" s="13" t="str">
        <f aca="false">IF($C257="","",IF(AND($U257="Débito",$F257&lt;&gt;""),$F257,$E257))</f>
        <v/>
      </c>
      <c r="AB257" s="13" t="str">
        <f aca="false">IF(OR($C257="",$T257="Mixta",$AA257=""),"",IF($V257="Subyacente",IF($J257="","",$J257-$K257),IF($T257="Put",$AA257-$K257,$AA257+$K257)))</f>
        <v/>
      </c>
      <c r="AC257" s="14" t="str">
        <f aca="false">IF(OR($C257="",$T257="Mixta",$J257="",$AA257=""),"",IF($T257="Put",($J257-$AA257)/$J257,($AA257-$J257)/$J257))</f>
        <v/>
      </c>
      <c r="AD257" s="12" t="str">
        <f aca="false">IF($C257="","",IF($Q257&lt;&gt;"",$Q257,IF($V257="Strike",N($E257)*$H257*$I257,IF($V257="Subyacente",IF($J257="","",$J257*$H257*$I257),IF($V257="Ancho",IF($F257="","",ABS($E257-$F257)*$H257*$I257-$K257*$H257*$I257),IF($V257="Prima",$K257*$H257*$I257,""))))))</f>
        <v/>
      </c>
      <c r="AE257" s="12" t="str">
        <f aca="false">IF(OR($C257="",$M257="Abierta",$M257=""),"",(N($K257)-IF(OR($M257="Cerrada",$M257="Rolada"),N($O257),0))*$H257*$I257*IF($U257="Débito",-1,1)-N($L257)-N($P257))</f>
        <v/>
      </c>
      <c r="AF257" s="14" t="str">
        <f aca="false">IF(OR($AE257="",$AD257=""),"",IF($AD257&lt;=0,"",$AE257/$AD257))</f>
        <v/>
      </c>
      <c r="AG257" s="14" t="str">
        <f aca="false">IF($AF257="","",$AF257*365/MAX(N($X257),1))</f>
        <v/>
      </c>
      <c r="AH257" s="14" t="str">
        <f aca="false">IF(OR($C257="",$U257&lt;&gt;"Crédito",$AD257=""),"",IF($AD257&lt;=0,"",($Z257-N($L257))/$AD257))</f>
        <v/>
      </c>
      <c r="AI257" s="14" t="str">
        <f aca="false">IF(OR($AH257="",$W257=""),"",$AH257*365/MAX($W257,1))</f>
        <v/>
      </c>
      <c r="AJ257" s="14" t="str">
        <f aca="false">IF(OR($AE257="",$U257&lt;&gt;"Crédito",N($K257)=0),"",(N($K257)-IF(OR($M257="Cerrada",$M257="Rolada"),N($O257),0))/$K257)</f>
        <v/>
      </c>
      <c r="AK257" s="15" t="str">
        <f aca="false">IF(OR($C257="",$N257=""),"",DATE(YEAR($N257),MONTH($N257),1))</f>
        <v/>
      </c>
      <c r="AL257" s="11" t="str">
        <f aca="false">IF($C257="","",IF($M257="Abierta",0,1))</f>
        <v/>
      </c>
      <c r="AM257" s="16" t="str">
        <f aca="false">IF(OR($AE257="",$AD257=""),"",$AD257*MAX(N($X257),1))</f>
        <v/>
      </c>
      <c r="AN257" s="10" t="str">
        <f aca="false">IF($C257="","",IF(OR($B257="",$D257="",$H257="",$K257="",$M257=""),"Faltan datos obligatorios",IF($T257="","Estrategia no reconocida",IF(AND($M257&lt;&gt;"Abierta",$N257=""),"Falta fecha cierre",IF(AND(OR($M257="Cerrada",$M257="Rolada"),$O257=""),"Falta prima cierre",IF(AND($N257&lt;&gt;"",$N257&lt;$B257),"Cierre anterior a apertura",IF(AND($M257="Asignada",$R257=""),"Asignada: falta ID lote acciones",IF(AND($R257&lt;&gt;"",ISNA(MATCH($R257,Acciones!$A$2:$A$201,0))),"El ID lote no existe en Acciones",IF($AD257="","Revisa capital en riesgo","OK")))))))))</f>
        <v/>
      </c>
    </row>
    <row r="258" customFormat="false" ht="15" hidden="false" customHeight="true" outlineLevel="0" collapsed="false">
      <c r="A258" s="5"/>
      <c r="B258" s="6"/>
      <c r="C258" s="7"/>
      <c r="D258" s="7"/>
      <c r="E258" s="8"/>
      <c r="F258" s="8"/>
      <c r="G258" s="6"/>
      <c r="H258" s="5"/>
      <c r="I258" s="5" t="n">
        <v>100</v>
      </c>
      <c r="J258" s="8"/>
      <c r="K258" s="8"/>
      <c r="L258" s="9"/>
      <c r="M258" s="7"/>
      <c r="N258" s="6"/>
      <c r="O258" s="8"/>
      <c r="P258" s="9"/>
      <c r="Q258" s="9"/>
      <c r="R258" s="7"/>
      <c r="S258" s="7"/>
      <c r="T258" s="10" t="str">
        <f aca="false">IF($C258="","",IFERROR(INDEX(Listas!$B$2:$B$20,MATCH($D258,Listas!$A$2:$A$20,0)),""))</f>
        <v/>
      </c>
      <c r="U258" s="10" t="str">
        <f aca="false">IF($C258="","",IFERROR(INDEX(Listas!$C$2:$C$20,MATCH($D258,Listas!$A$2:$A$20,0)),""))</f>
        <v/>
      </c>
      <c r="V258" s="10" t="str">
        <f aca="false">IF($C258="","",IFERROR(INDEX(Listas!$D$2:$D$20,MATCH($D258,Listas!$A$2:$A$20,0)),""))</f>
        <v/>
      </c>
      <c r="W258" s="11" t="str">
        <f aca="false">IF(OR($C258="",$B258="",$G258=""),"",$G258-$B258)</f>
        <v/>
      </c>
      <c r="X258" s="11" t="str">
        <f aca="true">IF(OR($C258="",$B258=""),"",IF($N258&lt;&gt;"",$N258,TODAY())-$B258)</f>
        <v/>
      </c>
      <c r="Y258" s="11" t="str">
        <f aca="true">IF(OR($C258="",$M258&lt;&gt;"Abierta",$G258=""),"",MAX($G258-TODAY(),0))</f>
        <v/>
      </c>
      <c r="Z258" s="12" t="str">
        <f aca="false">IF($C258="","",N($K258)*N($H258)*N($I258)*IF($U258="Débito",-1,1))</f>
        <v/>
      </c>
      <c r="AA258" s="13" t="str">
        <f aca="false">IF($C258="","",IF(AND($U258="Débito",$F258&lt;&gt;""),$F258,$E258))</f>
        <v/>
      </c>
      <c r="AB258" s="13" t="str">
        <f aca="false">IF(OR($C258="",$T258="Mixta",$AA258=""),"",IF($V258="Subyacente",IF($J258="","",$J258-$K258),IF($T258="Put",$AA258-$K258,$AA258+$K258)))</f>
        <v/>
      </c>
      <c r="AC258" s="14" t="str">
        <f aca="false">IF(OR($C258="",$T258="Mixta",$J258="",$AA258=""),"",IF($T258="Put",($J258-$AA258)/$J258,($AA258-$J258)/$J258))</f>
        <v/>
      </c>
      <c r="AD258" s="12" t="str">
        <f aca="false">IF($C258="","",IF($Q258&lt;&gt;"",$Q258,IF($V258="Strike",N($E258)*$H258*$I258,IF($V258="Subyacente",IF($J258="","",$J258*$H258*$I258),IF($V258="Ancho",IF($F258="","",ABS($E258-$F258)*$H258*$I258-$K258*$H258*$I258),IF($V258="Prima",$K258*$H258*$I258,""))))))</f>
        <v/>
      </c>
      <c r="AE258" s="12" t="str">
        <f aca="false">IF(OR($C258="",$M258="Abierta",$M258=""),"",(N($K258)-IF(OR($M258="Cerrada",$M258="Rolada"),N($O258),0))*$H258*$I258*IF($U258="Débito",-1,1)-N($L258)-N($P258))</f>
        <v/>
      </c>
      <c r="AF258" s="14" t="str">
        <f aca="false">IF(OR($AE258="",$AD258=""),"",IF($AD258&lt;=0,"",$AE258/$AD258))</f>
        <v/>
      </c>
      <c r="AG258" s="14" t="str">
        <f aca="false">IF($AF258="","",$AF258*365/MAX(N($X258),1))</f>
        <v/>
      </c>
      <c r="AH258" s="14" t="str">
        <f aca="false">IF(OR($C258="",$U258&lt;&gt;"Crédito",$AD258=""),"",IF($AD258&lt;=0,"",($Z258-N($L258))/$AD258))</f>
        <v/>
      </c>
      <c r="AI258" s="14" t="str">
        <f aca="false">IF(OR($AH258="",$W258=""),"",$AH258*365/MAX($W258,1))</f>
        <v/>
      </c>
      <c r="AJ258" s="14" t="str">
        <f aca="false">IF(OR($AE258="",$U258&lt;&gt;"Crédito",N($K258)=0),"",(N($K258)-IF(OR($M258="Cerrada",$M258="Rolada"),N($O258),0))/$K258)</f>
        <v/>
      </c>
      <c r="AK258" s="15" t="str">
        <f aca="false">IF(OR($C258="",$N258=""),"",DATE(YEAR($N258),MONTH($N258),1))</f>
        <v/>
      </c>
      <c r="AL258" s="11" t="str">
        <f aca="false">IF($C258="","",IF($M258="Abierta",0,1))</f>
        <v/>
      </c>
      <c r="AM258" s="16" t="str">
        <f aca="false">IF(OR($AE258="",$AD258=""),"",$AD258*MAX(N($X258),1))</f>
        <v/>
      </c>
      <c r="AN258" s="10" t="str">
        <f aca="false">IF($C258="","",IF(OR($B258="",$D258="",$H258="",$K258="",$M258=""),"Faltan datos obligatorios",IF($T258="","Estrategia no reconocida",IF(AND($M258&lt;&gt;"Abierta",$N258=""),"Falta fecha cierre",IF(AND(OR($M258="Cerrada",$M258="Rolada"),$O258=""),"Falta prima cierre",IF(AND($N258&lt;&gt;"",$N258&lt;$B258),"Cierre anterior a apertura",IF(AND($M258="Asignada",$R258=""),"Asignada: falta ID lote acciones",IF(AND($R258&lt;&gt;"",ISNA(MATCH($R258,Acciones!$A$2:$A$201,0))),"El ID lote no existe en Acciones",IF($AD258="","Revisa capital en riesgo","OK")))))))))</f>
        <v/>
      </c>
    </row>
    <row r="259" customFormat="false" ht="15" hidden="false" customHeight="true" outlineLevel="0" collapsed="false">
      <c r="A259" s="5"/>
      <c r="B259" s="6"/>
      <c r="C259" s="7"/>
      <c r="D259" s="7"/>
      <c r="E259" s="8"/>
      <c r="F259" s="8"/>
      <c r="G259" s="6"/>
      <c r="H259" s="5"/>
      <c r="I259" s="5" t="n">
        <v>100</v>
      </c>
      <c r="J259" s="8"/>
      <c r="K259" s="8"/>
      <c r="L259" s="9"/>
      <c r="M259" s="7"/>
      <c r="N259" s="6"/>
      <c r="O259" s="8"/>
      <c r="P259" s="9"/>
      <c r="Q259" s="9"/>
      <c r="R259" s="7"/>
      <c r="S259" s="7"/>
      <c r="T259" s="10" t="str">
        <f aca="false">IF($C259="","",IFERROR(INDEX(Listas!$B$2:$B$20,MATCH($D259,Listas!$A$2:$A$20,0)),""))</f>
        <v/>
      </c>
      <c r="U259" s="10" t="str">
        <f aca="false">IF($C259="","",IFERROR(INDEX(Listas!$C$2:$C$20,MATCH($D259,Listas!$A$2:$A$20,0)),""))</f>
        <v/>
      </c>
      <c r="V259" s="10" t="str">
        <f aca="false">IF($C259="","",IFERROR(INDEX(Listas!$D$2:$D$20,MATCH($D259,Listas!$A$2:$A$20,0)),""))</f>
        <v/>
      </c>
      <c r="W259" s="11" t="str">
        <f aca="false">IF(OR($C259="",$B259="",$G259=""),"",$G259-$B259)</f>
        <v/>
      </c>
      <c r="X259" s="11" t="str">
        <f aca="true">IF(OR($C259="",$B259=""),"",IF($N259&lt;&gt;"",$N259,TODAY())-$B259)</f>
        <v/>
      </c>
      <c r="Y259" s="11" t="str">
        <f aca="true">IF(OR($C259="",$M259&lt;&gt;"Abierta",$G259=""),"",MAX($G259-TODAY(),0))</f>
        <v/>
      </c>
      <c r="Z259" s="12" t="str">
        <f aca="false">IF($C259="","",N($K259)*N($H259)*N($I259)*IF($U259="Débito",-1,1))</f>
        <v/>
      </c>
      <c r="AA259" s="13" t="str">
        <f aca="false">IF($C259="","",IF(AND($U259="Débito",$F259&lt;&gt;""),$F259,$E259))</f>
        <v/>
      </c>
      <c r="AB259" s="13" t="str">
        <f aca="false">IF(OR($C259="",$T259="Mixta",$AA259=""),"",IF($V259="Subyacente",IF($J259="","",$J259-$K259),IF($T259="Put",$AA259-$K259,$AA259+$K259)))</f>
        <v/>
      </c>
      <c r="AC259" s="14" t="str">
        <f aca="false">IF(OR($C259="",$T259="Mixta",$J259="",$AA259=""),"",IF($T259="Put",($J259-$AA259)/$J259,($AA259-$J259)/$J259))</f>
        <v/>
      </c>
      <c r="AD259" s="12" t="str">
        <f aca="false">IF($C259="","",IF($Q259&lt;&gt;"",$Q259,IF($V259="Strike",N($E259)*$H259*$I259,IF($V259="Subyacente",IF($J259="","",$J259*$H259*$I259),IF($V259="Ancho",IF($F259="","",ABS($E259-$F259)*$H259*$I259-$K259*$H259*$I259),IF($V259="Prima",$K259*$H259*$I259,""))))))</f>
        <v/>
      </c>
      <c r="AE259" s="12" t="str">
        <f aca="false">IF(OR($C259="",$M259="Abierta",$M259=""),"",(N($K259)-IF(OR($M259="Cerrada",$M259="Rolada"),N($O259),0))*$H259*$I259*IF($U259="Débito",-1,1)-N($L259)-N($P259))</f>
        <v/>
      </c>
      <c r="AF259" s="14" t="str">
        <f aca="false">IF(OR($AE259="",$AD259=""),"",IF($AD259&lt;=0,"",$AE259/$AD259))</f>
        <v/>
      </c>
      <c r="AG259" s="14" t="str">
        <f aca="false">IF($AF259="","",$AF259*365/MAX(N($X259),1))</f>
        <v/>
      </c>
      <c r="AH259" s="14" t="str">
        <f aca="false">IF(OR($C259="",$U259&lt;&gt;"Crédito",$AD259=""),"",IF($AD259&lt;=0,"",($Z259-N($L259))/$AD259))</f>
        <v/>
      </c>
      <c r="AI259" s="14" t="str">
        <f aca="false">IF(OR($AH259="",$W259=""),"",$AH259*365/MAX($W259,1))</f>
        <v/>
      </c>
      <c r="AJ259" s="14" t="str">
        <f aca="false">IF(OR($AE259="",$U259&lt;&gt;"Crédito",N($K259)=0),"",(N($K259)-IF(OR($M259="Cerrada",$M259="Rolada"),N($O259),0))/$K259)</f>
        <v/>
      </c>
      <c r="AK259" s="15" t="str">
        <f aca="false">IF(OR($C259="",$N259=""),"",DATE(YEAR($N259),MONTH($N259),1))</f>
        <v/>
      </c>
      <c r="AL259" s="11" t="str">
        <f aca="false">IF($C259="","",IF($M259="Abierta",0,1))</f>
        <v/>
      </c>
      <c r="AM259" s="16" t="str">
        <f aca="false">IF(OR($AE259="",$AD259=""),"",$AD259*MAX(N($X259),1))</f>
        <v/>
      </c>
      <c r="AN259" s="10" t="str">
        <f aca="false">IF($C259="","",IF(OR($B259="",$D259="",$H259="",$K259="",$M259=""),"Faltan datos obligatorios",IF($T259="","Estrategia no reconocida",IF(AND($M259&lt;&gt;"Abierta",$N259=""),"Falta fecha cierre",IF(AND(OR($M259="Cerrada",$M259="Rolada"),$O259=""),"Falta prima cierre",IF(AND($N259&lt;&gt;"",$N259&lt;$B259),"Cierre anterior a apertura",IF(AND($M259="Asignada",$R259=""),"Asignada: falta ID lote acciones",IF(AND($R259&lt;&gt;"",ISNA(MATCH($R259,Acciones!$A$2:$A$201,0))),"El ID lote no existe en Acciones",IF($AD259="","Revisa capital en riesgo","OK")))))))))</f>
        <v/>
      </c>
    </row>
    <row r="260" customFormat="false" ht="15" hidden="false" customHeight="true" outlineLevel="0" collapsed="false">
      <c r="A260" s="5"/>
      <c r="B260" s="6"/>
      <c r="C260" s="7"/>
      <c r="D260" s="7"/>
      <c r="E260" s="8"/>
      <c r="F260" s="8"/>
      <c r="G260" s="6"/>
      <c r="H260" s="5"/>
      <c r="I260" s="5" t="n">
        <v>100</v>
      </c>
      <c r="J260" s="8"/>
      <c r="K260" s="8"/>
      <c r="L260" s="9"/>
      <c r="M260" s="7"/>
      <c r="N260" s="6"/>
      <c r="O260" s="8"/>
      <c r="P260" s="9"/>
      <c r="Q260" s="9"/>
      <c r="R260" s="7"/>
      <c r="S260" s="7"/>
      <c r="T260" s="10" t="str">
        <f aca="false">IF($C260="","",IFERROR(INDEX(Listas!$B$2:$B$20,MATCH($D260,Listas!$A$2:$A$20,0)),""))</f>
        <v/>
      </c>
      <c r="U260" s="10" t="str">
        <f aca="false">IF($C260="","",IFERROR(INDEX(Listas!$C$2:$C$20,MATCH($D260,Listas!$A$2:$A$20,0)),""))</f>
        <v/>
      </c>
      <c r="V260" s="10" t="str">
        <f aca="false">IF($C260="","",IFERROR(INDEX(Listas!$D$2:$D$20,MATCH($D260,Listas!$A$2:$A$20,0)),""))</f>
        <v/>
      </c>
      <c r="W260" s="11" t="str">
        <f aca="false">IF(OR($C260="",$B260="",$G260=""),"",$G260-$B260)</f>
        <v/>
      </c>
      <c r="X260" s="11" t="str">
        <f aca="true">IF(OR($C260="",$B260=""),"",IF($N260&lt;&gt;"",$N260,TODAY())-$B260)</f>
        <v/>
      </c>
      <c r="Y260" s="11" t="str">
        <f aca="true">IF(OR($C260="",$M260&lt;&gt;"Abierta",$G260=""),"",MAX($G260-TODAY(),0))</f>
        <v/>
      </c>
      <c r="Z260" s="12" t="str">
        <f aca="false">IF($C260="","",N($K260)*N($H260)*N($I260)*IF($U260="Débito",-1,1))</f>
        <v/>
      </c>
      <c r="AA260" s="13" t="str">
        <f aca="false">IF($C260="","",IF(AND($U260="Débito",$F260&lt;&gt;""),$F260,$E260))</f>
        <v/>
      </c>
      <c r="AB260" s="13" t="str">
        <f aca="false">IF(OR($C260="",$T260="Mixta",$AA260=""),"",IF($V260="Subyacente",IF($J260="","",$J260-$K260),IF($T260="Put",$AA260-$K260,$AA260+$K260)))</f>
        <v/>
      </c>
      <c r="AC260" s="14" t="str">
        <f aca="false">IF(OR($C260="",$T260="Mixta",$J260="",$AA260=""),"",IF($T260="Put",($J260-$AA260)/$J260,($AA260-$J260)/$J260))</f>
        <v/>
      </c>
      <c r="AD260" s="12" t="str">
        <f aca="false">IF($C260="","",IF($Q260&lt;&gt;"",$Q260,IF($V260="Strike",N($E260)*$H260*$I260,IF($V260="Subyacente",IF($J260="","",$J260*$H260*$I260),IF($V260="Ancho",IF($F260="","",ABS($E260-$F260)*$H260*$I260-$K260*$H260*$I260),IF($V260="Prima",$K260*$H260*$I260,""))))))</f>
        <v/>
      </c>
      <c r="AE260" s="12" t="str">
        <f aca="false">IF(OR($C260="",$M260="Abierta",$M260=""),"",(N($K260)-IF(OR($M260="Cerrada",$M260="Rolada"),N($O260),0))*$H260*$I260*IF($U260="Débito",-1,1)-N($L260)-N($P260))</f>
        <v/>
      </c>
      <c r="AF260" s="14" t="str">
        <f aca="false">IF(OR($AE260="",$AD260=""),"",IF($AD260&lt;=0,"",$AE260/$AD260))</f>
        <v/>
      </c>
      <c r="AG260" s="14" t="str">
        <f aca="false">IF($AF260="","",$AF260*365/MAX(N($X260),1))</f>
        <v/>
      </c>
      <c r="AH260" s="14" t="str">
        <f aca="false">IF(OR($C260="",$U260&lt;&gt;"Crédito",$AD260=""),"",IF($AD260&lt;=0,"",($Z260-N($L260))/$AD260))</f>
        <v/>
      </c>
      <c r="AI260" s="14" t="str">
        <f aca="false">IF(OR($AH260="",$W260=""),"",$AH260*365/MAX($W260,1))</f>
        <v/>
      </c>
      <c r="AJ260" s="14" t="str">
        <f aca="false">IF(OR($AE260="",$U260&lt;&gt;"Crédito",N($K260)=0),"",(N($K260)-IF(OR($M260="Cerrada",$M260="Rolada"),N($O260),0))/$K260)</f>
        <v/>
      </c>
      <c r="AK260" s="15" t="str">
        <f aca="false">IF(OR($C260="",$N260=""),"",DATE(YEAR($N260),MONTH($N260),1))</f>
        <v/>
      </c>
      <c r="AL260" s="11" t="str">
        <f aca="false">IF($C260="","",IF($M260="Abierta",0,1))</f>
        <v/>
      </c>
      <c r="AM260" s="16" t="str">
        <f aca="false">IF(OR($AE260="",$AD260=""),"",$AD260*MAX(N($X260),1))</f>
        <v/>
      </c>
      <c r="AN260" s="10" t="str">
        <f aca="false">IF($C260="","",IF(OR($B260="",$D260="",$H260="",$K260="",$M260=""),"Faltan datos obligatorios",IF($T260="","Estrategia no reconocida",IF(AND($M260&lt;&gt;"Abierta",$N260=""),"Falta fecha cierre",IF(AND(OR($M260="Cerrada",$M260="Rolada"),$O260=""),"Falta prima cierre",IF(AND($N260&lt;&gt;"",$N260&lt;$B260),"Cierre anterior a apertura",IF(AND($M260="Asignada",$R260=""),"Asignada: falta ID lote acciones",IF(AND($R260&lt;&gt;"",ISNA(MATCH($R260,Acciones!$A$2:$A$201,0))),"El ID lote no existe en Acciones",IF($AD260="","Revisa capital en riesgo","OK")))))))))</f>
        <v/>
      </c>
    </row>
    <row r="261" customFormat="false" ht="15" hidden="false" customHeight="true" outlineLevel="0" collapsed="false">
      <c r="A261" s="5"/>
      <c r="B261" s="6"/>
      <c r="C261" s="7"/>
      <c r="D261" s="7"/>
      <c r="E261" s="8"/>
      <c r="F261" s="8"/>
      <c r="G261" s="6"/>
      <c r="H261" s="5"/>
      <c r="I261" s="5" t="n">
        <v>100</v>
      </c>
      <c r="J261" s="8"/>
      <c r="K261" s="8"/>
      <c r="L261" s="9"/>
      <c r="M261" s="7"/>
      <c r="N261" s="6"/>
      <c r="O261" s="8"/>
      <c r="P261" s="9"/>
      <c r="Q261" s="9"/>
      <c r="R261" s="7"/>
      <c r="S261" s="7"/>
      <c r="T261" s="10" t="str">
        <f aca="false">IF($C261="","",IFERROR(INDEX(Listas!$B$2:$B$20,MATCH($D261,Listas!$A$2:$A$20,0)),""))</f>
        <v/>
      </c>
      <c r="U261" s="10" t="str">
        <f aca="false">IF($C261="","",IFERROR(INDEX(Listas!$C$2:$C$20,MATCH($D261,Listas!$A$2:$A$20,0)),""))</f>
        <v/>
      </c>
      <c r="V261" s="10" t="str">
        <f aca="false">IF($C261="","",IFERROR(INDEX(Listas!$D$2:$D$20,MATCH($D261,Listas!$A$2:$A$20,0)),""))</f>
        <v/>
      </c>
      <c r="W261" s="11" t="str">
        <f aca="false">IF(OR($C261="",$B261="",$G261=""),"",$G261-$B261)</f>
        <v/>
      </c>
      <c r="X261" s="11" t="str">
        <f aca="true">IF(OR($C261="",$B261=""),"",IF($N261&lt;&gt;"",$N261,TODAY())-$B261)</f>
        <v/>
      </c>
      <c r="Y261" s="11" t="str">
        <f aca="true">IF(OR($C261="",$M261&lt;&gt;"Abierta",$G261=""),"",MAX($G261-TODAY(),0))</f>
        <v/>
      </c>
      <c r="Z261" s="12" t="str">
        <f aca="false">IF($C261="","",N($K261)*N($H261)*N($I261)*IF($U261="Débito",-1,1))</f>
        <v/>
      </c>
      <c r="AA261" s="13" t="str">
        <f aca="false">IF($C261="","",IF(AND($U261="Débito",$F261&lt;&gt;""),$F261,$E261))</f>
        <v/>
      </c>
      <c r="AB261" s="13" t="str">
        <f aca="false">IF(OR($C261="",$T261="Mixta",$AA261=""),"",IF($V261="Subyacente",IF($J261="","",$J261-$K261),IF($T261="Put",$AA261-$K261,$AA261+$K261)))</f>
        <v/>
      </c>
      <c r="AC261" s="14" t="str">
        <f aca="false">IF(OR($C261="",$T261="Mixta",$J261="",$AA261=""),"",IF($T261="Put",($J261-$AA261)/$J261,($AA261-$J261)/$J261))</f>
        <v/>
      </c>
      <c r="AD261" s="12" t="str">
        <f aca="false">IF($C261="","",IF($Q261&lt;&gt;"",$Q261,IF($V261="Strike",N($E261)*$H261*$I261,IF($V261="Subyacente",IF($J261="","",$J261*$H261*$I261),IF($V261="Ancho",IF($F261="","",ABS($E261-$F261)*$H261*$I261-$K261*$H261*$I261),IF($V261="Prima",$K261*$H261*$I261,""))))))</f>
        <v/>
      </c>
      <c r="AE261" s="12" t="str">
        <f aca="false">IF(OR($C261="",$M261="Abierta",$M261=""),"",(N($K261)-IF(OR($M261="Cerrada",$M261="Rolada"),N($O261),0))*$H261*$I261*IF($U261="Débito",-1,1)-N($L261)-N($P261))</f>
        <v/>
      </c>
      <c r="AF261" s="14" t="str">
        <f aca="false">IF(OR($AE261="",$AD261=""),"",IF($AD261&lt;=0,"",$AE261/$AD261))</f>
        <v/>
      </c>
      <c r="AG261" s="14" t="str">
        <f aca="false">IF($AF261="","",$AF261*365/MAX(N($X261),1))</f>
        <v/>
      </c>
      <c r="AH261" s="14" t="str">
        <f aca="false">IF(OR($C261="",$U261&lt;&gt;"Crédito",$AD261=""),"",IF($AD261&lt;=0,"",($Z261-N($L261))/$AD261))</f>
        <v/>
      </c>
      <c r="AI261" s="14" t="str">
        <f aca="false">IF(OR($AH261="",$W261=""),"",$AH261*365/MAX($W261,1))</f>
        <v/>
      </c>
      <c r="AJ261" s="14" t="str">
        <f aca="false">IF(OR($AE261="",$U261&lt;&gt;"Crédito",N($K261)=0),"",(N($K261)-IF(OR($M261="Cerrada",$M261="Rolada"),N($O261),0))/$K261)</f>
        <v/>
      </c>
      <c r="AK261" s="15" t="str">
        <f aca="false">IF(OR($C261="",$N261=""),"",DATE(YEAR($N261),MONTH($N261),1))</f>
        <v/>
      </c>
      <c r="AL261" s="11" t="str">
        <f aca="false">IF($C261="","",IF($M261="Abierta",0,1))</f>
        <v/>
      </c>
      <c r="AM261" s="16" t="str">
        <f aca="false">IF(OR($AE261="",$AD261=""),"",$AD261*MAX(N($X261),1))</f>
        <v/>
      </c>
      <c r="AN261" s="10" t="str">
        <f aca="false">IF($C261="","",IF(OR($B261="",$D261="",$H261="",$K261="",$M261=""),"Faltan datos obligatorios",IF($T261="","Estrategia no reconocida",IF(AND($M261&lt;&gt;"Abierta",$N261=""),"Falta fecha cierre",IF(AND(OR($M261="Cerrada",$M261="Rolada"),$O261=""),"Falta prima cierre",IF(AND($N261&lt;&gt;"",$N261&lt;$B261),"Cierre anterior a apertura",IF(AND($M261="Asignada",$R261=""),"Asignada: falta ID lote acciones",IF(AND($R261&lt;&gt;"",ISNA(MATCH($R261,Acciones!$A$2:$A$201,0))),"El ID lote no existe en Acciones",IF($AD261="","Revisa capital en riesgo","OK")))))))))</f>
        <v/>
      </c>
    </row>
    <row r="262" customFormat="false" ht="15" hidden="false" customHeight="true" outlineLevel="0" collapsed="false">
      <c r="A262" s="5"/>
      <c r="B262" s="6"/>
      <c r="C262" s="7"/>
      <c r="D262" s="7"/>
      <c r="E262" s="8"/>
      <c r="F262" s="8"/>
      <c r="G262" s="6"/>
      <c r="H262" s="5"/>
      <c r="I262" s="5" t="n">
        <v>100</v>
      </c>
      <c r="J262" s="8"/>
      <c r="K262" s="8"/>
      <c r="L262" s="9"/>
      <c r="M262" s="7"/>
      <c r="N262" s="6"/>
      <c r="O262" s="8"/>
      <c r="P262" s="9"/>
      <c r="Q262" s="9"/>
      <c r="R262" s="7"/>
      <c r="S262" s="7"/>
      <c r="T262" s="10" t="str">
        <f aca="false">IF($C262="","",IFERROR(INDEX(Listas!$B$2:$B$20,MATCH($D262,Listas!$A$2:$A$20,0)),""))</f>
        <v/>
      </c>
      <c r="U262" s="10" t="str">
        <f aca="false">IF($C262="","",IFERROR(INDEX(Listas!$C$2:$C$20,MATCH($D262,Listas!$A$2:$A$20,0)),""))</f>
        <v/>
      </c>
      <c r="V262" s="10" t="str">
        <f aca="false">IF($C262="","",IFERROR(INDEX(Listas!$D$2:$D$20,MATCH($D262,Listas!$A$2:$A$20,0)),""))</f>
        <v/>
      </c>
      <c r="W262" s="11" t="str">
        <f aca="false">IF(OR($C262="",$B262="",$G262=""),"",$G262-$B262)</f>
        <v/>
      </c>
      <c r="X262" s="11" t="str">
        <f aca="true">IF(OR($C262="",$B262=""),"",IF($N262&lt;&gt;"",$N262,TODAY())-$B262)</f>
        <v/>
      </c>
      <c r="Y262" s="11" t="str">
        <f aca="true">IF(OR($C262="",$M262&lt;&gt;"Abierta",$G262=""),"",MAX($G262-TODAY(),0))</f>
        <v/>
      </c>
      <c r="Z262" s="12" t="str">
        <f aca="false">IF($C262="","",N($K262)*N($H262)*N($I262)*IF($U262="Débito",-1,1))</f>
        <v/>
      </c>
      <c r="AA262" s="13" t="str">
        <f aca="false">IF($C262="","",IF(AND($U262="Débito",$F262&lt;&gt;""),$F262,$E262))</f>
        <v/>
      </c>
      <c r="AB262" s="13" t="str">
        <f aca="false">IF(OR($C262="",$T262="Mixta",$AA262=""),"",IF($V262="Subyacente",IF($J262="","",$J262-$K262),IF($T262="Put",$AA262-$K262,$AA262+$K262)))</f>
        <v/>
      </c>
      <c r="AC262" s="14" t="str">
        <f aca="false">IF(OR($C262="",$T262="Mixta",$J262="",$AA262=""),"",IF($T262="Put",($J262-$AA262)/$J262,($AA262-$J262)/$J262))</f>
        <v/>
      </c>
      <c r="AD262" s="12" t="str">
        <f aca="false">IF($C262="","",IF($Q262&lt;&gt;"",$Q262,IF($V262="Strike",N($E262)*$H262*$I262,IF($V262="Subyacente",IF($J262="","",$J262*$H262*$I262),IF($V262="Ancho",IF($F262="","",ABS($E262-$F262)*$H262*$I262-$K262*$H262*$I262),IF($V262="Prima",$K262*$H262*$I262,""))))))</f>
        <v/>
      </c>
      <c r="AE262" s="12" t="str">
        <f aca="false">IF(OR($C262="",$M262="Abierta",$M262=""),"",(N($K262)-IF(OR($M262="Cerrada",$M262="Rolada"),N($O262),0))*$H262*$I262*IF($U262="Débito",-1,1)-N($L262)-N($P262))</f>
        <v/>
      </c>
      <c r="AF262" s="14" t="str">
        <f aca="false">IF(OR($AE262="",$AD262=""),"",IF($AD262&lt;=0,"",$AE262/$AD262))</f>
        <v/>
      </c>
      <c r="AG262" s="14" t="str">
        <f aca="false">IF($AF262="","",$AF262*365/MAX(N($X262),1))</f>
        <v/>
      </c>
      <c r="AH262" s="14" t="str">
        <f aca="false">IF(OR($C262="",$U262&lt;&gt;"Crédito",$AD262=""),"",IF($AD262&lt;=0,"",($Z262-N($L262))/$AD262))</f>
        <v/>
      </c>
      <c r="AI262" s="14" t="str">
        <f aca="false">IF(OR($AH262="",$W262=""),"",$AH262*365/MAX($W262,1))</f>
        <v/>
      </c>
      <c r="AJ262" s="14" t="str">
        <f aca="false">IF(OR($AE262="",$U262&lt;&gt;"Crédito",N($K262)=0),"",(N($K262)-IF(OR($M262="Cerrada",$M262="Rolada"),N($O262),0))/$K262)</f>
        <v/>
      </c>
      <c r="AK262" s="15" t="str">
        <f aca="false">IF(OR($C262="",$N262=""),"",DATE(YEAR($N262),MONTH($N262),1))</f>
        <v/>
      </c>
      <c r="AL262" s="11" t="str">
        <f aca="false">IF($C262="","",IF($M262="Abierta",0,1))</f>
        <v/>
      </c>
      <c r="AM262" s="16" t="str">
        <f aca="false">IF(OR($AE262="",$AD262=""),"",$AD262*MAX(N($X262),1))</f>
        <v/>
      </c>
      <c r="AN262" s="10" t="str">
        <f aca="false">IF($C262="","",IF(OR($B262="",$D262="",$H262="",$K262="",$M262=""),"Faltan datos obligatorios",IF($T262="","Estrategia no reconocida",IF(AND($M262&lt;&gt;"Abierta",$N262=""),"Falta fecha cierre",IF(AND(OR($M262="Cerrada",$M262="Rolada"),$O262=""),"Falta prima cierre",IF(AND($N262&lt;&gt;"",$N262&lt;$B262),"Cierre anterior a apertura",IF(AND($M262="Asignada",$R262=""),"Asignada: falta ID lote acciones",IF(AND($R262&lt;&gt;"",ISNA(MATCH($R262,Acciones!$A$2:$A$201,0))),"El ID lote no existe en Acciones",IF($AD262="","Revisa capital en riesgo","OK")))))))))</f>
        <v/>
      </c>
    </row>
    <row r="263" customFormat="false" ht="15" hidden="false" customHeight="true" outlineLevel="0" collapsed="false">
      <c r="A263" s="5"/>
      <c r="B263" s="6"/>
      <c r="C263" s="7"/>
      <c r="D263" s="7"/>
      <c r="E263" s="8"/>
      <c r="F263" s="8"/>
      <c r="G263" s="6"/>
      <c r="H263" s="5"/>
      <c r="I263" s="5" t="n">
        <v>100</v>
      </c>
      <c r="J263" s="8"/>
      <c r="K263" s="8"/>
      <c r="L263" s="9"/>
      <c r="M263" s="7"/>
      <c r="N263" s="6"/>
      <c r="O263" s="8"/>
      <c r="P263" s="9"/>
      <c r="Q263" s="9"/>
      <c r="R263" s="7"/>
      <c r="S263" s="7"/>
      <c r="T263" s="10" t="str">
        <f aca="false">IF($C263="","",IFERROR(INDEX(Listas!$B$2:$B$20,MATCH($D263,Listas!$A$2:$A$20,0)),""))</f>
        <v/>
      </c>
      <c r="U263" s="10" t="str">
        <f aca="false">IF($C263="","",IFERROR(INDEX(Listas!$C$2:$C$20,MATCH($D263,Listas!$A$2:$A$20,0)),""))</f>
        <v/>
      </c>
      <c r="V263" s="10" t="str">
        <f aca="false">IF($C263="","",IFERROR(INDEX(Listas!$D$2:$D$20,MATCH($D263,Listas!$A$2:$A$20,0)),""))</f>
        <v/>
      </c>
      <c r="W263" s="11" t="str">
        <f aca="false">IF(OR($C263="",$B263="",$G263=""),"",$G263-$B263)</f>
        <v/>
      </c>
      <c r="X263" s="11" t="str">
        <f aca="true">IF(OR($C263="",$B263=""),"",IF($N263&lt;&gt;"",$N263,TODAY())-$B263)</f>
        <v/>
      </c>
      <c r="Y263" s="11" t="str">
        <f aca="true">IF(OR($C263="",$M263&lt;&gt;"Abierta",$G263=""),"",MAX($G263-TODAY(),0))</f>
        <v/>
      </c>
      <c r="Z263" s="12" t="str">
        <f aca="false">IF($C263="","",N($K263)*N($H263)*N($I263)*IF($U263="Débito",-1,1))</f>
        <v/>
      </c>
      <c r="AA263" s="13" t="str">
        <f aca="false">IF($C263="","",IF(AND($U263="Débito",$F263&lt;&gt;""),$F263,$E263))</f>
        <v/>
      </c>
      <c r="AB263" s="13" t="str">
        <f aca="false">IF(OR($C263="",$T263="Mixta",$AA263=""),"",IF($V263="Subyacente",IF($J263="","",$J263-$K263),IF($T263="Put",$AA263-$K263,$AA263+$K263)))</f>
        <v/>
      </c>
      <c r="AC263" s="14" t="str">
        <f aca="false">IF(OR($C263="",$T263="Mixta",$J263="",$AA263=""),"",IF($T263="Put",($J263-$AA263)/$J263,($AA263-$J263)/$J263))</f>
        <v/>
      </c>
      <c r="AD263" s="12" t="str">
        <f aca="false">IF($C263="","",IF($Q263&lt;&gt;"",$Q263,IF($V263="Strike",N($E263)*$H263*$I263,IF($V263="Subyacente",IF($J263="","",$J263*$H263*$I263),IF($V263="Ancho",IF($F263="","",ABS($E263-$F263)*$H263*$I263-$K263*$H263*$I263),IF($V263="Prima",$K263*$H263*$I263,""))))))</f>
        <v/>
      </c>
      <c r="AE263" s="12" t="str">
        <f aca="false">IF(OR($C263="",$M263="Abierta",$M263=""),"",(N($K263)-IF(OR($M263="Cerrada",$M263="Rolada"),N($O263),0))*$H263*$I263*IF($U263="Débito",-1,1)-N($L263)-N($P263))</f>
        <v/>
      </c>
      <c r="AF263" s="14" t="str">
        <f aca="false">IF(OR($AE263="",$AD263=""),"",IF($AD263&lt;=0,"",$AE263/$AD263))</f>
        <v/>
      </c>
      <c r="AG263" s="14" t="str">
        <f aca="false">IF($AF263="","",$AF263*365/MAX(N($X263),1))</f>
        <v/>
      </c>
      <c r="AH263" s="14" t="str">
        <f aca="false">IF(OR($C263="",$U263&lt;&gt;"Crédito",$AD263=""),"",IF($AD263&lt;=0,"",($Z263-N($L263))/$AD263))</f>
        <v/>
      </c>
      <c r="AI263" s="14" t="str">
        <f aca="false">IF(OR($AH263="",$W263=""),"",$AH263*365/MAX($W263,1))</f>
        <v/>
      </c>
      <c r="AJ263" s="14" t="str">
        <f aca="false">IF(OR($AE263="",$U263&lt;&gt;"Crédito",N($K263)=0),"",(N($K263)-IF(OR($M263="Cerrada",$M263="Rolada"),N($O263),0))/$K263)</f>
        <v/>
      </c>
      <c r="AK263" s="15" t="str">
        <f aca="false">IF(OR($C263="",$N263=""),"",DATE(YEAR($N263),MONTH($N263),1))</f>
        <v/>
      </c>
      <c r="AL263" s="11" t="str">
        <f aca="false">IF($C263="","",IF($M263="Abierta",0,1))</f>
        <v/>
      </c>
      <c r="AM263" s="16" t="str">
        <f aca="false">IF(OR($AE263="",$AD263=""),"",$AD263*MAX(N($X263),1))</f>
        <v/>
      </c>
      <c r="AN263" s="10" t="str">
        <f aca="false">IF($C263="","",IF(OR($B263="",$D263="",$H263="",$K263="",$M263=""),"Faltan datos obligatorios",IF($T263="","Estrategia no reconocida",IF(AND($M263&lt;&gt;"Abierta",$N263=""),"Falta fecha cierre",IF(AND(OR($M263="Cerrada",$M263="Rolada"),$O263=""),"Falta prima cierre",IF(AND($N263&lt;&gt;"",$N263&lt;$B263),"Cierre anterior a apertura",IF(AND($M263="Asignada",$R263=""),"Asignada: falta ID lote acciones",IF(AND($R263&lt;&gt;"",ISNA(MATCH($R263,Acciones!$A$2:$A$201,0))),"El ID lote no existe en Acciones",IF($AD263="","Revisa capital en riesgo","OK")))))))))</f>
        <v/>
      </c>
    </row>
    <row r="264" customFormat="false" ht="15" hidden="false" customHeight="true" outlineLevel="0" collapsed="false">
      <c r="A264" s="5"/>
      <c r="B264" s="6"/>
      <c r="C264" s="7"/>
      <c r="D264" s="7"/>
      <c r="E264" s="8"/>
      <c r="F264" s="8"/>
      <c r="G264" s="6"/>
      <c r="H264" s="5"/>
      <c r="I264" s="5" t="n">
        <v>100</v>
      </c>
      <c r="J264" s="8"/>
      <c r="K264" s="8"/>
      <c r="L264" s="9"/>
      <c r="M264" s="7"/>
      <c r="N264" s="6"/>
      <c r="O264" s="8"/>
      <c r="P264" s="9"/>
      <c r="Q264" s="9"/>
      <c r="R264" s="7"/>
      <c r="S264" s="7"/>
      <c r="T264" s="10" t="str">
        <f aca="false">IF($C264="","",IFERROR(INDEX(Listas!$B$2:$B$20,MATCH($D264,Listas!$A$2:$A$20,0)),""))</f>
        <v/>
      </c>
      <c r="U264" s="10" t="str">
        <f aca="false">IF($C264="","",IFERROR(INDEX(Listas!$C$2:$C$20,MATCH($D264,Listas!$A$2:$A$20,0)),""))</f>
        <v/>
      </c>
      <c r="V264" s="10" t="str">
        <f aca="false">IF($C264="","",IFERROR(INDEX(Listas!$D$2:$D$20,MATCH($D264,Listas!$A$2:$A$20,0)),""))</f>
        <v/>
      </c>
      <c r="W264" s="11" t="str">
        <f aca="false">IF(OR($C264="",$B264="",$G264=""),"",$G264-$B264)</f>
        <v/>
      </c>
      <c r="X264" s="11" t="str">
        <f aca="true">IF(OR($C264="",$B264=""),"",IF($N264&lt;&gt;"",$N264,TODAY())-$B264)</f>
        <v/>
      </c>
      <c r="Y264" s="11" t="str">
        <f aca="true">IF(OR($C264="",$M264&lt;&gt;"Abierta",$G264=""),"",MAX($G264-TODAY(),0))</f>
        <v/>
      </c>
      <c r="Z264" s="12" t="str">
        <f aca="false">IF($C264="","",N($K264)*N($H264)*N($I264)*IF($U264="Débito",-1,1))</f>
        <v/>
      </c>
      <c r="AA264" s="13" t="str">
        <f aca="false">IF($C264="","",IF(AND($U264="Débito",$F264&lt;&gt;""),$F264,$E264))</f>
        <v/>
      </c>
      <c r="AB264" s="13" t="str">
        <f aca="false">IF(OR($C264="",$T264="Mixta",$AA264=""),"",IF($V264="Subyacente",IF($J264="","",$J264-$K264),IF($T264="Put",$AA264-$K264,$AA264+$K264)))</f>
        <v/>
      </c>
      <c r="AC264" s="14" t="str">
        <f aca="false">IF(OR($C264="",$T264="Mixta",$J264="",$AA264=""),"",IF($T264="Put",($J264-$AA264)/$J264,($AA264-$J264)/$J264))</f>
        <v/>
      </c>
      <c r="AD264" s="12" t="str">
        <f aca="false">IF($C264="","",IF($Q264&lt;&gt;"",$Q264,IF($V264="Strike",N($E264)*$H264*$I264,IF($V264="Subyacente",IF($J264="","",$J264*$H264*$I264),IF($V264="Ancho",IF($F264="","",ABS($E264-$F264)*$H264*$I264-$K264*$H264*$I264),IF($V264="Prima",$K264*$H264*$I264,""))))))</f>
        <v/>
      </c>
      <c r="AE264" s="12" t="str">
        <f aca="false">IF(OR($C264="",$M264="Abierta",$M264=""),"",(N($K264)-IF(OR($M264="Cerrada",$M264="Rolada"),N($O264),0))*$H264*$I264*IF($U264="Débito",-1,1)-N($L264)-N($P264))</f>
        <v/>
      </c>
      <c r="AF264" s="14" t="str">
        <f aca="false">IF(OR($AE264="",$AD264=""),"",IF($AD264&lt;=0,"",$AE264/$AD264))</f>
        <v/>
      </c>
      <c r="AG264" s="14" t="str">
        <f aca="false">IF($AF264="","",$AF264*365/MAX(N($X264),1))</f>
        <v/>
      </c>
      <c r="AH264" s="14" t="str">
        <f aca="false">IF(OR($C264="",$U264&lt;&gt;"Crédito",$AD264=""),"",IF($AD264&lt;=0,"",($Z264-N($L264))/$AD264))</f>
        <v/>
      </c>
      <c r="AI264" s="14" t="str">
        <f aca="false">IF(OR($AH264="",$W264=""),"",$AH264*365/MAX($W264,1))</f>
        <v/>
      </c>
      <c r="AJ264" s="14" t="str">
        <f aca="false">IF(OR($AE264="",$U264&lt;&gt;"Crédito",N($K264)=0),"",(N($K264)-IF(OR($M264="Cerrada",$M264="Rolada"),N($O264),0))/$K264)</f>
        <v/>
      </c>
      <c r="AK264" s="15" t="str">
        <f aca="false">IF(OR($C264="",$N264=""),"",DATE(YEAR($N264),MONTH($N264),1))</f>
        <v/>
      </c>
      <c r="AL264" s="11" t="str">
        <f aca="false">IF($C264="","",IF($M264="Abierta",0,1))</f>
        <v/>
      </c>
      <c r="AM264" s="16" t="str">
        <f aca="false">IF(OR($AE264="",$AD264=""),"",$AD264*MAX(N($X264),1))</f>
        <v/>
      </c>
      <c r="AN264" s="10" t="str">
        <f aca="false">IF($C264="","",IF(OR($B264="",$D264="",$H264="",$K264="",$M264=""),"Faltan datos obligatorios",IF($T264="","Estrategia no reconocida",IF(AND($M264&lt;&gt;"Abierta",$N264=""),"Falta fecha cierre",IF(AND(OR($M264="Cerrada",$M264="Rolada"),$O264=""),"Falta prima cierre",IF(AND($N264&lt;&gt;"",$N264&lt;$B264),"Cierre anterior a apertura",IF(AND($M264="Asignada",$R264=""),"Asignada: falta ID lote acciones",IF(AND($R264&lt;&gt;"",ISNA(MATCH($R264,Acciones!$A$2:$A$201,0))),"El ID lote no existe en Acciones",IF($AD264="","Revisa capital en riesgo","OK")))))))))</f>
        <v/>
      </c>
    </row>
    <row r="265" customFormat="false" ht="15" hidden="false" customHeight="true" outlineLevel="0" collapsed="false">
      <c r="A265" s="5"/>
      <c r="B265" s="6"/>
      <c r="C265" s="7"/>
      <c r="D265" s="7"/>
      <c r="E265" s="8"/>
      <c r="F265" s="8"/>
      <c r="G265" s="6"/>
      <c r="H265" s="5"/>
      <c r="I265" s="5" t="n">
        <v>100</v>
      </c>
      <c r="J265" s="8"/>
      <c r="K265" s="8"/>
      <c r="L265" s="9"/>
      <c r="M265" s="7"/>
      <c r="N265" s="6"/>
      <c r="O265" s="8"/>
      <c r="P265" s="9"/>
      <c r="Q265" s="9"/>
      <c r="R265" s="7"/>
      <c r="S265" s="7"/>
      <c r="T265" s="10" t="str">
        <f aca="false">IF($C265="","",IFERROR(INDEX(Listas!$B$2:$B$20,MATCH($D265,Listas!$A$2:$A$20,0)),""))</f>
        <v/>
      </c>
      <c r="U265" s="10" t="str">
        <f aca="false">IF($C265="","",IFERROR(INDEX(Listas!$C$2:$C$20,MATCH($D265,Listas!$A$2:$A$20,0)),""))</f>
        <v/>
      </c>
      <c r="V265" s="10" t="str">
        <f aca="false">IF($C265="","",IFERROR(INDEX(Listas!$D$2:$D$20,MATCH($D265,Listas!$A$2:$A$20,0)),""))</f>
        <v/>
      </c>
      <c r="W265" s="11" t="str">
        <f aca="false">IF(OR($C265="",$B265="",$G265=""),"",$G265-$B265)</f>
        <v/>
      </c>
      <c r="X265" s="11" t="str">
        <f aca="true">IF(OR($C265="",$B265=""),"",IF($N265&lt;&gt;"",$N265,TODAY())-$B265)</f>
        <v/>
      </c>
      <c r="Y265" s="11" t="str">
        <f aca="true">IF(OR($C265="",$M265&lt;&gt;"Abierta",$G265=""),"",MAX($G265-TODAY(),0))</f>
        <v/>
      </c>
      <c r="Z265" s="12" t="str">
        <f aca="false">IF($C265="","",N($K265)*N($H265)*N($I265)*IF($U265="Débito",-1,1))</f>
        <v/>
      </c>
      <c r="AA265" s="13" t="str">
        <f aca="false">IF($C265="","",IF(AND($U265="Débito",$F265&lt;&gt;""),$F265,$E265))</f>
        <v/>
      </c>
      <c r="AB265" s="13" t="str">
        <f aca="false">IF(OR($C265="",$T265="Mixta",$AA265=""),"",IF($V265="Subyacente",IF($J265="","",$J265-$K265),IF($T265="Put",$AA265-$K265,$AA265+$K265)))</f>
        <v/>
      </c>
      <c r="AC265" s="14" t="str">
        <f aca="false">IF(OR($C265="",$T265="Mixta",$J265="",$AA265=""),"",IF($T265="Put",($J265-$AA265)/$J265,($AA265-$J265)/$J265))</f>
        <v/>
      </c>
      <c r="AD265" s="12" t="str">
        <f aca="false">IF($C265="","",IF($Q265&lt;&gt;"",$Q265,IF($V265="Strike",N($E265)*$H265*$I265,IF($V265="Subyacente",IF($J265="","",$J265*$H265*$I265),IF($V265="Ancho",IF($F265="","",ABS($E265-$F265)*$H265*$I265-$K265*$H265*$I265),IF($V265="Prima",$K265*$H265*$I265,""))))))</f>
        <v/>
      </c>
      <c r="AE265" s="12" t="str">
        <f aca="false">IF(OR($C265="",$M265="Abierta",$M265=""),"",(N($K265)-IF(OR($M265="Cerrada",$M265="Rolada"),N($O265),0))*$H265*$I265*IF($U265="Débito",-1,1)-N($L265)-N($P265))</f>
        <v/>
      </c>
      <c r="AF265" s="14" t="str">
        <f aca="false">IF(OR($AE265="",$AD265=""),"",IF($AD265&lt;=0,"",$AE265/$AD265))</f>
        <v/>
      </c>
      <c r="AG265" s="14" t="str">
        <f aca="false">IF($AF265="","",$AF265*365/MAX(N($X265),1))</f>
        <v/>
      </c>
      <c r="AH265" s="14" t="str">
        <f aca="false">IF(OR($C265="",$U265&lt;&gt;"Crédito",$AD265=""),"",IF($AD265&lt;=0,"",($Z265-N($L265))/$AD265))</f>
        <v/>
      </c>
      <c r="AI265" s="14" t="str">
        <f aca="false">IF(OR($AH265="",$W265=""),"",$AH265*365/MAX($W265,1))</f>
        <v/>
      </c>
      <c r="AJ265" s="14" t="str">
        <f aca="false">IF(OR($AE265="",$U265&lt;&gt;"Crédito",N($K265)=0),"",(N($K265)-IF(OR($M265="Cerrada",$M265="Rolada"),N($O265),0))/$K265)</f>
        <v/>
      </c>
      <c r="AK265" s="15" t="str">
        <f aca="false">IF(OR($C265="",$N265=""),"",DATE(YEAR($N265),MONTH($N265),1))</f>
        <v/>
      </c>
      <c r="AL265" s="11" t="str">
        <f aca="false">IF($C265="","",IF($M265="Abierta",0,1))</f>
        <v/>
      </c>
      <c r="AM265" s="16" t="str">
        <f aca="false">IF(OR($AE265="",$AD265=""),"",$AD265*MAX(N($X265),1))</f>
        <v/>
      </c>
      <c r="AN265" s="10" t="str">
        <f aca="false">IF($C265="","",IF(OR($B265="",$D265="",$H265="",$K265="",$M265=""),"Faltan datos obligatorios",IF($T265="","Estrategia no reconocida",IF(AND($M265&lt;&gt;"Abierta",$N265=""),"Falta fecha cierre",IF(AND(OR($M265="Cerrada",$M265="Rolada"),$O265=""),"Falta prima cierre",IF(AND($N265&lt;&gt;"",$N265&lt;$B265),"Cierre anterior a apertura",IF(AND($M265="Asignada",$R265=""),"Asignada: falta ID lote acciones",IF(AND($R265&lt;&gt;"",ISNA(MATCH($R265,Acciones!$A$2:$A$201,0))),"El ID lote no existe en Acciones",IF($AD265="","Revisa capital en riesgo","OK")))))))))</f>
        <v/>
      </c>
    </row>
    <row r="266" customFormat="false" ht="15" hidden="false" customHeight="true" outlineLevel="0" collapsed="false">
      <c r="A266" s="5"/>
      <c r="B266" s="6"/>
      <c r="C266" s="7"/>
      <c r="D266" s="7"/>
      <c r="E266" s="8"/>
      <c r="F266" s="8"/>
      <c r="G266" s="6"/>
      <c r="H266" s="5"/>
      <c r="I266" s="5" t="n">
        <v>100</v>
      </c>
      <c r="J266" s="8"/>
      <c r="K266" s="8"/>
      <c r="L266" s="9"/>
      <c r="M266" s="7"/>
      <c r="N266" s="6"/>
      <c r="O266" s="8"/>
      <c r="P266" s="9"/>
      <c r="Q266" s="9"/>
      <c r="R266" s="7"/>
      <c r="S266" s="7"/>
      <c r="T266" s="10" t="str">
        <f aca="false">IF($C266="","",IFERROR(INDEX(Listas!$B$2:$B$20,MATCH($D266,Listas!$A$2:$A$20,0)),""))</f>
        <v/>
      </c>
      <c r="U266" s="10" t="str">
        <f aca="false">IF($C266="","",IFERROR(INDEX(Listas!$C$2:$C$20,MATCH($D266,Listas!$A$2:$A$20,0)),""))</f>
        <v/>
      </c>
      <c r="V266" s="10" t="str">
        <f aca="false">IF($C266="","",IFERROR(INDEX(Listas!$D$2:$D$20,MATCH($D266,Listas!$A$2:$A$20,0)),""))</f>
        <v/>
      </c>
      <c r="W266" s="11" t="str">
        <f aca="false">IF(OR($C266="",$B266="",$G266=""),"",$G266-$B266)</f>
        <v/>
      </c>
      <c r="X266" s="11" t="str">
        <f aca="true">IF(OR($C266="",$B266=""),"",IF($N266&lt;&gt;"",$N266,TODAY())-$B266)</f>
        <v/>
      </c>
      <c r="Y266" s="11" t="str">
        <f aca="true">IF(OR($C266="",$M266&lt;&gt;"Abierta",$G266=""),"",MAX($G266-TODAY(),0))</f>
        <v/>
      </c>
      <c r="Z266" s="12" t="str">
        <f aca="false">IF($C266="","",N($K266)*N($H266)*N($I266)*IF($U266="Débito",-1,1))</f>
        <v/>
      </c>
      <c r="AA266" s="13" t="str">
        <f aca="false">IF($C266="","",IF(AND($U266="Débito",$F266&lt;&gt;""),$F266,$E266))</f>
        <v/>
      </c>
      <c r="AB266" s="13" t="str">
        <f aca="false">IF(OR($C266="",$T266="Mixta",$AA266=""),"",IF($V266="Subyacente",IF($J266="","",$J266-$K266),IF($T266="Put",$AA266-$K266,$AA266+$K266)))</f>
        <v/>
      </c>
      <c r="AC266" s="14" t="str">
        <f aca="false">IF(OR($C266="",$T266="Mixta",$J266="",$AA266=""),"",IF($T266="Put",($J266-$AA266)/$J266,($AA266-$J266)/$J266))</f>
        <v/>
      </c>
      <c r="AD266" s="12" t="str">
        <f aca="false">IF($C266="","",IF($Q266&lt;&gt;"",$Q266,IF($V266="Strike",N($E266)*$H266*$I266,IF($V266="Subyacente",IF($J266="","",$J266*$H266*$I266),IF($V266="Ancho",IF($F266="","",ABS($E266-$F266)*$H266*$I266-$K266*$H266*$I266),IF($V266="Prima",$K266*$H266*$I266,""))))))</f>
        <v/>
      </c>
      <c r="AE266" s="12" t="str">
        <f aca="false">IF(OR($C266="",$M266="Abierta",$M266=""),"",(N($K266)-IF(OR($M266="Cerrada",$M266="Rolada"),N($O266),0))*$H266*$I266*IF($U266="Débito",-1,1)-N($L266)-N($P266))</f>
        <v/>
      </c>
      <c r="AF266" s="14" t="str">
        <f aca="false">IF(OR($AE266="",$AD266=""),"",IF($AD266&lt;=0,"",$AE266/$AD266))</f>
        <v/>
      </c>
      <c r="AG266" s="14" t="str">
        <f aca="false">IF($AF266="","",$AF266*365/MAX(N($X266),1))</f>
        <v/>
      </c>
      <c r="AH266" s="14" t="str">
        <f aca="false">IF(OR($C266="",$U266&lt;&gt;"Crédito",$AD266=""),"",IF($AD266&lt;=0,"",($Z266-N($L266))/$AD266))</f>
        <v/>
      </c>
      <c r="AI266" s="14" t="str">
        <f aca="false">IF(OR($AH266="",$W266=""),"",$AH266*365/MAX($W266,1))</f>
        <v/>
      </c>
      <c r="AJ266" s="14" t="str">
        <f aca="false">IF(OR($AE266="",$U266&lt;&gt;"Crédito",N($K266)=0),"",(N($K266)-IF(OR($M266="Cerrada",$M266="Rolada"),N($O266),0))/$K266)</f>
        <v/>
      </c>
      <c r="AK266" s="15" t="str">
        <f aca="false">IF(OR($C266="",$N266=""),"",DATE(YEAR($N266),MONTH($N266),1))</f>
        <v/>
      </c>
      <c r="AL266" s="11" t="str">
        <f aca="false">IF($C266="","",IF($M266="Abierta",0,1))</f>
        <v/>
      </c>
      <c r="AM266" s="16" t="str">
        <f aca="false">IF(OR($AE266="",$AD266=""),"",$AD266*MAX(N($X266),1))</f>
        <v/>
      </c>
      <c r="AN266" s="10" t="str">
        <f aca="false">IF($C266="","",IF(OR($B266="",$D266="",$H266="",$K266="",$M266=""),"Faltan datos obligatorios",IF($T266="","Estrategia no reconocida",IF(AND($M266&lt;&gt;"Abierta",$N266=""),"Falta fecha cierre",IF(AND(OR($M266="Cerrada",$M266="Rolada"),$O266=""),"Falta prima cierre",IF(AND($N266&lt;&gt;"",$N266&lt;$B266),"Cierre anterior a apertura",IF(AND($M266="Asignada",$R266=""),"Asignada: falta ID lote acciones",IF(AND($R266&lt;&gt;"",ISNA(MATCH($R266,Acciones!$A$2:$A$201,0))),"El ID lote no existe en Acciones",IF($AD266="","Revisa capital en riesgo","OK")))))))))</f>
        <v/>
      </c>
    </row>
    <row r="267" customFormat="false" ht="15" hidden="false" customHeight="true" outlineLevel="0" collapsed="false">
      <c r="A267" s="5"/>
      <c r="B267" s="6"/>
      <c r="C267" s="7"/>
      <c r="D267" s="7"/>
      <c r="E267" s="8"/>
      <c r="F267" s="8"/>
      <c r="G267" s="6"/>
      <c r="H267" s="5"/>
      <c r="I267" s="5" t="n">
        <v>100</v>
      </c>
      <c r="J267" s="8"/>
      <c r="K267" s="8"/>
      <c r="L267" s="9"/>
      <c r="M267" s="7"/>
      <c r="N267" s="6"/>
      <c r="O267" s="8"/>
      <c r="P267" s="9"/>
      <c r="Q267" s="9"/>
      <c r="R267" s="7"/>
      <c r="S267" s="7"/>
      <c r="T267" s="10" t="str">
        <f aca="false">IF($C267="","",IFERROR(INDEX(Listas!$B$2:$B$20,MATCH($D267,Listas!$A$2:$A$20,0)),""))</f>
        <v/>
      </c>
      <c r="U267" s="10" t="str">
        <f aca="false">IF($C267="","",IFERROR(INDEX(Listas!$C$2:$C$20,MATCH($D267,Listas!$A$2:$A$20,0)),""))</f>
        <v/>
      </c>
      <c r="V267" s="10" t="str">
        <f aca="false">IF($C267="","",IFERROR(INDEX(Listas!$D$2:$D$20,MATCH($D267,Listas!$A$2:$A$20,0)),""))</f>
        <v/>
      </c>
      <c r="W267" s="11" t="str">
        <f aca="false">IF(OR($C267="",$B267="",$G267=""),"",$G267-$B267)</f>
        <v/>
      </c>
      <c r="X267" s="11" t="str">
        <f aca="true">IF(OR($C267="",$B267=""),"",IF($N267&lt;&gt;"",$N267,TODAY())-$B267)</f>
        <v/>
      </c>
      <c r="Y267" s="11" t="str">
        <f aca="true">IF(OR($C267="",$M267&lt;&gt;"Abierta",$G267=""),"",MAX($G267-TODAY(),0))</f>
        <v/>
      </c>
      <c r="Z267" s="12" t="str">
        <f aca="false">IF($C267="","",N($K267)*N($H267)*N($I267)*IF($U267="Débito",-1,1))</f>
        <v/>
      </c>
      <c r="AA267" s="13" t="str">
        <f aca="false">IF($C267="","",IF(AND($U267="Débito",$F267&lt;&gt;""),$F267,$E267))</f>
        <v/>
      </c>
      <c r="AB267" s="13" t="str">
        <f aca="false">IF(OR($C267="",$T267="Mixta",$AA267=""),"",IF($V267="Subyacente",IF($J267="","",$J267-$K267),IF($T267="Put",$AA267-$K267,$AA267+$K267)))</f>
        <v/>
      </c>
      <c r="AC267" s="14" t="str">
        <f aca="false">IF(OR($C267="",$T267="Mixta",$J267="",$AA267=""),"",IF($T267="Put",($J267-$AA267)/$J267,($AA267-$J267)/$J267))</f>
        <v/>
      </c>
      <c r="AD267" s="12" t="str">
        <f aca="false">IF($C267="","",IF($Q267&lt;&gt;"",$Q267,IF($V267="Strike",N($E267)*$H267*$I267,IF($V267="Subyacente",IF($J267="","",$J267*$H267*$I267),IF($V267="Ancho",IF($F267="","",ABS($E267-$F267)*$H267*$I267-$K267*$H267*$I267),IF($V267="Prima",$K267*$H267*$I267,""))))))</f>
        <v/>
      </c>
      <c r="AE267" s="12" t="str">
        <f aca="false">IF(OR($C267="",$M267="Abierta",$M267=""),"",(N($K267)-IF(OR($M267="Cerrada",$M267="Rolada"),N($O267),0))*$H267*$I267*IF($U267="Débito",-1,1)-N($L267)-N($P267))</f>
        <v/>
      </c>
      <c r="AF267" s="14" t="str">
        <f aca="false">IF(OR($AE267="",$AD267=""),"",IF($AD267&lt;=0,"",$AE267/$AD267))</f>
        <v/>
      </c>
      <c r="AG267" s="14" t="str">
        <f aca="false">IF($AF267="","",$AF267*365/MAX(N($X267),1))</f>
        <v/>
      </c>
      <c r="AH267" s="14" t="str">
        <f aca="false">IF(OR($C267="",$U267&lt;&gt;"Crédito",$AD267=""),"",IF($AD267&lt;=0,"",($Z267-N($L267))/$AD267))</f>
        <v/>
      </c>
      <c r="AI267" s="14" t="str">
        <f aca="false">IF(OR($AH267="",$W267=""),"",$AH267*365/MAX($W267,1))</f>
        <v/>
      </c>
      <c r="AJ267" s="14" t="str">
        <f aca="false">IF(OR($AE267="",$U267&lt;&gt;"Crédito",N($K267)=0),"",(N($K267)-IF(OR($M267="Cerrada",$M267="Rolada"),N($O267),0))/$K267)</f>
        <v/>
      </c>
      <c r="AK267" s="15" t="str">
        <f aca="false">IF(OR($C267="",$N267=""),"",DATE(YEAR($N267),MONTH($N267),1))</f>
        <v/>
      </c>
      <c r="AL267" s="11" t="str">
        <f aca="false">IF($C267="","",IF($M267="Abierta",0,1))</f>
        <v/>
      </c>
      <c r="AM267" s="16" t="str">
        <f aca="false">IF(OR($AE267="",$AD267=""),"",$AD267*MAX(N($X267),1))</f>
        <v/>
      </c>
      <c r="AN267" s="10" t="str">
        <f aca="false">IF($C267="","",IF(OR($B267="",$D267="",$H267="",$K267="",$M267=""),"Faltan datos obligatorios",IF($T267="","Estrategia no reconocida",IF(AND($M267&lt;&gt;"Abierta",$N267=""),"Falta fecha cierre",IF(AND(OR($M267="Cerrada",$M267="Rolada"),$O267=""),"Falta prima cierre",IF(AND($N267&lt;&gt;"",$N267&lt;$B267),"Cierre anterior a apertura",IF(AND($M267="Asignada",$R267=""),"Asignada: falta ID lote acciones",IF(AND($R267&lt;&gt;"",ISNA(MATCH($R267,Acciones!$A$2:$A$201,0))),"El ID lote no existe en Acciones",IF($AD267="","Revisa capital en riesgo","OK")))))))))</f>
        <v/>
      </c>
    </row>
    <row r="268" customFormat="false" ht="15" hidden="false" customHeight="true" outlineLevel="0" collapsed="false">
      <c r="A268" s="5"/>
      <c r="B268" s="6"/>
      <c r="C268" s="7"/>
      <c r="D268" s="7"/>
      <c r="E268" s="8"/>
      <c r="F268" s="8"/>
      <c r="G268" s="6"/>
      <c r="H268" s="5"/>
      <c r="I268" s="5" t="n">
        <v>100</v>
      </c>
      <c r="J268" s="8"/>
      <c r="K268" s="8"/>
      <c r="L268" s="9"/>
      <c r="M268" s="7"/>
      <c r="N268" s="6"/>
      <c r="O268" s="8"/>
      <c r="P268" s="9"/>
      <c r="Q268" s="9"/>
      <c r="R268" s="7"/>
      <c r="S268" s="7"/>
      <c r="T268" s="10" t="str">
        <f aca="false">IF($C268="","",IFERROR(INDEX(Listas!$B$2:$B$20,MATCH($D268,Listas!$A$2:$A$20,0)),""))</f>
        <v/>
      </c>
      <c r="U268" s="10" t="str">
        <f aca="false">IF($C268="","",IFERROR(INDEX(Listas!$C$2:$C$20,MATCH($D268,Listas!$A$2:$A$20,0)),""))</f>
        <v/>
      </c>
      <c r="V268" s="10" t="str">
        <f aca="false">IF($C268="","",IFERROR(INDEX(Listas!$D$2:$D$20,MATCH($D268,Listas!$A$2:$A$20,0)),""))</f>
        <v/>
      </c>
      <c r="W268" s="11" t="str">
        <f aca="false">IF(OR($C268="",$B268="",$G268=""),"",$G268-$B268)</f>
        <v/>
      </c>
      <c r="X268" s="11" t="str">
        <f aca="true">IF(OR($C268="",$B268=""),"",IF($N268&lt;&gt;"",$N268,TODAY())-$B268)</f>
        <v/>
      </c>
      <c r="Y268" s="11" t="str">
        <f aca="true">IF(OR($C268="",$M268&lt;&gt;"Abierta",$G268=""),"",MAX($G268-TODAY(),0))</f>
        <v/>
      </c>
      <c r="Z268" s="12" t="str">
        <f aca="false">IF($C268="","",N($K268)*N($H268)*N($I268)*IF($U268="Débito",-1,1))</f>
        <v/>
      </c>
      <c r="AA268" s="13" t="str">
        <f aca="false">IF($C268="","",IF(AND($U268="Débito",$F268&lt;&gt;""),$F268,$E268))</f>
        <v/>
      </c>
      <c r="AB268" s="13" t="str">
        <f aca="false">IF(OR($C268="",$T268="Mixta",$AA268=""),"",IF($V268="Subyacente",IF($J268="","",$J268-$K268),IF($T268="Put",$AA268-$K268,$AA268+$K268)))</f>
        <v/>
      </c>
      <c r="AC268" s="14" t="str">
        <f aca="false">IF(OR($C268="",$T268="Mixta",$J268="",$AA268=""),"",IF($T268="Put",($J268-$AA268)/$J268,($AA268-$J268)/$J268))</f>
        <v/>
      </c>
      <c r="AD268" s="12" t="str">
        <f aca="false">IF($C268="","",IF($Q268&lt;&gt;"",$Q268,IF($V268="Strike",N($E268)*$H268*$I268,IF($V268="Subyacente",IF($J268="","",$J268*$H268*$I268),IF($V268="Ancho",IF($F268="","",ABS($E268-$F268)*$H268*$I268-$K268*$H268*$I268),IF($V268="Prima",$K268*$H268*$I268,""))))))</f>
        <v/>
      </c>
      <c r="AE268" s="12" t="str">
        <f aca="false">IF(OR($C268="",$M268="Abierta",$M268=""),"",(N($K268)-IF(OR($M268="Cerrada",$M268="Rolada"),N($O268),0))*$H268*$I268*IF($U268="Débito",-1,1)-N($L268)-N($P268))</f>
        <v/>
      </c>
      <c r="AF268" s="14" t="str">
        <f aca="false">IF(OR($AE268="",$AD268=""),"",IF($AD268&lt;=0,"",$AE268/$AD268))</f>
        <v/>
      </c>
      <c r="AG268" s="14" t="str">
        <f aca="false">IF($AF268="","",$AF268*365/MAX(N($X268),1))</f>
        <v/>
      </c>
      <c r="AH268" s="14" t="str">
        <f aca="false">IF(OR($C268="",$U268&lt;&gt;"Crédito",$AD268=""),"",IF($AD268&lt;=0,"",($Z268-N($L268))/$AD268))</f>
        <v/>
      </c>
      <c r="AI268" s="14" t="str">
        <f aca="false">IF(OR($AH268="",$W268=""),"",$AH268*365/MAX($W268,1))</f>
        <v/>
      </c>
      <c r="AJ268" s="14" t="str">
        <f aca="false">IF(OR($AE268="",$U268&lt;&gt;"Crédito",N($K268)=0),"",(N($K268)-IF(OR($M268="Cerrada",$M268="Rolada"),N($O268),0))/$K268)</f>
        <v/>
      </c>
      <c r="AK268" s="15" t="str">
        <f aca="false">IF(OR($C268="",$N268=""),"",DATE(YEAR($N268),MONTH($N268),1))</f>
        <v/>
      </c>
      <c r="AL268" s="11" t="str">
        <f aca="false">IF($C268="","",IF($M268="Abierta",0,1))</f>
        <v/>
      </c>
      <c r="AM268" s="16" t="str">
        <f aca="false">IF(OR($AE268="",$AD268=""),"",$AD268*MAX(N($X268),1))</f>
        <v/>
      </c>
      <c r="AN268" s="10" t="str">
        <f aca="false">IF($C268="","",IF(OR($B268="",$D268="",$H268="",$K268="",$M268=""),"Faltan datos obligatorios",IF($T268="","Estrategia no reconocida",IF(AND($M268&lt;&gt;"Abierta",$N268=""),"Falta fecha cierre",IF(AND(OR($M268="Cerrada",$M268="Rolada"),$O268=""),"Falta prima cierre",IF(AND($N268&lt;&gt;"",$N268&lt;$B268),"Cierre anterior a apertura",IF(AND($M268="Asignada",$R268=""),"Asignada: falta ID lote acciones",IF(AND($R268&lt;&gt;"",ISNA(MATCH($R268,Acciones!$A$2:$A$201,0))),"El ID lote no existe en Acciones",IF($AD268="","Revisa capital en riesgo","OK")))))))))</f>
        <v/>
      </c>
    </row>
    <row r="269" customFormat="false" ht="15" hidden="false" customHeight="true" outlineLevel="0" collapsed="false">
      <c r="A269" s="5"/>
      <c r="B269" s="6"/>
      <c r="C269" s="7"/>
      <c r="D269" s="7"/>
      <c r="E269" s="8"/>
      <c r="F269" s="8"/>
      <c r="G269" s="6"/>
      <c r="H269" s="5"/>
      <c r="I269" s="5" t="n">
        <v>100</v>
      </c>
      <c r="J269" s="8"/>
      <c r="K269" s="8"/>
      <c r="L269" s="9"/>
      <c r="M269" s="7"/>
      <c r="N269" s="6"/>
      <c r="O269" s="8"/>
      <c r="P269" s="9"/>
      <c r="Q269" s="9"/>
      <c r="R269" s="7"/>
      <c r="S269" s="7"/>
      <c r="T269" s="10" t="str">
        <f aca="false">IF($C269="","",IFERROR(INDEX(Listas!$B$2:$B$20,MATCH($D269,Listas!$A$2:$A$20,0)),""))</f>
        <v/>
      </c>
      <c r="U269" s="10" t="str">
        <f aca="false">IF($C269="","",IFERROR(INDEX(Listas!$C$2:$C$20,MATCH($D269,Listas!$A$2:$A$20,0)),""))</f>
        <v/>
      </c>
      <c r="V269" s="10" t="str">
        <f aca="false">IF($C269="","",IFERROR(INDEX(Listas!$D$2:$D$20,MATCH($D269,Listas!$A$2:$A$20,0)),""))</f>
        <v/>
      </c>
      <c r="W269" s="11" t="str">
        <f aca="false">IF(OR($C269="",$B269="",$G269=""),"",$G269-$B269)</f>
        <v/>
      </c>
      <c r="X269" s="11" t="str">
        <f aca="true">IF(OR($C269="",$B269=""),"",IF($N269&lt;&gt;"",$N269,TODAY())-$B269)</f>
        <v/>
      </c>
      <c r="Y269" s="11" t="str">
        <f aca="true">IF(OR($C269="",$M269&lt;&gt;"Abierta",$G269=""),"",MAX($G269-TODAY(),0))</f>
        <v/>
      </c>
      <c r="Z269" s="12" t="str">
        <f aca="false">IF($C269="","",N($K269)*N($H269)*N($I269)*IF($U269="Débito",-1,1))</f>
        <v/>
      </c>
      <c r="AA269" s="13" t="str">
        <f aca="false">IF($C269="","",IF(AND($U269="Débito",$F269&lt;&gt;""),$F269,$E269))</f>
        <v/>
      </c>
      <c r="AB269" s="13" t="str">
        <f aca="false">IF(OR($C269="",$T269="Mixta",$AA269=""),"",IF($V269="Subyacente",IF($J269="","",$J269-$K269),IF($T269="Put",$AA269-$K269,$AA269+$K269)))</f>
        <v/>
      </c>
      <c r="AC269" s="14" t="str">
        <f aca="false">IF(OR($C269="",$T269="Mixta",$J269="",$AA269=""),"",IF($T269="Put",($J269-$AA269)/$J269,($AA269-$J269)/$J269))</f>
        <v/>
      </c>
      <c r="AD269" s="12" t="str">
        <f aca="false">IF($C269="","",IF($Q269&lt;&gt;"",$Q269,IF($V269="Strike",N($E269)*$H269*$I269,IF($V269="Subyacente",IF($J269="","",$J269*$H269*$I269),IF($V269="Ancho",IF($F269="","",ABS($E269-$F269)*$H269*$I269-$K269*$H269*$I269),IF($V269="Prima",$K269*$H269*$I269,""))))))</f>
        <v/>
      </c>
      <c r="AE269" s="12" t="str">
        <f aca="false">IF(OR($C269="",$M269="Abierta",$M269=""),"",(N($K269)-IF(OR($M269="Cerrada",$M269="Rolada"),N($O269),0))*$H269*$I269*IF($U269="Débito",-1,1)-N($L269)-N($P269))</f>
        <v/>
      </c>
      <c r="AF269" s="14" t="str">
        <f aca="false">IF(OR($AE269="",$AD269=""),"",IF($AD269&lt;=0,"",$AE269/$AD269))</f>
        <v/>
      </c>
      <c r="AG269" s="14" t="str">
        <f aca="false">IF($AF269="","",$AF269*365/MAX(N($X269),1))</f>
        <v/>
      </c>
      <c r="AH269" s="14" t="str">
        <f aca="false">IF(OR($C269="",$U269&lt;&gt;"Crédito",$AD269=""),"",IF($AD269&lt;=0,"",($Z269-N($L269))/$AD269))</f>
        <v/>
      </c>
      <c r="AI269" s="14" t="str">
        <f aca="false">IF(OR($AH269="",$W269=""),"",$AH269*365/MAX($W269,1))</f>
        <v/>
      </c>
      <c r="AJ269" s="14" t="str">
        <f aca="false">IF(OR($AE269="",$U269&lt;&gt;"Crédito",N($K269)=0),"",(N($K269)-IF(OR($M269="Cerrada",$M269="Rolada"),N($O269),0))/$K269)</f>
        <v/>
      </c>
      <c r="AK269" s="15" t="str">
        <f aca="false">IF(OR($C269="",$N269=""),"",DATE(YEAR($N269),MONTH($N269),1))</f>
        <v/>
      </c>
      <c r="AL269" s="11" t="str">
        <f aca="false">IF($C269="","",IF($M269="Abierta",0,1))</f>
        <v/>
      </c>
      <c r="AM269" s="16" t="str">
        <f aca="false">IF(OR($AE269="",$AD269=""),"",$AD269*MAX(N($X269),1))</f>
        <v/>
      </c>
      <c r="AN269" s="10" t="str">
        <f aca="false">IF($C269="","",IF(OR($B269="",$D269="",$H269="",$K269="",$M269=""),"Faltan datos obligatorios",IF($T269="","Estrategia no reconocida",IF(AND($M269&lt;&gt;"Abierta",$N269=""),"Falta fecha cierre",IF(AND(OR($M269="Cerrada",$M269="Rolada"),$O269=""),"Falta prima cierre",IF(AND($N269&lt;&gt;"",$N269&lt;$B269),"Cierre anterior a apertura",IF(AND($M269="Asignada",$R269=""),"Asignada: falta ID lote acciones",IF(AND($R269&lt;&gt;"",ISNA(MATCH($R269,Acciones!$A$2:$A$201,0))),"El ID lote no existe en Acciones",IF($AD269="","Revisa capital en riesgo","OK")))))))))</f>
        <v/>
      </c>
    </row>
    <row r="270" customFormat="false" ht="15" hidden="false" customHeight="true" outlineLevel="0" collapsed="false">
      <c r="A270" s="5"/>
      <c r="B270" s="6"/>
      <c r="C270" s="7"/>
      <c r="D270" s="7"/>
      <c r="E270" s="8"/>
      <c r="F270" s="8"/>
      <c r="G270" s="6"/>
      <c r="H270" s="5"/>
      <c r="I270" s="5" t="n">
        <v>100</v>
      </c>
      <c r="J270" s="8"/>
      <c r="K270" s="8"/>
      <c r="L270" s="9"/>
      <c r="M270" s="7"/>
      <c r="N270" s="6"/>
      <c r="O270" s="8"/>
      <c r="P270" s="9"/>
      <c r="Q270" s="9"/>
      <c r="R270" s="7"/>
      <c r="S270" s="7"/>
      <c r="T270" s="10" t="str">
        <f aca="false">IF($C270="","",IFERROR(INDEX(Listas!$B$2:$B$20,MATCH($D270,Listas!$A$2:$A$20,0)),""))</f>
        <v/>
      </c>
      <c r="U270" s="10" t="str">
        <f aca="false">IF($C270="","",IFERROR(INDEX(Listas!$C$2:$C$20,MATCH($D270,Listas!$A$2:$A$20,0)),""))</f>
        <v/>
      </c>
      <c r="V270" s="10" t="str">
        <f aca="false">IF($C270="","",IFERROR(INDEX(Listas!$D$2:$D$20,MATCH($D270,Listas!$A$2:$A$20,0)),""))</f>
        <v/>
      </c>
      <c r="W270" s="11" t="str">
        <f aca="false">IF(OR($C270="",$B270="",$G270=""),"",$G270-$B270)</f>
        <v/>
      </c>
      <c r="X270" s="11" t="str">
        <f aca="true">IF(OR($C270="",$B270=""),"",IF($N270&lt;&gt;"",$N270,TODAY())-$B270)</f>
        <v/>
      </c>
      <c r="Y270" s="11" t="str">
        <f aca="true">IF(OR($C270="",$M270&lt;&gt;"Abierta",$G270=""),"",MAX($G270-TODAY(),0))</f>
        <v/>
      </c>
      <c r="Z270" s="12" t="str">
        <f aca="false">IF($C270="","",N($K270)*N($H270)*N($I270)*IF($U270="Débito",-1,1))</f>
        <v/>
      </c>
      <c r="AA270" s="13" t="str">
        <f aca="false">IF($C270="","",IF(AND($U270="Débito",$F270&lt;&gt;""),$F270,$E270))</f>
        <v/>
      </c>
      <c r="AB270" s="13" t="str">
        <f aca="false">IF(OR($C270="",$T270="Mixta",$AA270=""),"",IF($V270="Subyacente",IF($J270="","",$J270-$K270),IF($T270="Put",$AA270-$K270,$AA270+$K270)))</f>
        <v/>
      </c>
      <c r="AC270" s="14" t="str">
        <f aca="false">IF(OR($C270="",$T270="Mixta",$J270="",$AA270=""),"",IF($T270="Put",($J270-$AA270)/$J270,($AA270-$J270)/$J270))</f>
        <v/>
      </c>
      <c r="AD270" s="12" t="str">
        <f aca="false">IF($C270="","",IF($Q270&lt;&gt;"",$Q270,IF($V270="Strike",N($E270)*$H270*$I270,IF($V270="Subyacente",IF($J270="","",$J270*$H270*$I270),IF($V270="Ancho",IF($F270="","",ABS($E270-$F270)*$H270*$I270-$K270*$H270*$I270),IF($V270="Prima",$K270*$H270*$I270,""))))))</f>
        <v/>
      </c>
      <c r="AE270" s="12" t="str">
        <f aca="false">IF(OR($C270="",$M270="Abierta",$M270=""),"",(N($K270)-IF(OR($M270="Cerrada",$M270="Rolada"),N($O270),0))*$H270*$I270*IF($U270="Débito",-1,1)-N($L270)-N($P270))</f>
        <v/>
      </c>
      <c r="AF270" s="14" t="str">
        <f aca="false">IF(OR($AE270="",$AD270=""),"",IF($AD270&lt;=0,"",$AE270/$AD270))</f>
        <v/>
      </c>
      <c r="AG270" s="14" t="str">
        <f aca="false">IF($AF270="","",$AF270*365/MAX(N($X270),1))</f>
        <v/>
      </c>
      <c r="AH270" s="14" t="str">
        <f aca="false">IF(OR($C270="",$U270&lt;&gt;"Crédito",$AD270=""),"",IF($AD270&lt;=0,"",($Z270-N($L270))/$AD270))</f>
        <v/>
      </c>
      <c r="AI270" s="14" t="str">
        <f aca="false">IF(OR($AH270="",$W270=""),"",$AH270*365/MAX($W270,1))</f>
        <v/>
      </c>
      <c r="AJ270" s="14" t="str">
        <f aca="false">IF(OR($AE270="",$U270&lt;&gt;"Crédito",N($K270)=0),"",(N($K270)-IF(OR($M270="Cerrada",$M270="Rolada"),N($O270),0))/$K270)</f>
        <v/>
      </c>
      <c r="AK270" s="15" t="str">
        <f aca="false">IF(OR($C270="",$N270=""),"",DATE(YEAR($N270),MONTH($N270),1))</f>
        <v/>
      </c>
      <c r="AL270" s="11" t="str">
        <f aca="false">IF($C270="","",IF($M270="Abierta",0,1))</f>
        <v/>
      </c>
      <c r="AM270" s="16" t="str">
        <f aca="false">IF(OR($AE270="",$AD270=""),"",$AD270*MAX(N($X270),1))</f>
        <v/>
      </c>
      <c r="AN270" s="10" t="str">
        <f aca="false">IF($C270="","",IF(OR($B270="",$D270="",$H270="",$K270="",$M270=""),"Faltan datos obligatorios",IF($T270="","Estrategia no reconocida",IF(AND($M270&lt;&gt;"Abierta",$N270=""),"Falta fecha cierre",IF(AND(OR($M270="Cerrada",$M270="Rolada"),$O270=""),"Falta prima cierre",IF(AND($N270&lt;&gt;"",$N270&lt;$B270),"Cierre anterior a apertura",IF(AND($M270="Asignada",$R270=""),"Asignada: falta ID lote acciones",IF(AND($R270&lt;&gt;"",ISNA(MATCH($R270,Acciones!$A$2:$A$201,0))),"El ID lote no existe en Acciones",IF($AD270="","Revisa capital en riesgo","OK")))))))))</f>
        <v/>
      </c>
    </row>
    <row r="271" customFormat="false" ht="15" hidden="false" customHeight="true" outlineLevel="0" collapsed="false">
      <c r="A271" s="5"/>
      <c r="B271" s="6"/>
      <c r="C271" s="7"/>
      <c r="D271" s="7"/>
      <c r="E271" s="8"/>
      <c r="F271" s="8"/>
      <c r="G271" s="6"/>
      <c r="H271" s="5"/>
      <c r="I271" s="5" t="n">
        <v>100</v>
      </c>
      <c r="J271" s="8"/>
      <c r="K271" s="8"/>
      <c r="L271" s="9"/>
      <c r="M271" s="7"/>
      <c r="N271" s="6"/>
      <c r="O271" s="8"/>
      <c r="P271" s="9"/>
      <c r="Q271" s="9"/>
      <c r="R271" s="7"/>
      <c r="S271" s="7"/>
      <c r="T271" s="10" t="str">
        <f aca="false">IF($C271="","",IFERROR(INDEX(Listas!$B$2:$B$20,MATCH($D271,Listas!$A$2:$A$20,0)),""))</f>
        <v/>
      </c>
      <c r="U271" s="10" t="str">
        <f aca="false">IF($C271="","",IFERROR(INDEX(Listas!$C$2:$C$20,MATCH($D271,Listas!$A$2:$A$20,0)),""))</f>
        <v/>
      </c>
      <c r="V271" s="10" t="str">
        <f aca="false">IF($C271="","",IFERROR(INDEX(Listas!$D$2:$D$20,MATCH($D271,Listas!$A$2:$A$20,0)),""))</f>
        <v/>
      </c>
      <c r="W271" s="11" t="str">
        <f aca="false">IF(OR($C271="",$B271="",$G271=""),"",$G271-$B271)</f>
        <v/>
      </c>
      <c r="X271" s="11" t="str">
        <f aca="true">IF(OR($C271="",$B271=""),"",IF($N271&lt;&gt;"",$N271,TODAY())-$B271)</f>
        <v/>
      </c>
      <c r="Y271" s="11" t="str">
        <f aca="true">IF(OR($C271="",$M271&lt;&gt;"Abierta",$G271=""),"",MAX($G271-TODAY(),0))</f>
        <v/>
      </c>
      <c r="Z271" s="12" t="str">
        <f aca="false">IF($C271="","",N($K271)*N($H271)*N($I271)*IF($U271="Débito",-1,1))</f>
        <v/>
      </c>
      <c r="AA271" s="13" t="str">
        <f aca="false">IF($C271="","",IF(AND($U271="Débito",$F271&lt;&gt;""),$F271,$E271))</f>
        <v/>
      </c>
      <c r="AB271" s="13" t="str">
        <f aca="false">IF(OR($C271="",$T271="Mixta",$AA271=""),"",IF($V271="Subyacente",IF($J271="","",$J271-$K271),IF($T271="Put",$AA271-$K271,$AA271+$K271)))</f>
        <v/>
      </c>
      <c r="AC271" s="14" t="str">
        <f aca="false">IF(OR($C271="",$T271="Mixta",$J271="",$AA271=""),"",IF($T271="Put",($J271-$AA271)/$J271,($AA271-$J271)/$J271))</f>
        <v/>
      </c>
      <c r="AD271" s="12" t="str">
        <f aca="false">IF($C271="","",IF($Q271&lt;&gt;"",$Q271,IF($V271="Strike",N($E271)*$H271*$I271,IF($V271="Subyacente",IF($J271="","",$J271*$H271*$I271),IF($V271="Ancho",IF($F271="","",ABS($E271-$F271)*$H271*$I271-$K271*$H271*$I271),IF($V271="Prima",$K271*$H271*$I271,""))))))</f>
        <v/>
      </c>
      <c r="AE271" s="12" t="str">
        <f aca="false">IF(OR($C271="",$M271="Abierta",$M271=""),"",(N($K271)-IF(OR($M271="Cerrada",$M271="Rolada"),N($O271),0))*$H271*$I271*IF($U271="Débito",-1,1)-N($L271)-N($P271))</f>
        <v/>
      </c>
      <c r="AF271" s="14" t="str">
        <f aca="false">IF(OR($AE271="",$AD271=""),"",IF($AD271&lt;=0,"",$AE271/$AD271))</f>
        <v/>
      </c>
      <c r="AG271" s="14" t="str">
        <f aca="false">IF($AF271="","",$AF271*365/MAX(N($X271),1))</f>
        <v/>
      </c>
      <c r="AH271" s="14" t="str">
        <f aca="false">IF(OR($C271="",$U271&lt;&gt;"Crédito",$AD271=""),"",IF($AD271&lt;=0,"",($Z271-N($L271))/$AD271))</f>
        <v/>
      </c>
      <c r="AI271" s="14" t="str">
        <f aca="false">IF(OR($AH271="",$W271=""),"",$AH271*365/MAX($W271,1))</f>
        <v/>
      </c>
      <c r="AJ271" s="14" t="str">
        <f aca="false">IF(OR($AE271="",$U271&lt;&gt;"Crédito",N($K271)=0),"",(N($K271)-IF(OR($M271="Cerrada",$M271="Rolada"),N($O271),0))/$K271)</f>
        <v/>
      </c>
      <c r="AK271" s="15" t="str">
        <f aca="false">IF(OR($C271="",$N271=""),"",DATE(YEAR($N271),MONTH($N271),1))</f>
        <v/>
      </c>
      <c r="AL271" s="11" t="str">
        <f aca="false">IF($C271="","",IF($M271="Abierta",0,1))</f>
        <v/>
      </c>
      <c r="AM271" s="16" t="str">
        <f aca="false">IF(OR($AE271="",$AD271=""),"",$AD271*MAX(N($X271),1))</f>
        <v/>
      </c>
      <c r="AN271" s="10" t="str">
        <f aca="false">IF($C271="","",IF(OR($B271="",$D271="",$H271="",$K271="",$M271=""),"Faltan datos obligatorios",IF($T271="","Estrategia no reconocida",IF(AND($M271&lt;&gt;"Abierta",$N271=""),"Falta fecha cierre",IF(AND(OR($M271="Cerrada",$M271="Rolada"),$O271=""),"Falta prima cierre",IF(AND($N271&lt;&gt;"",$N271&lt;$B271),"Cierre anterior a apertura",IF(AND($M271="Asignada",$R271=""),"Asignada: falta ID lote acciones",IF(AND($R271&lt;&gt;"",ISNA(MATCH($R271,Acciones!$A$2:$A$201,0))),"El ID lote no existe en Acciones",IF($AD271="","Revisa capital en riesgo","OK")))))))))</f>
        <v/>
      </c>
    </row>
    <row r="272" customFormat="false" ht="15" hidden="false" customHeight="true" outlineLevel="0" collapsed="false">
      <c r="A272" s="5"/>
      <c r="B272" s="6"/>
      <c r="C272" s="7"/>
      <c r="D272" s="7"/>
      <c r="E272" s="8"/>
      <c r="F272" s="8"/>
      <c r="G272" s="6"/>
      <c r="H272" s="5"/>
      <c r="I272" s="5" t="n">
        <v>100</v>
      </c>
      <c r="J272" s="8"/>
      <c r="K272" s="8"/>
      <c r="L272" s="9"/>
      <c r="M272" s="7"/>
      <c r="N272" s="6"/>
      <c r="O272" s="8"/>
      <c r="P272" s="9"/>
      <c r="Q272" s="9"/>
      <c r="R272" s="7"/>
      <c r="S272" s="7"/>
      <c r="T272" s="10" t="str">
        <f aca="false">IF($C272="","",IFERROR(INDEX(Listas!$B$2:$B$20,MATCH($D272,Listas!$A$2:$A$20,0)),""))</f>
        <v/>
      </c>
      <c r="U272" s="10" t="str">
        <f aca="false">IF($C272="","",IFERROR(INDEX(Listas!$C$2:$C$20,MATCH($D272,Listas!$A$2:$A$20,0)),""))</f>
        <v/>
      </c>
      <c r="V272" s="10" t="str">
        <f aca="false">IF($C272="","",IFERROR(INDEX(Listas!$D$2:$D$20,MATCH($D272,Listas!$A$2:$A$20,0)),""))</f>
        <v/>
      </c>
      <c r="W272" s="11" t="str">
        <f aca="false">IF(OR($C272="",$B272="",$G272=""),"",$G272-$B272)</f>
        <v/>
      </c>
      <c r="X272" s="11" t="str">
        <f aca="true">IF(OR($C272="",$B272=""),"",IF($N272&lt;&gt;"",$N272,TODAY())-$B272)</f>
        <v/>
      </c>
      <c r="Y272" s="11" t="str">
        <f aca="true">IF(OR($C272="",$M272&lt;&gt;"Abierta",$G272=""),"",MAX($G272-TODAY(),0))</f>
        <v/>
      </c>
      <c r="Z272" s="12" t="str">
        <f aca="false">IF($C272="","",N($K272)*N($H272)*N($I272)*IF($U272="Débito",-1,1))</f>
        <v/>
      </c>
      <c r="AA272" s="13" t="str">
        <f aca="false">IF($C272="","",IF(AND($U272="Débito",$F272&lt;&gt;""),$F272,$E272))</f>
        <v/>
      </c>
      <c r="AB272" s="13" t="str">
        <f aca="false">IF(OR($C272="",$T272="Mixta",$AA272=""),"",IF($V272="Subyacente",IF($J272="","",$J272-$K272),IF($T272="Put",$AA272-$K272,$AA272+$K272)))</f>
        <v/>
      </c>
      <c r="AC272" s="14" t="str">
        <f aca="false">IF(OR($C272="",$T272="Mixta",$J272="",$AA272=""),"",IF($T272="Put",($J272-$AA272)/$J272,($AA272-$J272)/$J272))</f>
        <v/>
      </c>
      <c r="AD272" s="12" t="str">
        <f aca="false">IF($C272="","",IF($Q272&lt;&gt;"",$Q272,IF($V272="Strike",N($E272)*$H272*$I272,IF($V272="Subyacente",IF($J272="","",$J272*$H272*$I272),IF($V272="Ancho",IF($F272="","",ABS($E272-$F272)*$H272*$I272-$K272*$H272*$I272),IF($V272="Prima",$K272*$H272*$I272,""))))))</f>
        <v/>
      </c>
      <c r="AE272" s="12" t="str">
        <f aca="false">IF(OR($C272="",$M272="Abierta",$M272=""),"",(N($K272)-IF(OR($M272="Cerrada",$M272="Rolada"),N($O272),0))*$H272*$I272*IF($U272="Débito",-1,1)-N($L272)-N($P272))</f>
        <v/>
      </c>
      <c r="AF272" s="14" t="str">
        <f aca="false">IF(OR($AE272="",$AD272=""),"",IF($AD272&lt;=0,"",$AE272/$AD272))</f>
        <v/>
      </c>
      <c r="AG272" s="14" t="str">
        <f aca="false">IF($AF272="","",$AF272*365/MAX(N($X272),1))</f>
        <v/>
      </c>
      <c r="AH272" s="14" t="str">
        <f aca="false">IF(OR($C272="",$U272&lt;&gt;"Crédito",$AD272=""),"",IF($AD272&lt;=0,"",($Z272-N($L272))/$AD272))</f>
        <v/>
      </c>
      <c r="AI272" s="14" t="str">
        <f aca="false">IF(OR($AH272="",$W272=""),"",$AH272*365/MAX($W272,1))</f>
        <v/>
      </c>
      <c r="AJ272" s="14" t="str">
        <f aca="false">IF(OR($AE272="",$U272&lt;&gt;"Crédito",N($K272)=0),"",(N($K272)-IF(OR($M272="Cerrada",$M272="Rolada"),N($O272),0))/$K272)</f>
        <v/>
      </c>
      <c r="AK272" s="15" t="str">
        <f aca="false">IF(OR($C272="",$N272=""),"",DATE(YEAR($N272),MONTH($N272),1))</f>
        <v/>
      </c>
      <c r="AL272" s="11" t="str">
        <f aca="false">IF($C272="","",IF($M272="Abierta",0,1))</f>
        <v/>
      </c>
      <c r="AM272" s="16" t="str">
        <f aca="false">IF(OR($AE272="",$AD272=""),"",$AD272*MAX(N($X272),1))</f>
        <v/>
      </c>
      <c r="AN272" s="10" t="str">
        <f aca="false">IF($C272="","",IF(OR($B272="",$D272="",$H272="",$K272="",$M272=""),"Faltan datos obligatorios",IF($T272="","Estrategia no reconocida",IF(AND($M272&lt;&gt;"Abierta",$N272=""),"Falta fecha cierre",IF(AND(OR($M272="Cerrada",$M272="Rolada"),$O272=""),"Falta prima cierre",IF(AND($N272&lt;&gt;"",$N272&lt;$B272),"Cierre anterior a apertura",IF(AND($M272="Asignada",$R272=""),"Asignada: falta ID lote acciones",IF(AND($R272&lt;&gt;"",ISNA(MATCH($R272,Acciones!$A$2:$A$201,0))),"El ID lote no existe en Acciones",IF($AD272="","Revisa capital en riesgo","OK")))))))))</f>
        <v/>
      </c>
    </row>
    <row r="273" customFormat="false" ht="15" hidden="false" customHeight="true" outlineLevel="0" collapsed="false">
      <c r="A273" s="5"/>
      <c r="B273" s="6"/>
      <c r="C273" s="7"/>
      <c r="D273" s="7"/>
      <c r="E273" s="8"/>
      <c r="F273" s="8"/>
      <c r="G273" s="6"/>
      <c r="H273" s="5"/>
      <c r="I273" s="5" t="n">
        <v>100</v>
      </c>
      <c r="J273" s="8"/>
      <c r="K273" s="8"/>
      <c r="L273" s="9"/>
      <c r="M273" s="7"/>
      <c r="N273" s="6"/>
      <c r="O273" s="8"/>
      <c r="P273" s="9"/>
      <c r="Q273" s="9"/>
      <c r="R273" s="7"/>
      <c r="S273" s="7"/>
      <c r="T273" s="10" t="str">
        <f aca="false">IF($C273="","",IFERROR(INDEX(Listas!$B$2:$B$20,MATCH($D273,Listas!$A$2:$A$20,0)),""))</f>
        <v/>
      </c>
      <c r="U273" s="10" t="str">
        <f aca="false">IF($C273="","",IFERROR(INDEX(Listas!$C$2:$C$20,MATCH($D273,Listas!$A$2:$A$20,0)),""))</f>
        <v/>
      </c>
      <c r="V273" s="10" t="str">
        <f aca="false">IF($C273="","",IFERROR(INDEX(Listas!$D$2:$D$20,MATCH($D273,Listas!$A$2:$A$20,0)),""))</f>
        <v/>
      </c>
      <c r="W273" s="11" t="str">
        <f aca="false">IF(OR($C273="",$B273="",$G273=""),"",$G273-$B273)</f>
        <v/>
      </c>
      <c r="X273" s="11" t="str">
        <f aca="true">IF(OR($C273="",$B273=""),"",IF($N273&lt;&gt;"",$N273,TODAY())-$B273)</f>
        <v/>
      </c>
      <c r="Y273" s="11" t="str">
        <f aca="true">IF(OR($C273="",$M273&lt;&gt;"Abierta",$G273=""),"",MAX($G273-TODAY(),0))</f>
        <v/>
      </c>
      <c r="Z273" s="12" t="str">
        <f aca="false">IF($C273="","",N($K273)*N($H273)*N($I273)*IF($U273="Débito",-1,1))</f>
        <v/>
      </c>
      <c r="AA273" s="13" t="str">
        <f aca="false">IF($C273="","",IF(AND($U273="Débito",$F273&lt;&gt;""),$F273,$E273))</f>
        <v/>
      </c>
      <c r="AB273" s="13" t="str">
        <f aca="false">IF(OR($C273="",$T273="Mixta",$AA273=""),"",IF($V273="Subyacente",IF($J273="","",$J273-$K273),IF($T273="Put",$AA273-$K273,$AA273+$K273)))</f>
        <v/>
      </c>
      <c r="AC273" s="14" t="str">
        <f aca="false">IF(OR($C273="",$T273="Mixta",$J273="",$AA273=""),"",IF($T273="Put",($J273-$AA273)/$J273,($AA273-$J273)/$J273))</f>
        <v/>
      </c>
      <c r="AD273" s="12" t="str">
        <f aca="false">IF($C273="","",IF($Q273&lt;&gt;"",$Q273,IF($V273="Strike",N($E273)*$H273*$I273,IF($V273="Subyacente",IF($J273="","",$J273*$H273*$I273),IF($V273="Ancho",IF($F273="","",ABS($E273-$F273)*$H273*$I273-$K273*$H273*$I273),IF($V273="Prima",$K273*$H273*$I273,""))))))</f>
        <v/>
      </c>
      <c r="AE273" s="12" t="str">
        <f aca="false">IF(OR($C273="",$M273="Abierta",$M273=""),"",(N($K273)-IF(OR($M273="Cerrada",$M273="Rolada"),N($O273),0))*$H273*$I273*IF($U273="Débito",-1,1)-N($L273)-N($P273))</f>
        <v/>
      </c>
      <c r="AF273" s="14" t="str">
        <f aca="false">IF(OR($AE273="",$AD273=""),"",IF($AD273&lt;=0,"",$AE273/$AD273))</f>
        <v/>
      </c>
      <c r="AG273" s="14" t="str">
        <f aca="false">IF($AF273="","",$AF273*365/MAX(N($X273),1))</f>
        <v/>
      </c>
      <c r="AH273" s="14" t="str">
        <f aca="false">IF(OR($C273="",$U273&lt;&gt;"Crédito",$AD273=""),"",IF($AD273&lt;=0,"",($Z273-N($L273))/$AD273))</f>
        <v/>
      </c>
      <c r="AI273" s="14" t="str">
        <f aca="false">IF(OR($AH273="",$W273=""),"",$AH273*365/MAX($W273,1))</f>
        <v/>
      </c>
      <c r="AJ273" s="14" t="str">
        <f aca="false">IF(OR($AE273="",$U273&lt;&gt;"Crédito",N($K273)=0),"",(N($K273)-IF(OR($M273="Cerrada",$M273="Rolada"),N($O273),0))/$K273)</f>
        <v/>
      </c>
      <c r="AK273" s="15" t="str">
        <f aca="false">IF(OR($C273="",$N273=""),"",DATE(YEAR($N273),MONTH($N273),1))</f>
        <v/>
      </c>
      <c r="AL273" s="11" t="str">
        <f aca="false">IF($C273="","",IF($M273="Abierta",0,1))</f>
        <v/>
      </c>
      <c r="AM273" s="16" t="str">
        <f aca="false">IF(OR($AE273="",$AD273=""),"",$AD273*MAX(N($X273),1))</f>
        <v/>
      </c>
      <c r="AN273" s="10" t="str">
        <f aca="false">IF($C273="","",IF(OR($B273="",$D273="",$H273="",$K273="",$M273=""),"Faltan datos obligatorios",IF($T273="","Estrategia no reconocida",IF(AND($M273&lt;&gt;"Abierta",$N273=""),"Falta fecha cierre",IF(AND(OR($M273="Cerrada",$M273="Rolada"),$O273=""),"Falta prima cierre",IF(AND($N273&lt;&gt;"",$N273&lt;$B273),"Cierre anterior a apertura",IF(AND($M273="Asignada",$R273=""),"Asignada: falta ID lote acciones",IF(AND($R273&lt;&gt;"",ISNA(MATCH($R273,Acciones!$A$2:$A$201,0))),"El ID lote no existe en Acciones",IF($AD273="","Revisa capital en riesgo","OK")))))))))</f>
        <v/>
      </c>
    </row>
    <row r="274" customFormat="false" ht="15" hidden="false" customHeight="true" outlineLevel="0" collapsed="false">
      <c r="A274" s="5"/>
      <c r="B274" s="6"/>
      <c r="C274" s="7"/>
      <c r="D274" s="7"/>
      <c r="E274" s="8"/>
      <c r="F274" s="8"/>
      <c r="G274" s="6"/>
      <c r="H274" s="5"/>
      <c r="I274" s="5" t="n">
        <v>100</v>
      </c>
      <c r="J274" s="8"/>
      <c r="K274" s="8"/>
      <c r="L274" s="9"/>
      <c r="M274" s="7"/>
      <c r="N274" s="6"/>
      <c r="O274" s="8"/>
      <c r="P274" s="9"/>
      <c r="Q274" s="9"/>
      <c r="R274" s="7"/>
      <c r="S274" s="7"/>
      <c r="T274" s="10" t="str">
        <f aca="false">IF($C274="","",IFERROR(INDEX(Listas!$B$2:$B$20,MATCH($D274,Listas!$A$2:$A$20,0)),""))</f>
        <v/>
      </c>
      <c r="U274" s="10" t="str">
        <f aca="false">IF($C274="","",IFERROR(INDEX(Listas!$C$2:$C$20,MATCH($D274,Listas!$A$2:$A$20,0)),""))</f>
        <v/>
      </c>
      <c r="V274" s="10" t="str">
        <f aca="false">IF($C274="","",IFERROR(INDEX(Listas!$D$2:$D$20,MATCH($D274,Listas!$A$2:$A$20,0)),""))</f>
        <v/>
      </c>
      <c r="W274" s="11" t="str">
        <f aca="false">IF(OR($C274="",$B274="",$G274=""),"",$G274-$B274)</f>
        <v/>
      </c>
      <c r="X274" s="11" t="str">
        <f aca="true">IF(OR($C274="",$B274=""),"",IF($N274&lt;&gt;"",$N274,TODAY())-$B274)</f>
        <v/>
      </c>
      <c r="Y274" s="11" t="str">
        <f aca="true">IF(OR($C274="",$M274&lt;&gt;"Abierta",$G274=""),"",MAX($G274-TODAY(),0))</f>
        <v/>
      </c>
      <c r="Z274" s="12" t="str">
        <f aca="false">IF($C274="","",N($K274)*N($H274)*N($I274)*IF($U274="Débito",-1,1))</f>
        <v/>
      </c>
      <c r="AA274" s="13" t="str">
        <f aca="false">IF($C274="","",IF(AND($U274="Débito",$F274&lt;&gt;""),$F274,$E274))</f>
        <v/>
      </c>
      <c r="AB274" s="13" t="str">
        <f aca="false">IF(OR($C274="",$T274="Mixta",$AA274=""),"",IF($V274="Subyacente",IF($J274="","",$J274-$K274),IF($T274="Put",$AA274-$K274,$AA274+$K274)))</f>
        <v/>
      </c>
      <c r="AC274" s="14" t="str">
        <f aca="false">IF(OR($C274="",$T274="Mixta",$J274="",$AA274=""),"",IF($T274="Put",($J274-$AA274)/$J274,($AA274-$J274)/$J274))</f>
        <v/>
      </c>
      <c r="AD274" s="12" t="str">
        <f aca="false">IF($C274="","",IF($Q274&lt;&gt;"",$Q274,IF($V274="Strike",N($E274)*$H274*$I274,IF($V274="Subyacente",IF($J274="","",$J274*$H274*$I274),IF($V274="Ancho",IF($F274="","",ABS($E274-$F274)*$H274*$I274-$K274*$H274*$I274),IF($V274="Prima",$K274*$H274*$I274,""))))))</f>
        <v/>
      </c>
      <c r="AE274" s="12" t="str">
        <f aca="false">IF(OR($C274="",$M274="Abierta",$M274=""),"",(N($K274)-IF(OR($M274="Cerrada",$M274="Rolada"),N($O274),0))*$H274*$I274*IF($U274="Débito",-1,1)-N($L274)-N($P274))</f>
        <v/>
      </c>
      <c r="AF274" s="14" t="str">
        <f aca="false">IF(OR($AE274="",$AD274=""),"",IF($AD274&lt;=0,"",$AE274/$AD274))</f>
        <v/>
      </c>
      <c r="AG274" s="14" t="str">
        <f aca="false">IF($AF274="","",$AF274*365/MAX(N($X274),1))</f>
        <v/>
      </c>
      <c r="AH274" s="14" t="str">
        <f aca="false">IF(OR($C274="",$U274&lt;&gt;"Crédito",$AD274=""),"",IF($AD274&lt;=0,"",($Z274-N($L274))/$AD274))</f>
        <v/>
      </c>
      <c r="AI274" s="14" t="str">
        <f aca="false">IF(OR($AH274="",$W274=""),"",$AH274*365/MAX($W274,1))</f>
        <v/>
      </c>
      <c r="AJ274" s="14" t="str">
        <f aca="false">IF(OR($AE274="",$U274&lt;&gt;"Crédito",N($K274)=0),"",(N($K274)-IF(OR($M274="Cerrada",$M274="Rolada"),N($O274),0))/$K274)</f>
        <v/>
      </c>
      <c r="AK274" s="15" t="str">
        <f aca="false">IF(OR($C274="",$N274=""),"",DATE(YEAR($N274),MONTH($N274),1))</f>
        <v/>
      </c>
      <c r="AL274" s="11" t="str">
        <f aca="false">IF($C274="","",IF($M274="Abierta",0,1))</f>
        <v/>
      </c>
      <c r="AM274" s="16" t="str">
        <f aca="false">IF(OR($AE274="",$AD274=""),"",$AD274*MAX(N($X274),1))</f>
        <v/>
      </c>
      <c r="AN274" s="10" t="str">
        <f aca="false">IF($C274="","",IF(OR($B274="",$D274="",$H274="",$K274="",$M274=""),"Faltan datos obligatorios",IF($T274="","Estrategia no reconocida",IF(AND($M274&lt;&gt;"Abierta",$N274=""),"Falta fecha cierre",IF(AND(OR($M274="Cerrada",$M274="Rolada"),$O274=""),"Falta prima cierre",IF(AND($N274&lt;&gt;"",$N274&lt;$B274),"Cierre anterior a apertura",IF(AND($M274="Asignada",$R274=""),"Asignada: falta ID lote acciones",IF(AND($R274&lt;&gt;"",ISNA(MATCH($R274,Acciones!$A$2:$A$201,0))),"El ID lote no existe en Acciones",IF($AD274="","Revisa capital en riesgo","OK")))))))))</f>
        <v/>
      </c>
    </row>
    <row r="275" customFormat="false" ht="15" hidden="false" customHeight="true" outlineLevel="0" collapsed="false">
      <c r="A275" s="5"/>
      <c r="B275" s="6"/>
      <c r="C275" s="7"/>
      <c r="D275" s="7"/>
      <c r="E275" s="8"/>
      <c r="F275" s="8"/>
      <c r="G275" s="6"/>
      <c r="H275" s="5"/>
      <c r="I275" s="5" t="n">
        <v>100</v>
      </c>
      <c r="J275" s="8"/>
      <c r="K275" s="8"/>
      <c r="L275" s="9"/>
      <c r="M275" s="7"/>
      <c r="N275" s="6"/>
      <c r="O275" s="8"/>
      <c r="P275" s="9"/>
      <c r="Q275" s="9"/>
      <c r="R275" s="7"/>
      <c r="S275" s="7"/>
      <c r="T275" s="10" t="str">
        <f aca="false">IF($C275="","",IFERROR(INDEX(Listas!$B$2:$B$20,MATCH($D275,Listas!$A$2:$A$20,0)),""))</f>
        <v/>
      </c>
      <c r="U275" s="10" t="str">
        <f aca="false">IF($C275="","",IFERROR(INDEX(Listas!$C$2:$C$20,MATCH($D275,Listas!$A$2:$A$20,0)),""))</f>
        <v/>
      </c>
      <c r="V275" s="10" t="str">
        <f aca="false">IF($C275="","",IFERROR(INDEX(Listas!$D$2:$D$20,MATCH($D275,Listas!$A$2:$A$20,0)),""))</f>
        <v/>
      </c>
      <c r="W275" s="11" t="str">
        <f aca="false">IF(OR($C275="",$B275="",$G275=""),"",$G275-$B275)</f>
        <v/>
      </c>
      <c r="X275" s="11" t="str">
        <f aca="true">IF(OR($C275="",$B275=""),"",IF($N275&lt;&gt;"",$N275,TODAY())-$B275)</f>
        <v/>
      </c>
      <c r="Y275" s="11" t="str">
        <f aca="true">IF(OR($C275="",$M275&lt;&gt;"Abierta",$G275=""),"",MAX($G275-TODAY(),0))</f>
        <v/>
      </c>
      <c r="Z275" s="12" t="str">
        <f aca="false">IF($C275="","",N($K275)*N($H275)*N($I275)*IF($U275="Débito",-1,1))</f>
        <v/>
      </c>
      <c r="AA275" s="13" t="str">
        <f aca="false">IF($C275="","",IF(AND($U275="Débito",$F275&lt;&gt;""),$F275,$E275))</f>
        <v/>
      </c>
      <c r="AB275" s="13" t="str">
        <f aca="false">IF(OR($C275="",$T275="Mixta",$AA275=""),"",IF($V275="Subyacente",IF($J275="","",$J275-$K275),IF($T275="Put",$AA275-$K275,$AA275+$K275)))</f>
        <v/>
      </c>
      <c r="AC275" s="14" t="str">
        <f aca="false">IF(OR($C275="",$T275="Mixta",$J275="",$AA275=""),"",IF($T275="Put",($J275-$AA275)/$J275,($AA275-$J275)/$J275))</f>
        <v/>
      </c>
      <c r="AD275" s="12" t="str">
        <f aca="false">IF($C275="","",IF($Q275&lt;&gt;"",$Q275,IF($V275="Strike",N($E275)*$H275*$I275,IF($V275="Subyacente",IF($J275="","",$J275*$H275*$I275),IF($V275="Ancho",IF($F275="","",ABS($E275-$F275)*$H275*$I275-$K275*$H275*$I275),IF($V275="Prima",$K275*$H275*$I275,""))))))</f>
        <v/>
      </c>
      <c r="AE275" s="12" t="str">
        <f aca="false">IF(OR($C275="",$M275="Abierta",$M275=""),"",(N($K275)-IF(OR($M275="Cerrada",$M275="Rolada"),N($O275),0))*$H275*$I275*IF($U275="Débito",-1,1)-N($L275)-N($P275))</f>
        <v/>
      </c>
      <c r="AF275" s="14" t="str">
        <f aca="false">IF(OR($AE275="",$AD275=""),"",IF($AD275&lt;=0,"",$AE275/$AD275))</f>
        <v/>
      </c>
      <c r="AG275" s="14" t="str">
        <f aca="false">IF($AF275="","",$AF275*365/MAX(N($X275),1))</f>
        <v/>
      </c>
      <c r="AH275" s="14" t="str">
        <f aca="false">IF(OR($C275="",$U275&lt;&gt;"Crédito",$AD275=""),"",IF($AD275&lt;=0,"",($Z275-N($L275))/$AD275))</f>
        <v/>
      </c>
      <c r="AI275" s="14" t="str">
        <f aca="false">IF(OR($AH275="",$W275=""),"",$AH275*365/MAX($W275,1))</f>
        <v/>
      </c>
      <c r="AJ275" s="14" t="str">
        <f aca="false">IF(OR($AE275="",$U275&lt;&gt;"Crédito",N($K275)=0),"",(N($K275)-IF(OR($M275="Cerrada",$M275="Rolada"),N($O275),0))/$K275)</f>
        <v/>
      </c>
      <c r="AK275" s="15" t="str">
        <f aca="false">IF(OR($C275="",$N275=""),"",DATE(YEAR($N275),MONTH($N275),1))</f>
        <v/>
      </c>
      <c r="AL275" s="11" t="str">
        <f aca="false">IF($C275="","",IF($M275="Abierta",0,1))</f>
        <v/>
      </c>
      <c r="AM275" s="16" t="str">
        <f aca="false">IF(OR($AE275="",$AD275=""),"",$AD275*MAX(N($X275),1))</f>
        <v/>
      </c>
      <c r="AN275" s="10" t="str">
        <f aca="false">IF($C275="","",IF(OR($B275="",$D275="",$H275="",$K275="",$M275=""),"Faltan datos obligatorios",IF($T275="","Estrategia no reconocida",IF(AND($M275&lt;&gt;"Abierta",$N275=""),"Falta fecha cierre",IF(AND(OR($M275="Cerrada",$M275="Rolada"),$O275=""),"Falta prima cierre",IF(AND($N275&lt;&gt;"",$N275&lt;$B275),"Cierre anterior a apertura",IF(AND($M275="Asignada",$R275=""),"Asignada: falta ID lote acciones",IF(AND($R275&lt;&gt;"",ISNA(MATCH($R275,Acciones!$A$2:$A$201,0))),"El ID lote no existe en Acciones",IF($AD275="","Revisa capital en riesgo","OK")))))))))</f>
        <v/>
      </c>
    </row>
    <row r="276" customFormat="false" ht="15" hidden="false" customHeight="true" outlineLevel="0" collapsed="false">
      <c r="A276" s="5"/>
      <c r="B276" s="6"/>
      <c r="C276" s="7"/>
      <c r="D276" s="7"/>
      <c r="E276" s="8"/>
      <c r="F276" s="8"/>
      <c r="G276" s="6"/>
      <c r="H276" s="5"/>
      <c r="I276" s="5" t="n">
        <v>100</v>
      </c>
      <c r="J276" s="8"/>
      <c r="K276" s="8"/>
      <c r="L276" s="9"/>
      <c r="M276" s="7"/>
      <c r="N276" s="6"/>
      <c r="O276" s="8"/>
      <c r="P276" s="9"/>
      <c r="Q276" s="9"/>
      <c r="R276" s="7"/>
      <c r="S276" s="7"/>
      <c r="T276" s="10" t="str">
        <f aca="false">IF($C276="","",IFERROR(INDEX(Listas!$B$2:$B$20,MATCH($D276,Listas!$A$2:$A$20,0)),""))</f>
        <v/>
      </c>
      <c r="U276" s="10" t="str">
        <f aca="false">IF($C276="","",IFERROR(INDEX(Listas!$C$2:$C$20,MATCH($D276,Listas!$A$2:$A$20,0)),""))</f>
        <v/>
      </c>
      <c r="V276" s="10" t="str">
        <f aca="false">IF($C276="","",IFERROR(INDEX(Listas!$D$2:$D$20,MATCH($D276,Listas!$A$2:$A$20,0)),""))</f>
        <v/>
      </c>
      <c r="W276" s="11" t="str">
        <f aca="false">IF(OR($C276="",$B276="",$G276=""),"",$G276-$B276)</f>
        <v/>
      </c>
      <c r="X276" s="11" t="str">
        <f aca="true">IF(OR($C276="",$B276=""),"",IF($N276&lt;&gt;"",$N276,TODAY())-$B276)</f>
        <v/>
      </c>
      <c r="Y276" s="11" t="str">
        <f aca="true">IF(OR($C276="",$M276&lt;&gt;"Abierta",$G276=""),"",MAX($G276-TODAY(),0))</f>
        <v/>
      </c>
      <c r="Z276" s="12" t="str">
        <f aca="false">IF($C276="","",N($K276)*N($H276)*N($I276)*IF($U276="Débito",-1,1))</f>
        <v/>
      </c>
      <c r="AA276" s="13" t="str">
        <f aca="false">IF($C276="","",IF(AND($U276="Débito",$F276&lt;&gt;""),$F276,$E276))</f>
        <v/>
      </c>
      <c r="AB276" s="13" t="str">
        <f aca="false">IF(OR($C276="",$T276="Mixta",$AA276=""),"",IF($V276="Subyacente",IF($J276="","",$J276-$K276),IF($T276="Put",$AA276-$K276,$AA276+$K276)))</f>
        <v/>
      </c>
      <c r="AC276" s="14" t="str">
        <f aca="false">IF(OR($C276="",$T276="Mixta",$J276="",$AA276=""),"",IF($T276="Put",($J276-$AA276)/$J276,($AA276-$J276)/$J276))</f>
        <v/>
      </c>
      <c r="AD276" s="12" t="str">
        <f aca="false">IF($C276="","",IF($Q276&lt;&gt;"",$Q276,IF($V276="Strike",N($E276)*$H276*$I276,IF($V276="Subyacente",IF($J276="","",$J276*$H276*$I276),IF($V276="Ancho",IF($F276="","",ABS($E276-$F276)*$H276*$I276-$K276*$H276*$I276),IF($V276="Prima",$K276*$H276*$I276,""))))))</f>
        <v/>
      </c>
      <c r="AE276" s="12" t="str">
        <f aca="false">IF(OR($C276="",$M276="Abierta",$M276=""),"",(N($K276)-IF(OR($M276="Cerrada",$M276="Rolada"),N($O276),0))*$H276*$I276*IF($U276="Débito",-1,1)-N($L276)-N($P276))</f>
        <v/>
      </c>
      <c r="AF276" s="14" t="str">
        <f aca="false">IF(OR($AE276="",$AD276=""),"",IF($AD276&lt;=0,"",$AE276/$AD276))</f>
        <v/>
      </c>
      <c r="AG276" s="14" t="str">
        <f aca="false">IF($AF276="","",$AF276*365/MAX(N($X276),1))</f>
        <v/>
      </c>
      <c r="AH276" s="14" t="str">
        <f aca="false">IF(OR($C276="",$U276&lt;&gt;"Crédito",$AD276=""),"",IF($AD276&lt;=0,"",($Z276-N($L276))/$AD276))</f>
        <v/>
      </c>
      <c r="AI276" s="14" t="str">
        <f aca="false">IF(OR($AH276="",$W276=""),"",$AH276*365/MAX($W276,1))</f>
        <v/>
      </c>
      <c r="AJ276" s="14" t="str">
        <f aca="false">IF(OR($AE276="",$U276&lt;&gt;"Crédito",N($K276)=0),"",(N($K276)-IF(OR($M276="Cerrada",$M276="Rolada"),N($O276),0))/$K276)</f>
        <v/>
      </c>
      <c r="AK276" s="15" t="str">
        <f aca="false">IF(OR($C276="",$N276=""),"",DATE(YEAR($N276),MONTH($N276),1))</f>
        <v/>
      </c>
      <c r="AL276" s="11" t="str">
        <f aca="false">IF($C276="","",IF($M276="Abierta",0,1))</f>
        <v/>
      </c>
      <c r="AM276" s="16" t="str">
        <f aca="false">IF(OR($AE276="",$AD276=""),"",$AD276*MAX(N($X276),1))</f>
        <v/>
      </c>
      <c r="AN276" s="10" t="str">
        <f aca="false">IF($C276="","",IF(OR($B276="",$D276="",$H276="",$K276="",$M276=""),"Faltan datos obligatorios",IF($T276="","Estrategia no reconocida",IF(AND($M276&lt;&gt;"Abierta",$N276=""),"Falta fecha cierre",IF(AND(OR($M276="Cerrada",$M276="Rolada"),$O276=""),"Falta prima cierre",IF(AND($N276&lt;&gt;"",$N276&lt;$B276),"Cierre anterior a apertura",IF(AND($M276="Asignada",$R276=""),"Asignada: falta ID lote acciones",IF(AND($R276&lt;&gt;"",ISNA(MATCH($R276,Acciones!$A$2:$A$201,0))),"El ID lote no existe en Acciones",IF($AD276="","Revisa capital en riesgo","OK")))))))))</f>
        <v/>
      </c>
    </row>
    <row r="277" customFormat="false" ht="15" hidden="false" customHeight="true" outlineLevel="0" collapsed="false">
      <c r="A277" s="5"/>
      <c r="B277" s="6"/>
      <c r="C277" s="7"/>
      <c r="D277" s="7"/>
      <c r="E277" s="8"/>
      <c r="F277" s="8"/>
      <c r="G277" s="6"/>
      <c r="H277" s="5"/>
      <c r="I277" s="5" t="n">
        <v>100</v>
      </c>
      <c r="J277" s="8"/>
      <c r="K277" s="8"/>
      <c r="L277" s="9"/>
      <c r="M277" s="7"/>
      <c r="N277" s="6"/>
      <c r="O277" s="8"/>
      <c r="P277" s="9"/>
      <c r="Q277" s="9"/>
      <c r="R277" s="7"/>
      <c r="S277" s="7"/>
      <c r="T277" s="10" t="str">
        <f aca="false">IF($C277="","",IFERROR(INDEX(Listas!$B$2:$B$20,MATCH($D277,Listas!$A$2:$A$20,0)),""))</f>
        <v/>
      </c>
      <c r="U277" s="10" t="str">
        <f aca="false">IF($C277="","",IFERROR(INDEX(Listas!$C$2:$C$20,MATCH($D277,Listas!$A$2:$A$20,0)),""))</f>
        <v/>
      </c>
      <c r="V277" s="10" t="str">
        <f aca="false">IF($C277="","",IFERROR(INDEX(Listas!$D$2:$D$20,MATCH($D277,Listas!$A$2:$A$20,0)),""))</f>
        <v/>
      </c>
      <c r="W277" s="11" t="str">
        <f aca="false">IF(OR($C277="",$B277="",$G277=""),"",$G277-$B277)</f>
        <v/>
      </c>
      <c r="X277" s="11" t="str">
        <f aca="true">IF(OR($C277="",$B277=""),"",IF($N277&lt;&gt;"",$N277,TODAY())-$B277)</f>
        <v/>
      </c>
      <c r="Y277" s="11" t="str">
        <f aca="true">IF(OR($C277="",$M277&lt;&gt;"Abierta",$G277=""),"",MAX($G277-TODAY(),0))</f>
        <v/>
      </c>
      <c r="Z277" s="12" t="str">
        <f aca="false">IF($C277="","",N($K277)*N($H277)*N($I277)*IF($U277="Débito",-1,1))</f>
        <v/>
      </c>
      <c r="AA277" s="13" t="str">
        <f aca="false">IF($C277="","",IF(AND($U277="Débito",$F277&lt;&gt;""),$F277,$E277))</f>
        <v/>
      </c>
      <c r="AB277" s="13" t="str">
        <f aca="false">IF(OR($C277="",$T277="Mixta",$AA277=""),"",IF($V277="Subyacente",IF($J277="","",$J277-$K277),IF($T277="Put",$AA277-$K277,$AA277+$K277)))</f>
        <v/>
      </c>
      <c r="AC277" s="14" t="str">
        <f aca="false">IF(OR($C277="",$T277="Mixta",$J277="",$AA277=""),"",IF($T277="Put",($J277-$AA277)/$J277,($AA277-$J277)/$J277))</f>
        <v/>
      </c>
      <c r="AD277" s="12" t="str">
        <f aca="false">IF($C277="","",IF($Q277&lt;&gt;"",$Q277,IF($V277="Strike",N($E277)*$H277*$I277,IF($V277="Subyacente",IF($J277="","",$J277*$H277*$I277),IF($V277="Ancho",IF($F277="","",ABS($E277-$F277)*$H277*$I277-$K277*$H277*$I277),IF($V277="Prima",$K277*$H277*$I277,""))))))</f>
        <v/>
      </c>
      <c r="AE277" s="12" t="str">
        <f aca="false">IF(OR($C277="",$M277="Abierta",$M277=""),"",(N($K277)-IF(OR($M277="Cerrada",$M277="Rolada"),N($O277),0))*$H277*$I277*IF($U277="Débito",-1,1)-N($L277)-N($P277))</f>
        <v/>
      </c>
      <c r="AF277" s="14" t="str">
        <f aca="false">IF(OR($AE277="",$AD277=""),"",IF($AD277&lt;=0,"",$AE277/$AD277))</f>
        <v/>
      </c>
      <c r="AG277" s="14" t="str">
        <f aca="false">IF($AF277="","",$AF277*365/MAX(N($X277),1))</f>
        <v/>
      </c>
      <c r="AH277" s="14" t="str">
        <f aca="false">IF(OR($C277="",$U277&lt;&gt;"Crédito",$AD277=""),"",IF($AD277&lt;=0,"",($Z277-N($L277))/$AD277))</f>
        <v/>
      </c>
      <c r="AI277" s="14" t="str">
        <f aca="false">IF(OR($AH277="",$W277=""),"",$AH277*365/MAX($W277,1))</f>
        <v/>
      </c>
      <c r="AJ277" s="14" t="str">
        <f aca="false">IF(OR($AE277="",$U277&lt;&gt;"Crédito",N($K277)=0),"",(N($K277)-IF(OR($M277="Cerrada",$M277="Rolada"),N($O277),0))/$K277)</f>
        <v/>
      </c>
      <c r="AK277" s="15" t="str">
        <f aca="false">IF(OR($C277="",$N277=""),"",DATE(YEAR($N277),MONTH($N277),1))</f>
        <v/>
      </c>
      <c r="AL277" s="11" t="str">
        <f aca="false">IF($C277="","",IF($M277="Abierta",0,1))</f>
        <v/>
      </c>
      <c r="AM277" s="16" t="str">
        <f aca="false">IF(OR($AE277="",$AD277=""),"",$AD277*MAX(N($X277),1))</f>
        <v/>
      </c>
      <c r="AN277" s="10" t="str">
        <f aca="false">IF($C277="","",IF(OR($B277="",$D277="",$H277="",$K277="",$M277=""),"Faltan datos obligatorios",IF($T277="","Estrategia no reconocida",IF(AND($M277&lt;&gt;"Abierta",$N277=""),"Falta fecha cierre",IF(AND(OR($M277="Cerrada",$M277="Rolada"),$O277=""),"Falta prima cierre",IF(AND($N277&lt;&gt;"",$N277&lt;$B277),"Cierre anterior a apertura",IF(AND($M277="Asignada",$R277=""),"Asignada: falta ID lote acciones",IF(AND($R277&lt;&gt;"",ISNA(MATCH($R277,Acciones!$A$2:$A$201,0))),"El ID lote no existe en Acciones",IF($AD277="","Revisa capital en riesgo","OK")))))))))</f>
        <v/>
      </c>
    </row>
    <row r="278" customFormat="false" ht="15" hidden="false" customHeight="true" outlineLevel="0" collapsed="false">
      <c r="A278" s="5"/>
      <c r="B278" s="6"/>
      <c r="C278" s="7"/>
      <c r="D278" s="7"/>
      <c r="E278" s="8"/>
      <c r="F278" s="8"/>
      <c r="G278" s="6"/>
      <c r="H278" s="5"/>
      <c r="I278" s="5" t="n">
        <v>100</v>
      </c>
      <c r="J278" s="8"/>
      <c r="K278" s="8"/>
      <c r="L278" s="9"/>
      <c r="M278" s="7"/>
      <c r="N278" s="6"/>
      <c r="O278" s="8"/>
      <c r="P278" s="9"/>
      <c r="Q278" s="9"/>
      <c r="R278" s="7"/>
      <c r="S278" s="7"/>
      <c r="T278" s="10" t="str">
        <f aca="false">IF($C278="","",IFERROR(INDEX(Listas!$B$2:$B$20,MATCH($D278,Listas!$A$2:$A$20,0)),""))</f>
        <v/>
      </c>
      <c r="U278" s="10" t="str">
        <f aca="false">IF($C278="","",IFERROR(INDEX(Listas!$C$2:$C$20,MATCH($D278,Listas!$A$2:$A$20,0)),""))</f>
        <v/>
      </c>
      <c r="V278" s="10" t="str">
        <f aca="false">IF($C278="","",IFERROR(INDEX(Listas!$D$2:$D$20,MATCH($D278,Listas!$A$2:$A$20,0)),""))</f>
        <v/>
      </c>
      <c r="W278" s="11" t="str">
        <f aca="false">IF(OR($C278="",$B278="",$G278=""),"",$G278-$B278)</f>
        <v/>
      </c>
      <c r="X278" s="11" t="str">
        <f aca="true">IF(OR($C278="",$B278=""),"",IF($N278&lt;&gt;"",$N278,TODAY())-$B278)</f>
        <v/>
      </c>
      <c r="Y278" s="11" t="str">
        <f aca="true">IF(OR($C278="",$M278&lt;&gt;"Abierta",$G278=""),"",MAX($G278-TODAY(),0))</f>
        <v/>
      </c>
      <c r="Z278" s="12" t="str">
        <f aca="false">IF($C278="","",N($K278)*N($H278)*N($I278)*IF($U278="Débito",-1,1))</f>
        <v/>
      </c>
      <c r="AA278" s="13" t="str">
        <f aca="false">IF($C278="","",IF(AND($U278="Débito",$F278&lt;&gt;""),$F278,$E278))</f>
        <v/>
      </c>
      <c r="AB278" s="13" t="str">
        <f aca="false">IF(OR($C278="",$T278="Mixta",$AA278=""),"",IF($V278="Subyacente",IF($J278="","",$J278-$K278),IF($T278="Put",$AA278-$K278,$AA278+$K278)))</f>
        <v/>
      </c>
      <c r="AC278" s="14" t="str">
        <f aca="false">IF(OR($C278="",$T278="Mixta",$J278="",$AA278=""),"",IF($T278="Put",($J278-$AA278)/$J278,($AA278-$J278)/$J278))</f>
        <v/>
      </c>
      <c r="AD278" s="12" t="str">
        <f aca="false">IF($C278="","",IF($Q278&lt;&gt;"",$Q278,IF($V278="Strike",N($E278)*$H278*$I278,IF($V278="Subyacente",IF($J278="","",$J278*$H278*$I278),IF($V278="Ancho",IF($F278="","",ABS($E278-$F278)*$H278*$I278-$K278*$H278*$I278),IF($V278="Prima",$K278*$H278*$I278,""))))))</f>
        <v/>
      </c>
      <c r="AE278" s="12" t="str">
        <f aca="false">IF(OR($C278="",$M278="Abierta",$M278=""),"",(N($K278)-IF(OR($M278="Cerrada",$M278="Rolada"),N($O278),0))*$H278*$I278*IF($U278="Débito",-1,1)-N($L278)-N($P278))</f>
        <v/>
      </c>
      <c r="AF278" s="14" t="str">
        <f aca="false">IF(OR($AE278="",$AD278=""),"",IF($AD278&lt;=0,"",$AE278/$AD278))</f>
        <v/>
      </c>
      <c r="AG278" s="14" t="str">
        <f aca="false">IF($AF278="","",$AF278*365/MAX(N($X278),1))</f>
        <v/>
      </c>
      <c r="AH278" s="14" t="str">
        <f aca="false">IF(OR($C278="",$U278&lt;&gt;"Crédito",$AD278=""),"",IF($AD278&lt;=0,"",($Z278-N($L278))/$AD278))</f>
        <v/>
      </c>
      <c r="AI278" s="14" t="str">
        <f aca="false">IF(OR($AH278="",$W278=""),"",$AH278*365/MAX($W278,1))</f>
        <v/>
      </c>
      <c r="AJ278" s="14" t="str">
        <f aca="false">IF(OR($AE278="",$U278&lt;&gt;"Crédito",N($K278)=0),"",(N($K278)-IF(OR($M278="Cerrada",$M278="Rolada"),N($O278),0))/$K278)</f>
        <v/>
      </c>
      <c r="AK278" s="15" t="str">
        <f aca="false">IF(OR($C278="",$N278=""),"",DATE(YEAR($N278),MONTH($N278),1))</f>
        <v/>
      </c>
      <c r="AL278" s="11" t="str">
        <f aca="false">IF($C278="","",IF($M278="Abierta",0,1))</f>
        <v/>
      </c>
      <c r="AM278" s="16" t="str">
        <f aca="false">IF(OR($AE278="",$AD278=""),"",$AD278*MAX(N($X278),1))</f>
        <v/>
      </c>
      <c r="AN278" s="10" t="str">
        <f aca="false">IF($C278="","",IF(OR($B278="",$D278="",$H278="",$K278="",$M278=""),"Faltan datos obligatorios",IF($T278="","Estrategia no reconocida",IF(AND($M278&lt;&gt;"Abierta",$N278=""),"Falta fecha cierre",IF(AND(OR($M278="Cerrada",$M278="Rolada"),$O278=""),"Falta prima cierre",IF(AND($N278&lt;&gt;"",$N278&lt;$B278),"Cierre anterior a apertura",IF(AND($M278="Asignada",$R278=""),"Asignada: falta ID lote acciones",IF(AND($R278&lt;&gt;"",ISNA(MATCH($R278,Acciones!$A$2:$A$201,0))),"El ID lote no existe en Acciones",IF($AD278="","Revisa capital en riesgo","OK")))))))))</f>
        <v/>
      </c>
    </row>
    <row r="279" customFormat="false" ht="15" hidden="false" customHeight="true" outlineLevel="0" collapsed="false">
      <c r="A279" s="5"/>
      <c r="B279" s="6"/>
      <c r="C279" s="7"/>
      <c r="D279" s="7"/>
      <c r="E279" s="8"/>
      <c r="F279" s="8"/>
      <c r="G279" s="6"/>
      <c r="H279" s="5"/>
      <c r="I279" s="5" t="n">
        <v>100</v>
      </c>
      <c r="J279" s="8"/>
      <c r="K279" s="8"/>
      <c r="L279" s="9"/>
      <c r="M279" s="7"/>
      <c r="N279" s="6"/>
      <c r="O279" s="8"/>
      <c r="P279" s="9"/>
      <c r="Q279" s="9"/>
      <c r="R279" s="7"/>
      <c r="S279" s="7"/>
      <c r="T279" s="10" t="str">
        <f aca="false">IF($C279="","",IFERROR(INDEX(Listas!$B$2:$B$20,MATCH($D279,Listas!$A$2:$A$20,0)),""))</f>
        <v/>
      </c>
      <c r="U279" s="10" t="str">
        <f aca="false">IF($C279="","",IFERROR(INDEX(Listas!$C$2:$C$20,MATCH($D279,Listas!$A$2:$A$20,0)),""))</f>
        <v/>
      </c>
      <c r="V279" s="10" t="str">
        <f aca="false">IF($C279="","",IFERROR(INDEX(Listas!$D$2:$D$20,MATCH($D279,Listas!$A$2:$A$20,0)),""))</f>
        <v/>
      </c>
      <c r="W279" s="11" t="str">
        <f aca="false">IF(OR($C279="",$B279="",$G279=""),"",$G279-$B279)</f>
        <v/>
      </c>
      <c r="X279" s="11" t="str">
        <f aca="true">IF(OR($C279="",$B279=""),"",IF($N279&lt;&gt;"",$N279,TODAY())-$B279)</f>
        <v/>
      </c>
      <c r="Y279" s="11" t="str">
        <f aca="true">IF(OR($C279="",$M279&lt;&gt;"Abierta",$G279=""),"",MAX($G279-TODAY(),0))</f>
        <v/>
      </c>
      <c r="Z279" s="12" t="str">
        <f aca="false">IF($C279="","",N($K279)*N($H279)*N($I279)*IF($U279="Débito",-1,1))</f>
        <v/>
      </c>
      <c r="AA279" s="13" t="str">
        <f aca="false">IF($C279="","",IF(AND($U279="Débito",$F279&lt;&gt;""),$F279,$E279))</f>
        <v/>
      </c>
      <c r="AB279" s="13" t="str">
        <f aca="false">IF(OR($C279="",$T279="Mixta",$AA279=""),"",IF($V279="Subyacente",IF($J279="","",$J279-$K279),IF($T279="Put",$AA279-$K279,$AA279+$K279)))</f>
        <v/>
      </c>
      <c r="AC279" s="14" t="str">
        <f aca="false">IF(OR($C279="",$T279="Mixta",$J279="",$AA279=""),"",IF($T279="Put",($J279-$AA279)/$J279,($AA279-$J279)/$J279))</f>
        <v/>
      </c>
      <c r="AD279" s="12" t="str">
        <f aca="false">IF($C279="","",IF($Q279&lt;&gt;"",$Q279,IF($V279="Strike",N($E279)*$H279*$I279,IF($V279="Subyacente",IF($J279="","",$J279*$H279*$I279),IF($V279="Ancho",IF($F279="","",ABS($E279-$F279)*$H279*$I279-$K279*$H279*$I279),IF($V279="Prima",$K279*$H279*$I279,""))))))</f>
        <v/>
      </c>
      <c r="AE279" s="12" t="str">
        <f aca="false">IF(OR($C279="",$M279="Abierta",$M279=""),"",(N($K279)-IF(OR($M279="Cerrada",$M279="Rolada"),N($O279),0))*$H279*$I279*IF($U279="Débito",-1,1)-N($L279)-N($P279))</f>
        <v/>
      </c>
      <c r="AF279" s="14" t="str">
        <f aca="false">IF(OR($AE279="",$AD279=""),"",IF($AD279&lt;=0,"",$AE279/$AD279))</f>
        <v/>
      </c>
      <c r="AG279" s="14" t="str">
        <f aca="false">IF($AF279="","",$AF279*365/MAX(N($X279),1))</f>
        <v/>
      </c>
      <c r="AH279" s="14" t="str">
        <f aca="false">IF(OR($C279="",$U279&lt;&gt;"Crédito",$AD279=""),"",IF($AD279&lt;=0,"",($Z279-N($L279))/$AD279))</f>
        <v/>
      </c>
      <c r="AI279" s="14" t="str">
        <f aca="false">IF(OR($AH279="",$W279=""),"",$AH279*365/MAX($W279,1))</f>
        <v/>
      </c>
      <c r="AJ279" s="14" t="str">
        <f aca="false">IF(OR($AE279="",$U279&lt;&gt;"Crédito",N($K279)=0),"",(N($K279)-IF(OR($M279="Cerrada",$M279="Rolada"),N($O279),0))/$K279)</f>
        <v/>
      </c>
      <c r="AK279" s="15" t="str">
        <f aca="false">IF(OR($C279="",$N279=""),"",DATE(YEAR($N279),MONTH($N279),1))</f>
        <v/>
      </c>
      <c r="AL279" s="11" t="str">
        <f aca="false">IF($C279="","",IF($M279="Abierta",0,1))</f>
        <v/>
      </c>
      <c r="AM279" s="16" t="str">
        <f aca="false">IF(OR($AE279="",$AD279=""),"",$AD279*MAX(N($X279),1))</f>
        <v/>
      </c>
      <c r="AN279" s="10" t="str">
        <f aca="false">IF($C279="","",IF(OR($B279="",$D279="",$H279="",$K279="",$M279=""),"Faltan datos obligatorios",IF($T279="","Estrategia no reconocida",IF(AND($M279&lt;&gt;"Abierta",$N279=""),"Falta fecha cierre",IF(AND(OR($M279="Cerrada",$M279="Rolada"),$O279=""),"Falta prima cierre",IF(AND($N279&lt;&gt;"",$N279&lt;$B279),"Cierre anterior a apertura",IF(AND($M279="Asignada",$R279=""),"Asignada: falta ID lote acciones",IF(AND($R279&lt;&gt;"",ISNA(MATCH($R279,Acciones!$A$2:$A$201,0))),"El ID lote no existe en Acciones",IF($AD279="","Revisa capital en riesgo","OK")))))))))</f>
        <v/>
      </c>
    </row>
    <row r="280" customFormat="false" ht="15" hidden="false" customHeight="true" outlineLevel="0" collapsed="false">
      <c r="A280" s="5"/>
      <c r="B280" s="6"/>
      <c r="C280" s="7"/>
      <c r="D280" s="7"/>
      <c r="E280" s="8"/>
      <c r="F280" s="8"/>
      <c r="G280" s="6"/>
      <c r="H280" s="5"/>
      <c r="I280" s="5" t="n">
        <v>100</v>
      </c>
      <c r="J280" s="8"/>
      <c r="K280" s="8"/>
      <c r="L280" s="9"/>
      <c r="M280" s="7"/>
      <c r="N280" s="6"/>
      <c r="O280" s="8"/>
      <c r="P280" s="9"/>
      <c r="Q280" s="9"/>
      <c r="R280" s="7"/>
      <c r="S280" s="7"/>
      <c r="T280" s="10" t="str">
        <f aca="false">IF($C280="","",IFERROR(INDEX(Listas!$B$2:$B$20,MATCH($D280,Listas!$A$2:$A$20,0)),""))</f>
        <v/>
      </c>
      <c r="U280" s="10" t="str">
        <f aca="false">IF($C280="","",IFERROR(INDEX(Listas!$C$2:$C$20,MATCH($D280,Listas!$A$2:$A$20,0)),""))</f>
        <v/>
      </c>
      <c r="V280" s="10" t="str">
        <f aca="false">IF($C280="","",IFERROR(INDEX(Listas!$D$2:$D$20,MATCH($D280,Listas!$A$2:$A$20,0)),""))</f>
        <v/>
      </c>
      <c r="W280" s="11" t="str">
        <f aca="false">IF(OR($C280="",$B280="",$G280=""),"",$G280-$B280)</f>
        <v/>
      </c>
      <c r="X280" s="11" t="str">
        <f aca="true">IF(OR($C280="",$B280=""),"",IF($N280&lt;&gt;"",$N280,TODAY())-$B280)</f>
        <v/>
      </c>
      <c r="Y280" s="11" t="str">
        <f aca="true">IF(OR($C280="",$M280&lt;&gt;"Abierta",$G280=""),"",MAX($G280-TODAY(),0))</f>
        <v/>
      </c>
      <c r="Z280" s="12" t="str">
        <f aca="false">IF($C280="","",N($K280)*N($H280)*N($I280)*IF($U280="Débito",-1,1))</f>
        <v/>
      </c>
      <c r="AA280" s="13" t="str">
        <f aca="false">IF($C280="","",IF(AND($U280="Débito",$F280&lt;&gt;""),$F280,$E280))</f>
        <v/>
      </c>
      <c r="AB280" s="13" t="str">
        <f aca="false">IF(OR($C280="",$T280="Mixta",$AA280=""),"",IF($V280="Subyacente",IF($J280="","",$J280-$K280),IF($T280="Put",$AA280-$K280,$AA280+$K280)))</f>
        <v/>
      </c>
      <c r="AC280" s="14" t="str">
        <f aca="false">IF(OR($C280="",$T280="Mixta",$J280="",$AA280=""),"",IF($T280="Put",($J280-$AA280)/$J280,($AA280-$J280)/$J280))</f>
        <v/>
      </c>
      <c r="AD280" s="12" t="str">
        <f aca="false">IF($C280="","",IF($Q280&lt;&gt;"",$Q280,IF($V280="Strike",N($E280)*$H280*$I280,IF($V280="Subyacente",IF($J280="","",$J280*$H280*$I280),IF($V280="Ancho",IF($F280="","",ABS($E280-$F280)*$H280*$I280-$K280*$H280*$I280),IF($V280="Prima",$K280*$H280*$I280,""))))))</f>
        <v/>
      </c>
      <c r="AE280" s="12" t="str">
        <f aca="false">IF(OR($C280="",$M280="Abierta",$M280=""),"",(N($K280)-IF(OR($M280="Cerrada",$M280="Rolada"),N($O280),0))*$H280*$I280*IF($U280="Débito",-1,1)-N($L280)-N($P280))</f>
        <v/>
      </c>
      <c r="AF280" s="14" t="str">
        <f aca="false">IF(OR($AE280="",$AD280=""),"",IF($AD280&lt;=0,"",$AE280/$AD280))</f>
        <v/>
      </c>
      <c r="AG280" s="14" t="str">
        <f aca="false">IF($AF280="","",$AF280*365/MAX(N($X280),1))</f>
        <v/>
      </c>
      <c r="AH280" s="14" t="str">
        <f aca="false">IF(OR($C280="",$U280&lt;&gt;"Crédito",$AD280=""),"",IF($AD280&lt;=0,"",($Z280-N($L280))/$AD280))</f>
        <v/>
      </c>
      <c r="AI280" s="14" t="str">
        <f aca="false">IF(OR($AH280="",$W280=""),"",$AH280*365/MAX($W280,1))</f>
        <v/>
      </c>
      <c r="AJ280" s="14" t="str">
        <f aca="false">IF(OR($AE280="",$U280&lt;&gt;"Crédito",N($K280)=0),"",(N($K280)-IF(OR($M280="Cerrada",$M280="Rolada"),N($O280),0))/$K280)</f>
        <v/>
      </c>
      <c r="AK280" s="15" t="str">
        <f aca="false">IF(OR($C280="",$N280=""),"",DATE(YEAR($N280),MONTH($N280),1))</f>
        <v/>
      </c>
      <c r="AL280" s="11" t="str">
        <f aca="false">IF($C280="","",IF($M280="Abierta",0,1))</f>
        <v/>
      </c>
      <c r="AM280" s="16" t="str">
        <f aca="false">IF(OR($AE280="",$AD280=""),"",$AD280*MAX(N($X280),1))</f>
        <v/>
      </c>
      <c r="AN280" s="10" t="str">
        <f aca="false">IF($C280="","",IF(OR($B280="",$D280="",$H280="",$K280="",$M280=""),"Faltan datos obligatorios",IF($T280="","Estrategia no reconocida",IF(AND($M280&lt;&gt;"Abierta",$N280=""),"Falta fecha cierre",IF(AND(OR($M280="Cerrada",$M280="Rolada"),$O280=""),"Falta prima cierre",IF(AND($N280&lt;&gt;"",$N280&lt;$B280),"Cierre anterior a apertura",IF(AND($M280="Asignada",$R280=""),"Asignada: falta ID lote acciones",IF(AND($R280&lt;&gt;"",ISNA(MATCH($R280,Acciones!$A$2:$A$201,0))),"El ID lote no existe en Acciones",IF($AD280="","Revisa capital en riesgo","OK")))))))))</f>
        <v/>
      </c>
    </row>
    <row r="281" customFormat="false" ht="15" hidden="false" customHeight="true" outlineLevel="0" collapsed="false">
      <c r="A281" s="5"/>
      <c r="B281" s="6"/>
      <c r="C281" s="7"/>
      <c r="D281" s="7"/>
      <c r="E281" s="8"/>
      <c r="F281" s="8"/>
      <c r="G281" s="6"/>
      <c r="H281" s="5"/>
      <c r="I281" s="5" t="n">
        <v>100</v>
      </c>
      <c r="J281" s="8"/>
      <c r="K281" s="8"/>
      <c r="L281" s="9"/>
      <c r="M281" s="7"/>
      <c r="N281" s="6"/>
      <c r="O281" s="8"/>
      <c r="P281" s="9"/>
      <c r="Q281" s="9"/>
      <c r="R281" s="7"/>
      <c r="S281" s="7"/>
      <c r="T281" s="10" t="str">
        <f aca="false">IF($C281="","",IFERROR(INDEX(Listas!$B$2:$B$20,MATCH($D281,Listas!$A$2:$A$20,0)),""))</f>
        <v/>
      </c>
      <c r="U281" s="10" t="str">
        <f aca="false">IF($C281="","",IFERROR(INDEX(Listas!$C$2:$C$20,MATCH($D281,Listas!$A$2:$A$20,0)),""))</f>
        <v/>
      </c>
      <c r="V281" s="10" t="str">
        <f aca="false">IF($C281="","",IFERROR(INDEX(Listas!$D$2:$D$20,MATCH($D281,Listas!$A$2:$A$20,0)),""))</f>
        <v/>
      </c>
      <c r="W281" s="11" t="str">
        <f aca="false">IF(OR($C281="",$B281="",$G281=""),"",$G281-$B281)</f>
        <v/>
      </c>
      <c r="X281" s="11" t="str">
        <f aca="true">IF(OR($C281="",$B281=""),"",IF($N281&lt;&gt;"",$N281,TODAY())-$B281)</f>
        <v/>
      </c>
      <c r="Y281" s="11" t="str">
        <f aca="true">IF(OR($C281="",$M281&lt;&gt;"Abierta",$G281=""),"",MAX($G281-TODAY(),0))</f>
        <v/>
      </c>
      <c r="Z281" s="12" t="str">
        <f aca="false">IF($C281="","",N($K281)*N($H281)*N($I281)*IF($U281="Débito",-1,1))</f>
        <v/>
      </c>
      <c r="AA281" s="13" t="str">
        <f aca="false">IF($C281="","",IF(AND($U281="Débito",$F281&lt;&gt;""),$F281,$E281))</f>
        <v/>
      </c>
      <c r="AB281" s="13" t="str">
        <f aca="false">IF(OR($C281="",$T281="Mixta",$AA281=""),"",IF($V281="Subyacente",IF($J281="","",$J281-$K281),IF($T281="Put",$AA281-$K281,$AA281+$K281)))</f>
        <v/>
      </c>
      <c r="AC281" s="14" t="str">
        <f aca="false">IF(OR($C281="",$T281="Mixta",$J281="",$AA281=""),"",IF($T281="Put",($J281-$AA281)/$J281,($AA281-$J281)/$J281))</f>
        <v/>
      </c>
      <c r="AD281" s="12" t="str">
        <f aca="false">IF($C281="","",IF($Q281&lt;&gt;"",$Q281,IF($V281="Strike",N($E281)*$H281*$I281,IF($V281="Subyacente",IF($J281="","",$J281*$H281*$I281),IF($V281="Ancho",IF($F281="","",ABS($E281-$F281)*$H281*$I281-$K281*$H281*$I281),IF($V281="Prima",$K281*$H281*$I281,""))))))</f>
        <v/>
      </c>
      <c r="AE281" s="12" t="str">
        <f aca="false">IF(OR($C281="",$M281="Abierta",$M281=""),"",(N($K281)-IF(OR($M281="Cerrada",$M281="Rolada"),N($O281),0))*$H281*$I281*IF($U281="Débito",-1,1)-N($L281)-N($P281))</f>
        <v/>
      </c>
      <c r="AF281" s="14" t="str">
        <f aca="false">IF(OR($AE281="",$AD281=""),"",IF($AD281&lt;=0,"",$AE281/$AD281))</f>
        <v/>
      </c>
      <c r="AG281" s="14" t="str">
        <f aca="false">IF($AF281="","",$AF281*365/MAX(N($X281),1))</f>
        <v/>
      </c>
      <c r="AH281" s="14" t="str">
        <f aca="false">IF(OR($C281="",$U281&lt;&gt;"Crédito",$AD281=""),"",IF($AD281&lt;=0,"",($Z281-N($L281))/$AD281))</f>
        <v/>
      </c>
      <c r="AI281" s="14" t="str">
        <f aca="false">IF(OR($AH281="",$W281=""),"",$AH281*365/MAX($W281,1))</f>
        <v/>
      </c>
      <c r="AJ281" s="14" t="str">
        <f aca="false">IF(OR($AE281="",$U281&lt;&gt;"Crédito",N($K281)=0),"",(N($K281)-IF(OR($M281="Cerrada",$M281="Rolada"),N($O281),0))/$K281)</f>
        <v/>
      </c>
      <c r="AK281" s="15" t="str">
        <f aca="false">IF(OR($C281="",$N281=""),"",DATE(YEAR($N281),MONTH($N281),1))</f>
        <v/>
      </c>
      <c r="AL281" s="11" t="str">
        <f aca="false">IF($C281="","",IF($M281="Abierta",0,1))</f>
        <v/>
      </c>
      <c r="AM281" s="16" t="str">
        <f aca="false">IF(OR($AE281="",$AD281=""),"",$AD281*MAX(N($X281),1))</f>
        <v/>
      </c>
      <c r="AN281" s="10" t="str">
        <f aca="false">IF($C281="","",IF(OR($B281="",$D281="",$H281="",$K281="",$M281=""),"Faltan datos obligatorios",IF($T281="","Estrategia no reconocida",IF(AND($M281&lt;&gt;"Abierta",$N281=""),"Falta fecha cierre",IF(AND(OR($M281="Cerrada",$M281="Rolada"),$O281=""),"Falta prima cierre",IF(AND($N281&lt;&gt;"",$N281&lt;$B281),"Cierre anterior a apertura",IF(AND($M281="Asignada",$R281=""),"Asignada: falta ID lote acciones",IF(AND($R281&lt;&gt;"",ISNA(MATCH($R281,Acciones!$A$2:$A$201,0))),"El ID lote no existe en Acciones",IF($AD281="","Revisa capital en riesgo","OK")))))))))</f>
        <v/>
      </c>
    </row>
    <row r="282" customFormat="false" ht="15" hidden="false" customHeight="true" outlineLevel="0" collapsed="false">
      <c r="A282" s="5"/>
      <c r="B282" s="6"/>
      <c r="C282" s="7"/>
      <c r="D282" s="7"/>
      <c r="E282" s="8"/>
      <c r="F282" s="8"/>
      <c r="G282" s="6"/>
      <c r="H282" s="5"/>
      <c r="I282" s="5" t="n">
        <v>100</v>
      </c>
      <c r="J282" s="8"/>
      <c r="K282" s="8"/>
      <c r="L282" s="9"/>
      <c r="M282" s="7"/>
      <c r="N282" s="6"/>
      <c r="O282" s="8"/>
      <c r="P282" s="9"/>
      <c r="Q282" s="9"/>
      <c r="R282" s="7"/>
      <c r="S282" s="7"/>
      <c r="T282" s="10" t="str">
        <f aca="false">IF($C282="","",IFERROR(INDEX(Listas!$B$2:$B$20,MATCH($D282,Listas!$A$2:$A$20,0)),""))</f>
        <v/>
      </c>
      <c r="U282" s="10" t="str">
        <f aca="false">IF($C282="","",IFERROR(INDEX(Listas!$C$2:$C$20,MATCH($D282,Listas!$A$2:$A$20,0)),""))</f>
        <v/>
      </c>
      <c r="V282" s="10" t="str">
        <f aca="false">IF($C282="","",IFERROR(INDEX(Listas!$D$2:$D$20,MATCH($D282,Listas!$A$2:$A$20,0)),""))</f>
        <v/>
      </c>
      <c r="W282" s="11" t="str">
        <f aca="false">IF(OR($C282="",$B282="",$G282=""),"",$G282-$B282)</f>
        <v/>
      </c>
      <c r="X282" s="11" t="str">
        <f aca="true">IF(OR($C282="",$B282=""),"",IF($N282&lt;&gt;"",$N282,TODAY())-$B282)</f>
        <v/>
      </c>
      <c r="Y282" s="11" t="str">
        <f aca="true">IF(OR($C282="",$M282&lt;&gt;"Abierta",$G282=""),"",MAX($G282-TODAY(),0))</f>
        <v/>
      </c>
      <c r="Z282" s="12" t="str">
        <f aca="false">IF($C282="","",N($K282)*N($H282)*N($I282)*IF($U282="Débito",-1,1))</f>
        <v/>
      </c>
      <c r="AA282" s="13" t="str">
        <f aca="false">IF($C282="","",IF(AND($U282="Débito",$F282&lt;&gt;""),$F282,$E282))</f>
        <v/>
      </c>
      <c r="AB282" s="13" t="str">
        <f aca="false">IF(OR($C282="",$T282="Mixta",$AA282=""),"",IF($V282="Subyacente",IF($J282="","",$J282-$K282),IF($T282="Put",$AA282-$K282,$AA282+$K282)))</f>
        <v/>
      </c>
      <c r="AC282" s="14" t="str">
        <f aca="false">IF(OR($C282="",$T282="Mixta",$J282="",$AA282=""),"",IF($T282="Put",($J282-$AA282)/$J282,($AA282-$J282)/$J282))</f>
        <v/>
      </c>
      <c r="AD282" s="12" t="str">
        <f aca="false">IF($C282="","",IF($Q282&lt;&gt;"",$Q282,IF($V282="Strike",N($E282)*$H282*$I282,IF($V282="Subyacente",IF($J282="","",$J282*$H282*$I282),IF($V282="Ancho",IF($F282="","",ABS($E282-$F282)*$H282*$I282-$K282*$H282*$I282),IF($V282="Prima",$K282*$H282*$I282,""))))))</f>
        <v/>
      </c>
      <c r="AE282" s="12" t="str">
        <f aca="false">IF(OR($C282="",$M282="Abierta",$M282=""),"",(N($K282)-IF(OR($M282="Cerrada",$M282="Rolada"),N($O282),0))*$H282*$I282*IF($U282="Débito",-1,1)-N($L282)-N($P282))</f>
        <v/>
      </c>
      <c r="AF282" s="14" t="str">
        <f aca="false">IF(OR($AE282="",$AD282=""),"",IF($AD282&lt;=0,"",$AE282/$AD282))</f>
        <v/>
      </c>
      <c r="AG282" s="14" t="str">
        <f aca="false">IF($AF282="","",$AF282*365/MAX(N($X282),1))</f>
        <v/>
      </c>
      <c r="AH282" s="14" t="str">
        <f aca="false">IF(OR($C282="",$U282&lt;&gt;"Crédito",$AD282=""),"",IF($AD282&lt;=0,"",($Z282-N($L282))/$AD282))</f>
        <v/>
      </c>
      <c r="AI282" s="14" t="str">
        <f aca="false">IF(OR($AH282="",$W282=""),"",$AH282*365/MAX($W282,1))</f>
        <v/>
      </c>
      <c r="AJ282" s="14" t="str">
        <f aca="false">IF(OR($AE282="",$U282&lt;&gt;"Crédito",N($K282)=0),"",(N($K282)-IF(OR($M282="Cerrada",$M282="Rolada"),N($O282),0))/$K282)</f>
        <v/>
      </c>
      <c r="AK282" s="15" t="str">
        <f aca="false">IF(OR($C282="",$N282=""),"",DATE(YEAR($N282),MONTH($N282),1))</f>
        <v/>
      </c>
      <c r="AL282" s="11" t="str">
        <f aca="false">IF($C282="","",IF($M282="Abierta",0,1))</f>
        <v/>
      </c>
      <c r="AM282" s="16" t="str">
        <f aca="false">IF(OR($AE282="",$AD282=""),"",$AD282*MAX(N($X282),1))</f>
        <v/>
      </c>
      <c r="AN282" s="10" t="str">
        <f aca="false">IF($C282="","",IF(OR($B282="",$D282="",$H282="",$K282="",$M282=""),"Faltan datos obligatorios",IF($T282="","Estrategia no reconocida",IF(AND($M282&lt;&gt;"Abierta",$N282=""),"Falta fecha cierre",IF(AND(OR($M282="Cerrada",$M282="Rolada"),$O282=""),"Falta prima cierre",IF(AND($N282&lt;&gt;"",$N282&lt;$B282),"Cierre anterior a apertura",IF(AND($M282="Asignada",$R282=""),"Asignada: falta ID lote acciones",IF(AND($R282&lt;&gt;"",ISNA(MATCH($R282,Acciones!$A$2:$A$201,0))),"El ID lote no existe en Acciones",IF($AD282="","Revisa capital en riesgo","OK")))))))))</f>
        <v/>
      </c>
    </row>
    <row r="283" customFormat="false" ht="15" hidden="false" customHeight="true" outlineLevel="0" collapsed="false">
      <c r="A283" s="5"/>
      <c r="B283" s="6"/>
      <c r="C283" s="7"/>
      <c r="D283" s="7"/>
      <c r="E283" s="8"/>
      <c r="F283" s="8"/>
      <c r="G283" s="6"/>
      <c r="H283" s="5"/>
      <c r="I283" s="5" t="n">
        <v>100</v>
      </c>
      <c r="J283" s="8"/>
      <c r="K283" s="8"/>
      <c r="L283" s="9"/>
      <c r="M283" s="7"/>
      <c r="N283" s="6"/>
      <c r="O283" s="8"/>
      <c r="P283" s="9"/>
      <c r="Q283" s="9"/>
      <c r="R283" s="7"/>
      <c r="S283" s="7"/>
      <c r="T283" s="10" t="str">
        <f aca="false">IF($C283="","",IFERROR(INDEX(Listas!$B$2:$B$20,MATCH($D283,Listas!$A$2:$A$20,0)),""))</f>
        <v/>
      </c>
      <c r="U283" s="10" t="str">
        <f aca="false">IF($C283="","",IFERROR(INDEX(Listas!$C$2:$C$20,MATCH($D283,Listas!$A$2:$A$20,0)),""))</f>
        <v/>
      </c>
      <c r="V283" s="10" t="str">
        <f aca="false">IF($C283="","",IFERROR(INDEX(Listas!$D$2:$D$20,MATCH($D283,Listas!$A$2:$A$20,0)),""))</f>
        <v/>
      </c>
      <c r="W283" s="11" t="str">
        <f aca="false">IF(OR($C283="",$B283="",$G283=""),"",$G283-$B283)</f>
        <v/>
      </c>
      <c r="X283" s="11" t="str">
        <f aca="true">IF(OR($C283="",$B283=""),"",IF($N283&lt;&gt;"",$N283,TODAY())-$B283)</f>
        <v/>
      </c>
      <c r="Y283" s="11" t="str">
        <f aca="true">IF(OR($C283="",$M283&lt;&gt;"Abierta",$G283=""),"",MAX($G283-TODAY(),0))</f>
        <v/>
      </c>
      <c r="Z283" s="12" t="str">
        <f aca="false">IF($C283="","",N($K283)*N($H283)*N($I283)*IF($U283="Débito",-1,1))</f>
        <v/>
      </c>
      <c r="AA283" s="13" t="str">
        <f aca="false">IF($C283="","",IF(AND($U283="Débito",$F283&lt;&gt;""),$F283,$E283))</f>
        <v/>
      </c>
      <c r="AB283" s="13" t="str">
        <f aca="false">IF(OR($C283="",$T283="Mixta",$AA283=""),"",IF($V283="Subyacente",IF($J283="","",$J283-$K283),IF($T283="Put",$AA283-$K283,$AA283+$K283)))</f>
        <v/>
      </c>
      <c r="AC283" s="14" t="str">
        <f aca="false">IF(OR($C283="",$T283="Mixta",$J283="",$AA283=""),"",IF($T283="Put",($J283-$AA283)/$J283,($AA283-$J283)/$J283))</f>
        <v/>
      </c>
      <c r="AD283" s="12" t="str">
        <f aca="false">IF($C283="","",IF($Q283&lt;&gt;"",$Q283,IF($V283="Strike",N($E283)*$H283*$I283,IF($V283="Subyacente",IF($J283="","",$J283*$H283*$I283),IF($V283="Ancho",IF($F283="","",ABS($E283-$F283)*$H283*$I283-$K283*$H283*$I283),IF($V283="Prima",$K283*$H283*$I283,""))))))</f>
        <v/>
      </c>
      <c r="AE283" s="12" t="str">
        <f aca="false">IF(OR($C283="",$M283="Abierta",$M283=""),"",(N($K283)-IF(OR($M283="Cerrada",$M283="Rolada"),N($O283),0))*$H283*$I283*IF($U283="Débito",-1,1)-N($L283)-N($P283))</f>
        <v/>
      </c>
      <c r="AF283" s="14" t="str">
        <f aca="false">IF(OR($AE283="",$AD283=""),"",IF($AD283&lt;=0,"",$AE283/$AD283))</f>
        <v/>
      </c>
      <c r="AG283" s="14" t="str">
        <f aca="false">IF($AF283="","",$AF283*365/MAX(N($X283),1))</f>
        <v/>
      </c>
      <c r="AH283" s="14" t="str">
        <f aca="false">IF(OR($C283="",$U283&lt;&gt;"Crédito",$AD283=""),"",IF($AD283&lt;=0,"",($Z283-N($L283))/$AD283))</f>
        <v/>
      </c>
      <c r="AI283" s="14" t="str">
        <f aca="false">IF(OR($AH283="",$W283=""),"",$AH283*365/MAX($W283,1))</f>
        <v/>
      </c>
      <c r="AJ283" s="14" t="str">
        <f aca="false">IF(OR($AE283="",$U283&lt;&gt;"Crédito",N($K283)=0),"",(N($K283)-IF(OR($M283="Cerrada",$M283="Rolada"),N($O283),0))/$K283)</f>
        <v/>
      </c>
      <c r="AK283" s="15" t="str">
        <f aca="false">IF(OR($C283="",$N283=""),"",DATE(YEAR($N283),MONTH($N283),1))</f>
        <v/>
      </c>
      <c r="AL283" s="11" t="str">
        <f aca="false">IF($C283="","",IF($M283="Abierta",0,1))</f>
        <v/>
      </c>
      <c r="AM283" s="16" t="str">
        <f aca="false">IF(OR($AE283="",$AD283=""),"",$AD283*MAX(N($X283),1))</f>
        <v/>
      </c>
      <c r="AN283" s="10" t="str">
        <f aca="false">IF($C283="","",IF(OR($B283="",$D283="",$H283="",$K283="",$M283=""),"Faltan datos obligatorios",IF($T283="","Estrategia no reconocida",IF(AND($M283&lt;&gt;"Abierta",$N283=""),"Falta fecha cierre",IF(AND(OR($M283="Cerrada",$M283="Rolada"),$O283=""),"Falta prima cierre",IF(AND($N283&lt;&gt;"",$N283&lt;$B283),"Cierre anterior a apertura",IF(AND($M283="Asignada",$R283=""),"Asignada: falta ID lote acciones",IF(AND($R283&lt;&gt;"",ISNA(MATCH($R283,Acciones!$A$2:$A$201,0))),"El ID lote no existe en Acciones",IF($AD283="","Revisa capital en riesgo","OK")))))))))</f>
        <v/>
      </c>
    </row>
    <row r="284" customFormat="false" ht="15" hidden="false" customHeight="true" outlineLevel="0" collapsed="false">
      <c r="A284" s="5"/>
      <c r="B284" s="6"/>
      <c r="C284" s="7"/>
      <c r="D284" s="7"/>
      <c r="E284" s="8"/>
      <c r="F284" s="8"/>
      <c r="G284" s="6"/>
      <c r="H284" s="5"/>
      <c r="I284" s="5" t="n">
        <v>100</v>
      </c>
      <c r="J284" s="8"/>
      <c r="K284" s="8"/>
      <c r="L284" s="9"/>
      <c r="M284" s="7"/>
      <c r="N284" s="6"/>
      <c r="O284" s="8"/>
      <c r="P284" s="9"/>
      <c r="Q284" s="9"/>
      <c r="R284" s="7"/>
      <c r="S284" s="7"/>
      <c r="T284" s="10" t="str">
        <f aca="false">IF($C284="","",IFERROR(INDEX(Listas!$B$2:$B$20,MATCH($D284,Listas!$A$2:$A$20,0)),""))</f>
        <v/>
      </c>
      <c r="U284" s="10" t="str">
        <f aca="false">IF($C284="","",IFERROR(INDEX(Listas!$C$2:$C$20,MATCH($D284,Listas!$A$2:$A$20,0)),""))</f>
        <v/>
      </c>
      <c r="V284" s="10" t="str">
        <f aca="false">IF($C284="","",IFERROR(INDEX(Listas!$D$2:$D$20,MATCH($D284,Listas!$A$2:$A$20,0)),""))</f>
        <v/>
      </c>
      <c r="W284" s="11" t="str">
        <f aca="false">IF(OR($C284="",$B284="",$G284=""),"",$G284-$B284)</f>
        <v/>
      </c>
      <c r="X284" s="11" t="str">
        <f aca="true">IF(OR($C284="",$B284=""),"",IF($N284&lt;&gt;"",$N284,TODAY())-$B284)</f>
        <v/>
      </c>
      <c r="Y284" s="11" t="str">
        <f aca="true">IF(OR($C284="",$M284&lt;&gt;"Abierta",$G284=""),"",MAX($G284-TODAY(),0))</f>
        <v/>
      </c>
      <c r="Z284" s="12" t="str">
        <f aca="false">IF($C284="","",N($K284)*N($H284)*N($I284)*IF($U284="Débito",-1,1))</f>
        <v/>
      </c>
      <c r="AA284" s="13" t="str">
        <f aca="false">IF($C284="","",IF(AND($U284="Débito",$F284&lt;&gt;""),$F284,$E284))</f>
        <v/>
      </c>
      <c r="AB284" s="13" t="str">
        <f aca="false">IF(OR($C284="",$T284="Mixta",$AA284=""),"",IF($V284="Subyacente",IF($J284="","",$J284-$K284),IF($T284="Put",$AA284-$K284,$AA284+$K284)))</f>
        <v/>
      </c>
      <c r="AC284" s="14" t="str">
        <f aca="false">IF(OR($C284="",$T284="Mixta",$J284="",$AA284=""),"",IF($T284="Put",($J284-$AA284)/$J284,($AA284-$J284)/$J284))</f>
        <v/>
      </c>
      <c r="AD284" s="12" t="str">
        <f aca="false">IF($C284="","",IF($Q284&lt;&gt;"",$Q284,IF($V284="Strike",N($E284)*$H284*$I284,IF($V284="Subyacente",IF($J284="","",$J284*$H284*$I284),IF($V284="Ancho",IF($F284="","",ABS($E284-$F284)*$H284*$I284-$K284*$H284*$I284),IF($V284="Prima",$K284*$H284*$I284,""))))))</f>
        <v/>
      </c>
      <c r="AE284" s="12" t="str">
        <f aca="false">IF(OR($C284="",$M284="Abierta",$M284=""),"",(N($K284)-IF(OR($M284="Cerrada",$M284="Rolada"),N($O284),0))*$H284*$I284*IF($U284="Débito",-1,1)-N($L284)-N($P284))</f>
        <v/>
      </c>
      <c r="AF284" s="14" t="str">
        <f aca="false">IF(OR($AE284="",$AD284=""),"",IF($AD284&lt;=0,"",$AE284/$AD284))</f>
        <v/>
      </c>
      <c r="AG284" s="14" t="str">
        <f aca="false">IF($AF284="","",$AF284*365/MAX(N($X284),1))</f>
        <v/>
      </c>
      <c r="AH284" s="14" t="str">
        <f aca="false">IF(OR($C284="",$U284&lt;&gt;"Crédito",$AD284=""),"",IF($AD284&lt;=0,"",($Z284-N($L284))/$AD284))</f>
        <v/>
      </c>
      <c r="AI284" s="14" t="str">
        <f aca="false">IF(OR($AH284="",$W284=""),"",$AH284*365/MAX($W284,1))</f>
        <v/>
      </c>
      <c r="AJ284" s="14" t="str">
        <f aca="false">IF(OR($AE284="",$U284&lt;&gt;"Crédito",N($K284)=0),"",(N($K284)-IF(OR($M284="Cerrada",$M284="Rolada"),N($O284),0))/$K284)</f>
        <v/>
      </c>
      <c r="AK284" s="15" t="str">
        <f aca="false">IF(OR($C284="",$N284=""),"",DATE(YEAR($N284),MONTH($N284),1))</f>
        <v/>
      </c>
      <c r="AL284" s="11" t="str">
        <f aca="false">IF($C284="","",IF($M284="Abierta",0,1))</f>
        <v/>
      </c>
      <c r="AM284" s="16" t="str">
        <f aca="false">IF(OR($AE284="",$AD284=""),"",$AD284*MAX(N($X284),1))</f>
        <v/>
      </c>
      <c r="AN284" s="10" t="str">
        <f aca="false">IF($C284="","",IF(OR($B284="",$D284="",$H284="",$K284="",$M284=""),"Faltan datos obligatorios",IF($T284="","Estrategia no reconocida",IF(AND($M284&lt;&gt;"Abierta",$N284=""),"Falta fecha cierre",IF(AND(OR($M284="Cerrada",$M284="Rolada"),$O284=""),"Falta prima cierre",IF(AND($N284&lt;&gt;"",$N284&lt;$B284),"Cierre anterior a apertura",IF(AND($M284="Asignada",$R284=""),"Asignada: falta ID lote acciones",IF(AND($R284&lt;&gt;"",ISNA(MATCH($R284,Acciones!$A$2:$A$201,0))),"El ID lote no existe en Acciones",IF($AD284="","Revisa capital en riesgo","OK")))))))))</f>
        <v/>
      </c>
    </row>
    <row r="285" customFormat="false" ht="15" hidden="false" customHeight="true" outlineLevel="0" collapsed="false">
      <c r="A285" s="5"/>
      <c r="B285" s="6"/>
      <c r="C285" s="7"/>
      <c r="D285" s="7"/>
      <c r="E285" s="8"/>
      <c r="F285" s="8"/>
      <c r="G285" s="6"/>
      <c r="H285" s="5"/>
      <c r="I285" s="5" t="n">
        <v>100</v>
      </c>
      <c r="J285" s="8"/>
      <c r="K285" s="8"/>
      <c r="L285" s="9"/>
      <c r="M285" s="7"/>
      <c r="N285" s="6"/>
      <c r="O285" s="8"/>
      <c r="P285" s="9"/>
      <c r="Q285" s="9"/>
      <c r="R285" s="7"/>
      <c r="S285" s="7"/>
      <c r="T285" s="10" t="str">
        <f aca="false">IF($C285="","",IFERROR(INDEX(Listas!$B$2:$B$20,MATCH($D285,Listas!$A$2:$A$20,0)),""))</f>
        <v/>
      </c>
      <c r="U285" s="10" t="str">
        <f aca="false">IF($C285="","",IFERROR(INDEX(Listas!$C$2:$C$20,MATCH($D285,Listas!$A$2:$A$20,0)),""))</f>
        <v/>
      </c>
      <c r="V285" s="10" t="str">
        <f aca="false">IF($C285="","",IFERROR(INDEX(Listas!$D$2:$D$20,MATCH($D285,Listas!$A$2:$A$20,0)),""))</f>
        <v/>
      </c>
      <c r="W285" s="11" t="str">
        <f aca="false">IF(OR($C285="",$B285="",$G285=""),"",$G285-$B285)</f>
        <v/>
      </c>
      <c r="X285" s="11" t="str">
        <f aca="true">IF(OR($C285="",$B285=""),"",IF($N285&lt;&gt;"",$N285,TODAY())-$B285)</f>
        <v/>
      </c>
      <c r="Y285" s="11" t="str">
        <f aca="true">IF(OR($C285="",$M285&lt;&gt;"Abierta",$G285=""),"",MAX($G285-TODAY(),0))</f>
        <v/>
      </c>
      <c r="Z285" s="12" t="str">
        <f aca="false">IF($C285="","",N($K285)*N($H285)*N($I285)*IF($U285="Débito",-1,1))</f>
        <v/>
      </c>
      <c r="AA285" s="13" t="str">
        <f aca="false">IF($C285="","",IF(AND($U285="Débito",$F285&lt;&gt;""),$F285,$E285))</f>
        <v/>
      </c>
      <c r="AB285" s="13" t="str">
        <f aca="false">IF(OR($C285="",$T285="Mixta",$AA285=""),"",IF($V285="Subyacente",IF($J285="","",$J285-$K285),IF($T285="Put",$AA285-$K285,$AA285+$K285)))</f>
        <v/>
      </c>
      <c r="AC285" s="14" t="str">
        <f aca="false">IF(OR($C285="",$T285="Mixta",$J285="",$AA285=""),"",IF($T285="Put",($J285-$AA285)/$J285,($AA285-$J285)/$J285))</f>
        <v/>
      </c>
      <c r="AD285" s="12" t="str">
        <f aca="false">IF($C285="","",IF($Q285&lt;&gt;"",$Q285,IF($V285="Strike",N($E285)*$H285*$I285,IF($V285="Subyacente",IF($J285="","",$J285*$H285*$I285),IF($V285="Ancho",IF($F285="","",ABS($E285-$F285)*$H285*$I285-$K285*$H285*$I285),IF($V285="Prima",$K285*$H285*$I285,""))))))</f>
        <v/>
      </c>
      <c r="AE285" s="12" t="str">
        <f aca="false">IF(OR($C285="",$M285="Abierta",$M285=""),"",(N($K285)-IF(OR($M285="Cerrada",$M285="Rolada"),N($O285),0))*$H285*$I285*IF($U285="Débito",-1,1)-N($L285)-N($P285))</f>
        <v/>
      </c>
      <c r="AF285" s="14" t="str">
        <f aca="false">IF(OR($AE285="",$AD285=""),"",IF($AD285&lt;=0,"",$AE285/$AD285))</f>
        <v/>
      </c>
      <c r="AG285" s="14" t="str">
        <f aca="false">IF($AF285="","",$AF285*365/MAX(N($X285),1))</f>
        <v/>
      </c>
      <c r="AH285" s="14" t="str">
        <f aca="false">IF(OR($C285="",$U285&lt;&gt;"Crédito",$AD285=""),"",IF($AD285&lt;=0,"",($Z285-N($L285))/$AD285))</f>
        <v/>
      </c>
      <c r="AI285" s="14" t="str">
        <f aca="false">IF(OR($AH285="",$W285=""),"",$AH285*365/MAX($W285,1))</f>
        <v/>
      </c>
      <c r="AJ285" s="14" t="str">
        <f aca="false">IF(OR($AE285="",$U285&lt;&gt;"Crédito",N($K285)=0),"",(N($K285)-IF(OR($M285="Cerrada",$M285="Rolada"),N($O285),0))/$K285)</f>
        <v/>
      </c>
      <c r="AK285" s="15" t="str">
        <f aca="false">IF(OR($C285="",$N285=""),"",DATE(YEAR($N285),MONTH($N285),1))</f>
        <v/>
      </c>
      <c r="AL285" s="11" t="str">
        <f aca="false">IF($C285="","",IF($M285="Abierta",0,1))</f>
        <v/>
      </c>
      <c r="AM285" s="16" t="str">
        <f aca="false">IF(OR($AE285="",$AD285=""),"",$AD285*MAX(N($X285),1))</f>
        <v/>
      </c>
      <c r="AN285" s="10" t="str">
        <f aca="false">IF($C285="","",IF(OR($B285="",$D285="",$H285="",$K285="",$M285=""),"Faltan datos obligatorios",IF($T285="","Estrategia no reconocida",IF(AND($M285&lt;&gt;"Abierta",$N285=""),"Falta fecha cierre",IF(AND(OR($M285="Cerrada",$M285="Rolada"),$O285=""),"Falta prima cierre",IF(AND($N285&lt;&gt;"",$N285&lt;$B285),"Cierre anterior a apertura",IF(AND($M285="Asignada",$R285=""),"Asignada: falta ID lote acciones",IF(AND($R285&lt;&gt;"",ISNA(MATCH($R285,Acciones!$A$2:$A$201,0))),"El ID lote no existe en Acciones",IF($AD285="","Revisa capital en riesgo","OK")))))))))</f>
        <v/>
      </c>
    </row>
    <row r="286" customFormat="false" ht="15" hidden="false" customHeight="true" outlineLevel="0" collapsed="false">
      <c r="A286" s="5"/>
      <c r="B286" s="6"/>
      <c r="C286" s="7"/>
      <c r="D286" s="7"/>
      <c r="E286" s="8"/>
      <c r="F286" s="8"/>
      <c r="G286" s="6"/>
      <c r="H286" s="5"/>
      <c r="I286" s="5" t="n">
        <v>100</v>
      </c>
      <c r="J286" s="8"/>
      <c r="K286" s="8"/>
      <c r="L286" s="9"/>
      <c r="M286" s="7"/>
      <c r="N286" s="6"/>
      <c r="O286" s="8"/>
      <c r="P286" s="9"/>
      <c r="Q286" s="9"/>
      <c r="R286" s="7"/>
      <c r="S286" s="7"/>
      <c r="T286" s="10" t="str">
        <f aca="false">IF($C286="","",IFERROR(INDEX(Listas!$B$2:$B$20,MATCH($D286,Listas!$A$2:$A$20,0)),""))</f>
        <v/>
      </c>
      <c r="U286" s="10" t="str">
        <f aca="false">IF($C286="","",IFERROR(INDEX(Listas!$C$2:$C$20,MATCH($D286,Listas!$A$2:$A$20,0)),""))</f>
        <v/>
      </c>
      <c r="V286" s="10" t="str">
        <f aca="false">IF($C286="","",IFERROR(INDEX(Listas!$D$2:$D$20,MATCH($D286,Listas!$A$2:$A$20,0)),""))</f>
        <v/>
      </c>
      <c r="W286" s="11" t="str">
        <f aca="false">IF(OR($C286="",$B286="",$G286=""),"",$G286-$B286)</f>
        <v/>
      </c>
      <c r="X286" s="11" t="str">
        <f aca="true">IF(OR($C286="",$B286=""),"",IF($N286&lt;&gt;"",$N286,TODAY())-$B286)</f>
        <v/>
      </c>
      <c r="Y286" s="11" t="str">
        <f aca="true">IF(OR($C286="",$M286&lt;&gt;"Abierta",$G286=""),"",MAX($G286-TODAY(),0))</f>
        <v/>
      </c>
      <c r="Z286" s="12" t="str">
        <f aca="false">IF($C286="","",N($K286)*N($H286)*N($I286)*IF($U286="Débito",-1,1))</f>
        <v/>
      </c>
      <c r="AA286" s="13" t="str">
        <f aca="false">IF($C286="","",IF(AND($U286="Débito",$F286&lt;&gt;""),$F286,$E286))</f>
        <v/>
      </c>
      <c r="AB286" s="13" t="str">
        <f aca="false">IF(OR($C286="",$T286="Mixta",$AA286=""),"",IF($V286="Subyacente",IF($J286="","",$J286-$K286),IF($T286="Put",$AA286-$K286,$AA286+$K286)))</f>
        <v/>
      </c>
      <c r="AC286" s="14" t="str">
        <f aca="false">IF(OR($C286="",$T286="Mixta",$J286="",$AA286=""),"",IF($T286="Put",($J286-$AA286)/$J286,($AA286-$J286)/$J286))</f>
        <v/>
      </c>
      <c r="AD286" s="12" t="str">
        <f aca="false">IF($C286="","",IF($Q286&lt;&gt;"",$Q286,IF($V286="Strike",N($E286)*$H286*$I286,IF($V286="Subyacente",IF($J286="","",$J286*$H286*$I286),IF($V286="Ancho",IF($F286="","",ABS($E286-$F286)*$H286*$I286-$K286*$H286*$I286),IF($V286="Prima",$K286*$H286*$I286,""))))))</f>
        <v/>
      </c>
      <c r="AE286" s="12" t="str">
        <f aca="false">IF(OR($C286="",$M286="Abierta",$M286=""),"",(N($K286)-IF(OR($M286="Cerrada",$M286="Rolada"),N($O286),0))*$H286*$I286*IF($U286="Débito",-1,1)-N($L286)-N($P286))</f>
        <v/>
      </c>
      <c r="AF286" s="14" t="str">
        <f aca="false">IF(OR($AE286="",$AD286=""),"",IF($AD286&lt;=0,"",$AE286/$AD286))</f>
        <v/>
      </c>
      <c r="AG286" s="14" t="str">
        <f aca="false">IF($AF286="","",$AF286*365/MAX(N($X286),1))</f>
        <v/>
      </c>
      <c r="AH286" s="14" t="str">
        <f aca="false">IF(OR($C286="",$U286&lt;&gt;"Crédito",$AD286=""),"",IF($AD286&lt;=0,"",($Z286-N($L286))/$AD286))</f>
        <v/>
      </c>
      <c r="AI286" s="14" t="str">
        <f aca="false">IF(OR($AH286="",$W286=""),"",$AH286*365/MAX($W286,1))</f>
        <v/>
      </c>
      <c r="AJ286" s="14" t="str">
        <f aca="false">IF(OR($AE286="",$U286&lt;&gt;"Crédito",N($K286)=0),"",(N($K286)-IF(OR($M286="Cerrada",$M286="Rolada"),N($O286),0))/$K286)</f>
        <v/>
      </c>
      <c r="AK286" s="15" t="str">
        <f aca="false">IF(OR($C286="",$N286=""),"",DATE(YEAR($N286),MONTH($N286),1))</f>
        <v/>
      </c>
      <c r="AL286" s="11" t="str">
        <f aca="false">IF($C286="","",IF($M286="Abierta",0,1))</f>
        <v/>
      </c>
      <c r="AM286" s="16" t="str">
        <f aca="false">IF(OR($AE286="",$AD286=""),"",$AD286*MAX(N($X286),1))</f>
        <v/>
      </c>
      <c r="AN286" s="10" t="str">
        <f aca="false">IF($C286="","",IF(OR($B286="",$D286="",$H286="",$K286="",$M286=""),"Faltan datos obligatorios",IF($T286="","Estrategia no reconocida",IF(AND($M286&lt;&gt;"Abierta",$N286=""),"Falta fecha cierre",IF(AND(OR($M286="Cerrada",$M286="Rolada"),$O286=""),"Falta prima cierre",IF(AND($N286&lt;&gt;"",$N286&lt;$B286),"Cierre anterior a apertura",IF(AND($M286="Asignada",$R286=""),"Asignada: falta ID lote acciones",IF(AND($R286&lt;&gt;"",ISNA(MATCH($R286,Acciones!$A$2:$A$201,0))),"El ID lote no existe en Acciones",IF($AD286="","Revisa capital en riesgo","OK")))))))))</f>
        <v/>
      </c>
    </row>
    <row r="287" customFormat="false" ht="15" hidden="false" customHeight="true" outlineLevel="0" collapsed="false">
      <c r="A287" s="5"/>
      <c r="B287" s="6"/>
      <c r="C287" s="7"/>
      <c r="D287" s="7"/>
      <c r="E287" s="8"/>
      <c r="F287" s="8"/>
      <c r="G287" s="6"/>
      <c r="H287" s="5"/>
      <c r="I287" s="5" t="n">
        <v>100</v>
      </c>
      <c r="J287" s="8"/>
      <c r="K287" s="8"/>
      <c r="L287" s="9"/>
      <c r="M287" s="7"/>
      <c r="N287" s="6"/>
      <c r="O287" s="8"/>
      <c r="P287" s="9"/>
      <c r="Q287" s="9"/>
      <c r="R287" s="7"/>
      <c r="S287" s="7"/>
      <c r="T287" s="10" t="str">
        <f aca="false">IF($C287="","",IFERROR(INDEX(Listas!$B$2:$B$20,MATCH($D287,Listas!$A$2:$A$20,0)),""))</f>
        <v/>
      </c>
      <c r="U287" s="10" t="str">
        <f aca="false">IF($C287="","",IFERROR(INDEX(Listas!$C$2:$C$20,MATCH($D287,Listas!$A$2:$A$20,0)),""))</f>
        <v/>
      </c>
      <c r="V287" s="10" t="str">
        <f aca="false">IF($C287="","",IFERROR(INDEX(Listas!$D$2:$D$20,MATCH($D287,Listas!$A$2:$A$20,0)),""))</f>
        <v/>
      </c>
      <c r="W287" s="11" t="str">
        <f aca="false">IF(OR($C287="",$B287="",$G287=""),"",$G287-$B287)</f>
        <v/>
      </c>
      <c r="X287" s="11" t="str">
        <f aca="true">IF(OR($C287="",$B287=""),"",IF($N287&lt;&gt;"",$N287,TODAY())-$B287)</f>
        <v/>
      </c>
      <c r="Y287" s="11" t="str">
        <f aca="true">IF(OR($C287="",$M287&lt;&gt;"Abierta",$G287=""),"",MAX($G287-TODAY(),0))</f>
        <v/>
      </c>
      <c r="Z287" s="12" t="str">
        <f aca="false">IF($C287="","",N($K287)*N($H287)*N($I287)*IF($U287="Débito",-1,1))</f>
        <v/>
      </c>
      <c r="AA287" s="13" t="str">
        <f aca="false">IF($C287="","",IF(AND($U287="Débito",$F287&lt;&gt;""),$F287,$E287))</f>
        <v/>
      </c>
      <c r="AB287" s="13" t="str">
        <f aca="false">IF(OR($C287="",$T287="Mixta",$AA287=""),"",IF($V287="Subyacente",IF($J287="","",$J287-$K287),IF($T287="Put",$AA287-$K287,$AA287+$K287)))</f>
        <v/>
      </c>
      <c r="AC287" s="14" t="str">
        <f aca="false">IF(OR($C287="",$T287="Mixta",$J287="",$AA287=""),"",IF($T287="Put",($J287-$AA287)/$J287,($AA287-$J287)/$J287))</f>
        <v/>
      </c>
      <c r="AD287" s="12" t="str">
        <f aca="false">IF($C287="","",IF($Q287&lt;&gt;"",$Q287,IF($V287="Strike",N($E287)*$H287*$I287,IF($V287="Subyacente",IF($J287="","",$J287*$H287*$I287),IF($V287="Ancho",IF($F287="","",ABS($E287-$F287)*$H287*$I287-$K287*$H287*$I287),IF($V287="Prima",$K287*$H287*$I287,""))))))</f>
        <v/>
      </c>
      <c r="AE287" s="12" t="str">
        <f aca="false">IF(OR($C287="",$M287="Abierta",$M287=""),"",(N($K287)-IF(OR($M287="Cerrada",$M287="Rolada"),N($O287),0))*$H287*$I287*IF($U287="Débito",-1,1)-N($L287)-N($P287))</f>
        <v/>
      </c>
      <c r="AF287" s="14" t="str">
        <f aca="false">IF(OR($AE287="",$AD287=""),"",IF($AD287&lt;=0,"",$AE287/$AD287))</f>
        <v/>
      </c>
      <c r="AG287" s="14" t="str">
        <f aca="false">IF($AF287="","",$AF287*365/MAX(N($X287),1))</f>
        <v/>
      </c>
      <c r="AH287" s="14" t="str">
        <f aca="false">IF(OR($C287="",$U287&lt;&gt;"Crédito",$AD287=""),"",IF($AD287&lt;=0,"",($Z287-N($L287))/$AD287))</f>
        <v/>
      </c>
      <c r="AI287" s="14" t="str">
        <f aca="false">IF(OR($AH287="",$W287=""),"",$AH287*365/MAX($W287,1))</f>
        <v/>
      </c>
      <c r="AJ287" s="14" t="str">
        <f aca="false">IF(OR($AE287="",$U287&lt;&gt;"Crédito",N($K287)=0),"",(N($K287)-IF(OR($M287="Cerrada",$M287="Rolada"),N($O287),0))/$K287)</f>
        <v/>
      </c>
      <c r="AK287" s="15" t="str">
        <f aca="false">IF(OR($C287="",$N287=""),"",DATE(YEAR($N287),MONTH($N287),1))</f>
        <v/>
      </c>
      <c r="AL287" s="11" t="str">
        <f aca="false">IF($C287="","",IF($M287="Abierta",0,1))</f>
        <v/>
      </c>
      <c r="AM287" s="16" t="str">
        <f aca="false">IF(OR($AE287="",$AD287=""),"",$AD287*MAX(N($X287),1))</f>
        <v/>
      </c>
      <c r="AN287" s="10" t="str">
        <f aca="false">IF($C287="","",IF(OR($B287="",$D287="",$H287="",$K287="",$M287=""),"Faltan datos obligatorios",IF($T287="","Estrategia no reconocida",IF(AND($M287&lt;&gt;"Abierta",$N287=""),"Falta fecha cierre",IF(AND(OR($M287="Cerrada",$M287="Rolada"),$O287=""),"Falta prima cierre",IF(AND($N287&lt;&gt;"",$N287&lt;$B287),"Cierre anterior a apertura",IF(AND($M287="Asignada",$R287=""),"Asignada: falta ID lote acciones",IF(AND($R287&lt;&gt;"",ISNA(MATCH($R287,Acciones!$A$2:$A$201,0))),"El ID lote no existe en Acciones",IF($AD287="","Revisa capital en riesgo","OK")))))))))</f>
        <v/>
      </c>
    </row>
    <row r="288" customFormat="false" ht="15" hidden="false" customHeight="true" outlineLevel="0" collapsed="false">
      <c r="A288" s="5"/>
      <c r="B288" s="6"/>
      <c r="C288" s="7"/>
      <c r="D288" s="7"/>
      <c r="E288" s="8"/>
      <c r="F288" s="8"/>
      <c r="G288" s="6"/>
      <c r="H288" s="5"/>
      <c r="I288" s="5" t="n">
        <v>100</v>
      </c>
      <c r="J288" s="8"/>
      <c r="K288" s="8"/>
      <c r="L288" s="9"/>
      <c r="M288" s="7"/>
      <c r="N288" s="6"/>
      <c r="O288" s="8"/>
      <c r="P288" s="9"/>
      <c r="Q288" s="9"/>
      <c r="R288" s="7"/>
      <c r="S288" s="7"/>
      <c r="T288" s="10" t="str">
        <f aca="false">IF($C288="","",IFERROR(INDEX(Listas!$B$2:$B$20,MATCH($D288,Listas!$A$2:$A$20,0)),""))</f>
        <v/>
      </c>
      <c r="U288" s="10" t="str">
        <f aca="false">IF($C288="","",IFERROR(INDEX(Listas!$C$2:$C$20,MATCH($D288,Listas!$A$2:$A$20,0)),""))</f>
        <v/>
      </c>
      <c r="V288" s="10" t="str">
        <f aca="false">IF($C288="","",IFERROR(INDEX(Listas!$D$2:$D$20,MATCH($D288,Listas!$A$2:$A$20,0)),""))</f>
        <v/>
      </c>
      <c r="W288" s="11" t="str">
        <f aca="false">IF(OR($C288="",$B288="",$G288=""),"",$G288-$B288)</f>
        <v/>
      </c>
      <c r="X288" s="11" t="str">
        <f aca="true">IF(OR($C288="",$B288=""),"",IF($N288&lt;&gt;"",$N288,TODAY())-$B288)</f>
        <v/>
      </c>
      <c r="Y288" s="11" t="str">
        <f aca="true">IF(OR($C288="",$M288&lt;&gt;"Abierta",$G288=""),"",MAX($G288-TODAY(),0))</f>
        <v/>
      </c>
      <c r="Z288" s="12" t="str">
        <f aca="false">IF($C288="","",N($K288)*N($H288)*N($I288)*IF($U288="Débito",-1,1))</f>
        <v/>
      </c>
      <c r="AA288" s="13" t="str">
        <f aca="false">IF($C288="","",IF(AND($U288="Débito",$F288&lt;&gt;""),$F288,$E288))</f>
        <v/>
      </c>
      <c r="AB288" s="13" t="str">
        <f aca="false">IF(OR($C288="",$T288="Mixta",$AA288=""),"",IF($V288="Subyacente",IF($J288="","",$J288-$K288),IF($T288="Put",$AA288-$K288,$AA288+$K288)))</f>
        <v/>
      </c>
      <c r="AC288" s="14" t="str">
        <f aca="false">IF(OR($C288="",$T288="Mixta",$J288="",$AA288=""),"",IF($T288="Put",($J288-$AA288)/$J288,($AA288-$J288)/$J288))</f>
        <v/>
      </c>
      <c r="AD288" s="12" t="str">
        <f aca="false">IF($C288="","",IF($Q288&lt;&gt;"",$Q288,IF($V288="Strike",N($E288)*$H288*$I288,IF($V288="Subyacente",IF($J288="","",$J288*$H288*$I288),IF($V288="Ancho",IF($F288="","",ABS($E288-$F288)*$H288*$I288-$K288*$H288*$I288),IF($V288="Prima",$K288*$H288*$I288,""))))))</f>
        <v/>
      </c>
      <c r="AE288" s="12" t="str">
        <f aca="false">IF(OR($C288="",$M288="Abierta",$M288=""),"",(N($K288)-IF(OR($M288="Cerrada",$M288="Rolada"),N($O288),0))*$H288*$I288*IF($U288="Débito",-1,1)-N($L288)-N($P288))</f>
        <v/>
      </c>
      <c r="AF288" s="14" t="str">
        <f aca="false">IF(OR($AE288="",$AD288=""),"",IF($AD288&lt;=0,"",$AE288/$AD288))</f>
        <v/>
      </c>
      <c r="AG288" s="14" t="str">
        <f aca="false">IF($AF288="","",$AF288*365/MAX(N($X288),1))</f>
        <v/>
      </c>
      <c r="AH288" s="14" t="str">
        <f aca="false">IF(OR($C288="",$U288&lt;&gt;"Crédito",$AD288=""),"",IF($AD288&lt;=0,"",($Z288-N($L288))/$AD288))</f>
        <v/>
      </c>
      <c r="AI288" s="14" t="str">
        <f aca="false">IF(OR($AH288="",$W288=""),"",$AH288*365/MAX($W288,1))</f>
        <v/>
      </c>
      <c r="AJ288" s="14" t="str">
        <f aca="false">IF(OR($AE288="",$U288&lt;&gt;"Crédito",N($K288)=0),"",(N($K288)-IF(OR($M288="Cerrada",$M288="Rolada"),N($O288),0))/$K288)</f>
        <v/>
      </c>
      <c r="AK288" s="15" t="str">
        <f aca="false">IF(OR($C288="",$N288=""),"",DATE(YEAR($N288),MONTH($N288),1))</f>
        <v/>
      </c>
      <c r="AL288" s="11" t="str">
        <f aca="false">IF($C288="","",IF($M288="Abierta",0,1))</f>
        <v/>
      </c>
      <c r="AM288" s="16" t="str">
        <f aca="false">IF(OR($AE288="",$AD288=""),"",$AD288*MAX(N($X288),1))</f>
        <v/>
      </c>
      <c r="AN288" s="10" t="str">
        <f aca="false">IF($C288="","",IF(OR($B288="",$D288="",$H288="",$K288="",$M288=""),"Faltan datos obligatorios",IF($T288="","Estrategia no reconocida",IF(AND($M288&lt;&gt;"Abierta",$N288=""),"Falta fecha cierre",IF(AND(OR($M288="Cerrada",$M288="Rolada"),$O288=""),"Falta prima cierre",IF(AND($N288&lt;&gt;"",$N288&lt;$B288),"Cierre anterior a apertura",IF(AND($M288="Asignada",$R288=""),"Asignada: falta ID lote acciones",IF(AND($R288&lt;&gt;"",ISNA(MATCH($R288,Acciones!$A$2:$A$201,0))),"El ID lote no existe en Acciones",IF($AD288="","Revisa capital en riesgo","OK")))))))))</f>
        <v/>
      </c>
    </row>
    <row r="289" customFormat="false" ht="15" hidden="false" customHeight="true" outlineLevel="0" collapsed="false">
      <c r="A289" s="5"/>
      <c r="B289" s="6"/>
      <c r="C289" s="7"/>
      <c r="D289" s="7"/>
      <c r="E289" s="8"/>
      <c r="F289" s="8"/>
      <c r="G289" s="6"/>
      <c r="H289" s="5"/>
      <c r="I289" s="5" t="n">
        <v>100</v>
      </c>
      <c r="J289" s="8"/>
      <c r="K289" s="8"/>
      <c r="L289" s="9"/>
      <c r="M289" s="7"/>
      <c r="N289" s="6"/>
      <c r="O289" s="8"/>
      <c r="P289" s="9"/>
      <c r="Q289" s="9"/>
      <c r="R289" s="7"/>
      <c r="S289" s="7"/>
      <c r="T289" s="10" t="str">
        <f aca="false">IF($C289="","",IFERROR(INDEX(Listas!$B$2:$B$20,MATCH($D289,Listas!$A$2:$A$20,0)),""))</f>
        <v/>
      </c>
      <c r="U289" s="10" t="str">
        <f aca="false">IF($C289="","",IFERROR(INDEX(Listas!$C$2:$C$20,MATCH($D289,Listas!$A$2:$A$20,0)),""))</f>
        <v/>
      </c>
      <c r="V289" s="10" t="str">
        <f aca="false">IF($C289="","",IFERROR(INDEX(Listas!$D$2:$D$20,MATCH($D289,Listas!$A$2:$A$20,0)),""))</f>
        <v/>
      </c>
      <c r="W289" s="11" t="str">
        <f aca="false">IF(OR($C289="",$B289="",$G289=""),"",$G289-$B289)</f>
        <v/>
      </c>
      <c r="X289" s="11" t="str">
        <f aca="true">IF(OR($C289="",$B289=""),"",IF($N289&lt;&gt;"",$N289,TODAY())-$B289)</f>
        <v/>
      </c>
      <c r="Y289" s="11" t="str">
        <f aca="true">IF(OR($C289="",$M289&lt;&gt;"Abierta",$G289=""),"",MAX($G289-TODAY(),0))</f>
        <v/>
      </c>
      <c r="Z289" s="12" t="str">
        <f aca="false">IF($C289="","",N($K289)*N($H289)*N($I289)*IF($U289="Débito",-1,1))</f>
        <v/>
      </c>
      <c r="AA289" s="13" t="str">
        <f aca="false">IF($C289="","",IF(AND($U289="Débito",$F289&lt;&gt;""),$F289,$E289))</f>
        <v/>
      </c>
      <c r="AB289" s="13" t="str">
        <f aca="false">IF(OR($C289="",$T289="Mixta",$AA289=""),"",IF($V289="Subyacente",IF($J289="","",$J289-$K289),IF($T289="Put",$AA289-$K289,$AA289+$K289)))</f>
        <v/>
      </c>
      <c r="AC289" s="14" t="str">
        <f aca="false">IF(OR($C289="",$T289="Mixta",$J289="",$AA289=""),"",IF($T289="Put",($J289-$AA289)/$J289,($AA289-$J289)/$J289))</f>
        <v/>
      </c>
      <c r="AD289" s="12" t="str">
        <f aca="false">IF($C289="","",IF($Q289&lt;&gt;"",$Q289,IF($V289="Strike",N($E289)*$H289*$I289,IF($V289="Subyacente",IF($J289="","",$J289*$H289*$I289),IF($V289="Ancho",IF($F289="","",ABS($E289-$F289)*$H289*$I289-$K289*$H289*$I289),IF($V289="Prima",$K289*$H289*$I289,""))))))</f>
        <v/>
      </c>
      <c r="AE289" s="12" t="str">
        <f aca="false">IF(OR($C289="",$M289="Abierta",$M289=""),"",(N($K289)-IF(OR($M289="Cerrada",$M289="Rolada"),N($O289),0))*$H289*$I289*IF($U289="Débito",-1,1)-N($L289)-N($P289))</f>
        <v/>
      </c>
      <c r="AF289" s="14" t="str">
        <f aca="false">IF(OR($AE289="",$AD289=""),"",IF($AD289&lt;=0,"",$AE289/$AD289))</f>
        <v/>
      </c>
      <c r="AG289" s="14" t="str">
        <f aca="false">IF($AF289="","",$AF289*365/MAX(N($X289),1))</f>
        <v/>
      </c>
      <c r="AH289" s="14" t="str">
        <f aca="false">IF(OR($C289="",$U289&lt;&gt;"Crédito",$AD289=""),"",IF($AD289&lt;=0,"",($Z289-N($L289))/$AD289))</f>
        <v/>
      </c>
      <c r="AI289" s="14" t="str">
        <f aca="false">IF(OR($AH289="",$W289=""),"",$AH289*365/MAX($W289,1))</f>
        <v/>
      </c>
      <c r="AJ289" s="14" t="str">
        <f aca="false">IF(OR($AE289="",$U289&lt;&gt;"Crédito",N($K289)=0),"",(N($K289)-IF(OR($M289="Cerrada",$M289="Rolada"),N($O289),0))/$K289)</f>
        <v/>
      </c>
      <c r="AK289" s="15" t="str">
        <f aca="false">IF(OR($C289="",$N289=""),"",DATE(YEAR($N289),MONTH($N289),1))</f>
        <v/>
      </c>
      <c r="AL289" s="11" t="str">
        <f aca="false">IF($C289="","",IF($M289="Abierta",0,1))</f>
        <v/>
      </c>
      <c r="AM289" s="16" t="str">
        <f aca="false">IF(OR($AE289="",$AD289=""),"",$AD289*MAX(N($X289),1))</f>
        <v/>
      </c>
      <c r="AN289" s="10" t="str">
        <f aca="false">IF($C289="","",IF(OR($B289="",$D289="",$H289="",$K289="",$M289=""),"Faltan datos obligatorios",IF($T289="","Estrategia no reconocida",IF(AND($M289&lt;&gt;"Abierta",$N289=""),"Falta fecha cierre",IF(AND(OR($M289="Cerrada",$M289="Rolada"),$O289=""),"Falta prima cierre",IF(AND($N289&lt;&gt;"",$N289&lt;$B289),"Cierre anterior a apertura",IF(AND($M289="Asignada",$R289=""),"Asignada: falta ID lote acciones",IF(AND($R289&lt;&gt;"",ISNA(MATCH($R289,Acciones!$A$2:$A$201,0))),"El ID lote no existe en Acciones",IF($AD289="","Revisa capital en riesgo","OK")))))))))</f>
        <v/>
      </c>
    </row>
    <row r="290" customFormat="false" ht="15" hidden="false" customHeight="true" outlineLevel="0" collapsed="false">
      <c r="A290" s="5"/>
      <c r="B290" s="6"/>
      <c r="C290" s="7"/>
      <c r="D290" s="7"/>
      <c r="E290" s="8"/>
      <c r="F290" s="8"/>
      <c r="G290" s="6"/>
      <c r="H290" s="5"/>
      <c r="I290" s="5" t="n">
        <v>100</v>
      </c>
      <c r="J290" s="8"/>
      <c r="K290" s="8"/>
      <c r="L290" s="9"/>
      <c r="M290" s="7"/>
      <c r="N290" s="6"/>
      <c r="O290" s="8"/>
      <c r="P290" s="9"/>
      <c r="Q290" s="9"/>
      <c r="R290" s="7"/>
      <c r="S290" s="7"/>
      <c r="T290" s="10" t="str">
        <f aca="false">IF($C290="","",IFERROR(INDEX(Listas!$B$2:$B$20,MATCH($D290,Listas!$A$2:$A$20,0)),""))</f>
        <v/>
      </c>
      <c r="U290" s="10" t="str">
        <f aca="false">IF($C290="","",IFERROR(INDEX(Listas!$C$2:$C$20,MATCH($D290,Listas!$A$2:$A$20,0)),""))</f>
        <v/>
      </c>
      <c r="V290" s="10" t="str">
        <f aca="false">IF($C290="","",IFERROR(INDEX(Listas!$D$2:$D$20,MATCH($D290,Listas!$A$2:$A$20,0)),""))</f>
        <v/>
      </c>
      <c r="W290" s="11" t="str">
        <f aca="false">IF(OR($C290="",$B290="",$G290=""),"",$G290-$B290)</f>
        <v/>
      </c>
      <c r="X290" s="11" t="str">
        <f aca="true">IF(OR($C290="",$B290=""),"",IF($N290&lt;&gt;"",$N290,TODAY())-$B290)</f>
        <v/>
      </c>
      <c r="Y290" s="11" t="str">
        <f aca="true">IF(OR($C290="",$M290&lt;&gt;"Abierta",$G290=""),"",MAX($G290-TODAY(),0))</f>
        <v/>
      </c>
      <c r="Z290" s="12" t="str">
        <f aca="false">IF($C290="","",N($K290)*N($H290)*N($I290)*IF($U290="Débito",-1,1))</f>
        <v/>
      </c>
      <c r="AA290" s="13" t="str">
        <f aca="false">IF($C290="","",IF(AND($U290="Débito",$F290&lt;&gt;""),$F290,$E290))</f>
        <v/>
      </c>
      <c r="AB290" s="13" t="str">
        <f aca="false">IF(OR($C290="",$T290="Mixta",$AA290=""),"",IF($V290="Subyacente",IF($J290="","",$J290-$K290),IF($T290="Put",$AA290-$K290,$AA290+$K290)))</f>
        <v/>
      </c>
      <c r="AC290" s="14" t="str">
        <f aca="false">IF(OR($C290="",$T290="Mixta",$J290="",$AA290=""),"",IF($T290="Put",($J290-$AA290)/$J290,($AA290-$J290)/$J290))</f>
        <v/>
      </c>
      <c r="AD290" s="12" t="str">
        <f aca="false">IF($C290="","",IF($Q290&lt;&gt;"",$Q290,IF($V290="Strike",N($E290)*$H290*$I290,IF($V290="Subyacente",IF($J290="","",$J290*$H290*$I290),IF($V290="Ancho",IF($F290="","",ABS($E290-$F290)*$H290*$I290-$K290*$H290*$I290),IF($V290="Prima",$K290*$H290*$I290,""))))))</f>
        <v/>
      </c>
      <c r="AE290" s="12" t="str">
        <f aca="false">IF(OR($C290="",$M290="Abierta",$M290=""),"",(N($K290)-IF(OR($M290="Cerrada",$M290="Rolada"),N($O290),0))*$H290*$I290*IF($U290="Débito",-1,1)-N($L290)-N($P290))</f>
        <v/>
      </c>
      <c r="AF290" s="14" t="str">
        <f aca="false">IF(OR($AE290="",$AD290=""),"",IF($AD290&lt;=0,"",$AE290/$AD290))</f>
        <v/>
      </c>
      <c r="AG290" s="14" t="str">
        <f aca="false">IF($AF290="","",$AF290*365/MAX(N($X290),1))</f>
        <v/>
      </c>
      <c r="AH290" s="14" t="str">
        <f aca="false">IF(OR($C290="",$U290&lt;&gt;"Crédito",$AD290=""),"",IF($AD290&lt;=0,"",($Z290-N($L290))/$AD290))</f>
        <v/>
      </c>
      <c r="AI290" s="14" t="str">
        <f aca="false">IF(OR($AH290="",$W290=""),"",$AH290*365/MAX($W290,1))</f>
        <v/>
      </c>
      <c r="AJ290" s="14" t="str">
        <f aca="false">IF(OR($AE290="",$U290&lt;&gt;"Crédito",N($K290)=0),"",(N($K290)-IF(OR($M290="Cerrada",$M290="Rolada"),N($O290),0))/$K290)</f>
        <v/>
      </c>
      <c r="AK290" s="15" t="str">
        <f aca="false">IF(OR($C290="",$N290=""),"",DATE(YEAR($N290),MONTH($N290),1))</f>
        <v/>
      </c>
      <c r="AL290" s="11" t="str">
        <f aca="false">IF($C290="","",IF($M290="Abierta",0,1))</f>
        <v/>
      </c>
      <c r="AM290" s="16" t="str">
        <f aca="false">IF(OR($AE290="",$AD290=""),"",$AD290*MAX(N($X290),1))</f>
        <v/>
      </c>
      <c r="AN290" s="10" t="str">
        <f aca="false">IF($C290="","",IF(OR($B290="",$D290="",$H290="",$K290="",$M290=""),"Faltan datos obligatorios",IF($T290="","Estrategia no reconocida",IF(AND($M290&lt;&gt;"Abierta",$N290=""),"Falta fecha cierre",IF(AND(OR($M290="Cerrada",$M290="Rolada"),$O290=""),"Falta prima cierre",IF(AND($N290&lt;&gt;"",$N290&lt;$B290),"Cierre anterior a apertura",IF(AND($M290="Asignada",$R290=""),"Asignada: falta ID lote acciones",IF(AND($R290&lt;&gt;"",ISNA(MATCH($R290,Acciones!$A$2:$A$201,0))),"El ID lote no existe en Acciones",IF($AD290="","Revisa capital en riesgo","OK")))))))))</f>
        <v/>
      </c>
    </row>
    <row r="291" customFormat="false" ht="15" hidden="false" customHeight="true" outlineLevel="0" collapsed="false">
      <c r="A291" s="5"/>
      <c r="B291" s="6"/>
      <c r="C291" s="7"/>
      <c r="D291" s="7"/>
      <c r="E291" s="8"/>
      <c r="F291" s="8"/>
      <c r="G291" s="6"/>
      <c r="H291" s="5"/>
      <c r="I291" s="5" t="n">
        <v>100</v>
      </c>
      <c r="J291" s="8"/>
      <c r="K291" s="8"/>
      <c r="L291" s="9"/>
      <c r="M291" s="7"/>
      <c r="N291" s="6"/>
      <c r="O291" s="8"/>
      <c r="P291" s="9"/>
      <c r="Q291" s="9"/>
      <c r="R291" s="7"/>
      <c r="S291" s="7"/>
      <c r="T291" s="10" t="str">
        <f aca="false">IF($C291="","",IFERROR(INDEX(Listas!$B$2:$B$20,MATCH($D291,Listas!$A$2:$A$20,0)),""))</f>
        <v/>
      </c>
      <c r="U291" s="10" t="str">
        <f aca="false">IF($C291="","",IFERROR(INDEX(Listas!$C$2:$C$20,MATCH($D291,Listas!$A$2:$A$20,0)),""))</f>
        <v/>
      </c>
      <c r="V291" s="10" t="str">
        <f aca="false">IF($C291="","",IFERROR(INDEX(Listas!$D$2:$D$20,MATCH($D291,Listas!$A$2:$A$20,0)),""))</f>
        <v/>
      </c>
      <c r="W291" s="11" t="str">
        <f aca="false">IF(OR($C291="",$B291="",$G291=""),"",$G291-$B291)</f>
        <v/>
      </c>
      <c r="X291" s="11" t="str">
        <f aca="true">IF(OR($C291="",$B291=""),"",IF($N291&lt;&gt;"",$N291,TODAY())-$B291)</f>
        <v/>
      </c>
      <c r="Y291" s="11" t="str">
        <f aca="true">IF(OR($C291="",$M291&lt;&gt;"Abierta",$G291=""),"",MAX($G291-TODAY(),0))</f>
        <v/>
      </c>
      <c r="Z291" s="12" t="str">
        <f aca="false">IF($C291="","",N($K291)*N($H291)*N($I291)*IF($U291="Débito",-1,1))</f>
        <v/>
      </c>
      <c r="AA291" s="13" t="str">
        <f aca="false">IF($C291="","",IF(AND($U291="Débito",$F291&lt;&gt;""),$F291,$E291))</f>
        <v/>
      </c>
      <c r="AB291" s="13" t="str">
        <f aca="false">IF(OR($C291="",$T291="Mixta",$AA291=""),"",IF($V291="Subyacente",IF($J291="","",$J291-$K291),IF($T291="Put",$AA291-$K291,$AA291+$K291)))</f>
        <v/>
      </c>
      <c r="AC291" s="14" t="str">
        <f aca="false">IF(OR($C291="",$T291="Mixta",$J291="",$AA291=""),"",IF($T291="Put",($J291-$AA291)/$J291,($AA291-$J291)/$J291))</f>
        <v/>
      </c>
      <c r="AD291" s="12" t="str">
        <f aca="false">IF($C291="","",IF($Q291&lt;&gt;"",$Q291,IF($V291="Strike",N($E291)*$H291*$I291,IF($V291="Subyacente",IF($J291="","",$J291*$H291*$I291),IF($V291="Ancho",IF($F291="","",ABS($E291-$F291)*$H291*$I291-$K291*$H291*$I291),IF($V291="Prima",$K291*$H291*$I291,""))))))</f>
        <v/>
      </c>
      <c r="AE291" s="12" t="str">
        <f aca="false">IF(OR($C291="",$M291="Abierta",$M291=""),"",(N($K291)-IF(OR($M291="Cerrada",$M291="Rolada"),N($O291),0))*$H291*$I291*IF($U291="Débito",-1,1)-N($L291)-N($P291))</f>
        <v/>
      </c>
      <c r="AF291" s="14" t="str">
        <f aca="false">IF(OR($AE291="",$AD291=""),"",IF($AD291&lt;=0,"",$AE291/$AD291))</f>
        <v/>
      </c>
      <c r="AG291" s="14" t="str">
        <f aca="false">IF($AF291="","",$AF291*365/MAX(N($X291),1))</f>
        <v/>
      </c>
      <c r="AH291" s="14" t="str">
        <f aca="false">IF(OR($C291="",$U291&lt;&gt;"Crédito",$AD291=""),"",IF($AD291&lt;=0,"",($Z291-N($L291))/$AD291))</f>
        <v/>
      </c>
      <c r="AI291" s="14" t="str">
        <f aca="false">IF(OR($AH291="",$W291=""),"",$AH291*365/MAX($W291,1))</f>
        <v/>
      </c>
      <c r="AJ291" s="14" t="str">
        <f aca="false">IF(OR($AE291="",$U291&lt;&gt;"Crédito",N($K291)=0),"",(N($K291)-IF(OR($M291="Cerrada",$M291="Rolada"),N($O291),0))/$K291)</f>
        <v/>
      </c>
      <c r="AK291" s="15" t="str">
        <f aca="false">IF(OR($C291="",$N291=""),"",DATE(YEAR($N291),MONTH($N291),1))</f>
        <v/>
      </c>
      <c r="AL291" s="11" t="str">
        <f aca="false">IF($C291="","",IF($M291="Abierta",0,1))</f>
        <v/>
      </c>
      <c r="AM291" s="16" t="str">
        <f aca="false">IF(OR($AE291="",$AD291=""),"",$AD291*MAX(N($X291),1))</f>
        <v/>
      </c>
      <c r="AN291" s="10" t="str">
        <f aca="false">IF($C291="","",IF(OR($B291="",$D291="",$H291="",$K291="",$M291=""),"Faltan datos obligatorios",IF($T291="","Estrategia no reconocida",IF(AND($M291&lt;&gt;"Abierta",$N291=""),"Falta fecha cierre",IF(AND(OR($M291="Cerrada",$M291="Rolada"),$O291=""),"Falta prima cierre",IF(AND($N291&lt;&gt;"",$N291&lt;$B291),"Cierre anterior a apertura",IF(AND($M291="Asignada",$R291=""),"Asignada: falta ID lote acciones",IF(AND($R291&lt;&gt;"",ISNA(MATCH($R291,Acciones!$A$2:$A$201,0))),"El ID lote no existe en Acciones",IF($AD291="","Revisa capital en riesgo","OK")))))))))</f>
        <v/>
      </c>
    </row>
    <row r="292" customFormat="false" ht="15" hidden="false" customHeight="true" outlineLevel="0" collapsed="false">
      <c r="A292" s="5"/>
      <c r="B292" s="6"/>
      <c r="C292" s="7"/>
      <c r="D292" s="7"/>
      <c r="E292" s="8"/>
      <c r="F292" s="8"/>
      <c r="G292" s="6"/>
      <c r="H292" s="5"/>
      <c r="I292" s="5" t="n">
        <v>100</v>
      </c>
      <c r="J292" s="8"/>
      <c r="K292" s="8"/>
      <c r="L292" s="9"/>
      <c r="M292" s="7"/>
      <c r="N292" s="6"/>
      <c r="O292" s="8"/>
      <c r="P292" s="9"/>
      <c r="Q292" s="9"/>
      <c r="R292" s="7"/>
      <c r="S292" s="7"/>
      <c r="T292" s="10" t="str">
        <f aca="false">IF($C292="","",IFERROR(INDEX(Listas!$B$2:$B$20,MATCH($D292,Listas!$A$2:$A$20,0)),""))</f>
        <v/>
      </c>
      <c r="U292" s="10" t="str">
        <f aca="false">IF($C292="","",IFERROR(INDEX(Listas!$C$2:$C$20,MATCH($D292,Listas!$A$2:$A$20,0)),""))</f>
        <v/>
      </c>
      <c r="V292" s="10" t="str">
        <f aca="false">IF($C292="","",IFERROR(INDEX(Listas!$D$2:$D$20,MATCH($D292,Listas!$A$2:$A$20,0)),""))</f>
        <v/>
      </c>
      <c r="W292" s="11" t="str">
        <f aca="false">IF(OR($C292="",$B292="",$G292=""),"",$G292-$B292)</f>
        <v/>
      </c>
      <c r="X292" s="11" t="str">
        <f aca="true">IF(OR($C292="",$B292=""),"",IF($N292&lt;&gt;"",$N292,TODAY())-$B292)</f>
        <v/>
      </c>
      <c r="Y292" s="11" t="str">
        <f aca="true">IF(OR($C292="",$M292&lt;&gt;"Abierta",$G292=""),"",MAX($G292-TODAY(),0))</f>
        <v/>
      </c>
      <c r="Z292" s="12" t="str">
        <f aca="false">IF($C292="","",N($K292)*N($H292)*N($I292)*IF($U292="Débito",-1,1))</f>
        <v/>
      </c>
      <c r="AA292" s="13" t="str">
        <f aca="false">IF($C292="","",IF(AND($U292="Débito",$F292&lt;&gt;""),$F292,$E292))</f>
        <v/>
      </c>
      <c r="AB292" s="13" t="str">
        <f aca="false">IF(OR($C292="",$T292="Mixta",$AA292=""),"",IF($V292="Subyacente",IF($J292="","",$J292-$K292),IF($T292="Put",$AA292-$K292,$AA292+$K292)))</f>
        <v/>
      </c>
      <c r="AC292" s="14" t="str">
        <f aca="false">IF(OR($C292="",$T292="Mixta",$J292="",$AA292=""),"",IF($T292="Put",($J292-$AA292)/$J292,($AA292-$J292)/$J292))</f>
        <v/>
      </c>
      <c r="AD292" s="12" t="str">
        <f aca="false">IF($C292="","",IF($Q292&lt;&gt;"",$Q292,IF($V292="Strike",N($E292)*$H292*$I292,IF($V292="Subyacente",IF($J292="","",$J292*$H292*$I292),IF($V292="Ancho",IF($F292="","",ABS($E292-$F292)*$H292*$I292-$K292*$H292*$I292),IF($V292="Prima",$K292*$H292*$I292,""))))))</f>
        <v/>
      </c>
      <c r="AE292" s="12" t="str">
        <f aca="false">IF(OR($C292="",$M292="Abierta",$M292=""),"",(N($K292)-IF(OR($M292="Cerrada",$M292="Rolada"),N($O292),0))*$H292*$I292*IF($U292="Débito",-1,1)-N($L292)-N($P292))</f>
        <v/>
      </c>
      <c r="AF292" s="14" t="str">
        <f aca="false">IF(OR($AE292="",$AD292=""),"",IF($AD292&lt;=0,"",$AE292/$AD292))</f>
        <v/>
      </c>
      <c r="AG292" s="14" t="str">
        <f aca="false">IF($AF292="","",$AF292*365/MAX(N($X292),1))</f>
        <v/>
      </c>
      <c r="AH292" s="14" t="str">
        <f aca="false">IF(OR($C292="",$U292&lt;&gt;"Crédito",$AD292=""),"",IF($AD292&lt;=0,"",($Z292-N($L292))/$AD292))</f>
        <v/>
      </c>
      <c r="AI292" s="14" t="str">
        <f aca="false">IF(OR($AH292="",$W292=""),"",$AH292*365/MAX($W292,1))</f>
        <v/>
      </c>
      <c r="AJ292" s="14" t="str">
        <f aca="false">IF(OR($AE292="",$U292&lt;&gt;"Crédito",N($K292)=0),"",(N($K292)-IF(OR($M292="Cerrada",$M292="Rolada"),N($O292),0))/$K292)</f>
        <v/>
      </c>
      <c r="AK292" s="15" t="str">
        <f aca="false">IF(OR($C292="",$N292=""),"",DATE(YEAR($N292),MONTH($N292),1))</f>
        <v/>
      </c>
      <c r="AL292" s="11" t="str">
        <f aca="false">IF($C292="","",IF($M292="Abierta",0,1))</f>
        <v/>
      </c>
      <c r="AM292" s="16" t="str">
        <f aca="false">IF(OR($AE292="",$AD292=""),"",$AD292*MAX(N($X292),1))</f>
        <v/>
      </c>
      <c r="AN292" s="10" t="str">
        <f aca="false">IF($C292="","",IF(OR($B292="",$D292="",$H292="",$K292="",$M292=""),"Faltan datos obligatorios",IF($T292="","Estrategia no reconocida",IF(AND($M292&lt;&gt;"Abierta",$N292=""),"Falta fecha cierre",IF(AND(OR($M292="Cerrada",$M292="Rolada"),$O292=""),"Falta prima cierre",IF(AND($N292&lt;&gt;"",$N292&lt;$B292),"Cierre anterior a apertura",IF(AND($M292="Asignada",$R292=""),"Asignada: falta ID lote acciones",IF(AND($R292&lt;&gt;"",ISNA(MATCH($R292,Acciones!$A$2:$A$201,0))),"El ID lote no existe en Acciones",IF($AD292="","Revisa capital en riesgo","OK")))))))))</f>
        <v/>
      </c>
    </row>
    <row r="293" customFormat="false" ht="15" hidden="false" customHeight="true" outlineLevel="0" collapsed="false">
      <c r="A293" s="5"/>
      <c r="B293" s="6"/>
      <c r="C293" s="7"/>
      <c r="D293" s="7"/>
      <c r="E293" s="8"/>
      <c r="F293" s="8"/>
      <c r="G293" s="6"/>
      <c r="H293" s="5"/>
      <c r="I293" s="5" t="n">
        <v>100</v>
      </c>
      <c r="J293" s="8"/>
      <c r="K293" s="8"/>
      <c r="L293" s="9"/>
      <c r="M293" s="7"/>
      <c r="N293" s="6"/>
      <c r="O293" s="8"/>
      <c r="P293" s="9"/>
      <c r="Q293" s="9"/>
      <c r="R293" s="7"/>
      <c r="S293" s="7"/>
      <c r="T293" s="10" t="str">
        <f aca="false">IF($C293="","",IFERROR(INDEX(Listas!$B$2:$B$20,MATCH($D293,Listas!$A$2:$A$20,0)),""))</f>
        <v/>
      </c>
      <c r="U293" s="10" t="str">
        <f aca="false">IF($C293="","",IFERROR(INDEX(Listas!$C$2:$C$20,MATCH($D293,Listas!$A$2:$A$20,0)),""))</f>
        <v/>
      </c>
      <c r="V293" s="10" t="str">
        <f aca="false">IF($C293="","",IFERROR(INDEX(Listas!$D$2:$D$20,MATCH($D293,Listas!$A$2:$A$20,0)),""))</f>
        <v/>
      </c>
      <c r="W293" s="11" t="str">
        <f aca="false">IF(OR($C293="",$B293="",$G293=""),"",$G293-$B293)</f>
        <v/>
      </c>
      <c r="X293" s="11" t="str">
        <f aca="true">IF(OR($C293="",$B293=""),"",IF($N293&lt;&gt;"",$N293,TODAY())-$B293)</f>
        <v/>
      </c>
      <c r="Y293" s="11" t="str">
        <f aca="true">IF(OR($C293="",$M293&lt;&gt;"Abierta",$G293=""),"",MAX($G293-TODAY(),0))</f>
        <v/>
      </c>
      <c r="Z293" s="12" t="str">
        <f aca="false">IF($C293="","",N($K293)*N($H293)*N($I293)*IF($U293="Débito",-1,1))</f>
        <v/>
      </c>
      <c r="AA293" s="13" t="str">
        <f aca="false">IF($C293="","",IF(AND($U293="Débito",$F293&lt;&gt;""),$F293,$E293))</f>
        <v/>
      </c>
      <c r="AB293" s="13" t="str">
        <f aca="false">IF(OR($C293="",$T293="Mixta",$AA293=""),"",IF($V293="Subyacente",IF($J293="","",$J293-$K293),IF($T293="Put",$AA293-$K293,$AA293+$K293)))</f>
        <v/>
      </c>
      <c r="AC293" s="14" t="str">
        <f aca="false">IF(OR($C293="",$T293="Mixta",$J293="",$AA293=""),"",IF($T293="Put",($J293-$AA293)/$J293,($AA293-$J293)/$J293))</f>
        <v/>
      </c>
      <c r="AD293" s="12" t="str">
        <f aca="false">IF($C293="","",IF($Q293&lt;&gt;"",$Q293,IF($V293="Strike",N($E293)*$H293*$I293,IF($V293="Subyacente",IF($J293="","",$J293*$H293*$I293),IF($V293="Ancho",IF($F293="","",ABS($E293-$F293)*$H293*$I293-$K293*$H293*$I293),IF($V293="Prima",$K293*$H293*$I293,""))))))</f>
        <v/>
      </c>
      <c r="AE293" s="12" t="str">
        <f aca="false">IF(OR($C293="",$M293="Abierta",$M293=""),"",(N($K293)-IF(OR($M293="Cerrada",$M293="Rolada"),N($O293),0))*$H293*$I293*IF($U293="Débito",-1,1)-N($L293)-N($P293))</f>
        <v/>
      </c>
      <c r="AF293" s="14" t="str">
        <f aca="false">IF(OR($AE293="",$AD293=""),"",IF($AD293&lt;=0,"",$AE293/$AD293))</f>
        <v/>
      </c>
      <c r="AG293" s="14" t="str">
        <f aca="false">IF($AF293="","",$AF293*365/MAX(N($X293),1))</f>
        <v/>
      </c>
      <c r="AH293" s="14" t="str">
        <f aca="false">IF(OR($C293="",$U293&lt;&gt;"Crédito",$AD293=""),"",IF($AD293&lt;=0,"",($Z293-N($L293))/$AD293))</f>
        <v/>
      </c>
      <c r="AI293" s="14" t="str">
        <f aca="false">IF(OR($AH293="",$W293=""),"",$AH293*365/MAX($W293,1))</f>
        <v/>
      </c>
      <c r="AJ293" s="14" t="str">
        <f aca="false">IF(OR($AE293="",$U293&lt;&gt;"Crédito",N($K293)=0),"",(N($K293)-IF(OR($M293="Cerrada",$M293="Rolada"),N($O293),0))/$K293)</f>
        <v/>
      </c>
      <c r="AK293" s="15" t="str">
        <f aca="false">IF(OR($C293="",$N293=""),"",DATE(YEAR($N293),MONTH($N293),1))</f>
        <v/>
      </c>
      <c r="AL293" s="11" t="str">
        <f aca="false">IF($C293="","",IF($M293="Abierta",0,1))</f>
        <v/>
      </c>
      <c r="AM293" s="16" t="str">
        <f aca="false">IF(OR($AE293="",$AD293=""),"",$AD293*MAX(N($X293),1))</f>
        <v/>
      </c>
      <c r="AN293" s="10" t="str">
        <f aca="false">IF($C293="","",IF(OR($B293="",$D293="",$H293="",$K293="",$M293=""),"Faltan datos obligatorios",IF($T293="","Estrategia no reconocida",IF(AND($M293&lt;&gt;"Abierta",$N293=""),"Falta fecha cierre",IF(AND(OR($M293="Cerrada",$M293="Rolada"),$O293=""),"Falta prima cierre",IF(AND($N293&lt;&gt;"",$N293&lt;$B293),"Cierre anterior a apertura",IF(AND($M293="Asignada",$R293=""),"Asignada: falta ID lote acciones",IF(AND($R293&lt;&gt;"",ISNA(MATCH($R293,Acciones!$A$2:$A$201,0))),"El ID lote no existe en Acciones",IF($AD293="","Revisa capital en riesgo","OK")))))))))</f>
        <v/>
      </c>
    </row>
    <row r="294" customFormat="false" ht="15" hidden="false" customHeight="true" outlineLevel="0" collapsed="false">
      <c r="A294" s="5"/>
      <c r="B294" s="6"/>
      <c r="C294" s="7"/>
      <c r="D294" s="7"/>
      <c r="E294" s="8"/>
      <c r="F294" s="8"/>
      <c r="G294" s="6"/>
      <c r="H294" s="5"/>
      <c r="I294" s="5" t="n">
        <v>100</v>
      </c>
      <c r="J294" s="8"/>
      <c r="K294" s="8"/>
      <c r="L294" s="9"/>
      <c r="M294" s="7"/>
      <c r="N294" s="6"/>
      <c r="O294" s="8"/>
      <c r="P294" s="9"/>
      <c r="Q294" s="9"/>
      <c r="R294" s="7"/>
      <c r="S294" s="7"/>
      <c r="T294" s="10" t="str">
        <f aca="false">IF($C294="","",IFERROR(INDEX(Listas!$B$2:$B$20,MATCH($D294,Listas!$A$2:$A$20,0)),""))</f>
        <v/>
      </c>
      <c r="U294" s="10" t="str">
        <f aca="false">IF($C294="","",IFERROR(INDEX(Listas!$C$2:$C$20,MATCH($D294,Listas!$A$2:$A$20,0)),""))</f>
        <v/>
      </c>
      <c r="V294" s="10" t="str">
        <f aca="false">IF($C294="","",IFERROR(INDEX(Listas!$D$2:$D$20,MATCH($D294,Listas!$A$2:$A$20,0)),""))</f>
        <v/>
      </c>
      <c r="W294" s="11" t="str">
        <f aca="false">IF(OR($C294="",$B294="",$G294=""),"",$G294-$B294)</f>
        <v/>
      </c>
      <c r="X294" s="11" t="str">
        <f aca="true">IF(OR($C294="",$B294=""),"",IF($N294&lt;&gt;"",$N294,TODAY())-$B294)</f>
        <v/>
      </c>
      <c r="Y294" s="11" t="str">
        <f aca="true">IF(OR($C294="",$M294&lt;&gt;"Abierta",$G294=""),"",MAX($G294-TODAY(),0))</f>
        <v/>
      </c>
      <c r="Z294" s="12" t="str">
        <f aca="false">IF($C294="","",N($K294)*N($H294)*N($I294)*IF($U294="Débito",-1,1))</f>
        <v/>
      </c>
      <c r="AA294" s="13" t="str">
        <f aca="false">IF($C294="","",IF(AND($U294="Débito",$F294&lt;&gt;""),$F294,$E294))</f>
        <v/>
      </c>
      <c r="AB294" s="13" t="str">
        <f aca="false">IF(OR($C294="",$T294="Mixta",$AA294=""),"",IF($V294="Subyacente",IF($J294="","",$J294-$K294),IF($T294="Put",$AA294-$K294,$AA294+$K294)))</f>
        <v/>
      </c>
      <c r="AC294" s="14" t="str">
        <f aca="false">IF(OR($C294="",$T294="Mixta",$J294="",$AA294=""),"",IF($T294="Put",($J294-$AA294)/$J294,($AA294-$J294)/$J294))</f>
        <v/>
      </c>
      <c r="AD294" s="12" t="str">
        <f aca="false">IF($C294="","",IF($Q294&lt;&gt;"",$Q294,IF($V294="Strike",N($E294)*$H294*$I294,IF($V294="Subyacente",IF($J294="","",$J294*$H294*$I294),IF($V294="Ancho",IF($F294="","",ABS($E294-$F294)*$H294*$I294-$K294*$H294*$I294),IF($V294="Prima",$K294*$H294*$I294,""))))))</f>
        <v/>
      </c>
      <c r="AE294" s="12" t="str">
        <f aca="false">IF(OR($C294="",$M294="Abierta",$M294=""),"",(N($K294)-IF(OR($M294="Cerrada",$M294="Rolada"),N($O294),0))*$H294*$I294*IF($U294="Débito",-1,1)-N($L294)-N($P294))</f>
        <v/>
      </c>
      <c r="AF294" s="14" t="str">
        <f aca="false">IF(OR($AE294="",$AD294=""),"",IF($AD294&lt;=0,"",$AE294/$AD294))</f>
        <v/>
      </c>
      <c r="AG294" s="14" t="str">
        <f aca="false">IF($AF294="","",$AF294*365/MAX(N($X294),1))</f>
        <v/>
      </c>
      <c r="AH294" s="14" t="str">
        <f aca="false">IF(OR($C294="",$U294&lt;&gt;"Crédito",$AD294=""),"",IF($AD294&lt;=0,"",($Z294-N($L294))/$AD294))</f>
        <v/>
      </c>
      <c r="AI294" s="14" t="str">
        <f aca="false">IF(OR($AH294="",$W294=""),"",$AH294*365/MAX($W294,1))</f>
        <v/>
      </c>
      <c r="AJ294" s="14" t="str">
        <f aca="false">IF(OR($AE294="",$U294&lt;&gt;"Crédito",N($K294)=0),"",(N($K294)-IF(OR($M294="Cerrada",$M294="Rolada"),N($O294),0))/$K294)</f>
        <v/>
      </c>
      <c r="AK294" s="15" t="str">
        <f aca="false">IF(OR($C294="",$N294=""),"",DATE(YEAR($N294),MONTH($N294),1))</f>
        <v/>
      </c>
      <c r="AL294" s="11" t="str">
        <f aca="false">IF($C294="","",IF($M294="Abierta",0,1))</f>
        <v/>
      </c>
      <c r="AM294" s="16" t="str">
        <f aca="false">IF(OR($AE294="",$AD294=""),"",$AD294*MAX(N($X294),1))</f>
        <v/>
      </c>
      <c r="AN294" s="10" t="str">
        <f aca="false">IF($C294="","",IF(OR($B294="",$D294="",$H294="",$K294="",$M294=""),"Faltan datos obligatorios",IF($T294="","Estrategia no reconocida",IF(AND($M294&lt;&gt;"Abierta",$N294=""),"Falta fecha cierre",IF(AND(OR($M294="Cerrada",$M294="Rolada"),$O294=""),"Falta prima cierre",IF(AND($N294&lt;&gt;"",$N294&lt;$B294),"Cierre anterior a apertura",IF(AND($M294="Asignada",$R294=""),"Asignada: falta ID lote acciones",IF(AND($R294&lt;&gt;"",ISNA(MATCH($R294,Acciones!$A$2:$A$201,0))),"El ID lote no existe en Acciones",IF($AD294="","Revisa capital en riesgo","OK")))))))))</f>
        <v/>
      </c>
    </row>
    <row r="295" customFormat="false" ht="15" hidden="false" customHeight="true" outlineLevel="0" collapsed="false">
      <c r="A295" s="5"/>
      <c r="B295" s="6"/>
      <c r="C295" s="7"/>
      <c r="D295" s="7"/>
      <c r="E295" s="8"/>
      <c r="F295" s="8"/>
      <c r="G295" s="6"/>
      <c r="H295" s="5"/>
      <c r="I295" s="5" t="n">
        <v>100</v>
      </c>
      <c r="J295" s="8"/>
      <c r="K295" s="8"/>
      <c r="L295" s="9"/>
      <c r="M295" s="7"/>
      <c r="N295" s="6"/>
      <c r="O295" s="8"/>
      <c r="P295" s="9"/>
      <c r="Q295" s="9"/>
      <c r="R295" s="7"/>
      <c r="S295" s="7"/>
      <c r="T295" s="10" t="str">
        <f aca="false">IF($C295="","",IFERROR(INDEX(Listas!$B$2:$B$20,MATCH($D295,Listas!$A$2:$A$20,0)),""))</f>
        <v/>
      </c>
      <c r="U295" s="10" t="str">
        <f aca="false">IF($C295="","",IFERROR(INDEX(Listas!$C$2:$C$20,MATCH($D295,Listas!$A$2:$A$20,0)),""))</f>
        <v/>
      </c>
      <c r="V295" s="10" t="str">
        <f aca="false">IF($C295="","",IFERROR(INDEX(Listas!$D$2:$D$20,MATCH($D295,Listas!$A$2:$A$20,0)),""))</f>
        <v/>
      </c>
      <c r="W295" s="11" t="str">
        <f aca="false">IF(OR($C295="",$B295="",$G295=""),"",$G295-$B295)</f>
        <v/>
      </c>
      <c r="X295" s="11" t="str">
        <f aca="true">IF(OR($C295="",$B295=""),"",IF($N295&lt;&gt;"",$N295,TODAY())-$B295)</f>
        <v/>
      </c>
      <c r="Y295" s="11" t="str">
        <f aca="true">IF(OR($C295="",$M295&lt;&gt;"Abierta",$G295=""),"",MAX($G295-TODAY(),0))</f>
        <v/>
      </c>
      <c r="Z295" s="12" t="str">
        <f aca="false">IF($C295="","",N($K295)*N($H295)*N($I295)*IF($U295="Débito",-1,1))</f>
        <v/>
      </c>
      <c r="AA295" s="13" t="str">
        <f aca="false">IF($C295="","",IF(AND($U295="Débito",$F295&lt;&gt;""),$F295,$E295))</f>
        <v/>
      </c>
      <c r="AB295" s="13" t="str">
        <f aca="false">IF(OR($C295="",$T295="Mixta",$AA295=""),"",IF($V295="Subyacente",IF($J295="","",$J295-$K295),IF($T295="Put",$AA295-$K295,$AA295+$K295)))</f>
        <v/>
      </c>
      <c r="AC295" s="14" t="str">
        <f aca="false">IF(OR($C295="",$T295="Mixta",$J295="",$AA295=""),"",IF($T295="Put",($J295-$AA295)/$J295,($AA295-$J295)/$J295))</f>
        <v/>
      </c>
      <c r="AD295" s="12" t="str">
        <f aca="false">IF($C295="","",IF($Q295&lt;&gt;"",$Q295,IF($V295="Strike",N($E295)*$H295*$I295,IF($V295="Subyacente",IF($J295="","",$J295*$H295*$I295),IF($V295="Ancho",IF($F295="","",ABS($E295-$F295)*$H295*$I295-$K295*$H295*$I295),IF($V295="Prima",$K295*$H295*$I295,""))))))</f>
        <v/>
      </c>
      <c r="AE295" s="12" t="str">
        <f aca="false">IF(OR($C295="",$M295="Abierta",$M295=""),"",(N($K295)-IF(OR($M295="Cerrada",$M295="Rolada"),N($O295),0))*$H295*$I295*IF($U295="Débito",-1,1)-N($L295)-N($P295))</f>
        <v/>
      </c>
      <c r="AF295" s="14" t="str">
        <f aca="false">IF(OR($AE295="",$AD295=""),"",IF($AD295&lt;=0,"",$AE295/$AD295))</f>
        <v/>
      </c>
      <c r="AG295" s="14" t="str">
        <f aca="false">IF($AF295="","",$AF295*365/MAX(N($X295),1))</f>
        <v/>
      </c>
      <c r="AH295" s="14" t="str">
        <f aca="false">IF(OR($C295="",$U295&lt;&gt;"Crédito",$AD295=""),"",IF($AD295&lt;=0,"",($Z295-N($L295))/$AD295))</f>
        <v/>
      </c>
      <c r="AI295" s="14" t="str">
        <f aca="false">IF(OR($AH295="",$W295=""),"",$AH295*365/MAX($W295,1))</f>
        <v/>
      </c>
      <c r="AJ295" s="14" t="str">
        <f aca="false">IF(OR($AE295="",$U295&lt;&gt;"Crédito",N($K295)=0),"",(N($K295)-IF(OR($M295="Cerrada",$M295="Rolada"),N($O295),0))/$K295)</f>
        <v/>
      </c>
      <c r="AK295" s="15" t="str">
        <f aca="false">IF(OR($C295="",$N295=""),"",DATE(YEAR($N295),MONTH($N295),1))</f>
        <v/>
      </c>
      <c r="AL295" s="11" t="str">
        <f aca="false">IF($C295="","",IF($M295="Abierta",0,1))</f>
        <v/>
      </c>
      <c r="AM295" s="16" t="str">
        <f aca="false">IF(OR($AE295="",$AD295=""),"",$AD295*MAX(N($X295),1))</f>
        <v/>
      </c>
      <c r="AN295" s="10" t="str">
        <f aca="false">IF($C295="","",IF(OR($B295="",$D295="",$H295="",$K295="",$M295=""),"Faltan datos obligatorios",IF($T295="","Estrategia no reconocida",IF(AND($M295&lt;&gt;"Abierta",$N295=""),"Falta fecha cierre",IF(AND(OR($M295="Cerrada",$M295="Rolada"),$O295=""),"Falta prima cierre",IF(AND($N295&lt;&gt;"",$N295&lt;$B295),"Cierre anterior a apertura",IF(AND($M295="Asignada",$R295=""),"Asignada: falta ID lote acciones",IF(AND($R295&lt;&gt;"",ISNA(MATCH($R295,Acciones!$A$2:$A$201,0))),"El ID lote no existe en Acciones",IF($AD295="","Revisa capital en riesgo","OK")))))))))</f>
        <v/>
      </c>
    </row>
    <row r="296" customFormat="false" ht="15" hidden="false" customHeight="true" outlineLevel="0" collapsed="false">
      <c r="A296" s="5"/>
      <c r="B296" s="6"/>
      <c r="C296" s="7"/>
      <c r="D296" s="7"/>
      <c r="E296" s="8"/>
      <c r="F296" s="8"/>
      <c r="G296" s="6"/>
      <c r="H296" s="5"/>
      <c r="I296" s="5" t="n">
        <v>100</v>
      </c>
      <c r="J296" s="8"/>
      <c r="K296" s="8"/>
      <c r="L296" s="9"/>
      <c r="M296" s="7"/>
      <c r="N296" s="6"/>
      <c r="O296" s="8"/>
      <c r="P296" s="9"/>
      <c r="Q296" s="9"/>
      <c r="R296" s="7"/>
      <c r="S296" s="7"/>
      <c r="T296" s="10" t="str">
        <f aca="false">IF($C296="","",IFERROR(INDEX(Listas!$B$2:$B$20,MATCH($D296,Listas!$A$2:$A$20,0)),""))</f>
        <v/>
      </c>
      <c r="U296" s="10" t="str">
        <f aca="false">IF($C296="","",IFERROR(INDEX(Listas!$C$2:$C$20,MATCH($D296,Listas!$A$2:$A$20,0)),""))</f>
        <v/>
      </c>
      <c r="V296" s="10" t="str">
        <f aca="false">IF($C296="","",IFERROR(INDEX(Listas!$D$2:$D$20,MATCH($D296,Listas!$A$2:$A$20,0)),""))</f>
        <v/>
      </c>
      <c r="W296" s="11" t="str">
        <f aca="false">IF(OR($C296="",$B296="",$G296=""),"",$G296-$B296)</f>
        <v/>
      </c>
      <c r="X296" s="11" t="str">
        <f aca="true">IF(OR($C296="",$B296=""),"",IF($N296&lt;&gt;"",$N296,TODAY())-$B296)</f>
        <v/>
      </c>
      <c r="Y296" s="11" t="str">
        <f aca="true">IF(OR($C296="",$M296&lt;&gt;"Abierta",$G296=""),"",MAX($G296-TODAY(),0))</f>
        <v/>
      </c>
      <c r="Z296" s="12" t="str">
        <f aca="false">IF($C296="","",N($K296)*N($H296)*N($I296)*IF($U296="Débito",-1,1))</f>
        <v/>
      </c>
      <c r="AA296" s="13" t="str">
        <f aca="false">IF($C296="","",IF(AND($U296="Débito",$F296&lt;&gt;""),$F296,$E296))</f>
        <v/>
      </c>
      <c r="AB296" s="13" t="str">
        <f aca="false">IF(OR($C296="",$T296="Mixta",$AA296=""),"",IF($V296="Subyacente",IF($J296="","",$J296-$K296),IF($T296="Put",$AA296-$K296,$AA296+$K296)))</f>
        <v/>
      </c>
      <c r="AC296" s="14" t="str">
        <f aca="false">IF(OR($C296="",$T296="Mixta",$J296="",$AA296=""),"",IF($T296="Put",($J296-$AA296)/$J296,($AA296-$J296)/$J296))</f>
        <v/>
      </c>
      <c r="AD296" s="12" t="str">
        <f aca="false">IF($C296="","",IF($Q296&lt;&gt;"",$Q296,IF($V296="Strike",N($E296)*$H296*$I296,IF($V296="Subyacente",IF($J296="","",$J296*$H296*$I296),IF($V296="Ancho",IF($F296="","",ABS($E296-$F296)*$H296*$I296-$K296*$H296*$I296),IF($V296="Prima",$K296*$H296*$I296,""))))))</f>
        <v/>
      </c>
      <c r="AE296" s="12" t="str">
        <f aca="false">IF(OR($C296="",$M296="Abierta",$M296=""),"",(N($K296)-IF(OR($M296="Cerrada",$M296="Rolada"),N($O296),0))*$H296*$I296*IF($U296="Débito",-1,1)-N($L296)-N($P296))</f>
        <v/>
      </c>
      <c r="AF296" s="14" t="str">
        <f aca="false">IF(OR($AE296="",$AD296=""),"",IF($AD296&lt;=0,"",$AE296/$AD296))</f>
        <v/>
      </c>
      <c r="AG296" s="14" t="str">
        <f aca="false">IF($AF296="","",$AF296*365/MAX(N($X296),1))</f>
        <v/>
      </c>
      <c r="AH296" s="14" t="str">
        <f aca="false">IF(OR($C296="",$U296&lt;&gt;"Crédito",$AD296=""),"",IF($AD296&lt;=0,"",($Z296-N($L296))/$AD296))</f>
        <v/>
      </c>
      <c r="AI296" s="14" t="str">
        <f aca="false">IF(OR($AH296="",$W296=""),"",$AH296*365/MAX($W296,1))</f>
        <v/>
      </c>
      <c r="AJ296" s="14" t="str">
        <f aca="false">IF(OR($AE296="",$U296&lt;&gt;"Crédito",N($K296)=0),"",(N($K296)-IF(OR($M296="Cerrada",$M296="Rolada"),N($O296),0))/$K296)</f>
        <v/>
      </c>
      <c r="AK296" s="15" t="str">
        <f aca="false">IF(OR($C296="",$N296=""),"",DATE(YEAR($N296),MONTH($N296),1))</f>
        <v/>
      </c>
      <c r="AL296" s="11" t="str">
        <f aca="false">IF($C296="","",IF($M296="Abierta",0,1))</f>
        <v/>
      </c>
      <c r="AM296" s="16" t="str">
        <f aca="false">IF(OR($AE296="",$AD296=""),"",$AD296*MAX(N($X296),1))</f>
        <v/>
      </c>
      <c r="AN296" s="10" t="str">
        <f aca="false">IF($C296="","",IF(OR($B296="",$D296="",$H296="",$K296="",$M296=""),"Faltan datos obligatorios",IF($T296="","Estrategia no reconocida",IF(AND($M296&lt;&gt;"Abierta",$N296=""),"Falta fecha cierre",IF(AND(OR($M296="Cerrada",$M296="Rolada"),$O296=""),"Falta prima cierre",IF(AND($N296&lt;&gt;"",$N296&lt;$B296),"Cierre anterior a apertura",IF(AND($M296="Asignada",$R296=""),"Asignada: falta ID lote acciones",IF(AND($R296&lt;&gt;"",ISNA(MATCH($R296,Acciones!$A$2:$A$201,0))),"El ID lote no existe en Acciones",IF($AD296="","Revisa capital en riesgo","OK")))))))))</f>
        <v/>
      </c>
    </row>
    <row r="297" customFormat="false" ht="15" hidden="false" customHeight="true" outlineLevel="0" collapsed="false">
      <c r="A297" s="5"/>
      <c r="B297" s="6"/>
      <c r="C297" s="7"/>
      <c r="D297" s="7"/>
      <c r="E297" s="8"/>
      <c r="F297" s="8"/>
      <c r="G297" s="6"/>
      <c r="H297" s="5"/>
      <c r="I297" s="5" t="n">
        <v>100</v>
      </c>
      <c r="J297" s="8"/>
      <c r="K297" s="8"/>
      <c r="L297" s="9"/>
      <c r="M297" s="7"/>
      <c r="N297" s="6"/>
      <c r="O297" s="8"/>
      <c r="P297" s="9"/>
      <c r="Q297" s="9"/>
      <c r="R297" s="7"/>
      <c r="S297" s="7"/>
      <c r="T297" s="10" t="str">
        <f aca="false">IF($C297="","",IFERROR(INDEX(Listas!$B$2:$B$20,MATCH($D297,Listas!$A$2:$A$20,0)),""))</f>
        <v/>
      </c>
      <c r="U297" s="10" t="str">
        <f aca="false">IF($C297="","",IFERROR(INDEX(Listas!$C$2:$C$20,MATCH($D297,Listas!$A$2:$A$20,0)),""))</f>
        <v/>
      </c>
      <c r="V297" s="10" t="str">
        <f aca="false">IF($C297="","",IFERROR(INDEX(Listas!$D$2:$D$20,MATCH($D297,Listas!$A$2:$A$20,0)),""))</f>
        <v/>
      </c>
      <c r="W297" s="11" t="str">
        <f aca="false">IF(OR($C297="",$B297="",$G297=""),"",$G297-$B297)</f>
        <v/>
      </c>
      <c r="X297" s="11" t="str">
        <f aca="true">IF(OR($C297="",$B297=""),"",IF($N297&lt;&gt;"",$N297,TODAY())-$B297)</f>
        <v/>
      </c>
      <c r="Y297" s="11" t="str">
        <f aca="true">IF(OR($C297="",$M297&lt;&gt;"Abierta",$G297=""),"",MAX($G297-TODAY(),0))</f>
        <v/>
      </c>
      <c r="Z297" s="12" t="str">
        <f aca="false">IF($C297="","",N($K297)*N($H297)*N($I297)*IF($U297="Débito",-1,1))</f>
        <v/>
      </c>
      <c r="AA297" s="13" t="str">
        <f aca="false">IF($C297="","",IF(AND($U297="Débito",$F297&lt;&gt;""),$F297,$E297))</f>
        <v/>
      </c>
      <c r="AB297" s="13" t="str">
        <f aca="false">IF(OR($C297="",$T297="Mixta",$AA297=""),"",IF($V297="Subyacente",IF($J297="","",$J297-$K297),IF($T297="Put",$AA297-$K297,$AA297+$K297)))</f>
        <v/>
      </c>
      <c r="AC297" s="14" t="str">
        <f aca="false">IF(OR($C297="",$T297="Mixta",$J297="",$AA297=""),"",IF($T297="Put",($J297-$AA297)/$J297,($AA297-$J297)/$J297))</f>
        <v/>
      </c>
      <c r="AD297" s="12" t="str">
        <f aca="false">IF($C297="","",IF($Q297&lt;&gt;"",$Q297,IF($V297="Strike",N($E297)*$H297*$I297,IF($V297="Subyacente",IF($J297="","",$J297*$H297*$I297),IF($V297="Ancho",IF($F297="","",ABS($E297-$F297)*$H297*$I297-$K297*$H297*$I297),IF($V297="Prima",$K297*$H297*$I297,""))))))</f>
        <v/>
      </c>
      <c r="AE297" s="12" t="str">
        <f aca="false">IF(OR($C297="",$M297="Abierta",$M297=""),"",(N($K297)-IF(OR($M297="Cerrada",$M297="Rolada"),N($O297),0))*$H297*$I297*IF($U297="Débito",-1,1)-N($L297)-N($P297))</f>
        <v/>
      </c>
      <c r="AF297" s="14" t="str">
        <f aca="false">IF(OR($AE297="",$AD297=""),"",IF($AD297&lt;=0,"",$AE297/$AD297))</f>
        <v/>
      </c>
      <c r="AG297" s="14" t="str">
        <f aca="false">IF($AF297="","",$AF297*365/MAX(N($X297),1))</f>
        <v/>
      </c>
      <c r="AH297" s="14" t="str">
        <f aca="false">IF(OR($C297="",$U297&lt;&gt;"Crédito",$AD297=""),"",IF($AD297&lt;=0,"",($Z297-N($L297))/$AD297))</f>
        <v/>
      </c>
      <c r="AI297" s="14" t="str">
        <f aca="false">IF(OR($AH297="",$W297=""),"",$AH297*365/MAX($W297,1))</f>
        <v/>
      </c>
      <c r="AJ297" s="14" t="str">
        <f aca="false">IF(OR($AE297="",$U297&lt;&gt;"Crédito",N($K297)=0),"",(N($K297)-IF(OR($M297="Cerrada",$M297="Rolada"),N($O297),0))/$K297)</f>
        <v/>
      </c>
      <c r="AK297" s="15" t="str">
        <f aca="false">IF(OR($C297="",$N297=""),"",DATE(YEAR($N297),MONTH($N297),1))</f>
        <v/>
      </c>
      <c r="AL297" s="11" t="str">
        <f aca="false">IF($C297="","",IF($M297="Abierta",0,1))</f>
        <v/>
      </c>
      <c r="AM297" s="16" t="str">
        <f aca="false">IF(OR($AE297="",$AD297=""),"",$AD297*MAX(N($X297),1))</f>
        <v/>
      </c>
      <c r="AN297" s="10" t="str">
        <f aca="false">IF($C297="","",IF(OR($B297="",$D297="",$H297="",$K297="",$M297=""),"Faltan datos obligatorios",IF($T297="","Estrategia no reconocida",IF(AND($M297&lt;&gt;"Abierta",$N297=""),"Falta fecha cierre",IF(AND(OR($M297="Cerrada",$M297="Rolada"),$O297=""),"Falta prima cierre",IF(AND($N297&lt;&gt;"",$N297&lt;$B297),"Cierre anterior a apertura",IF(AND($M297="Asignada",$R297=""),"Asignada: falta ID lote acciones",IF(AND($R297&lt;&gt;"",ISNA(MATCH($R297,Acciones!$A$2:$A$201,0))),"El ID lote no existe en Acciones",IF($AD297="","Revisa capital en riesgo","OK")))))))))</f>
        <v/>
      </c>
    </row>
    <row r="298" customFormat="false" ht="15" hidden="false" customHeight="true" outlineLevel="0" collapsed="false">
      <c r="A298" s="5"/>
      <c r="B298" s="6"/>
      <c r="C298" s="7"/>
      <c r="D298" s="7"/>
      <c r="E298" s="8"/>
      <c r="F298" s="8"/>
      <c r="G298" s="6"/>
      <c r="H298" s="5"/>
      <c r="I298" s="5" t="n">
        <v>100</v>
      </c>
      <c r="J298" s="8"/>
      <c r="K298" s="8"/>
      <c r="L298" s="9"/>
      <c r="M298" s="7"/>
      <c r="N298" s="6"/>
      <c r="O298" s="8"/>
      <c r="P298" s="9"/>
      <c r="Q298" s="9"/>
      <c r="R298" s="7"/>
      <c r="S298" s="7"/>
      <c r="T298" s="10" t="str">
        <f aca="false">IF($C298="","",IFERROR(INDEX(Listas!$B$2:$B$20,MATCH($D298,Listas!$A$2:$A$20,0)),""))</f>
        <v/>
      </c>
      <c r="U298" s="10" t="str">
        <f aca="false">IF($C298="","",IFERROR(INDEX(Listas!$C$2:$C$20,MATCH($D298,Listas!$A$2:$A$20,0)),""))</f>
        <v/>
      </c>
      <c r="V298" s="10" t="str">
        <f aca="false">IF($C298="","",IFERROR(INDEX(Listas!$D$2:$D$20,MATCH($D298,Listas!$A$2:$A$20,0)),""))</f>
        <v/>
      </c>
      <c r="W298" s="11" t="str">
        <f aca="false">IF(OR($C298="",$B298="",$G298=""),"",$G298-$B298)</f>
        <v/>
      </c>
      <c r="X298" s="11" t="str">
        <f aca="true">IF(OR($C298="",$B298=""),"",IF($N298&lt;&gt;"",$N298,TODAY())-$B298)</f>
        <v/>
      </c>
      <c r="Y298" s="11" t="str">
        <f aca="true">IF(OR($C298="",$M298&lt;&gt;"Abierta",$G298=""),"",MAX($G298-TODAY(),0))</f>
        <v/>
      </c>
      <c r="Z298" s="12" t="str">
        <f aca="false">IF($C298="","",N($K298)*N($H298)*N($I298)*IF($U298="Débito",-1,1))</f>
        <v/>
      </c>
      <c r="AA298" s="13" t="str">
        <f aca="false">IF($C298="","",IF(AND($U298="Débito",$F298&lt;&gt;""),$F298,$E298))</f>
        <v/>
      </c>
      <c r="AB298" s="13" t="str">
        <f aca="false">IF(OR($C298="",$T298="Mixta",$AA298=""),"",IF($V298="Subyacente",IF($J298="","",$J298-$K298),IF($T298="Put",$AA298-$K298,$AA298+$K298)))</f>
        <v/>
      </c>
      <c r="AC298" s="14" t="str">
        <f aca="false">IF(OR($C298="",$T298="Mixta",$J298="",$AA298=""),"",IF($T298="Put",($J298-$AA298)/$J298,($AA298-$J298)/$J298))</f>
        <v/>
      </c>
      <c r="AD298" s="12" t="str">
        <f aca="false">IF($C298="","",IF($Q298&lt;&gt;"",$Q298,IF($V298="Strike",N($E298)*$H298*$I298,IF($V298="Subyacente",IF($J298="","",$J298*$H298*$I298),IF($V298="Ancho",IF($F298="","",ABS($E298-$F298)*$H298*$I298-$K298*$H298*$I298),IF($V298="Prima",$K298*$H298*$I298,""))))))</f>
        <v/>
      </c>
      <c r="AE298" s="12" t="str">
        <f aca="false">IF(OR($C298="",$M298="Abierta",$M298=""),"",(N($K298)-IF(OR($M298="Cerrada",$M298="Rolada"),N($O298),0))*$H298*$I298*IF($U298="Débito",-1,1)-N($L298)-N($P298))</f>
        <v/>
      </c>
      <c r="AF298" s="14" t="str">
        <f aca="false">IF(OR($AE298="",$AD298=""),"",IF($AD298&lt;=0,"",$AE298/$AD298))</f>
        <v/>
      </c>
      <c r="AG298" s="14" t="str">
        <f aca="false">IF($AF298="","",$AF298*365/MAX(N($X298),1))</f>
        <v/>
      </c>
      <c r="AH298" s="14" t="str">
        <f aca="false">IF(OR($C298="",$U298&lt;&gt;"Crédito",$AD298=""),"",IF($AD298&lt;=0,"",($Z298-N($L298))/$AD298))</f>
        <v/>
      </c>
      <c r="AI298" s="14" t="str">
        <f aca="false">IF(OR($AH298="",$W298=""),"",$AH298*365/MAX($W298,1))</f>
        <v/>
      </c>
      <c r="AJ298" s="14" t="str">
        <f aca="false">IF(OR($AE298="",$U298&lt;&gt;"Crédito",N($K298)=0),"",(N($K298)-IF(OR($M298="Cerrada",$M298="Rolada"),N($O298),0))/$K298)</f>
        <v/>
      </c>
      <c r="AK298" s="15" t="str">
        <f aca="false">IF(OR($C298="",$N298=""),"",DATE(YEAR($N298),MONTH($N298),1))</f>
        <v/>
      </c>
      <c r="AL298" s="11" t="str">
        <f aca="false">IF($C298="","",IF($M298="Abierta",0,1))</f>
        <v/>
      </c>
      <c r="AM298" s="16" t="str">
        <f aca="false">IF(OR($AE298="",$AD298=""),"",$AD298*MAX(N($X298),1))</f>
        <v/>
      </c>
      <c r="AN298" s="10" t="str">
        <f aca="false">IF($C298="","",IF(OR($B298="",$D298="",$H298="",$K298="",$M298=""),"Faltan datos obligatorios",IF($T298="","Estrategia no reconocida",IF(AND($M298&lt;&gt;"Abierta",$N298=""),"Falta fecha cierre",IF(AND(OR($M298="Cerrada",$M298="Rolada"),$O298=""),"Falta prima cierre",IF(AND($N298&lt;&gt;"",$N298&lt;$B298),"Cierre anterior a apertura",IF(AND($M298="Asignada",$R298=""),"Asignada: falta ID lote acciones",IF(AND($R298&lt;&gt;"",ISNA(MATCH($R298,Acciones!$A$2:$A$201,0))),"El ID lote no existe en Acciones",IF($AD298="","Revisa capital en riesgo","OK")))))))))</f>
        <v/>
      </c>
    </row>
    <row r="299" customFormat="false" ht="15" hidden="false" customHeight="true" outlineLevel="0" collapsed="false">
      <c r="A299" s="5"/>
      <c r="B299" s="6"/>
      <c r="C299" s="7"/>
      <c r="D299" s="7"/>
      <c r="E299" s="8"/>
      <c r="F299" s="8"/>
      <c r="G299" s="6"/>
      <c r="H299" s="5"/>
      <c r="I299" s="5" t="n">
        <v>100</v>
      </c>
      <c r="J299" s="8"/>
      <c r="K299" s="8"/>
      <c r="L299" s="9"/>
      <c r="M299" s="7"/>
      <c r="N299" s="6"/>
      <c r="O299" s="8"/>
      <c r="P299" s="9"/>
      <c r="Q299" s="9"/>
      <c r="R299" s="7"/>
      <c r="S299" s="7"/>
      <c r="T299" s="10" t="str">
        <f aca="false">IF($C299="","",IFERROR(INDEX(Listas!$B$2:$B$20,MATCH($D299,Listas!$A$2:$A$20,0)),""))</f>
        <v/>
      </c>
      <c r="U299" s="10" t="str">
        <f aca="false">IF($C299="","",IFERROR(INDEX(Listas!$C$2:$C$20,MATCH($D299,Listas!$A$2:$A$20,0)),""))</f>
        <v/>
      </c>
      <c r="V299" s="10" t="str">
        <f aca="false">IF($C299="","",IFERROR(INDEX(Listas!$D$2:$D$20,MATCH($D299,Listas!$A$2:$A$20,0)),""))</f>
        <v/>
      </c>
      <c r="W299" s="11" t="str">
        <f aca="false">IF(OR($C299="",$B299="",$G299=""),"",$G299-$B299)</f>
        <v/>
      </c>
      <c r="X299" s="11" t="str">
        <f aca="true">IF(OR($C299="",$B299=""),"",IF($N299&lt;&gt;"",$N299,TODAY())-$B299)</f>
        <v/>
      </c>
      <c r="Y299" s="11" t="str">
        <f aca="true">IF(OR($C299="",$M299&lt;&gt;"Abierta",$G299=""),"",MAX($G299-TODAY(),0))</f>
        <v/>
      </c>
      <c r="Z299" s="12" t="str">
        <f aca="false">IF($C299="","",N($K299)*N($H299)*N($I299)*IF($U299="Débito",-1,1))</f>
        <v/>
      </c>
      <c r="AA299" s="13" t="str">
        <f aca="false">IF($C299="","",IF(AND($U299="Débito",$F299&lt;&gt;""),$F299,$E299))</f>
        <v/>
      </c>
      <c r="AB299" s="13" t="str">
        <f aca="false">IF(OR($C299="",$T299="Mixta",$AA299=""),"",IF($V299="Subyacente",IF($J299="","",$J299-$K299),IF($T299="Put",$AA299-$K299,$AA299+$K299)))</f>
        <v/>
      </c>
      <c r="AC299" s="14" t="str">
        <f aca="false">IF(OR($C299="",$T299="Mixta",$J299="",$AA299=""),"",IF($T299="Put",($J299-$AA299)/$J299,($AA299-$J299)/$J299))</f>
        <v/>
      </c>
      <c r="AD299" s="12" t="str">
        <f aca="false">IF($C299="","",IF($Q299&lt;&gt;"",$Q299,IF($V299="Strike",N($E299)*$H299*$I299,IF($V299="Subyacente",IF($J299="","",$J299*$H299*$I299),IF($V299="Ancho",IF($F299="","",ABS($E299-$F299)*$H299*$I299-$K299*$H299*$I299),IF($V299="Prima",$K299*$H299*$I299,""))))))</f>
        <v/>
      </c>
      <c r="AE299" s="12" t="str">
        <f aca="false">IF(OR($C299="",$M299="Abierta",$M299=""),"",(N($K299)-IF(OR($M299="Cerrada",$M299="Rolada"),N($O299),0))*$H299*$I299*IF($U299="Débito",-1,1)-N($L299)-N($P299))</f>
        <v/>
      </c>
      <c r="AF299" s="14" t="str">
        <f aca="false">IF(OR($AE299="",$AD299=""),"",IF($AD299&lt;=0,"",$AE299/$AD299))</f>
        <v/>
      </c>
      <c r="AG299" s="14" t="str">
        <f aca="false">IF($AF299="","",$AF299*365/MAX(N($X299),1))</f>
        <v/>
      </c>
      <c r="AH299" s="14" t="str">
        <f aca="false">IF(OR($C299="",$U299&lt;&gt;"Crédito",$AD299=""),"",IF($AD299&lt;=0,"",($Z299-N($L299))/$AD299))</f>
        <v/>
      </c>
      <c r="AI299" s="14" t="str">
        <f aca="false">IF(OR($AH299="",$W299=""),"",$AH299*365/MAX($W299,1))</f>
        <v/>
      </c>
      <c r="AJ299" s="14" t="str">
        <f aca="false">IF(OR($AE299="",$U299&lt;&gt;"Crédito",N($K299)=0),"",(N($K299)-IF(OR($M299="Cerrada",$M299="Rolada"),N($O299),0))/$K299)</f>
        <v/>
      </c>
      <c r="AK299" s="15" t="str">
        <f aca="false">IF(OR($C299="",$N299=""),"",DATE(YEAR($N299),MONTH($N299),1))</f>
        <v/>
      </c>
      <c r="AL299" s="11" t="str">
        <f aca="false">IF($C299="","",IF($M299="Abierta",0,1))</f>
        <v/>
      </c>
      <c r="AM299" s="16" t="str">
        <f aca="false">IF(OR($AE299="",$AD299=""),"",$AD299*MAX(N($X299),1))</f>
        <v/>
      </c>
      <c r="AN299" s="10" t="str">
        <f aca="false">IF($C299="","",IF(OR($B299="",$D299="",$H299="",$K299="",$M299=""),"Faltan datos obligatorios",IF($T299="","Estrategia no reconocida",IF(AND($M299&lt;&gt;"Abierta",$N299=""),"Falta fecha cierre",IF(AND(OR($M299="Cerrada",$M299="Rolada"),$O299=""),"Falta prima cierre",IF(AND($N299&lt;&gt;"",$N299&lt;$B299),"Cierre anterior a apertura",IF(AND($M299="Asignada",$R299=""),"Asignada: falta ID lote acciones",IF(AND($R299&lt;&gt;"",ISNA(MATCH($R299,Acciones!$A$2:$A$201,0))),"El ID lote no existe en Acciones",IF($AD299="","Revisa capital en riesgo","OK")))))))))</f>
        <v/>
      </c>
    </row>
    <row r="300" customFormat="false" ht="15" hidden="false" customHeight="true" outlineLevel="0" collapsed="false">
      <c r="A300" s="5"/>
      <c r="B300" s="6"/>
      <c r="C300" s="7"/>
      <c r="D300" s="7"/>
      <c r="E300" s="8"/>
      <c r="F300" s="8"/>
      <c r="G300" s="6"/>
      <c r="H300" s="5"/>
      <c r="I300" s="5" t="n">
        <v>100</v>
      </c>
      <c r="J300" s="8"/>
      <c r="K300" s="8"/>
      <c r="L300" s="9"/>
      <c r="M300" s="7"/>
      <c r="N300" s="6"/>
      <c r="O300" s="8"/>
      <c r="P300" s="9"/>
      <c r="Q300" s="9"/>
      <c r="R300" s="7"/>
      <c r="S300" s="7"/>
      <c r="T300" s="10" t="str">
        <f aca="false">IF($C300="","",IFERROR(INDEX(Listas!$B$2:$B$20,MATCH($D300,Listas!$A$2:$A$20,0)),""))</f>
        <v/>
      </c>
      <c r="U300" s="10" t="str">
        <f aca="false">IF($C300="","",IFERROR(INDEX(Listas!$C$2:$C$20,MATCH($D300,Listas!$A$2:$A$20,0)),""))</f>
        <v/>
      </c>
      <c r="V300" s="10" t="str">
        <f aca="false">IF($C300="","",IFERROR(INDEX(Listas!$D$2:$D$20,MATCH($D300,Listas!$A$2:$A$20,0)),""))</f>
        <v/>
      </c>
      <c r="W300" s="11" t="str">
        <f aca="false">IF(OR($C300="",$B300="",$G300=""),"",$G300-$B300)</f>
        <v/>
      </c>
      <c r="X300" s="11" t="str">
        <f aca="true">IF(OR($C300="",$B300=""),"",IF($N300&lt;&gt;"",$N300,TODAY())-$B300)</f>
        <v/>
      </c>
      <c r="Y300" s="11" t="str">
        <f aca="true">IF(OR($C300="",$M300&lt;&gt;"Abierta",$G300=""),"",MAX($G300-TODAY(),0))</f>
        <v/>
      </c>
      <c r="Z300" s="12" t="str">
        <f aca="false">IF($C300="","",N($K300)*N($H300)*N($I300)*IF($U300="Débito",-1,1))</f>
        <v/>
      </c>
      <c r="AA300" s="13" t="str">
        <f aca="false">IF($C300="","",IF(AND($U300="Débito",$F300&lt;&gt;""),$F300,$E300))</f>
        <v/>
      </c>
      <c r="AB300" s="13" t="str">
        <f aca="false">IF(OR($C300="",$T300="Mixta",$AA300=""),"",IF($V300="Subyacente",IF($J300="","",$J300-$K300),IF($T300="Put",$AA300-$K300,$AA300+$K300)))</f>
        <v/>
      </c>
      <c r="AC300" s="14" t="str">
        <f aca="false">IF(OR($C300="",$T300="Mixta",$J300="",$AA300=""),"",IF($T300="Put",($J300-$AA300)/$J300,($AA300-$J300)/$J300))</f>
        <v/>
      </c>
      <c r="AD300" s="12" t="str">
        <f aca="false">IF($C300="","",IF($Q300&lt;&gt;"",$Q300,IF($V300="Strike",N($E300)*$H300*$I300,IF($V300="Subyacente",IF($J300="","",$J300*$H300*$I300),IF($V300="Ancho",IF($F300="","",ABS($E300-$F300)*$H300*$I300-$K300*$H300*$I300),IF($V300="Prima",$K300*$H300*$I300,""))))))</f>
        <v/>
      </c>
      <c r="AE300" s="12" t="str">
        <f aca="false">IF(OR($C300="",$M300="Abierta",$M300=""),"",(N($K300)-IF(OR($M300="Cerrada",$M300="Rolada"),N($O300),0))*$H300*$I300*IF($U300="Débito",-1,1)-N($L300)-N($P300))</f>
        <v/>
      </c>
      <c r="AF300" s="14" t="str">
        <f aca="false">IF(OR($AE300="",$AD300=""),"",IF($AD300&lt;=0,"",$AE300/$AD300))</f>
        <v/>
      </c>
      <c r="AG300" s="14" t="str">
        <f aca="false">IF($AF300="","",$AF300*365/MAX(N($X300),1))</f>
        <v/>
      </c>
      <c r="AH300" s="14" t="str">
        <f aca="false">IF(OR($C300="",$U300&lt;&gt;"Crédito",$AD300=""),"",IF($AD300&lt;=0,"",($Z300-N($L300))/$AD300))</f>
        <v/>
      </c>
      <c r="AI300" s="14" t="str">
        <f aca="false">IF(OR($AH300="",$W300=""),"",$AH300*365/MAX($W300,1))</f>
        <v/>
      </c>
      <c r="AJ300" s="14" t="str">
        <f aca="false">IF(OR($AE300="",$U300&lt;&gt;"Crédito",N($K300)=0),"",(N($K300)-IF(OR($M300="Cerrada",$M300="Rolada"),N($O300),0))/$K300)</f>
        <v/>
      </c>
      <c r="AK300" s="15" t="str">
        <f aca="false">IF(OR($C300="",$N300=""),"",DATE(YEAR($N300),MONTH($N300),1))</f>
        <v/>
      </c>
      <c r="AL300" s="11" t="str">
        <f aca="false">IF($C300="","",IF($M300="Abierta",0,1))</f>
        <v/>
      </c>
      <c r="AM300" s="16" t="str">
        <f aca="false">IF(OR($AE300="",$AD300=""),"",$AD300*MAX(N($X300),1))</f>
        <v/>
      </c>
      <c r="AN300" s="10" t="str">
        <f aca="false">IF($C300="","",IF(OR($B300="",$D300="",$H300="",$K300="",$M300=""),"Faltan datos obligatorios",IF($T300="","Estrategia no reconocida",IF(AND($M300&lt;&gt;"Abierta",$N300=""),"Falta fecha cierre",IF(AND(OR($M300="Cerrada",$M300="Rolada"),$O300=""),"Falta prima cierre",IF(AND($N300&lt;&gt;"",$N300&lt;$B300),"Cierre anterior a apertura",IF(AND($M300="Asignada",$R300=""),"Asignada: falta ID lote acciones",IF(AND($R300&lt;&gt;"",ISNA(MATCH($R300,Acciones!$A$2:$A$201,0))),"El ID lote no existe en Acciones",IF($AD300="","Revisa capital en riesgo","OK")))))))))</f>
        <v/>
      </c>
    </row>
    <row r="301" customFormat="false" ht="15" hidden="false" customHeight="true" outlineLevel="0" collapsed="false">
      <c r="A301" s="5"/>
      <c r="B301" s="6"/>
      <c r="C301" s="7"/>
      <c r="D301" s="7"/>
      <c r="E301" s="8"/>
      <c r="F301" s="8"/>
      <c r="G301" s="6"/>
      <c r="H301" s="5"/>
      <c r="I301" s="5" t="n">
        <v>100</v>
      </c>
      <c r="J301" s="8"/>
      <c r="K301" s="8"/>
      <c r="L301" s="9"/>
      <c r="M301" s="7"/>
      <c r="N301" s="6"/>
      <c r="O301" s="8"/>
      <c r="P301" s="9"/>
      <c r="Q301" s="9"/>
      <c r="R301" s="7"/>
      <c r="S301" s="7"/>
      <c r="T301" s="10" t="str">
        <f aca="false">IF($C301="","",IFERROR(INDEX(Listas!$B$2:$B$20,MATCH($D301,Listas!$A$2:$A$20,0)),""))</f>
        <v/>
      </c>
      <c r="U301" s="10" t="str">
        <f aca="false">IF($C301="","",IFERROR(INDEX(Listas!$C$2:$C$20,MATCH($D301,Listas!$A$2:$A$20,0)),""))</f>
        <v/>
      </c>
      <c r="V301" s="10" t="str">
        <f aca="false">IF($C301="","",IFERROR(INDEX(Listas!$D$2:$D$20,MATCH($D301,Listas!$A$2:$A$20,0)),""))</f>
        <v/>
      </c>
      <c r="W301" s="11" t="str">
        <f aca="false">IF(OR($C301="",$B301="",$G301=""),"",$G301-$B301)</f>
        <v/>
      </c>
      <c r="X301" s="11" t="str">
        <f aca="true">IF(OR($C301="",$B301=""),"",IF($N301&lt;&gt;"",$N301,TODAY())-$B301)</f>
        <v/>
      </c>
      <c r="Y301" s="11" t="str">
        <f aca="true">IF(OR($C301="",$M301&lt;&gt;"Abierta",$G301=""),"",MAX($G301-TODAY(),0))</f>
        <v/>
      </c>
      <c r="Z301" s="12" t="str">
        <f aca="false">IF($C301="","",N($K301)*N($H301)*N($I301)*IF($U301="Débito",-1,1))</f>
        <v/>
      </c>
      <c r="AA301" s="13" t="str">
        <f aca="false">IF($C301="","",IF(AND($U301="Débito",$F301&lt;&gt;""),$F301,$E301))</f>
        <v/>
      </c>
      <c r="AB301" s="13" t="str">
        <f aca="false">IF(OR($C301="",$T301="Mixta",$AA301=""),"",IF($V301="Subyacente",IF($J301="","",$J301-$K301),IF($T301="Put",$AA301-$K301,$AA301+$K301)))</f>
        <v/>
      </c>
      <c r="AC301" s="14" t="str">
        <f aca="false">IF(OR($C301="",$T301="Mixta",$J301="",$AA301=""),"",IF($T301="Put",($J301-$AA301)/$J301,($AA301-$J301)/$J301))</f>
        <v/>
      </c>
      <c r="AD301" s="12" t="str">
        <f aca="false">IF($C301="","",IF($Q301&lt;&gt;"",$Q301,IF($V301="Strike",N($E301)*$H301*$I301,IF($V301="Subyacente",IF($J301="","",$J301*$H301*$I301),IF($V301="Ancho",IF($F301="","",ABS($E301-$F301)*$H301*$I301-$K301*$H301*$I301),IF($V301="Prima",$K301*$H301*$I301,""))))))</f>
        <v/>
      </c>
      <c r="AE301" s="12" t="str">
        <f aca="false">IF(OR($C301="",$M301="Abierta",$M301=""),"",(N($K301)-IF(OR($M301="Cerrada",$M301="Rolada"),N($O301),0))*$H301*$I301*IF($U301="Débito",-1,1)-N($L301)-N($P301))</f>
        <v/>
      </c>
      <c r="AF301" s="14" t="str">
        <f aca="false">IF(OR($AE301="",$AD301=""),"",IF($AD301&lt;=0,"",$AE301/$AD301))</f>
        <v/>
      </c>
      <c r="AG301" s="14" t="str">
        <f aca="false">IF($AF301="","",$AF301*365/MAX(N($X301),1))</f>
        <v/>
      </c>
      <c r="AH301" s="14" t="str">
        <f aca="false">IF(OR($C301="",$U301&lt;&gt;"Crédito",$AD301=""),"",IF($AD301&lt;=0,"",($Z301-N($L301))/$AD301))</f>
        <v/>
      </c>
      <c r="AI301" s="14" t="str">
        <f aca="false">IF(OR($AH301="",$W301=""),"",$AH301*365/MAX($W301,1))</f>
        <v/>
      </c>
      <c r="AJ301" s="14" t="str">
        <f aca="false">IF(OR($AE301="",$U301&lt;&gt;"Crédito",N($K301)=0),"",(N($K301)-IF(OR($M301="Cerrada",$M301="Rolada"),N($O301),0))/$K301)</f>
        <v/>
      </c>
      <c r="AK301" s="15" t="str">
        <f aca="false">IF(OR($C301="",$N301=""),"",DATE(YEAR($N301),MONTH($N301),1))</f>
        <v/>
      </c>
      <c r="AL301" s="11" t="str">
        <f aca="false">IF($C301="","",IF($M301="Abierta",0,1))</f>
        <v/>
      </c>
      <c r="AM301" s="16" t="str">
        <f aca="false">IF(OR($AE301="",$AD301=""),"",$AD301*MAX(N($X301),1))</f>
        <v/>
      </c>
      <c r="AN301" s="10" t="str">
        <f aca="false">IF($C301="","",IF(OR($B301="",$D301="",$H301="",$K301="",$M301=""),"Faltan datos obligatorios",IF($T301="","Estrategia no reconocida",IF(AND($M301&lt;&gt;"Abierta",$N301=""),"Falta fecha cierre",IF(AND(OR($M301="Cerrada",$M301="Rolada"),$O301=""),"Falta prima cierre",IF(AND($N301&lt;&gt;"",$N301&lt;$B301),"Cierre anterior a apertura",IF(AND($M301="Asignada",$R301=""),"Asignada: falta ID lote acciones",IF(AND($R301&lt;&gt;"",ISNA(MATCH($R301,Acciones!$A$2:$A$201,0))),"El ID lote no existe en Acciones",IF($AD301="","Revisa capital en riesgo","OK")))))))))</f>
        <v/>
      </c>
    </row>
    <row r="302" customFormat="false" ht="15" hidden="false" customHeight="true" outlineLevel="0" collapsed="false">
      <c r="A302" s="5"/>
      <c r="B302" s="6"/>
      <c r="C302" s="7"/>
      <c r="D302" s="7"/>
      <c r="E302" s="8"/>
      <c r="F302" s="8"/>
      <c r="G302" s="6"/>
      <c r="H302" s="5"/>
      <c r="I302" s="5" t="n">
        <v>100</v>
      </c>
      <c r="J302" s="8"/>
      <c r="K302" s="8"/>
      <c r="L302" s="9"/>
      <c r="M302" s="7"/>
      <c r="N302" s="6"/>
      <c r="O302" s="8"/>
      <c r="P302" s="9"/>
      <c r="Q302" s="9"/>
      <c r="R302" s="7"/>
      <c r="S302" s="7"/>
      <c r="T302" s="10" t="str">
        <f aca="false">IF($C302="","",IFERROR(INDEX(Listas!$B$2:$B$20,MATCH($D302,Listas!$A$2:$A$20,0)),""))</f>
        <v/>
      </c>
      <c r="U302" s="10" t="str">
        <f aca="false">IF($C302="","",IFERROR(INDEX(Listas!$C$2:$C$20,MATCH($D302,Listas!$A$2:$A$20,0)),""))</f>
        <v/>
      </c>
      <c r="V302" s="10" t="str">
        <f aca="false">IF($C302="","",IFERROR(INDEX(Listas!$D$2:$D$20,MATCH($D302,Listas!$A$2:$A$20,0)),""))</f>
        <v/>
      </c>
      <c r="W302" s="11" t="str">
        <f aca="false">IF(OR($C302="",$B302="",$G302=""),"",$G302-$B302)</f>
        <v/>
      </c>
      <c r="X302" s="11" t="str">
        <f aca="true">IF(OR($C302="",$B302=""),"",IF($N302&lt;&gt;"",$N302,TODAY())-$B302)</f>
        <v/>
      </c>
      <c r="Y302" s="11" t="str">
        <f aca="true">IF(OR($C302="",$M302&lt;&gt;"Abierta",$G302=""),"",MAX($G302-TODAY(),0))</f>
        <v/>
      </c>
      <c r="Z302" s="12" t="str">
        <f aca="false">IF($C302="","",N($K302)*N($H302)*N($I302)*IF($U302="Débito",-1,1))</f>
        <v/>
      </c>
      <c r="AA302" s="13" t="str">
        <f aca="false">IF($C302="","",IF(AND($U302="Débito",$F302&lt;&gt;""),$F302,$E302))</f>
        <v/>
      </c>
      <c r="AB302" s="13" t="str">
        <f aca="false">IF(OR($C302="",$T302="Mixta",$AA302=""),"",IF($V302="Subyacente",IF($J302="","",$J302-$K302),IF($T302="Put",$AA302-$K302,$AA302+$K302)))</f>
        <v/>
      </c>
      <c r="AC302" s="14" t="str">
        <f aca="false">IF(OR($C302="",$T302="Mixta",$J302="",$AA302=""),"",IF($T302="Put",($J302-$AA302)/$J302,($AA302-$J302)/$J302))</f>
        <v/>
      </c>
      <c r="AD302" s="12" t="str">
        <f aca="false">IF($C302="","",IF($Q302&lt;&gt;"",$Q302,IF($V302="Strike",N($E302)*$H302*$I302,IF($V302="Subyacente",IF($J302="","",$J302*$H302*$I302),IF($V302="Ancho",IF($F302="","",ABS($E302-$F302)*$H302*$I302-$K302*$H302*$I302),IF($V302="Prima",$K302*$H302*$I302,""))))))</f>
        <v/>
      </c>
      <c r="AE302" s="12" t="str">
        <f aca="false">IF(OR($C302="",$M302="Abierta",$M302=""),"",(N($K302)-IF(OR($M302="Cerrada",$M302="Rolada"),N($O302),0))*$H302*$I302*IF($U302="Débito",-1,1)-N($L302)-N($P302))</f>
        <v/>
      </c>
      <c r="AF302" s="14" t="str">
        <f aca="false">IF(OR($AE302="",$AD302=""),"",IF($AD302&lt;=0,"",$AE302/$AD302))</f>
        <v/>
      </c>
      <c r="AG302" s="14" t="str">
        <f aca="false">IF($AF302="","",$AF302*365/MAX(N($X302),1))</f>
        <v/>
      </c>
      <c r="AH302" s="14" t="str">
        <f aca="false">IF(OR($C302="",$U302&lt;&gt;"Crédito",$AD302=""),"",IF($AD302&lt;=0,"",($Z302-N($L302))/$AD302))</f>
        <v/>
      </c>
      <c r="AI302" s="14" t="str">
        <f aca="false">IF(OR($AH302="",$W302=""),"",$AH302*365/MAX($W302,1))</f>
        <v/>
      </c>
      <c r="AJ302" s="14" t="str">
        <f aca="false">IF(OR($AE302="",$U302&lt;&gt;"Crédito",N($K302)=0),"",(N($K302)-IF(OR($M302="Cerrada",$M302="Rolada"),N($O302),0))/$K302)</f>
        <v/>
      </c>
      <c r="AK302" s="15" t="str">
        <f aca="false">IF(OR($C302="",$N302=""),"",DATE(YEAR($N302),MONTH($N302),1))</f>
        <v/>
      </c>
      <c r="AL302" s="11" t="str">
        <f aca="false">IF($C302="","",IF($M302="Abierta",0,1))</f>
        <v/>
      </c>
      <c r="AM302" s="16" t="str">
        <f aca="false">IF(OR($AE302="",$AD302=""),"",$AD302*MAX(N($X302),1))</f>
        <v/>
      </c>
      <c r="AN302" s="10" t="str">
        <f aca="false">IF($C302="","",IF(OR($B302="",$D302="",$H302="",$K302="",$M302=""),"Faltan datos obligatorios",IF($T302="","Estrategia no reconocida",IF(AND($M302&lt;&gt;"Abierta",$N302=""),"Falta fecha cierre",IF(AND(OR($M302="Cerrada",$M302="Rolada"),$O302=""),"Falta prima cierre",IF(AND($N302&lt;&gt;"",$N302&lt;$B302),"Cierre anterior a apertura",IF(AND($M302="Asignada",$R302=""),"Asignada: falta ID lote acciones",IF(AND($R302&lt;&gt;"",ISNA(MATCH($R302,Acciones!$A$2:$A$201,0))),"El ID lote no existe en Acciones",IF($AD302="","Revisa capital en riesgo","OK")))))))))</f>
        <v/>
      </c>
    </row>
    <row r="303" customFormat="false" ht="15" hidden="false" customHeight="true" outlineLevel="0" collapsed="false">
      <c r="A303" s="5"/>
      <c r="B303" s="6"/>
      <c r="C303" s="7"/>
      <c r="D303" s="7"/>
      <c r="E303" s="8"/>
      <c r="F303" s="8"/>
      <c r="G303" s="6"/>
      <c r="H303" s="5"/>
      <c r="I303" s="5" t="n">
        <v>100</v>
      </c>
      <c r="J303" s="8"/>
      <c r="K303" s="8"/>
      <c r="L303" s="9"/>
      <c r="M303" s="7"/>
      <c r="N303" s="6"/>
      <c r="O303" s="8"/>
      <c r="P303" s="9"/>
      <c r="Q303" s="9"/>
      <c r="R303" s="7"/>
      <c r="S303" s="7"/>
      <c r="T303" s="10" t="str">
        <f aca="false">IF($C303="","",IFERROR(INDEX(Listas!$B$2:$B$20,MATCH($D303,Listas!$A$2:$A$20,0)),""))</f>
        <v/>
      </c>
      <c r="U303" s="10" t="str">
        <f aca="false">IF($C303="","",IFERROR(INDEX(Listas!$C$2:$C$20,MATCH($D303,Listas!$A$2:$A$20,0)),""))</f>
        <v/>
      </c>
      <c r="V303" s="10" t="str">
        <f aca="false">IF($C303="","",IFERROR(INDEX(Listas!$D$2:$D$20,MATCH($D303,Listas!$A$2:$A$20,0)),""))</f>
        <v/>
      </c>
      <c r="W303" s="11" t="str">
        <f aca="false">IF(OR($C303="",$B303="",$G303=""),"",$G303-$B303)</f>
        <v/>
      </c>
      <c r="X303" s="11" t="str">
        <f aca="true">IF(OR($C303="",$B303=""),"",IF($N303&lt;&gt;"",$N303,TODAY())-$B303)</f>
        <v/>
      </c>
      <c r="Y303" s="11" t="str">
        <f aca="true">IF(OR($C303="",$M303&lt;&gt;"Abierta",$G303=""),"",MAX($G303-TODAY(),0))</f>
        <v/>
      </c>
      <c r="Z303" s="12" t="str">
        <f aca="false">IF($C303="","",N($K303)*N($H303)*N($I303)*IF($U303="Débito",-1,1))</f>
        <v/>
      </c>
      <c r="AA303" s="13" t="str">
        <f aca="false">IF($C303="","",IF(AND($U303="Débito",$F303&lt;&gt;""),$F303,$E303))</f>
        <v/>
      </c>
      <c r="AB303" s="13" t="str">
        <f aca="false">IF(OR($C303="",$T303="Mixta",$AA303=""),"",IF($V303="Subyacente",IF($J303="","",$J303-$K303),IF($T303="Put",$AA303-$K303,$AA303+$K303)))</f>
        <v/>
      </c>
      <c r="AC303" s="14" t="str">
        <f aca="false">IF(OR($C303="",$T303="Mixta",$J303="",$AA303=""),"",IF($T303="Put",($J303-$AA303)/$J303,($AA303-$J303)/$J303))</f>
        <v/>
      </c>
      <c r="AD303" s="12" t="str">
        <f aca="false">IF($C303="","",IF($Q303&lt;&gt;"",$Q303,IF($V303="Strike",N($E303)*$H303*$I303,IF($V303="Subyacente",IF($J303="","",$J303*$H303*$I303),IF($V303="Ancho",IF($F303="","",ABS($E303-$F303)*$H303*$I303-$K303*$H303*$I303),IF($V303="Prima",$K303*$H303*$I303,""))))))</f>
        <v/>
      </c>
      <c r="AE303" s="12" t="str">
        <f aca="false">IF(OR($C303="",$M303="Abierta",$M303=""),"",(N($K303)-IF(OR($M303="Cerrada",$M303="Rolada"),N($O303),0))*$H303*$I303*IF($U303="Débito",-1,1)-N($L303)-N($P303))</f>
        <v/>
      </c>
      <c r="AF303" s="14" t="str">
        <f aca="false">IF(OR($AE303="",$AD303=""),"",IF($AD303&lt;=0,"",$AE303/$AD303))</f>
        <v/>
      </c>
      <c r="AG303" s="14" t="str">
        <f aca="false">IF($AF303="","",$AF303*365/MAX(N($X303),1))</f>
        <v/>
      </c>
      <c r="AH303" s="14" t="str">
        <f aca="false">IF(OR($C303="",$U303&lt;&gt;"Crédito",$AD303=""),"",IF($AD303&lt;=0,"",($Z303-N($L303))/$AD303))</f>
        <v/>
      </c>
      <c r="AI303" s="14" t="str">
        <f aca="false">IF(OR($AH303="",$W303=""),"",$AH303*365/MAX($W303,1))</f>
        <v/>
      </c>
      <c r="AJ303" s="14" t="str">
        <f aca="false">IF(OR($AE303="",$U303&lt;&gt;"Crédito",N($K303)=0),"",(N($K303)-IF(OR($M303="Cerrada",$M303="Rolada"),N($O303),0))/$K303)</f>
        <v/>
      </c>
      <c r="AK303" s="15" t="str">
        <f aca="false">IF(OR($C303="",$N303=""),"",DATE(YEAR($N303),MONTH($N303),1))</f>
        <v/>
      </c>
      <c r="AL303" s="11" t="str">
        <f aca="false">IF($C303="","",IF($M303="Abierta",0,1))</f>
        <v/>
      </c>
      <c r="AM303" s="16" t="str">
        <f aca="false">IF(OR($AE303="",$AD303=""),"",$AD303*MAX(N($X303),1))</f>
        <v/>
      </c>
      <c r="AN303" s="10" t="str">
        <f aca="false">IF($C303="","",IF(OR($B303="",$D303="",$H303="",$K303="",$M303=""),"Faltan datos obligatorios",IF($T303="","Estrategia no reconocida",IF(AND($M303&lt;&gt;"Abierta",$N303=""),"Falta fecha cierre",IF(AND(OR($M303="Cerrada",$M303="Rolada"),$O303=""),"Falta prima cierre",IF(AND($N303&lt;&gt;"",$N303&lt;$B303),"Cierre anterior a apertura",IF(AND($M303="Asignada",$R303=""),"Asignada: falta ID lote acciones",IF(AND($R303&lt;&gt;"",ISNA(MATCH($R303,Acciones!$A$2:$A$201,0))),"El ID lote no existe en Acciones",IF($AD303="","Revisa capital en riesgo","OK")))))))))</f>
        <v/>
      </c>
    </row>
    <row r="304" customFormat="false" ht="15" hidden="false" customHeight="true" outlineLevel="0" collapsed="false">
      <c r="A304" s="5"/>
      <c r="B304" s="6"/>
      <c r="C304" s="7"/>
      <c r="D304" s="7"/>
      <c r="E304" s="8"/>
      <c r="F304" s="8"/>
      <c r="G304" s="6"/>
      <c r="H304" s="5"/>
      <c r="I304" s="5" t="n">
        <v>100</v>
      </c>
      <c r="J304" s="8"/>
      <c r="K304" s="8"/>
      <c r="L304" s="9"/>
      <c r="M304" s="7"/>
      <c r="N304" s="6"/>
      <c r="O304" s="8"/>
      <c r="P304" s="9"/>
      <c r="Q304" s="9"/>
      <c r="R304" s="7"/>
      <c r="S304" s="7"/>
      <c r="T304" s="10" t="str">
        <f aca="false">IF($C304="","",IFERROR(INDEX(Listas!$B$2:$B$20,MATCH($D304,Listas!$A$2:$A$20,0)),""))</f>
        <v/>
      </c>
      <c r="U304" s="10" t="str">
        <f aca="false">IF($C304="","",IFERROR(INDEX(Listas!$C$2:$C$20,MATCH($D304,Listas!$A$2:$A$20,0)),""))</f>
        <v/>
      </c>
      <c r="V304" s="10" t="str">
        <f aca="false">IF($C304="","",IFERROR(INDEX(Listas!$D$2:$D$20,MATCH($D304,Listas!$A$2:$A$20,0)),""))</f>
        <v/>
      </c>
      <c r="W304" s="11" t="str">
        <f aca="false">IF(OR($C304="",$B304="",$G304=""),"",$G304-$B304)</f>
        <v/>
      </c>
      <c r="X304" s="11" t="str">
        <f aca="true">IF(OR($C304="",$B304=""),"",IF($N304&lt;&gt;"",$N304,TODAY())-$B304)</f>
        <v/>
      </c>
      <c r="Y304" s="11" t="str">
        <f aca="true">IF(OR($C304="",$M304&lt;&gt;"Abierta",$G304=""),"",MAX($G304-TODAY(),0))</f>
        <v/>
      </c>
      <c r="Z304" s="12" t="str">
        <f aca="false">IF($C304="","",N($K304)*N($H304)*N($I304)*IF($U304="Débito",-1,1))</f>
        <v/>
      </c>
      <c r="AA304" s="13" t="str">
        <f aca="false">IF($C304="","",IF(AND($U304="Débito",$F304&lt;&gt;""),$F304,$E304))</f>
        <v/>
      </c>
      <c r="AB304" s="13" t="str">
        <f aca="false">IF(OR($C304="",$T304="Mixta",$AA304=""),"",IF($V304="Subyacente",IF($J304="","",$J304-$K304),IF($T304="Put",$AA304-$K304,$AA304+$K304)))</f>
        <v/>
      </c>
      <c r="AC304" s="14" t="str">
        <f aca="false">IF(OR($C304="",$T304="Mixta",$J304="",$AA304=""),"",IF($T304="Put",($J304-$AA304)/$J304,($AA304-$J304)/$J304))</f>
        <v/>
      </c>
      <c r="AD304" s="12" t="str">
        <f aca="false">IF($C304="","",IF($Q304&lt;&gt;"",$Q304,IF($V304="Strike",N($E304)*$H304*$I304,IF($V304="Subyacente",IF($J304="","",$J304*$H304*$I304),IF($V304="Ancho",IF($F304="","",ABS($E304-$F304)*$H304*$I304-$K304*$H304*$I304),IF($V304="Prima",$K304*$H304*$I304,""))))))</f>
        <v/>
      </c>
      <c r="AE304" s="12" t="str">
        <f aca="false">IF(OR($C304="",$M304="Abierta",$M304=""),"",(N($K304)-IF(OR($M304="Cerrada",$M304="Rolada"),N($O304),0))*$H304*$I304*IF($U304="Débito",-1,1)-N($L304)-N($P304))</f>
        <v/>
      </c>
      <c r="AF304" s="14" t="str">
        <f aca="false">IF(OR($AE304="",$AD304=""),"",IF($AD304&lt;=0,"",$AE304/$AD304))</f>
        <v/>
      </c>
      <c r="AG304" s="14" t="str">
        <f aca="false">IF($AF304="","",$AF304*365/MAX(N($X304),1))</f>
        <v/>
      </c>
      <c r="AH304" s="14" t="str">
        <f aca="false">IF(OR($C304="",$U304&lt;&gt;"Crédito",$AD304=""),"",IF($AD304&lt;=0,"",($Z304-N($L304))/$AD304))</f>
        <v/>
      </c>
      <c r="AI304" s="14" t="str">
        <f aca="false">IF(OR($AH304="",$W304=""),"",$AH304*365/MAX($W304,1))</f>
        <v/>
      </c>
      <c r="AJ304" s="14" t="str">
        <f aca="false">IF(OR($AE304="",$U304&lt;&gt;"Crédito",N($K304)=0),"",(N($K304)-IF(OR($M304="Cerrada",$M304="Rolada"),N($O304),0))/$K304)</f>
        <v/>
      </c>
      <c r="AK304" s="15" t="str">
        <f aca="false">IF(OR($C304="",$N304=""),"",DATE(YEAR($N304),MONTH($N304),1))</f>
        <v/>
      </c>
      <c r="AL304" s="11" t="str">
        <f aca="false">IF($C304="","",IF($M304="Abierta",0,1))</f>
        <v/>
      </c>
      <c r="AM304" s="16" t="str">
        <f aca="false">IF(OR($AE304="",$AD304=""),"",$AD304*MAX(N($X304),1))</f>
        <v/>
      </c>
      <c r="AN304" s="10" t="str">
        <f aca="false">IF($C304="","",IF(OR($B304="",$D304="",$H304="",$K304="",$M304=""),"Faltan datos obligatorios",IF($T304="","Estrategia no reconocida",IF(AND($M304&lt;&gt;"Abierta",$N304=""),"Falta fecha cierre",IF(AND(OR($M304="Cerrada",$M304="Rolada"),$O304=""),"Falta prima cierre",IF(AND($N304&lt;&gt;"",$N304&lt;$B304),"Cierre anterior a apertura",IF(AND($M304="Asignada",$R304=""),"Asignada: falta ID lote acciones",IF(AND($R304&lt;&gt;"",ISNA(MATCH($R304,Acciones!$A$2:$A$201,0))),"El ID lote no existe en Acciones",IF($AD304="","Revisa capital en riesgo","OK")))))))))</f>
        <v/>
      </c>
    </row>
    <row r="305" customFormat="false" ht="15" hidden="false" customHeight="true" outlineLevel="0" collapsed="false">
      <c r="A305" s="5"/>
      <c r="B305" s="6"/>
      <c r="C305" s="7"/>
      <c r="D305" s="7"/>
      <c r="E305" s="8"/>
      <c r="F305" s="8"/>
      <c r="G305" s="6"/>
      <c r="H305" s="5"/>
      <c r="I305" s="5" t="n">
        <v>100</v>
      </c>
      <c r="J305" s="8"/>
      <c r="K305" s="8"/>
      <c r="L305" s="9"/>
      <c r="M305" s="7"/>
      <c r="N305" s="6"/>
      <c r="O305" s="8"/>
      <c r="P305" s="9"/>
      <c r="Q305" s="9"/>
      <c r="R305" s="7"/>
      <c r="S305" s="7"/>
      <c r="T305" s="10" t="str">
        <f aca="false">IF($C305="","",IFERROR(INDEX(Listas!$B$2:$B$20,MATCH($D305,Listas!$A$2:$A$20,0)),""))</f>
        <v/>
      </c>
      <c r="U305" s="10" t="str">
        <f aca="false">IF($C305="","",IFERROR(INDEX(Listas!$C$2:$C$20,MATCH($D305,Listas!$A$2:$A$20,0)),""))</f>
        <v/>
      </c>
      <c r="V305" s="10" t="str">
        <f aca="false">IF($C305="","",IFERROR(INDEX(Listas!$D$2:$D$20,MATCH($D305,Listas!$A$2:$A$20,0)),""))</f>
        <v/>
      </c>
      <c r="W305" s="11" t="str">
        <f aca="false">IF(OR($C305="",$B305="",$G305=""),"",$G305-$B305)</f>
        <v/>
      </c>
      <c r="X305" s="11" t="str">
        <f aca="true">IF(OR($C305="",$B305=""),"",IF($N305&lt;&gt;"",$N305,TODAY())-$B305)</f>
        <v/>
      </c>
      <c r="Y305" s="11" t="str">
        <f aca="true">IF(OR($C305="",$M305&lt;&gt;"Abierta",$G305=""),"",MAX($G305-TODAY(),0))</f>
        <v/>
      </c>
      <c r="Z305" s="12" t="str">
        <f aca="false">IF($C305="","",N($K305)*N($H305)*N($I305)*IF($U305="Débito",-1,1))</f>
        <v/>
      </c>
      <c r="AA305" s="13" t="str">
        <f aca="false">IF($C305="","",IF(AND($U305="Débito",$F305&lt;&gt;""),$F305,$E305))</f>
        <v/>
      </c>
      <c r="AB305" s="13" t="str">
        <f aca="false">IF(OR($C305="",$T305="Mixta",$AA305=""),"",IF($V305="Subyacente",IF($J305="","",$J305-$K305),IF($T305="Put",$AA305-$K305,$AA305+$K305)))</f>
        <v/>
      </c>
      <c r="AC305" s="14" t="str">
        <f aca="false">IF(OR($C305="",$T305="Mixta",$J305="",$AA305=""),"",IF($T305="Put",($J305-$AA305)/$J305,($AA305-$J305)/$J305))</f>
        <v/>
      </c>
      <c r="AD305" s="12" t="str">
        <f aca="false">IF($C305="","",IF($Q305&lt;&gt;"",$Q305,IF($V305="Strike",N($E305)*$H305*$I305,IF($V305="Subyacente",IF($J305="","",$J305*$H305*$I305),IF($V305="Ancho",IF($F305="","",ABS($E305-$F305)*$H305*$I305-$K305*$H305*$I305),IF($V305="Prima",$K305*$H305*$I305,""))))))</f>
        <v/>
      </c>
      <c r="AE305" s="12" t="str">
        <f aca="false">IF(OR($C305="",$M305="Abierta",$M305=""),"",(N($K305)-IF(OR($M305="Cerrada",$M305="Rolada"),N($O305),0))*$H305*$I305*IF($U305="Débito",-1,1)-N($L305)-N($P305))</f>
        <v/>
      </c>
      <c r="AF305" s="14" t="str">
        <f aca="false">IF(OR($AE305="",$AD305=""),"",IF($AD305&lt;=0,"",$AE305/$AD305))</f>
        <v/>
      </c>
      <c r="AG305" s="14" t="str">
        <f aca="false">IF($AF305="","",$AF305*365/MAX(N($X305),1))</f>
        <v/>
      </c>
      <c r="AH305" s="14" t="str">
        <f aca="false">IF(OR($C305="",$U305&lt;&gt;"Crédito",$AD305=""),"",IF($AD305&lt;=0,"",($Z305-N($L305))/$AD305))</f>
        <v/>
      </c>
      <c r="AI305" s="14" t="str">
        <f aca="false">IF(OR($AH305="",$W305=""),"",$AH305*365/MAX($W305,1))</f>
        <v/>
      </c>
      <c r="AJ305" s="14" t="str">
        <f aca="false">IF(OR($AE305="",$U305&lt;&gt;"Crédito",N($K305)=0),"",(N($K305)-IF(OR($M305="Cerrada",$M305="Rolada"),N($O305),0))/$K305)</f>
        <v/>
      </c>
      <c r="AK305" s="15" t="str">
        <f aca="false">IF(OR($C305="",$N305=""),"",DATE(YEAR($N305),MONTH($N305),1))</f>
        <v/>
      </c>
      <c r="AL305" s="11" t="str">
        <f aca="false">IF($C305="","",IF($M305="Abierta",0,1))</f>
        <v/>
      </c>
      <c r="AM305" s="16" t="str">
        <f aca="false">IF(OR($AE305="",$AD305=""),"",$AD305*MAX(N($X305),1))</f>
        <v/>
      </c>
      <c r="AN305" s="10" t="str">
        <f aca="false">IF($C305="","",IF(OR($B305="",$D305="",$H305="",$K305="",$M305=""),"Faltan datos obligatorios",IF($T305="","Estrategia no reconocida",IF(AND($M305&lt;&gt;"Abierta",$N305=""),"Falta fecha cierre",IF(AND(OR($M305="Cerrada",$M305="Rolada"),$O305=""),"Falta prima cierre",IF(AND($N305&lt;&gt;"",$N305&lt;$B305),"Cierre anterior a apertura",IF(AND($M305="Asignada",$R305=""),"Asignada: falta ID lote acciones",IF(AND($R305&lt;&gt;"",ISNA(MATCH($R305,Acciones!$A$2:$A$201,0))),"El ID lote no existe en Acciones",IF($AD305="","Revisa capital en riesgo","OK")))))))))</f>
        <v/>
      </c>
    </row>
    <row r="306" customFormat="false" ht="15" hidden="false" customHeight="true" outlineLevel="0" collapsed="false">
      <c r="A306" s="5"/>
      <c r="B306" s="6"/>
      <c r="C306" s="7"/>
      <c r="D306" s="7"/>
      <c r="E306" s="8"/>
      <c r="F306" s="8"/>
      <c r="G306" s="6"/>
      <c r="H306" s="5"/>
      <c r="I306" s="5" t="n">
        <v>100</v>
      </c>
      <c r="J306" s="8"/>
      <c r="K306" s="8"/>
      <c r="L306" s="9"/>
      <c r="M306" s="7"/>
      <c r="N306" s="6"/>
      <c r="O306" s="8"/>
      <c r="P306" s="9"/>
      <c r="Q306" s="9"/>
      <c r="R306" s="7"/>
      <c r="S306" s="7"/>
      <c r="T306" s="10" t="str">
        <f aca="false">IF($C306="","",IFERROR(INDEX(Listas!$B$2:$B$20,MATCH($D306,Listas!$A$2:$A$20,0)),""))</f>
        <v/>
      </c>
      <c r="U306" s="10" t="str">
        <f aca="false">IF($C306="","",IFERROR(INDEX(Listas!$C$2:$C$20,MATCH($D306,Listas!$A$2:$A$20,0)),""))</f>
        <v/>
      </c>
      <c r="V306" s="10" t="str">
        <f aca="false">IF($C306="","",IFERROR(INDEX(Listas!$D$2:$D$20,MATCH($D306,Listas!$A$2:$A$20,0)),""))</f>
        <v/>
      </c>
      <c r="W306" s="11" t="str">
        <f aca="false">IF(OR($C306="",$B306="",$G306=""),"",$G306-$B306)</f>
        <v/>
      </c>
      <c r="X306" s="11" t="str">
        <f aca="true">IF(OR($C306="",$B306=""),"",IF($N306&lt;&gt;"",$N306,TODAY())-$B306)</f>
        <v/>
      </c>
      <c r="Y306" s="11" t="str">
        <f aca="true">IF(OR($C306="",$M306&lt;&gt;"Abierta",$G306=""),"",MAX($G306-TODAY(),0))</f>
        <v/>
      </c>
      <c r="Z306" s="12" t="str">
        <f aca="false">IF($C306="","",N($K306)*N($H306)*N($I306)*IF($U306="Débito",-1,1))</f>
        <v/>
      </c>
      <c r="AA306" s="13" t="str">
        <f aca="false">IF($C306="","",IF(AND($U306="Débito",$F306&lt;&gt;""),$F306,$E306))</f>
        <v/>
      </c>
      <c r="AB306" s="13" t="str">
        <f aca="false">IF(OR($C306="",$T306="Mixta",$AA306=""),"",IF($V306="Subyacente",IF($J306="","",$J306-$K306),IF($T306="Put",$AA306-$K306,$AA306+$K306)))</f>
        <v/>
      </c>
      <c r="AC306" s="14" t="str">
        <f aca="false">IF(OR($C306="",$T306="Mixta",$J306="",$AA306=""),"",IF($T306="Put",($J306-$AA306)/$J306,($AA306-$J306)/$J306))</f>
        <v/>
      </c>
      <c r="AD306" s="12" t="str">
        <f aca="false">IF($C306="","",IF($Q306&lt;&gt;"",$Q306,IF($V306="Strike",N($E306)*$H306*$I306,IF($V306="Subyacente",IF($J306="","",$J306*$H306*$I306),IF($V306="Ancho",IF($F306="","",ABS($E306-$F306)*$H306*$I306-$K306*$H306*$I306),IF($V306="Prima",$K306*$H306*$I306,""))))))</f>
        <v/>
      </c>
      <c r="AE306" s="12" t="str">
        <f aca="false">IF(OR($C306="",$M306="Abierta",$M306=""),"",(N($K306)-IF(OR($M306="Cerrada",$M306="Rolada"),N($O306),0))*$H306*$I306*IF($U306="Débito",-1,1)-N($L306)-N($P306))</f>
        <v/>
      </c>
      <c r="AF306" s="14" t="str">
        <f aca="false">IF(OR($AE306="",$AD306=""),"",IF($AD306&lt;=0,"",$AE306/$AD306))</f>
        <v/>
      </c>
      <c r="AG306" s="14" t="str">
        <f aca="false">IF($AF306="","",$AF306*365/MAX(N($X306),1))</f>
        <v/>
      </c>
      <c r="AH306" s="14" t="str">
        <f aca="false">IF(OR($C306="",$U306&lt;&gt;"Crédito",$AD306=""),"",IF($AD306&lt;=0,"",($Z306-N($L306))/$AD306))</f>
        <v/>
      </c>
      <c r="AI306" s="14" t="str">
        <f aca="false">IF(OR($AH306="",$W306=""),"",$AH306*365/MAX($W306,1))</f>
        <v/>
      </c>
      <c r="AJ306" s="14" t="str">
        <f aca="false">IF(OR($AE306="",$U306&lt;&gt;"Crédito",N($K306)=0),"",(N($K306)-IF(OR($M306="Cerrada",$M306="Rolada"),N($O306),0))/$K306)</f>
        <v/>
      </c>
      <c r="AK306" s="15" t="str">
        <f aca="false">IF(OR($C306="",$N306=""),"",DATE(YEAR($N306),MONTH($N306),1))</f>
        <v/>
      </c>
      <c r="AL306" s="11" t="str">
        <f aca="false">IF($C306="","",IF($M306="Abierta",0,1))</f>
        <v/>
      </c>
      <c r="AM306" s="16" t="str">
        <f aca="false">IF(OR($AE306="",$AD306=""),"",$AD306*MAX(N($X306),1))</f>
        <v/>
      </c>
      <c r="AN306" s="10" t="str">
        <f aca="false">IF($C306="","",IF(OR($B306="",$D306="",$H306="",$K306="",$M306=""),"Faltan datos obligatorios",IF($T306="","Estrategia no reconocida",IF(AND($M306&lt;&gt;"Abierta",$N306=""),"Falta fecha cierre",IF(AND(OR($M306="Cerrada",$M306="Rolada"),$O306=""),"Falta prima cierre",IF(AND($N306&lt;&gt;"",$N306&lt;$B306),"Cierre anterior a apertura",IF(AND($M306="Asignada",$R306=""),"Asignada: falta ID lote acciones",IF(AND($R306&lt;&gt;"",ISNA(MATCH($R306,Acciones!$A$2:$A$201,0))),"El ID lote no existe en Acciones",IF($AD306="","Revisa capital en riesgo","OK")))))))))</f>
        <v/>
      </c>
    </row>
    <row r="307" customFormat="false" ht="15" hidden="false" customHeight="true" outlineLevel="0" collapsed="false">
      <c r="A307" s="5"/>
      <c r="B307" s="6"/>
      <c r="C307" s="7"/>
      <c r="D307" s="7"/>
      <c r="E307" s="8"/>
      <c r="F307" s="8"/>
      <c r="G307" s="6"/>
      <c r="H307" s="5"/>
      <c r="I307" s="5" t="n">
        <v>100</v>
      </c>
      <c r="J307" s="8"/>
      <c r="K307" s="8"/>
      <c r="L307" s="9"/>
      <c r="M307" s="7"/>
      <c r="N307" s="6"/>
      <c r="O307" s="8"/>
      <c r="P307" s="9"/>
      <c r="Q307" s="9"/>
      <c r="R307" s="7"/>
      <c r="S307" s="7"/>
      <c r="T307" s="10" t="str">
        <f aca="false">IF($C307="","",IFERROR(INDEX(Listas!$B$2:$B$20,MATCH($D307,Listas!$A$2:$A$20,0)),""))</f>
        <v/>
      </c>
      <c r="U307" s="10" t="str">
        <f aca="false">IF($C307="","",IFERROR(INDEX(Listas!$C$2:$C$20,MATCH($D307,Listas!$A$2:$A$20,0)),""))</f>
        <v/>
      </c>
      <c r="V307" s="10" t="str">
        <f aca="false">IF($C307="","",IFERROR(INDEX(Listas!$D$2:$D$20,MATCH($D307,Listas!$A$2:$A$20,0)),""))</f>
        <v/>
      </c>
      <c r="W307" s="11" t="str">
        <f aca="false">IF(OR($C307="",$B307="",$G307=""),"",$G307-$B307)</f>
        <v/>
      </c>
      <c r="X307" s="11" t="str">
        <f aca="true">IF(OR($C307="",$B307=""),"",IF($N307&lt;&gt;"",$N307,TODAY())-$B307)</f>
        <v/>
      </c>
      <c r="Y307" s="11" t="str">
        <f aca="true">IF(OR($C307="",$M307&lt;&gt;"Abierta",$G307=""),"",MAX($G307-TODAY(),0))</f>
        <v/>
      </c>
      <c r="Z307" s="12" t="str">
        <f aca="false">IF($C307="","",N($K307)*N($H307)*N($I307)*IF($U307="Débito",-1,1))</f>
        <v/>
      </c>
      <c r="AA307" s="13" t="str">
        <f aca="false">IF($C307="","",IF(AND($U307="Débito",$F307&lt;&gt;""),$F307,$E307))</f>
        <v/>
      </c>
      <c r="AB307" s="13" t="str">
        <f aca="false">IF(OR($C307="",$T307="Mixta",$AA307=""),"",IF($V307="Subyacente",IF($J307="","",$J307-$K307),IF($T307="Put",$AA307-$K307,$AA307+$K307)))</f>
        <v/>
      </c>
      <c r="AC307" s="14" t="str">
        <f aca="false">IF(OR($C307="",$T307="Mixta",$J307="",$AA307=""),"",IF($T307="Put",($J307-$AA307)/$J307,($AA307-$J307)/$J307))</f>
        <v/>
      </c>
      <c r="AD307" s="12" t="str">
        <f aca="false">IF($C307="","",IF($Q307&lt;&gt;"",$Q307,IF($V307="Strike",N($E307)*$H307*$I307,IF($V307="Subyacente",IF($J307="","",$J307*$H307*$I307),IF($V307="Ancho",IF($F307="","",ABS($E307-$F307)*$H307*$I307-$K307*$H307*$I307),IF($V307="Prima",$K307*$H307*$I307,""))))))</f>
        <v/>
      </c>
      <c r="AE307" s="12" t="str">
        <f aca="false">IF(OR($C307="",$M307="Abierta",$M307=""),"",(N($K307)-IF(OR($M307="Cerrada",$M307="Rolada"),N($O307),0))*$H307*$I307*IF($U307="Débito",-1,1)-N($L307)-N($P307))</f>
        <v/>
      </c>
      <c r="AF307" s="14" t="str">
        <f aca="false">IF(OR($AE307="",$AD307=""),"",IF($AD307&lt;=0,"",$AE307/$AD307))</f>
        <v/>
      </c>
      <c r="AG307" s="14" t="str">
        <f aca="false">IF($AF307="","",$AF307*365/MAX(N($X307),1))</f>
        <v/>
      </c>
      <c r="AH307" s="14" t="str">
        <f aca="false">IF(OR($C307="",$U307&lt;&gt;"Crédito",$AD307=""),"",IF($AD307&lt;=0,"",($Z307-N($L307))/$AD307))</f>
        <v/>
      </c>
      <c r="AI307" s="14" t="str">
        <f aca="false">IF(OR($AH307="",$W307=""),"",$AH307*365/MAX($W307,1))</f>
        <v/>
      </c>
      <c r="AJ307" s="14" t="str">
        <f aca="false">IF(OR($AE307="",$U307&lt;&gt;"Crédito",N($K307)=0),"",(N($K307)-IF(OR($M307="Cerrada",$M307="Rolada"),N($O307),0))/$K307)</f>
        <v/>
      </c>
      <c r="AK307" s="15" t="str">
        <f aca="false">IF(OR($C307="",$N307=""),"",DATE(YEAR($N307),MONTH($N307),1))</f>
        <v/>
      </c>
      <c r="AL307" s="11" t="str">
        <f aca="false">IF($C307="","",IF($M307="Abierta",0,1))</f>
        <v/>
      </c>
      <c r="AM307" s="16" t="str">
        <f aca="false">IF(OR($AE307="",$AD307=""),"",$AD307*MAX(N($X307),1))</f>
        <v/>
      </c>
      <c r="AN307" s="10" t="str">
        <f aca="false">IF($C307="","",IF(OR($B307="",$D307="",$H307="",$K307="",$M307=""),"Faltan datos obligatorios",IF($T307="","Estrategia no reconocida",IF(AND($M307&lt;&gt;"Abierta",$N307=""),"Falta fecha cierre",IF(AND(OR($M307="Cerrada",$M307="Rolada"),$O307=""),"Falta prima cierre",IF(AND($N307&lt;&gt;"",$N307&lt;$B307),"Cierre anterior a apertura",IF(AND($M307="Asignada",$R307=""),"Asignada: falta ID lote acciones",IF(AND($R307&lt;&gt;"",ISNA(MATCH($R307,Acciones!$A$2:$A$201,0))),"El ID lote no existe en Acciones",IF($AD307="","Revisa capital en riesgo","OK")))))))))</f>
        <v/>
      </c>
    </row>
    <row r="308" customFormat="false" ht="15" hidden="false" customHeight="true" outlineLevel="0" collapsed="false">
      <c r="A308" s="5"/>
      <c r="B308" s="6"/>
      <c r="C308" s="7"/>
      <c r="D308" s="7"/>
      <c r="E308" s="8"/>
      <c r="F308" s="8"/>
      <c r="G308" s="6"/>
      <c r="H308" s="5"/>
      <c r="I308" s="5" t="n">
        <v>100</v>
      </c>
      <c r="J308" s="8"/>
      <c r="K308" s="8"/>
      <c r="L308" s="9"/>
      <c r="M308" s="7"/>
      <c r="N308" s="6"/>
      <c r="O308" s="8"/>
      <c r="P308" s="9"/>
      <c r="Q308" s="9"/>
      <c r="R308" s="7"/>
      <c r="S308" s="7"/>
      <c r="T308" s="10" t="str">
        <f aca="false">IF($C308="","",IFERROR(INDEX(Listas!$B$2:$B$20,MATCH($D308,Listas!$A$2:$A$20,0)),""))</f>
        <v/>
      </c>
      <c r="U308" s="10" t="str">
        <f aca="false">IF($C308="","",IFERROR(INDEX(Listas!$C$2:$C$20,MATCH($D308,Listas!$A$2:$A$20,0)),""))</f>
        <v/>
      </c>
      <c r="V308" s="10" t="str">
        <f aca="false">IF($C308="","",IFERROR(INDEX(Listas!$D$2:$D$20,MATCH($D308,Listas!$A$2:$A$20,0)),""))</f>
        <v/>
      </c>
      <c r="W308" s="11" t="str">
        <f aca="false">IF(OR($C308="",$B308="",$G308=""),"",$G308-$B308)</f>
        <v/>
      </c>
      <c r="X308" s="11" t="str">
        <f aca="true">IF(OR($C308="",$B308=""),"",IF($N308&lt;&gt;"",$N308,TODAY())-$B308)</f>
        <v/>
      </c>
      <c r="Y308" s="11" t="str">
        <f aca="true">IF(OR($C308="",$M308&lt;&gt;"Abierta",$G308=""),"",MAX($G308-TODAY(),0))</f>
        <v/>
      </c>
      <c r="Z308" s="12" t="str">
        <f aca="false">IF($C308="","",N($K308)*N($H308)*N($I308)*IF($U308="Débito",-1,1))</f>
        <v/>
      </c>
      <c r="AA308" s="13" t="str">
        <f aca="false">IF($C308="","",IF(AND($U308="Débito",$F308&lt;&gt;""),$F308,$E308))</f>
        <v/>
      </c>
      <c r="AB308" s="13" t="str">
        <f aca="false">IF(OR($C308="",$T308="Mixta",$AA308=""),"",IF($V308="Subyacente",IF($J308="","",$J308-$K308),IF($T308="Put",$AA308-$K308,$AA308+$K308)))</f>
        <v/>
      </c>
      <c r="AC308" s="14" t="str">
        <f aca="false">IF(OR($C308="",$T308="Mixta",$J308="",$AA308=""),"",IF($T308="Put",($J308-$AA308)/$J308,($AA308-$J308)/$J308))</f>
        <v/>
      </c>
      <c r="AD308" s="12" t="str">
        <f aca="false">IF($C308="","",IF($Q308&lt;&gt;"",$Q308,IF($V308="Strike",N($E308)*$H308*$I308,IF($V308="Subyacente",IF($J308="","",$J308*$H308*$I308),IF($V308="Ancho",IF($F308="","",ABS($E308-$F308)*$H308*$I308-$K308*$H308*$I308),IF($V308="Prima",$K308*$H308*$I308,""))))))</f>
        <v/>
      </c>
      <c r="AE308" s="12" t="str">
        <f aca="false">IF(OR($C308="",$M308="Abierta",$M308=""),"",(N($K308)-IF(OR($M308="Cerrada",$M308="Rolada"),N($O308),0))*$H308*$I308*IF($U308="Débito",-1,1)-N($L308)-N($P308))</f>
        <v/>
      </c>
      <c r="AF308" s="14" t="str">
        <f aca="false">IF(OR($AE308="",$AD308=""),"",IF($AD308&lt;=0,"",$AE308/$AD308))</f>
        <v/>
      </c>
      <c r="AG308" s="14" t="str">
        <f aca="false">IF($AF308="","",$AF308*365/MAX(N($X308),1))</f>
        <v/>
      </c>
      <c r="AH308" s="14" t="str">
        <f aca="false">IF(OR($C308="",$U308&lt;&gt;"Crédito",$AD308=""),"",IF($AD308&lt;=0,"",($Z308-N($L308))/$AD308))</f>
        <v/>
      </c>
      <c r="AI308" s="14" t="str">
        <f aca="false">IF(OR($AH308="",$W308=""),"",$AH308*365/MAX($W308,1))</f>
        <v/>
      </c>
      <c r="AJ308" s="14" t="str">
        <f aca="false">IF(OR($AE308="",$U308&lt;&gt;"Crédito",N($K308)=0),"",(N($K308)-IF(OR($M308="Cerrada",$M308="Rolada"),N($O308),0))/$K308)</f>
        <v/>
      </c>
      <c r="AK308" s="15" t="str">
        <f aca="false">IF(OR($C308="",$N308=""),"",DATE(YEAR($N308),MONTH($N308),1))</f>
        <v/>
      </c>
      <c r="AL308" s="11" t="str">
        <f aca="false">IF($C308="","",IF($M308="Abierta",0,1))</f>
        <v/>
      </c>
      <c r="AM308" s="16" t="str">
        <f aca="false">IF(OR($AE308="",$AD308=""),"",$AD308*MAX(N($X308),1))</f>
        <v/>
      </c>
      <c r="AN308" s="10" t="str">
        <f aca="false">IF($C308="","",IF(OR($B308="",$D308="",$H308="",$K308="",$M308=""),"Faltan datos obligatorios",IF($T308="","Estrategia no reconocida",IF(AND($M308&lt;&gt;"Abierta",$N308=""),"Falta fecha cierre",IF(AND(OR($M308="Cerrada",$M308="Rolada"),$O308=""),"Falta prima cierre",IF(AND($N308&lt;&gt;"",$N308&lt;$B308),"Cierre anterior a apertura",IF(AND($M308="Asignada",$R308=""),"Asignada: falta ID lote acciones",IF(AND($R308&lt;&gt;"",ISNA(MATCH($R308,Acciones!$A$2:$A$201,0))),"El ID lote no existe en Acciones",IF($AD308="","Revisa capital en riesgo","OK")))))))))</f>
        <v/>
      </c>
    </row>
    <row r="309" customFormat="false" ht="15" hidden="false" customHeight="true" outlineLevel="0" collapsed="false">
      <c r="A309" s="5"/>
      <c r="B309" s="6"/>
      <c r="C309" s="7"/>
      <c r="D309" s="7"/>
      <c r="E309" s="8"/>
      <c r="F309" s="8"/>
      <c r="G309" s="6"/>
      <c r="H309" s="5"/>
      <c r="I309" s="5" t="n">
        <v>100</v>
      </c>
      <c r="J309" s="8"/>
      <c r="K309" s="8"/>
      <c r="L309" s="9"/>
      <c r="M309" s="7"/>
      <c r="N309" s="6"/>
      <c r="O309" s="8"/>
      <c r="P309" s="9"/>
      <c r="Q309" s="9"/>
      <c r="R309" s="7"/>
      <c r="S309" s="7"/>
      <c r="T309" s="10" t="str">
        <f aca="false">IF($C309="","",IFERROR(INDEX(Listas!$B$2:$B$20,MATCH($D309,Listas!$A$2:$A$20,0)),""))</f>
        <v/>
      </c>
      <c r="U309" s="10" t="str">
        <f aca="false">IF($C309="","",IFERROR(INDEX(Listas!$C$2:$C$20,MATCH($D309,Listas!$A$2:$A$20,0)),""))</f>
        <v/>
      </c>
      <c r="V309" s="10" t="str">
        <f aca="false">IF($C309="","",IFERROR(INDEX(Listas!$D$2:$D$20,MATCH($D309,Listas!$A$2:$A$20,0)),""))</f>
        <v/>
      </c>
      <c r="W309" s="11" t="str">
        <f aca="false">IF(OR($C309="",$B309="",$G309=""),"",$G309-$B309)</f>
        <v/>
      </c>
      <c r="X309" s="11" t="str">
        <f aca="true">IF(OR($C309="",$B309=""),"",IF($N309&lt;&gt;"",$N309,TODAY())-$B309)</f>
        <v/>
      </c>
      <c r="Y309" s="11" t="str">
        <f aca="true">IF(OR($C309="",$M309&lt;&gt;"Abierta",$G309=""),"",MAX($G309-TODAY(),0))</f>
        <v/>
      </c>
      <c r="Z309" s="12" t="str">
        <f aca="false">IF($C309="","",N($K309)*N($H309)*N($I309)*IF($U309="Débito",-1,1))</f>
        <v/>
      </c>
      <c r="AA309" s="13" t="str">
        <f aca="false">IF($C309="","",IF(AND($U309="Débito",$F309&lt;&gt;""),$F309,$E309))</f>
        <v/>
      </c>
      <c r="AB309" s="13" t="str">
        <f aca="false">IF(OR($C309="",$T309="Mixta",$AA309=""),"",IF($V309="Subyacente",IF($J309="","",$J309-$K309),IF($T309="Put",$AA309-$K309,$AA309+$K309)))</f>
        <v/>
      </c>
      <c r="AC309" s="14" t="str">
        <f aca="false">IF(OR($C309="",$T309="Mixta",$J309="",$AA309=""),"",IF($T309="Put",($J309-$AA309)/$J309,($AA309-$J309)/$J309))</f>
        <v/>
      </c>
      <c r="AD309" s="12" t="str">
        <f aca="false">IF($C309="","",IF($Q309&lt;&gt;"",$Q309,IF($V309="Strike",N($E309)*$H309*$I309,IF($V309="Subyacente",IF($J309="","",$J309*$H309*$I309),IF($V309="Ancho",IF($F309="","",ABS($E309-$F309)*$H309*$I309-$K309*$H309*$I309),IF($V309="Prima",$K309*$H309*$I309,""))))))</f>
        <v/>
      </c>
      <c r="AE309" s="12" t="str">
        <f aca="false">IF(OR($C309="",$M309="Abierta",$M309=""),"",(N($K309)-IF(OR($M309="Cerrada",$M309="Rolada"),N($O309),0))*$H309*$I309*IF($U309="Débito",-1,1)-N($L309)-N($P309))</f>
        <v/>
      </c>
      <c r="AF309" s="14" t="str">
        <f aca="false">IF(OR($AE309="",$AD309=""),"",IF($AD309&lt;=0,"",$AE309/$AD309))</f>
        <v/>
      </c>
      <c r="AG309" s="14" t="str">
        <f aca="false">IF($AF309="","",$AF309*365/MAX(N($X309),1))</f>
        <v/>
      </c>
      <c r="AH309" s="14" t="str">
        <f aca="false">IF(OR($C309="",$U309&lt;&gt;"Crédito",$AD309=""),"",IF($AD309&lt;=0,"",($Z309-N($L309))/$AD309))</f>
        <v/>
      </c>
      <c r="AI309" s="14" t="str">
        <f aca="false">IF(OR($AH309="",$W309=""),"",$AH309*365/MAX($W309,1))</f>
        <v/>
      </c>
      <c r="AJ309" s="14" t="str">
        <f aca="false">IF(OR($AE309="",$U309&lt;&gt;"Crédito",N($K309)=0),"",(N($K309)-IF(OR($M309="Cerrada",$M309="Rolada"),N($O309),0))/$K309)</f>
        <v/>
      </c>
      <c r="AK309" s="15" t="str">
        <f aca="false">IF(OR($C309="",$N309=""),"",DATE(YEAR($N309),MONTH($N309),1))</f>
        <v/>
      </c>
      <c r="AL309" s="11" t="str">
        <f aca="false">IF($C309="","",IF($M309="Abierta",0,1))</f>
        <v/>
      </c>
      <c r="AM309" s="16" t="str">
        <f aca="false">IF(OR($AE309="",$AD309=""),"",$AD309*MAX(N($X309),1))</f>
        <v/>
      </c>
      <c r="AN309" s="10" t="str">
        <f aca="false">IF($C309="","",IF(OR($B309="",$D309="",$H309="",$K309="",$M309=""),"Faltan datos obligatorios",IF($T309="","Estrategia no reconocida",IF(AND($M309&lt;&gt;"Abierta",$N309=""),"Falta fecha cierre",IF(AND(OR($M309="Cerrada",$M309="Rolada"),$O309=""),"Falta prima cierre",IF(AND($N309&lt;&gt;"",$N309&lt;$B309),"Cierre anterior a apertura",IF(AND($M309="Asignada",$R309=""),"Asignada: falta ID lote acciones",IF(AND($R309&lt;&gt;"",ISNA(MATCH($R309,Acciones!$A$2:$A$201,0))),"El ID lote no existe en Acciones",IF($AD309="","Revisa capital en riesgo","OK")))))))))</f>
        <v/>
      </c>
    </row>
    <row r="310" customFormat="false" ht="15" hidden="false" customHeight="true" outlineLevel="0" collapsed="false">
      <c r="A310" s="5"/>
      <c r="B310" s="6"/>
      <c r="C310" s="7"/>
      <c r="D310" s="7"/>
      <c r="E310" s="8"/>
      <c r="F310" s="8"/>
      <c r="G310" s="6"/>
      <c r="H310" s="5"/>
      <c r="I310" s="5" t="n">
        <v>100</v>
      </c>
      <c r="J310" s="8"/>
      <c r="K310" s="8"/>
      <c r="L310" s="9"/>
      <c r="M310" s="7"/>
      <c r="N310" s="6"/>
      <c r="O310" s="8"/>
      <c r="P310" s="9"/>
      <c r="Q310" s="9"/>
      <c r="R310" s="7"/>
      <c r="S310" s="7"/>
      <c r="T310" s="10" t="str">
        <f aca="false">IF($C310="","",IFERROR(INDEX(Listas!$B$2:$B$20,MATCH($D310,Listas!$A$2:$A$20,0)),""))</f>
        <v/>
      </c>
      <c r="U310" s="10" t="str">
        <f aca="false">IF($C310="","",IFERROR(INDEX(Listas!$C$2:$C$20,MATCH($D310,Listas!$A$2:$A$20,0)),""))</f>
        <v/>
      </c>
      <c r="V310" s="10" t="str">
        <f aca="false">IF($C310="","",IFERROR(INDEX(Listas!$D$2:$D$20,MATCH($D310,Listas!$A$2:$A$20,0)),""))</f>
        <v/>
      </c>
      <c r="W310" s="11" t="str">
        <f aca="false">IF(OR($C310="",$B310="",$G310=""),"",$G310-$B310)</f>
        <v/>
      </c>
      <c r="X310" s="11" t="str">
        <f aca="true">IF(OR($C310="",$B310=""),"",IF($N310&lt;&gt;"",$N310,TODAY())-$B310)</f>
        <v/>
      </c>
      <c r="Y310" s="11" t="str">
        <f aca="true">IF(OR($C310="",$M310&lt;&gt;"Abierta",$G310=""),"",MAX($G310-TODAY(),0))</f>
        <v/>
      </c>
      <c r="Z310" s="12" t="str">
        <f aca="false">IF($C310="","",N($K310)*N($H310)*N($I310)*IF($U310="Débito",-1,1))</f>
        <v/>
      </c>
      <c r="AA310" s="13" t="str">
        <f aca="false">IF($C310="","",IF(AND($U310="Débito",$F310&lt;&gt;""),$F310,$E310))</f>
        <v/>
      </c>
      <c r="AB310" s="13" t="str">
        <f aca="false">IF(OR($C310="",$T310="Mixta",$AA310=""),"",IF($V310="Subyacente",IF($J310="","",$J310-$K310),IF($T310="Put",$AA310-$K310,$AA310+$K310)))</f>
        <v/>
      </c>
      <c r="AC310" s="14" t="str">
        <f aca="false">IF(OR($C310="",$T310="Mixta",$J310="",$AA310=""),"",IF($T310="Put",($J310-$AA310)/$J310,($AA310-$J310)/$J310))</f>
        <v/>
      </c>
      <c r="AD310" s="12" t="str">
        <f aca="false">IF($C310="","",IF($Q310&lt;&gt;"",$Q310,IF($V310="Strike",N($E310)*$H310*$I310,IF($V310="Subyacente",IF($J310="","",$J310*$H310*$I310),IF($V310="Ancho",IF($F310="","",ABS($E310-$F310)*$H310*$I310-$K310*$H310*$I310),IF($V310="Prima",$K310*$H310*$I310,""))))))</f>
        <v/>
      </c>
      <c r="AE310" s="12" t="str">
        <f aca="false">IF(OR($C310="",$M310="Abierta",$M310=""),"",(N($K310)-IF(OR($M310="Cerrada",$M310="Rolada"),N($O310),0))*$H310*$I310*IF($U310="Débito",-1,1)-N($L310)-N($P310))</f>
        <v/>
      </c>
      <c r="AF310" s="14" t="str">
        <f aca="false">IF(OR($AE310="",$AD310=""),"",IF($AD310&lt;=0,"",$AE310/$AD310))</f>
        <v/>
      </c>
      <c r="AG310" s="14" t="str">
        <f aca="false">IF($AF310="","",$AF310*365/MAX(N($X310),1))</f>
        <v/>
      </c>
      <c r="AH310" s="14" t="str">
        <f aca="false">IF(OR($C310="",$U310&lt;&gt;"Crédito",$AD310=""),"",IF($AD310&lt;=0,"",($Z310-N($L310))/$AD310))</f>
        <v/>
      </c>
      <c r="AI310" s="14" t="str">
        <f aca="false">IF(OR($AH310="",$W310=""),"",$AH310*365/MAX($W310,1))</f>
        <v/>
      </c>
      <c r="AJ310" s="14" t="str">
        <f aca="false">IF(OR($AE310="",$U310&lt;&gt;"Crédito",N($K310)=0),"",(N($K310)-IF(OR($M310="Cerrada",$M310="Rolada"),N($O310),0))/$K310)</f>
        <v/>
      </c>
      <c r="AK310" s="15" t="str">
        <f aca="false">IF(OR($C310="",$N310=""),"",DATE(YEAR($N310),MONTH($N310),1))</f>
        <v/>
      </c>
      <c r="AL310" s="11" t="str">
        <f aca="false">IF($C310="","",IF($M310="Abierta",0,1))</f>
        <v/>
      </c>
      <c r="AM310" s="16" t="str">
        <f aca="false">IF(OR($AE310="",$AD310=""),"",$AD310*MAX(N($X310),1))</f>
        <v/>
      </c>
      <c r="AN310" s="10" t="str">
        <f aca="false">IF($C310="","",IF(OR($B310="",$D310="",$H310="",$K310="",$M310=""),"Faltan datos obligatorios",IF($T310="","Estrategia no reconocida",IF(AND($M310&lt;&gt;"Abierta",$N310=""),"Falta fecha cierre",IF(AND(OR($M310="Cerrada",$M310="Rolada"),$O310=""),"Falta prima cierre",IF(AND($N310&lt;&gt;"",$N310&lt;$B310),"Cierre anterior a apertura",IF(AND($M310="Asignada",$R310=""),"Asignada: falta ID lote acciones",IF(AND($R310&lt;&gt;"",ISNA(MATCH($R310,Acciones!$A$2:$A$201,0))),"El ID lote no existe en Acciones",IF($AD310="","Revisa capital en riesgo","OK")))))))))</f>
        <v/>
      </c>
    </row>
    <row r="311" customFormat="false" ht="15" hidden="false" customHeight="true" outlineLevel="0" collapsed="false">
      <c r="A311" s="5"/>
      <c r="B311" s="6"/>
      <c r="C311" s="7"/>
      <c r="D311" s="7"/>
      <c r="E311" s="8"/>
      <c r="F311" s="8"/>
      <c r="G311" s="6"/>
      <c r="H311" s="5"/>
      <c r="I311" s="5" t="n">
        <v>100</v>
      </c>
      <c r="J311" s="8"/>
      <c r="K311" s="8"/>
      <c r="L311" s="9"/>
      <c r="M311" s="7"/>
      <c r="N311" s="6"/>
      <c r="O311" s="8"/>
      <c r="P311" s="9"/>
      <c r="Q311" s="9"/>
      <c r="R311" s="7"/>
      <c r="S311" s="7"/>
      <c r="T311" s="10" t="str">
        <f aca="false">IF($C311="","",IFERROR(INDEX(Listas!$B$2:$B$20,MATCH($D311,Listas!$A$2:$A$20,0)),""))</f>
        <v/>
      </c>
      <c r="U311" s="10" t="str">
        <f aca="false">IF($C311="","",IFERROR(INDEX(Listas!$C$2:$C$20,MATCH($D311,Listas!$A$2:$A$20,0)),""))</f>
        <v/>
      </c>
      <c r="V311" s="10" t="str">
        <f aca="false">IF($C311="","",IFERROR(INDEX(Listas!$D$2:$D$20,MATCH($D311,Listas!$A$2:$A$20,0)),""))</f>
        <v/>
      </c>
      <c r="W311" s="11" t="str">
        <f aca="false">IF(OR($C311="",$B311="",$G311=""),"",$G311-$B311)</f>
        <v/>
      </c>
      <c r="X311" s="11" t="str">
        <f aca="true">IF(OR($C311="",$B311=""),"",IF($N311&lt;&gt;"",$N311,TODAY())-$B311)</f>
        <v/>
      </c>
      <c r="Y311" s="11" t="str">
        <f aca="true">IF(OR($C311="",$M311&lt;&gt;"Abierta",$G311=""),"",MAX($G311-TODAY(),0))</f>
        <v/>
      </c>
      <c r="Z311" s="12" t="str">
        <f aca="false">IF($C311="","",N($K311)*N($H311)*N($I311)*IF($U311="Débito",-1,1))</f>
        <v/>
      </c>
      <c r="AA311" s="13" t="str">
        <f aca="false">IF($C311="","",IF(AND($U311="Débito",$F311&lt;&gt;""),$F311,$E311))</f>
        <v/>
      </c>
      <c r="AB311" s="13" t="str">
        <f aca="false">IF(OR($C311="",$T311="Mixta",$AA311=""),"",IF($V311="Subyacente",IF($J311="","",$J311-$K311),IF($T311="Put",$AA311-$K311,$AA311+$K311)))</f>
        <v/>
      </c>
      <c r="AC311" s="14" t="str">
        <f aca="false">IF(OR($C311="",$T311="Mixta",$J311="",$AA311=""),"",IF($T311="Put",($J311-$AA311)/$J311,($AA311-$J311)/$J311))</f>
        <v/>
      </c>
      <c r="AD311" s="12" t="str">
        <f aca="false">IF($C311="","",IF($Q311&lt;&gt;"",$Q311,IF($V311="Strike",N($E311)*$H311*$I311,IF($V311="Subyacente",IF($J311="","",$J311*$H311*$I311),IF($V311="Ancho",IF($F311="","",ABS($E311-$F311)*$H311*$I311-$K311*$H311*$I311),IF($V311="Prima",$K311*$H311*$I311,""))))))</f>
        <v/>
      </c>
      <c r="AE311" s="12" t="str">
        <f aca="false">IF(OR($C311="",$M311="Abierta",$M311=""),"",(N($K311)-IF(OR($M311="Cerrada",$M311="Rolada"),N($O311),0))*$H311*$I311*IF($U311="Débito",-1,1)-N($L311)-N($P311))</f>
        <v/>
      </c>
      <c r="AF311" s="14" t="str">
        <f aca="false">IF(OR($AE311="",$AD311=""),"",IF($AD311&lt;=0,"",$AE311/$AD311))</f>
        <v/>
      </c>
      <c r="AG311" s="14" t="str">
        <f aca="false">IF($AF311="","",$AF311*365/MAX(N($X311),1))</f>
        <v/>
      </c>
      <c r="AH311" s="14" t="str">
        <f aca="false">IF(OR($C311="",$U311&lt;&gt;"Crédito",$AD311=""),"",IF($AD311&lt;=0,"",($Z311-N($L311))/$AD311))</f>
        <v/>
      </c>
      <c r="AI311" s="14" t="str">
        <f aca="false">IF(OR($AH311="",$W311=""),"",$AH311*365/MAX($W311,1))</f>
        <v/>
      </c>
      <c r="AJ311" s="14" t="str">
        <f aca="false">IF(OR($AE311="",$U311&lt;&gt;"Crédito",N($K311)=0),"",(N($K311)-IF(OR($M311="Cerrada",$M311="Rolada"),N($O311),0))/$K311)</f>
        <v/>
      </c>
      <c r="AK311" s="15" t="str">
        <f aca="false">IF(OR($C311="",$N311=""),"",DATE(YEAR($N311),MONTH($N311),1))</f>
        <v/>
      </c>
      <c r="AL311" s="11" t="str">
        <f aca="false">IF($C311="","",IF($M311="Abierta",0,1))</f>
        <v/>
      </c>
      <c r="AM311" s="16" t="str">
        <f aca="false">IF(OR($AE311="",$AD311=""),"",$AD311*MAX(N($X311),1))</f>
        <v/>
      </c>
      <c r="AN311" s="10" t="str">
        <f aca="false">IF($C311="","",IF(OR($B311="",$D311="",$H311="",$K311="",$M311=""),"Faltan datos obligatorios",IF($T311="","Estrategia no reconocida",IF(AND($M311&lt;&gt;"Abierta",$N311=""),"Falta fecha cierre",IF(AND(OR($M311="Cerrada",$M311="Rolada"),$O311=""),"Falta prima cierre",IF(AND($N311&lt;&gt;"",$N311&lt;$B311),"Cierre anterior a apertura",IF(AND($M311="Asignada",$R311=""),"Asignada: falta ID lote acciones",IF(AND($R311&lt;&gt;"",ISNA(MATCH($R311,Acciones!$A$2:$A$201,0))),"El ID lote no existe en Acciones",IF($AD311="","Revisa capital en riesgo","OK")))))))))</f>
        <v/>
      </c>
    </row>
    <row r="312" customFormat="false" ht="15" hidden="false" customHeight="true" outlineLevel="0" collapsed="false">
      <c r="A312" s="5"/>
      <c r="B312" s="6"/>
      <c r="C312" s="7"/>
      <c r="D312" s="7"/>
      <c r="E312" s="8"/>
      <c r="F312" s="8"/>
      <c r="G312" s="6"/>
      <c r="H312" s="5"/>
      <c r="I312" s="5" t="n">
        <v>100</v>
      </c>
      <c r="J312" s="8"/>
      <c r="K312" s="8"/>
      <c r="L312" s="9"/>
      <c r="M312" s="7"/>
      <c r="N312" s="6"/>
      <c r="O312" s="8"/>
      <c r="P312" s="9"/>
      <c r="Q312" s="9"/>
      <c r="R312" s="7"/>
      <c r="S312" s="7"/>
      <c r="T312" s="10" t="str">
        <f aca="false">IF($C312="","",IFERROR(INDEX(Listas!$B$2:$B$20,MATCH($D312,Listas!$A$2:$A$20,0)),""))</f>
        <v/>
      </c>
      <c r="U312" s="10" t="str">
        <f aca="false">IF($C312="","",IFERROR(INDEX(Listas!$C$2:$C$20,MATCH($D312,Listas!$A$2:$A$20,0)),""))</f>
        <v/>
      </c>
      <c r="V312" s="10" t="str">
        <f aca="false">IF($C312="","",IFERROR(INDEX(Listas!$D$2:$D$20,MATCH($D312,Listas!$A$2:$A$20,0)),""))</f>
        <v/>
      </c>
      <c r="W312" s="11" t="str">
        <f aca="false">IF(OR($C312="",$B312="",$G312=""),"",$G312-$B312)</f>
        <v/>
      </c>
      <c r="X312" s="11" t="str">
        <f aca="true">IF(OR($C312="",$B312=""),"",IF($N312&lt;&gt;"",$N312,TODAY())-$B312)</f>
        <v/>
      </c>
      <c r="Y312" s="11" t="str">
        <f aca="true">IF(OR($C312="",$M312&lt;&gt;"Abierta",$G312=""),"",MAX($G312-TODAY(),0))</f>
        <v/>
      </c>
      <c r="Z312" s="12" t="str">
        <f aca="false">IF($C312="","",N($K312)*N($H312)*N($I312)*IF($U312="Débito",-1,1))</f>
        <v/>
      </c>
      <c r="AA312" s="13" t="str">
        <f aca="false">IF($C312="","",IF(AND($U312="Débito",$F312&lt;&gt;""),$F312,$E312))</f>
        <v/>
      </c>
      <c r="AB312" s="13" t="str">
        <f aca="false">IF(OR($C312="",$T312="Mixta",$AA312=""),"",IF($V312="Subyacente",IF($J312="","",$J312-$K312),IF($T312="Put",$AA312-$K312,$AA312+$K312)))</f>
        <v/>
      </c>
      <c r="AC312" s="14" t="str">
        <f aca="false">IF(OR($C312="",$T312="Mixta",$J312="",$AA312=""),"",IF($T312="Put",($J312-$AA312)/$J312,($AA312-$J312)/$J312))</f>
        <v/>
      </c>
      <c r="AD312" s="12" t="str">
        <f aca="false">IF($C312="","",IF($Q312&lt;&gt;"",$Q312,IF($V312="Strike",N($E312)*$H312*$I312,IF($V312="Subyacente",IF($J312="","",$J312*$H312*$I312),IF($V312="Ancho",IF($F312="","",ABS($E312-$F312)*$H312*$I312-$K312*$H312*$I312),IF($V312="Prima",$K312*$H312*$I312,""))))))</f>
        <v/>
      </c>
      <c r="AE312" s="12" t="str">
        <f aca="false">IF(OR($C312="",$M312="Abierta",$M312=""),"",(N($K312)-IF(OR($M312="Cerrada",$M312="Rolada"),N($O312),0))*$H312*$I312*IF($U312="Débito",-1,1)-N($L312)-N($P312))</f>
        <v/>
      </c>
      <c r="AF312" s="14" t="str">
        <f aca="false">IF(OR($AE312="",$AD312=""),"",IF($AD312&lt;=0,"",$AE312/$AD312))</f>
        <v/>
      </c>
      <c r="AG312" s="14" t="str">
        <f aca="false">IF($AF312="","",$AF312*365/MAX(N($X312),1))</f>
        <v/>
      </c>
      <c r="AH312" s="14" t="str">
        <f aca="false">IF(OR($C312="",$U312&lt;&gt;"Crédito",$AD312=""),"",IF($AD312&lt;=0,"",($Z312-N($L312))/$AD312))</f>
        <v/>
      </c>
      <c r="AI312" s="14" t="str">
        <f aca="false">IF(OR($AH312="",$W312=""),"",$AH312*365/MAX($W312,1))</f>
        <v/>
      </c>
      <c r="AJ312" s="14" t="str">
        <f aca="false">IF(OR($AE312="",$U312&lt;&gt;"Crédito",N($K312)=0),"",(N($K312)-IF(OR($M312="Cerrada",$M312="Rolada"),N($O312),0))/$K312)</f>
        <v/>
      </c>
      <c r="AK312" s="15" t="str">
        <f aca="false">IF(OR($C312="",$N312=""),"",DATE(YEAR($N312),MONTH($N312),1))</f>
        <v/>
      </c>
      <c r="AL312" s="11" t="str">
        <f aca="false">IF($C312="","",IF($M312="Abierta",0,1))</f>
        <v/>
      </c>
      <c r="AM312" s="16" t="str">
        <f aca="false">IF(OR($AE312="",$AD312=""),"",$AD312*MAX(N($X312),1))</f>
        <v/>
      </c>
      <c r="AN312" s="10" t="str">
        <f aca="false">IF($C312="","",IF(OR($B312="",$D312="",$H312="",$K312="",$M312=""),"Faltan datos obligatorios",IF($T312="","Estrategia no reconocida",IF(AND($M312&lt;&gt;"Abierta",$N312=""),"Falta fecha cierre",IF(AND(OR($M312="Cerrada",$M312="Rolada"),$O312=""),"Falta prima cierre",IF(AND($N312&lt;&gt;"",$N312&lt;$B312),"Cierre anterior a apertura",IF(AND($M312="Asignada",$R312=""),"Asignada: falta ID lote acciones",IF(AND($R312&lt;&gt;"",ISNA(MATCH($R312,Acciones!$A$2:$A$201,0))),"El ID lote no existe en Acciones",IF($AD312="","Revisa capital en riesgo","OK")))))))))</f>
        <v/>
      </c>
    </row>
    <row r="313" customFormat="false" ht="15" hidden="false" customHeight="true" outlineLevel="0" collapsed="false">
      <c r="A313" s="5"/>
      <c r="B313" s="6"/>
      <c r="C313" s="7"/>
      <c r="D313" s="7"/>
      <c r="E313" s="8"/>
      <c r="F313" s="8"/>
      <c r="G313" s="6"/>
      <c r="H313" s="5"/>
      <c r="I313" s="5" t="n">
        <v>100</v>
      </c>
      <c r="J313" s="8"/>
      <c r="K313" s="8"/>
      <c r="L313" s="9"/>
      <c r="M313" s="7"/>
      <c r="N313" s="6"/>
      <c r="O313" s="8"/>
      <c r="P313" s="9"/>
      <c r="Q313" s="9"/>
      <c r="R313" s="7"/>
      <c r="S313" s="7"/>
      <c r="T313" s="10" t="str">
        <f aca="false">IF($C313="","",IFERROR(INDEX(Listas!$B$2:$B$20,MATCH($D313,Listas!$A$2:$A$20,0)),""))</f>
        <v/>
      </c>
      <c r="U313" s="10" t="str">
        <f aca="false">IF($C313="","",IFERROR(INDEX(Listas!$C$2:$C$20,MATCH($D313,Listas!$A$2:$A$20,0)),""))</f>
        <v/>
      </c>
      <c r="V313" s="10" t="str">
        <f aca="false">IF($C313="","",IFERROR(INDEX(Listas!$D$2:$D$20,MATCH($D313,Listas!$A$2:$A$20,0)),""))</f>
        <v/>
      </c>
      <c r="W313" s="11" t="str">
        <f aca="false">IF(OR($C313="",$B313="",$G313=""),"",$G313-$B313)</f>
        <v/>
      </c>
      <c r="X313" s="11" t="str">
        <f aca="true">IF(OR($C313="",$B313=""),"",IF($N313&lt;&gt;"",$N313,TODAY())-$B313)</f>
        <v/>
      </c>
      <c r="Y313" s="11" t="str">
        <f aca="true">IF(OR($C313="",$M313&lt;&gt;"Abierta",$G313=""),"",MAX($G313-TODAY(),0))</f>
        <v/>
      </c>
      <c r="Z313" s="12" t="str">
        <f aca="false">IF($C313="","",N($K313)*N($H313)*N($I313)*IF($U313="Débito",-1,1))</f>
        <v/>
      </c>
      <c r="AA313" s="13" t="str">
        <f aca="false">IF($C313="","",IF(AND($U313="Débito",$F313&lt;&gt;""),$F313,$E313))</f>
        <v/>
      </c>
      <c r="AB313" s="13" t="str">
        <f aca="false">IF(OR($C313="",$T313="Mixta",$AA313=""),"",IF($V313="Subyacente",IF($J313="","",$J313-$K313),IF($T313="Put",$AA313-$K313,$AA313+$K313)))</f>
        <v/>
      </c>
      <c r="AC313" s="14" t="str">
        <f aca="false">IF(OR($C313="",$T313="Mixta",$J313="",$AA313=""),"",IF($T313="Put",($J313-$AA313)/$J313,($AA313-$J313)/$J313))</f>
        <v/>
      </c>
      <c r="AD313" s="12" t="str">
        <f aca="false">IF($C313="","",IF($Q313&lt;&gt;"",$Q313,IF($V313="Strike",N($E313)*$H313*$I313,IF($V313="Subyacente",IF($J313="","",$J313*$H313*$I313),IF($V313="Ancho",IF($F313="","",ABS($E313-$F313)*$H313*$I313-$K313*$H313*$I313),IF($V313="Prima",$K313*$H313*$I313,""))))))</f>
        <v/>
      </c>
      <c r="AE313" s="12" t="str">
        <f aca="false">IF(OR($C313="",$M313="Abierta",$M313=""),"",(N($K313)-IF(OR($M313="Cerrada",$M313="Rolada"),N($O313),0))*$H313*$I313*IF($U313="Débito",-1,1)-N($L313)-N($P313))</f>
        <v/>
      </c>
      <c r="AF313" s="14" t="str">
        <f aca="false">IF(OR($AE313="",$AD313=""),"",IF($AD313&lt;=0,"",$AE313/$AD313))</f>
        <v/>
      </c>
      <c r="AG313" s="14" t="str">
        <f aca="false">IF($AF313="","",$AF313*365/MAX(N($X313),1))</f>
        <v/>
      </c>
      <c r="AH313" s="14" t="str">
        <f aca="false">IF(OR($C313="",$U313&lt;&gt;"Crédito",$AD313=""),"",IF($AD313&lt;=0,"",($Z313-N($L313))/$AD313))</f>
        <v/>
      </c>
      <c r="AI313" s="14" t="str">
        <f aca="false">IF(OR($AH313="",$W313=""),"",$AH313*365/MAX($W313,1))</f>
        <v/>
      </c>
      <c r="AJ313" s="14" t="str">
        <f aca="false">IF(OR($AE313="",$U313&lt;&gt;"Crédito",N($K313)=0),"",(N($K313)-IF(OR($M313="Cerrada",$M313="Rolada"),N($O313),0))/$K313)</f>
        <v/>
      </c>
      <c r="AK313" s="15" t="str">
        <f aca="false">IF(OR($C313="",$N313=""),"",DATE(YEAR($N313),MONTH($N313),1))</f>
        <v/>
      </c>
      <c r="AL313" s="11" t="str">
        <f aca="false">IF($C313="","",IF($M313="Abierta",0,1))</f>
        <v/>
      </c>
      <c r="AM313" s="16" t="str">
        <f aca="false">IF(OR($AE313="",$AD313=""),"",$AD313*MAX(N($X313),1))</f>
        <v/>
      </c>
      <c r="AN313" s="10" t="str">
        <f aca="false">IF($C313="","",IF(OR($B313="",$D313="",$H313="",$K313="",$M313=""),"Faltan datos obligatorios",IF($T313="","Estrategia no reconocida",IF(AND($M313&lt;&gt;"Abierta",$N313=""),"Falta fecha cierre",IF(AND(OR($M313="Cerrada",$M313="Rolada"),$O313=""),"Falta prima cierre",IF(AND($N313&lt;&gt;"",$N313&lt;$B313),"Cierre anterior a apertura",IF(AND($M313="Asignada",$R313=""),"Asignada: falta ID lote acciones",IF(AND($R313&lt;&gt;"",ISNA(MATCH($R313,Acciones!$A$2:$A$201,0))),"El ID lote no existe en Acciones",IF($AD313="","Revisa capital en riesgo","OK")))))))))</f>
        <v/>
      </c>
    </row>
    <row r="314" customFormat="false" ht="15" hidden="false" customHeight="true" outlineLevel="0" collapsed="false">
      <c r="A314" s="5"/>
      <c r="B314" s="6"/>
      <c r="C314" s="7"/>
      <c r="D314" s="7"/>
      <c r="E314" s="8"/>
      <c r="F314" s="8"/>
      <c r="G314" s="6"/>
      <c r="H314" s="5"/>
      <c r="I314" s="5" t="n">
        <v>100</v>
      </c>
      <c r="J314" s="8"/>
      <c r="K314" s="8"/>
      <c r="L314" s="9"/>
      <c r="M314" s="7"/>
      <c r="N314" s="6"/>
      <c r="O314" s="8"/>
      <c r="P314" s="9"/>
      <c r="Q314" s="9"/>
      <c r="R314" s="7"/>
      <c r="S314" s="7"/>
      <c r="T314" s="10" t="str">
        <f aca="false">IF($C314="","",IFERROR(INDEX(Listas!$B$2:$B$20,MATCH($D314,Listas!$A$2:$A$20,0)),""))</f>
        <v/>
      </c>
      <c r="U314" s="10" t="str">
        <f aca="false">IF($C314="","",IFERROR(INDEX(Listas!$C$2:$C$20,MATCH($D314,Listas!$A$2:$A$20,0)),""))</f>
        <v/>
      </c>
      <c r="V314" s="10" t="str">
        <f aca="false">IF($C314="","",IFERROR(INDEX(Listas!$D$2:$D$20,MATCH($D314,Listas!$A$2:$A$20,0)),""))</f>
        <v/>
      </c>
      <c r="W314" s="11" t="str">
        <f aca="false">IF(OR($C314="",$B314="",$G314=""),"",$G314-$B314)</f>
        <v/>
      </c>
      <c r="X314" s="11" t="str">
        <f aca="true">IF(OR($C314="",$B314=""),"",IF($N314&lt;&gt;"",$N314,TODAY())-$B314)</f>
        <v/>
      </c>
      <c r="Y314" s="11" t="str">
        <f aca="true">IF(OR($C314="",$M314&lt;&gt;"Abierta",$G314=""),"",MAX($G314-TODAY(),0))</f>
        <v/>
      </c>
      <c r="Z314" s="12" t="str">
        <f aca="false">IF($C314="","",N($K314)*N($H314)*N($I314)*IF($U314="Débito",-1,1))</f>
        <v/>
      </c>
      <c r="AA314" s="13" t="str">
        <f aca="false">IF($C314="","",IF(AND($U314="Débito",$F314&lt;&gt;""),$F314,$E314))</f>
        <v/>
      </c>
      <c r="AB314" s="13" t="str">
        <f aca="false">IF(OR($C314="",$T314="Mixta",$AA314=""),"",IF($V314="Subyacente",IF($J314="","",$J314-$K314),IF($T314="Put",$AA314-$K314,$AA314+$K314)))</f>
        <v/>
      </c>
      <c r="AC314" s="14" t="str">
        <f aca="false">IF(OR($C314="",$T314="Mixta",$J314="",$AA314=""),"",IF($T314="Put",($J314-$AA314)/$J314,($AA314-$J314)/$J314))</f>
        <v/>
      </c>
      <c r="AD314" s="12" t="str">
        <f aca="false">IF($C314="","",IF($Q314&lt;&gt;"",$Q314,IF($V314="Strike",N($E314)*$H314*$I314,IF($V314="Subyacente",IF($J314="","",$J314*$H314*$I314),IF($V314="Ancho",IF($F314="","",ABS($E314-$F314)*$H314*$I314-$K314*$H314*$I314),IF($V314="Prima",$K314*$H314*$I314,""))))))</f>
        <v/>
      </c>
      <c r="AE314" s="12" t="str">
        <f aca="false">IF(OR($C314="",$M314="Abierta",$M314=""),"",(N($K314)-IF(OR($M314="Cerrada",$M314="Rolada"),N($O314),0))*$H314*$I314*IF($U314="Débito",-1,1)-N($L314)-N($P314))</f>
        <v/>
      </c>
      <c r="AF314" s="14" t="str">
        <f aca="false">IF(OR($AE314="",$AD314=""),"",IF($AD314&lt;=0,"",$AE314/$AD314))</f>
        <v/>
      </c>
      <c r="AG314" s="14" t="str">
        <f aca="false">IF($AF314="","",$AF314*365/MAX(N($X314),1))</f>
        <v/>
      </c>
      <c r="AH314" s="14" t="str">
        <f aca="false">IF(OR($C314="",$U314&lt;&gt;"Crédito",$AD314=""),"",IF($AD314&lt;=0,"",($Z314-N($L314))/$AD314))</f>
        <v/>
      </c>
      <c r="AI314" s="14" t="str">
        <f aca="false">IF(OR($AH314="",$W314=""),"",$AH314*365/MAX($W314,1))</f>
        <v/>
      </c>
      <c r="AJ314" s="14" t="str">
        <f aca="false">IF(OR($AE314="",$U314&lt;&gt;"Crédito",N($K314)=0),"",(N($K314)-IF(OR($M314="Cerrada",$M314="Rolada"),N($O314),0))/$K314)</f>
        <v/>
      </c>
      <c r="AK314" s="15" t="str">
        <f aca="false">IF(OR($C314="",$N314=""),"",DATE(YEAR($N314),MONTH($N314),1))</f>
        <v/>
      </c>
      <c r="AL314" s="11" t="str">
        <f aca="false">IF($C314="","",IF($M314="Abierta",0,1))</f>
        <v/>
      </c>
      <c r="AM314" s="16" t="str">
        <f aca="false">IF(OR($AE314="",$AD314=""),"",$AD314*MAX(N($X314),1))</f>
        <v/>
      </c>
      <c r="AN314" s="10" t="str">
        <f aca="false">IF($C314="","",IF(OR($B314="",$D314="",$H314="",$K314="",$M314=""),"Faltan datos obligatorios",IF($T314="","Estrategia no reconocida",IF(AND($M314&lt;&gt;"Abierta",$N314=""),"Falta fecha cierre",IF(AND(OR($M314="Cerrada",$M314="Rolada"),$O314=""),"Falta prima cierre",IF(AND($N314&lt;&gt;"",$N314&lt;$B314),"Cierre anterior a apertura",IF(AND($M314="Asignada",$R314=""),"Asignada: falta ID lote acciones",IF(AND($R314&lt;&gt;"",ISNA(MATCH($R314,Acciones!$A$2:$A$201,0))),"El ID lote no existe en Acciones",IF($AD314="","Revisa capital en riesgo","OK")))))))))</f>
        <v/>
      </c>
    </row>
    <row r="315" customFormat="false" ht="15" hidden="false" customHeight="true" outlineLevel="0" collapsed="false">
      <c r="A315" s="5"/>
      <c r="B315" s="6"/>
      <c r="C315" s="7"/>
      <c r="D315" s="7"/>
      <c r="E315" s="8"/>
      <c r="F315" s="8"/>
      <c r="G315" s="6"/>
      <c r="H315" s="5"/>
      <c r="I315" s="5" t="n">
        <v>100</v>
      </c>
      <c r="J315" s="8"/>
      <c r="K315" s="8"/>
      <c r="L315" s="9"/>
      <c r="M315" s="7"/>
      <c r="N315" s="6"/>
      <c r="O315" s="8"/>
      <c r="P315" s="9"/>
      <c r="Q315" s="9"/>
      <c r="R315" s="7"/>
      <c r="S315" s="7"/>
      <c r="T315" s="10" t="str">
        <f aca="false">IF($C315="","",IFERROR(INDEX(Listas!$B$2:$B$20,MATCH($D315,Listas!$A$2:$A$20,0)),""))</f>
        <v/>
      </c>
      <c r="U315" s="10" t="str">
        <f aca="false">IF($C315="","",IFERROR(INDEX(Listas!$C$2:$C$20,MATCH($D315,Listas!$A$2:$A$20,0)),""))</f>
        <v/>
      </c>
      <c r="V315" s="10" t="str">
        <f aca="false">IF($C315="","",IFERROR(INDEX(Listas!$D$2:$D$20,MATCH($D315,Listas!$A$2:$A$20,0)),""))</f>
        <v/>
      </c>
      <c r="W315" s="11" t="str">
        <f aca="false">IF(OR($C315="",$B315="",$G315=""),"",$G315-$B315)</f>
        <v/>
      </c>
      <c r="X315" s="11" t="str">
        <f aca="true">IF(OR($C315="",$B315=""),"",IF($N315&lt;&gt;"",$N315,TODAY())-$B315)</f>
        <v/>
      </c>
      <c r="Y315" s="11" t="str">
        <f aca="true">IF(OR($C315="",$M315&lt;&gt;"Abierta",$G315=""),"",MAX($G315-TODAY(),0))</f>
        <v/>
      </c>
      <c r="Z315" s="12" t="str">
        <f aca="false">IF($C315="","",N($K315)*N($H315)*N($I315)*IF($U315="Débito",-1,1))</f>
        <v/>
      </c>
      <c r="AA315" s="13" t="str">
        <f aca="false">IF($C315="","",IF(AND($U315="Débito",$F315&lt;&gt;""),$F315,$E315))</f>
        <v/>
      </c>
      <c r="AB315" s="13" t="str">
        <f aca="false">IF(OR($C315="",$T315="Mixta",$AA315=""),"",IF($V315="Subyacente",IF($J315="","",$J315-$K315),IF($T315="Put",$AA315-$K315,$AA315+$K315)))</f>
        <v/>
      </c>
      <c r="AC315" s="14" t="str">
        <f aca="false">IF(OR($C315="",$T315="Mixta",$J315="",$AA315=""),"",IF($T315="Put",($J315-$AA315)/$J315,($AA315-$J315)/$J315))</f>
        <v/>
      </c>
      <c r="AD315" s="12" t="str">
        <f aca="false">IF($C315="","",IF($Q315&lt;&gt;"",$Q315,IF($V315="Strike",N($E315)*$H315*$I315,IF($V315="Subyacente",IF($J315="","",$J315*$H315*$I315),IF($V315="Ancho",IF($F315="","",ABS($E315-$F315)*$H315*$I315-$K315*$H315*$I315),IF($V315="Prima",$K315*$H315*$I315,""))))))</f>
        <v/>
      </c>
      <c r="AE315" s="12" t="str">
        <f aca="false">IF(OR($C315="",$M315="Abierta",$M315=""),"",(N($K315)-IF(OR($M315="Cerrada",$M315="Rolada"),N($O315),0))*$H315*$I315*IF($U315="Débito",-1,1)-N($L315)-N($P315))</f>
        <v/>
      </c>
      <c r="AF315" s="14" t="str">
        <f aca="false">IF(OR($AE315="",$AD315=""),"",IF($AD315&lt;=0,"",$AE315/$AD315))</f>
        <v/>
      </c>
      <c r="AG315" s="14" t="str">
        <f aca="false">IF($AF315="","",$AF315*365/MAX(N($X315),1))</f>
        <v/>
      </c>
      <c r="AH315" s="14" t="str">
        <f aca="false">IF(OR($C315="",$U315&lt;&gt;"Crédito",$AD315=""),"",IF($AD315&lt;=0,"",($Z315-N($L315))/$AD315))</f>
        <v/>
      </c>
      <c r="AI315" s="14" t="str">
        <f aca="false">IF(OR($AH315="",$W315=""),"",$AH315*365/MAX($W315,1))</f>
        <v/>
      </c>
      <c r="AJ315" s="14" t="str">
        <f aca="false">IF(OR($AE315="",$U315&lt;&gt;"Crédito",N($K315)=0),"",(N($K315)-IF(OR($M315="Cerrada",$M315="Rolada"),N($O315),0))/$K315)</f>
        <v/>
      </c>
      <c r="AK315" s="15" t="str">
        <f aca="false">IF(OR($C315="",$N315=""),"",DATE(YEAR($N315),MONTH($N315),1))</f>
        <v/>
      </c>
      <c r="AL315" s="11" t="str">
        <f aca="false">IF($C315="","",IF($M315="Abierta",0,1))</f>
        <v/>
      </c>
      <c r="AM315" s="16" t="str">
        <f aca="false">IF(OR($AE315="",$AD315=""),"",$AD315*MAX(N($X315),1))</f>
        <v/>
      </c>
      <c r="AN315" s="10" t="str">
        <f aca="false">IF($C315="","",IF(OR($B315="",$D315="",$H315="",$K315="",$M315=""),"Faltan datos obligatorios",IF($T315="","Estrategia no reconocida",IF(AND($M315&lt;&gt;"Abierta",$N315=""),"Falta fecha cierre",IF(AND(OR($M315="Cerrada",$M315="Rolada"),$O315=""),"Falta prima cierre",IF(AND($N315&lt;&gt;"",$N315&lt;$B315),"Cierre anterior a apertura",IF(AND($M315="Asignada",$R315=""),"Asignada: falta ID lote acciones",IF(AND($R315&lt;&gt;"",ISNA(MATCH($R315,Acciones!$A$2:$A$201,0))),"El ID lote no existe en Acciones",IF($AD315="","Revisa capital en riesgo","OK")))))))))</f>
        <v/>
      </c>
    </row>
    <row r="316" customFormat="false" ht="15" hidden="false" customHeight="true" outlineLevel="0" collapsed="false">
      <c r="A316" s="5"/>
      <c r="B316" s="6"/>
      <c r="C316" s="7"/>
      <c r="D316" s="7"/>
      <c r="E316" s="8"/>
      <c r="F316" s="8"/>
      <c r="G316" s="6"/>
      <c r="H316" s="5"/>
      <c r="I316" s="5" t="n">
        <v>100</v>
      </c>
      <c r="J316" s="8"/>
      <c r="K316" s="8"/>
      <c r="L316" s="9"/>
      <c r="M316" s="7"/>
      <c r="N316" s="6"/>
      <c r="O316" s="8"/>
      <c r="P316" s="9"/>
      <c r="Q316" s="9"/>
      <c r="R316" s="7"/>
      <c r="S316" s="7"/>
      <c r="T316" s="10" t="str">
        <f aca="false">IF($C316="","",IFERROR(INDEX(Listas!$B$2:$B$20,MATCH($D316,Listas!$A$2:$A$20,0)),""))</f>
        <v/>
      </c>
      <c r="U316" s="10" t="str">
        <f aca="false">IF($C316="","",IFERROR(INDEX(Listas!$C$2:$C$20,MATCH($D316,Listas!$A$2:$A$20,0)),""))</f>
        <v/>
      </c>
      <c r="V316" s="10" t="str">
        <f aca="false">IF($C316="","",IFERROR(INDEX(Listas!$D$2:$D$20,MATCH($D316,Listas!$A$2:$A$20,0)),""))</f>
        <v/>
      </c>
      <c r="W316" s="11" t="str">
        <f aca="false">IF(OR($C316="",$B316="",$G316=""),"",$G316-$B316)</f>
        <v/>
      </c>
      <c r="X316" s="11" t="str">
        <f aca="true">IF(OR($C316="",$B316=""),"",IF($N316&lt;&gt;"",$N316,TODAY())-$B316)</f>
        <v/>
      </c>
      <c r="Y316" s="11" t="str">
        <f aca="true">IF(OR($C316="",$M316&lt;&gt;"Abierta",$G316=""),"",MAX($G316-TODAY(),0))</f>
        <v/>
      </c>
      <c r="Z316" s="12" t="str">
        <f aca="false">IF($C316="","",N($K316)*N($H316)*N($I316)*IF($U316="Débito",-1,1))</f>
        <v/>
      </c>
      <c r="AA316" s="13" t="str">
        <f aca="false">IF($C316="","",IF(AND($U316="Débito",$F316&lt;&gt;""),$F316,$E316))</f>
        <v/>
      </c>
      <c r="AB316" s="13" t="str">
        <f aca="false">IF(OR($C316="",$T316="Mixta",$AA316=""),"",IF($V316="Subyacente",IF($J316="","",$J316-$K316),IF($T316="Put",$AA316-$K316,$AA316+$K316)))</f>
        <v/>
      </c>
      <c r="AC316" s="14" t="str">
        <f aca="false">IF(OR($C316="",$T316="Mixta",$J316="",$AA316=""),"",IF($T316="Put",($J316-$AA316)/$J316,($AA316-$J316)/$J316))</f>
        <v/>
      </c>
      <c r="AD316" s="12" t="str">
        <f aca="false">IF($C316="","",IF($Q316&lt;&gt;"",$Q316,IF($V316="Strike",N($E316)*$H316*$I316,IF($V316="Subyacente",IF($J316="","",$J316*$H316*$I316),IF($V316="Ancho",IF($F316="","",ABS($E316-$F316)*$H316*$I316-$K316*$H316*$I316),IF($V316="Prima",$K316*$H316*$I316,""))))))</f>
        <v/>
      </c>
      <c r="AE316" s="12" t="str">
        <f aca="false">IF(OR($C316="",$M316="Abierta",$M316=""),"",(N($K316)-IF(OR($M316="Cerrada",$M316="Rolada"),N($O316),0))*$H316*$I316*IF($U316="Débito",-1,1)-N($L316)-N($P316))</f>
        <v/>
      </c>
      <c r="AF316" s="14" t="str">
        <f aca="false">IF(OR($AE316="",$AD316=""),"",IF($AD316&lt;=0,"",$AE316/$AD316))</f>
        <v/>
      </c>
      <c r="AG316" s="14" t="str">
        <f aca="false">IF($AF316="","",$AF316*365/MAX(N($X316),1))</f>
        <v/>
      </c>
      <c r="AH316" s="14" t="str">
        <f aca="false">IF(OR($C316="",$U316&lt;&gt;"Crédito",$AD316=""),"",IF($AD316&lt;=0,"",($Z316-N($L316))/$AD316))</f>
        <v/>
      </c>
      <c r="AI316" s="14" t="str">
        <f aca="false">IF(OR($AH316="",$W316=""),"",$AH316*365/MAX($W316,1))</f>
        <v/>
      </c>
      <c r="AJ316" s="14" t="str">
        <f aca="false">IF(OR($AE316="",$U316&lt;&gt;"Crédito",N($K316)=0),"",(N($K316)-IF(OR($M316="Cerrada",$M316="Rolada"),N($O316),0))/$K316)</f>
        <v/>
      </c>
      <c r="AK316" s="15" t="str">
        <f aca="false">IF(OR($C316="",$N316=""),"",DATE(YEAR($N316),MONTH($N316),1))</f>
        <v/>
      </c>
      <c r="AL316" s="11" t="str">
        <f aca="false">IF($C316="","",IF($M316="Abierta",0,1))</f>
        <v/>
      </c>
      <c r="AM316" s="16" t="str">
        <f aca="false">IF(OR($AE316="",$AD316=""),"",$AD316*MAX(N($X316),1))</f>
        <v/>
      </c>
      <c r="AN316" s="10" t="str">
        <f aca="false">IF($C316="","",IF(OR($B316="",$D316="",$H316="",$K316="",$M316=""),"Faltan datos obligatorios",IF($T316="","Estrategia no reconocida",IF(AND($M316&lt;&gt;"Abierta",$N316=""),"Falta fecha cierre",IF(AND(OR($M316="Cerrada",$M316="Rolada"),$O316=""),"Falta prima cierre",IF(AND($N316&lt;&gt;"",$N316&lt;$B316),"Cierre anterior a apertura",IF(AND($M316="Asignada",$R316=""),"Asignada: falta ID lote acciones",IF(AND($R316&lt;&gt;"",ISNA(MATCH($R316,Acciones!$A$2:$A$201,0))),"El ID lote no existe en Acciones",IF($AD316="","Revisa capital en riesgo","OK")))))))))</f>
        <v/>
      </c>
    </row>
    <row r="317" customFormat="false" ht="15" hidden="false" customHeight="true" outlineLevel="0" collapsed="false">
      <c r="A317" s="5"/>
      <c r="B317" s="6"/>
      <c r="C317" s="7"/>
      <c r="D317" s="7"/>
      <c r="E317" s="8"/>
      <c r="F317" s="8"/>
      <c r="G317" s="6"/>
      <c r="H317" s="5"/>
      <c r="I317" s="5" t="n">
        <v>100</v>
      </c>
      <c r="J317" s="8"/>
      <c r="K317" s="8"/>
      <c r="L317" s="9"/>
      <c r="M317" s="7"/>
      <c r="N317" s="6"/>
      <c r="O317" s="8"/>
      <c r="P317" s="9"/>
      <c r="Q317" s="9"/>
      <c r="R317" s="7"/>
      <c r="S317" s="7"/>
      <c r="T317" s="10" t="str">
        <f aca="false">IF($C317="","",IFERROR(INDEX(Listas!$B$2:$B$20,MATCH($D317,Listas!$A$2:$A$20,0)),""))</f>
        <v/>
      </c>
      <c r="U317" s="10" t="str">
        <f aca="false">IF($C317="","",IFERROR(INDEX(Listas!$C$2:$C$20,MATCH($D317,Listas!$A$2:$A$20,0)),""))</f>
        <v/>
      </c>
      <c r="V317" s="10" t="str">
        <f aca="false">IF($C317="","",IFERROR(INDEX(Listas!$D$2:$D$20,MATCH($D317,Listas!$A$2:$A$20,0)),""))</f>
        <v/>
      </c>
      <c r="W317" s="11" t="str">
        <f aca="false">IF(OR($C317="",$B317="",$G317=""),"",$G317-$B317)</f>
        <v/>
      </c>
      <c r="X317" s="11" t="str">
        <f aca="true">IF(OR($C317="",$B317=""),"",IF($N317&lt;&gt;"",$N317,TODAY())-$B317)</f>
        <v/>
      </c>
      <c r="Y317" s="11" t="str">
        <f aca="true">IF(OR($C317="",$M317&lt;&gt;"Abierta",$G317=""),"",MAX($G317-TODAY(),0))</f>
        <v/>
      </c>
      <c r="Z317" s="12" t="str">
        <f aca="false">IF($C317="","",N($K317)*N($H317)*N($I317)*IF($U317="Débito",-1,1))</f>
        <v/>
      </c>
      <c r="AA317" s="13" t="str">
        <f aca="false">IF($C317="","",IF(AND($U317="Débito",$F317&lt;&gt;""),$F317,$E317))</f>
        <v/>
      </c>
      <c r="AB317" s="13" t="str">
        <f aca="false">IF(OR($C317="",$T317="Mixta",$AA317=""),"",IF($V317="Subyacente",IF($J317="","",$J317-$K317),IF($T317="Put",$AA317-$K317,$AA317+$K317)))</f>
        <v/>
      </c>
      <c r="AC317" s="14" t="str">
        <f aca="false">IF(OR($C317="",$T317="Mixta",$J317="",$AA317=""),"",IF($T317="Put",($J317-$AA317)/$J317,($AA317-$J317)/$J317))</f>
        <v/>
      </c>
      <c r="AD317" s="12" t="str">
        <f aca="false">IF($C317="","",IF($Q317&lt;&gt;"",$Q317,IF($V317="Strike",N($E317)*$H317*$I317,IF($V317="Subyacente",IF($J317="","",$J317*$H317*$I317),IF($V317="Ancho",IF($F317="","",ABS($E317-$F317)*$H317*$I317-$K317*$H317*$I317),IF($V317="Prima",$K317*$H317*$I317,""))))))</f>
        <v/>
      </c>
      <c r="AE317" s="12" t="str">
        <f aca="false">IF(OR($C317="",$M317="Abierta",$M317=""),"",(N($K317)-IF(OR($M317="Cerrada",$M317="Rolada"),N($O317),0))*$H317*$I317*IF($U317="Débito",-1,1)-N($L317)-N($P317))</f>
        <v/>
      </c>
      <c r="AF317" s="14" t="str">
        <f aca="false">IF(OR($AE317="",$AD317=""),"",IF($AD317&lt;=0,"",$AE317/$AD317))</f>
        <v/>
      </c>
      <c r="AG317" s="14" t="str">
        <f aca="false">IF($AF317="","",$AF317*365/MAX(N($X317),1))</f>
        <v/>
      </c>
      <c r="AH317" s="14" t="str">
        <f aca="false">IF(OR($C317="",$U317&lt;&gt;"Crédito",$AD317=""),"",IF($AD317&lt;=0,"",($Z317-N($L317))/$AD317))</f>
        <v/>
      </c>
      <c r="AI317" s="14" t="str">
        <f aca="false">IF(OR($AH317="",$W317=""),"",$AH317*365/MAX($W317,1))</f>
        <v/>
      </c>
      <c r="AJ317" s="14" t="str">
        <f aca="false">IF(OR($AE317="",$U317&lt;&gt;"Crédito",N($K317)=0),"",(N($K317)-IF(OR($M317="Cerrada",$M317="Rolada"),N($O317),0))/$K317)</f>
        <v/>
      </c>
      <c r="AK317" s="15" t="str">
        <f aca="false">IF(OR($C317="",$N317=""),"",DATE(YEAR($N317),MONTH($N317),1))</f>
        <v/>
      </c>
      <c r="AL317" s="11" t="str">
        <f aca="false">IF($C317="","",IF($M317="Abierta",0,1))</f>
        <v/>
      </c>
      <c r="AM317" s="16" t="str">
        <f aca="false">IF(OR($AE317="",$AD317=""),"",$AD317*MAX(N($X317),1))</f>
        <v/>
      </c>
      <c r="AN317" s="10" t="str">
        <f aca="false">IF($C317="","",IF(OR($B317="",$D317="",$H317="",$K317="",$M317=""),"Faltan datos obligatorios",IF($T317="","Estrategia no reconocida",IF(AND($M317&lt;&gt;"Abierta",$N317=""),"Falta fecha cierre",IF(AND(OR($M317="Cerrada",$M317="Rolada"),$O317=""),"Falta prima cierre",IF(AND($N317&lt;&gt;"",$N317&lt;$B317),"Cierre anterior a apertura",IF(AND($M317="Asignada",$R317=""),"Asignada: falta ID lote acciones",IF(AND($R317&lt;&gt;"",ISNA(MATCH($R317,Acciones!$A$2:$A$201,0))),"El ID lote no existe en Acciones",IF($AD317="","Revisa capital en riesgo","OK")))))))))</f>
        <v/>
      </c>
    </row>
    <row r="318" customFormat="false" ht="15" hidden="false" customHeight="true" outlineLevel="0" collapsed="false">
      <c r="A318" s="5"/>
      <c r="B318" s="6"/>
      <c r="C318" s="7"/>
      <c r="D318" s="7"/>
      <c r="E318" s="8"/>
      <c r="F318" s="8"/>
      <c r="G318" s="6"/>
      <c r="H318" s="5"/>
      <c r="I318" s="5" t="n">
        <v>100</v>
      </c>
      <c r="J318" s="8"/>
      <c r="K318" s="8"/>
      <c r="L318" s="9"/>
      <c r="M318" s="7"/>
      <c r="N318" s="6"/>
      <c r="O318" s="8"/>
      <c r="P318" s="9"/>
      <c r="Q318" s="9"/>
      <c r="R318" s="7"/>
      <c r="S318" s="7"/>
      <c r="T318" s="10" t="str">
        <f aca="false">IF($C318="","",IFERROR(INDEX(Listas!$B$2:$B$20,MATCH($D318,Listas!$A$2:$A$20,0)),""))</f>
        <v/>
      </c>
      <c r="U318" s="10" t="str">
        <f aca="false">IF($C318="","",IFERROR(INDEX(Listas!$C$2:$C$20,MATCH($D318,Listas!$A$2:$A$20,0)),""))</f>
        <v/>
      </c>
      <c r="V318" s="10" t="str">
        <f aca="false">IF($C318="","",IFERROR(INDEX(Listas!$D$2:$D$20,MATCH($D318,Listas!$A$2:$A$20,0)),""))</f>
        <v/>
      </c>
      <c r="W318" s="11" t="str">
        <f aca="false">IF(OR($C318="",$B318="",$G318=""),"",$G318-$B318)</f>
        <v/>
      </c>
      <c r="X318" s="11" t="str">
        <f aca="true">IF(OR($C318="",$B318=""),"",IF($N318&lt;&gt;"",$N318,TODAY())-$B318)</f>
        <v/>
      </c>
      <c r="Y318" s="11" t="str">
        <f aca="true">IF(OR($C318="",$M318&lt;&gt;"Abierta",$G318=""),"",MAX($G318-TODAY(),0))</f>
        <v/>
      </c>
      <c r="Z318" s="12" t="str">
        <f aca="false">IF($C318="","",N($K318)*N($H318)*N($I318)*IF($U318="Débito",-1,1))</f>
        <v/>
      </c>
      <c r="AA318" s="13" t="str">
        <f aca="false">IF($C318="","",IF(AND($U318="Débito",$F318&lt;&gt;""),$F318,$E318))</f>
        <v/>
      </c>
      <c r="AB318" s="13" t="str">
        <f aca="false">IF(OR($C318="",$T318="Mixta",$AA318=""),"",IF($V318="Subyacente",IF($J318="","",$J318-$K318),IF($T318="Put",$AA318-$K318,$AA318+$K318)))</f>
        <v/>
      </c>
      <c r="AC318" s="14" t="str">
        <f aca="false">IF(OR($C318="",$T318="Mixta",$J318="",$AA318=""),"",IF($T318="Put",($J318-$AA318)/$J318,($AA318-$J318)/$J318))</f>
        <v/>
      </c>
      <c r="AD318" s="12" t="str">
        <f aca="false">IF($C318="","",IF($Q318&lt;&gt;"",$Q318,IF($V318="Strike",N($E318)*$H318*$I318,IF($V318="Subyacente",IF($J318="","",$J318*$H318*$I318),IF($V318="Ancho",IF($F318="","",ABS($E318-$F318)*$H318*$I318-$K318*$H318*$I318),IF($V318="Prima",$K318*$H318*$I318,""))))))</f>
        <v/>
      </c>
      <c r="AE318" s="12" t="str">
        <f aca="false">IF(OR($C318="",$M318="Abierta",$M318=""),"",(N($K318)-IF(OR($M318="Cerrada",$M318="Rolada"),N($O318),0))*$H318*$I318*IF($U318="Débito",-1,1)-N($L318)-N($P318))</f>
        <v/>
      </c>
      <c r="AF318" s="14" t="str">
        <f aca="false">IF(OR($AE318="",$AD318=""),"",IF($AD318&lt;=0,"",$AE318/$AD318))</f>
        <v/>
      </c>
      <c r="AG318" s="14" t="str">
        <f aca="false">IF($AF318="","",$AF318*365/MAX(N($X318),1))</f>
        <v/>
      </c>
      <c r="AH318" s="14" t="str">
        <f aca="false">IF(OR($C318="",$U318&lt;&gt;"Crédito",$AD318=""),"",IF($AD318&lt;=0,"",($Z318-N($L318))/$AD318))</f>
        <v/>
      </c>
      <c r="AI318" s="14" t="str">
        <f aca="false">IF(OR($AH318="",$W318=""),"",$AH318*365/MAX($W318,1))</f>
        <v/>
      </c>
      <c r="AJ318" s="14" t="str">
        <f aca="false">IF(OR($AE318="",$U318&lt;&gt;"Crédito",N($K318)=0),"",(N($K318)-IF(OR($M318="Cerrada",$M318="Rolada"),N($O318),0))/$K318)</f>
        <v/>
      </c>
      <c r="AK318" s="15" t="str">
        <f aca="false">IF(OR($C318="",$N318=""),"",DATE(YEAR($N318),MONTH($N318),1))</f>
        <v/>
      </c>
      <c r="AL318" s="11" t="str">
        <f aca="false">IF($C318="","",IF($M318="Abierta",0,1))</f>
        <v/>
      </c>
      <c r="AM318" s="16" t="str">
        <f aca="false">IF(OR($AE318="",$AD318=""),"",$AD318*MAX(N($X318),1))</f>
        <v/>
      </c>
      <c r="AN318" s="10" t="str">
        <f aca="false">IF($C318="","",IF(OR($B318="",$D318="",$H318="",$K318="",$M318=""),"Faltan datos obligatorios",IF($T318="","Estrategia no reconocida",IF(AND($M318&lt;&gt;"Abierta",$N318=""),"Falta fecha cierre",IF(AND(OR($M318="Cerrada",$M318="Rolada"),$O318=""),"Falta prima cierre",IF(AND($N318&lt;&gt;"",$N318&lt;$B318),"Cierre anterior a apertura",IF(AND($M318="Asignada",$R318=""),"Asignada: falta ID lote acciones",IF(AND($R318&lt;&gt;"",ISNA(MATCH($R318,Acciones!$A$2:$A$201,0))),"El ID lote no existe en Acciones",IF($AD318="","Revisa capital en riesgo","OK")))))))))</f>
        <v/>
      </c>
    </row>
    <row r="319" customFormat="false" ht="15" hidden="false" customHeight="true" outlineLevel="0" collapsed="false">
      <c r="A319" s="5"/>
      <c r="B319" s="6"/>
      <c r="C319" s="7"/>
      <c r="D319" s="7"/>
      <c r="E319" s="8"/>
      <c r="F319" s="8"/>
      <c r="G319" s="6"/>
      <c r="H319" s="5"/>
      <c r="I319" s="5" t="n">
        <v>100</v>
      </c>
      <c r="J319" s="8"/>
      <c r="K319" s="8"/>
      <c r="L319" s="9"/>
      <c r="M319" s="7"/>
      <c r="N319" s="6"/>
      <c r="O319" s="8"/>
      <c r="P319" s="9"/>
      <c r="Q319" s="9"/>
      <c r="R319" s="7"/>
      <c r="S319" s="7"/>
      <c r="T319" s="10" t="str">
        <f aca="false">IF($C319="","",IFERROR(INDEX(Listas!$B$2:$B$20,MATCH($D319,Listas!$A$2:$A$20,0)),""))</f>
        <v/>
      </c>
      <c r="U319" s="10" t="str">
        <f aca="false">IF($C319="","",IFERROR(INDEX(Listas!$C$2:$C$20,MATCH($D319,Listas!$A$2:$A$20,0)),""))</f>
        <v/>
      </c>
      <c r="V319" s="10" t="str">
        <f aca="false">IF($C319="","",IFERROR(INDEX(Listas!$D$2:$D$20,MATCH($D319,Listas!$A$2:$A$20,0)),""))</f>
        <v/>
      </c>
      <c r="W319" s="11" t="str">
        <f aca="false">IF(OR($C319="",$B319="",$G319=""),"",$G319-$B319)</f>
        <v/>
      </c>
      <c r="X319" s="11" t="str">
        <f aca="true">IF(OR($C319="",$B319=""),"",IF($N319&lt;&gt;"",$N319,TODAY())-$B319)</f>
        <v/>
      </c>
      <c r="Y319" s="11" t="str">
        <f aca="true">IF(OR($C319="",$M319&lt;&gt;"Abierta",$G319=""),"",MAX($G319-TODAY(),0))</f>
        <v/>
      </c>
      <c r="Z319" s="12" t="str">
        <f aca="false">IF($C319="","",N($K319)*N($H319)*N($I319)*IF($U319="Débito",-1,1))</f>
        <v/>
      </c>
      <c r="AA319" s="13" t="str">
        <f aca="false">IF($C319="","",IF(AND($U319="Débito",$F319&lt;&gt;""),$F319,$E319))</f>
        <v/>
      </c>
      <c r="AB319" s="13" t="str">
        <f aca="false">IF(OR($C319="",$T319="Mixta",$AA319=""),"",IF($V319="Subyacente",IF($J319="","",$J319-$K319),IF($T319="Put",$AA319-$K319,$AA319+$K319)))</f>
        <v/>
      </c>
      <c r="AC319" s="14" t="str">
        <f aca="false">IF(OR($C319="",$T319="Mixta",$J319="",$AA319=""),"",IF($T319="Put",($J319-$AA319)/$J319,($AA319-$J319)/$J319))</f>
        <v/>
      </c>
      <c r="AD319" s="12" t="str">
        <f aca="false">IF($C319="","",IF($Q319&lt;&gt;"",$Q319,IF($V319="Strike",N($E319)*$H319*$I319,IF($V319="Subyacente",IF($J319="","",$J319*$H319*$I319),IF($V319="Ancho",IF($F319="","",ABS($E319-$F319)*$H319*$I319-$K319*$H319*$I319),IF($V319="Prima",$K319*$H319*$I319,""))))))</f>
        <v/>
      </c>
      <c r="AE319" s="12" t="str">
        <f aca="false">IF(OR($C319="",$M319="Abierta",$M319=""),"",(N($K319)-IF(OR($M319="Cerrada",$M319="Rolada"),N($O319),0))*$H319*$I319*IF($U319="Débito",-1,1)-N($L319)-N($P319))</f>
        <v/>
      </c>
      <c r="AF319" s="14" t="str">
        <f aca="false">IF(OR($AE319="",$AD319=""),"",IF($AD319&lt;=0,"",$AE319/$AD319))</f>
        <v/>
      </c>
      <c r="AG319" s="14" t="str">
        <f aca="false">IF($AF319="","",$AF319*365/MAX(N($X319),1))</f>
        <v/>
      </c>
      <c r="AH319" s="14" t="str">
        <f aca="false">IF(OR($C319="",$U319&lt;&gt;"Crédito",$AD319=""),"",IF($AD319&lt;=0,"",($Z319-N($L319))/$AD319))</f>
        <v/>
      </c>
      <c r="AI319" s="14" t="str">
        <f aca="false">IF(OR($AH319="",$W319=""),"",$AH319*365/MAX($W319,1))</f>
        <v/>
      </c>
      <c r="AJ319" s="14" t="str">
        <f aca="false">IF(OR($AE319="",$U319&lt;&gt;"Crédito",N($K319)=0),"",(N($K319)-IF(OR($M319="Cerrada",$M319="Rolada"),N($O319),0))/$K319)</f>
        <v/>
      </c>
      <c r="AK319" s="15" t="str">
        <f aca="false">IF(OR($C319="",$N319=""),"",DATE(YEAR($N319),MONTH($N319),1))</f>
        <v/>
      </c>
      <c r="AL319" s="11" t="str">
        <f aca="false">IF($C319="","",IF($M319="Abierta",0,1))</f>
        <v/>
      </c>
      <c r="AM319" s="16" t="str">
        <f aca="false">IF(OR($AE319="",$AD319=""),"",$AD319*MAX(N($X319),1))</f>
        <v/>
      </c>
      <c r="AN319" s="10" t="str">
        <f aca="false">IF($C319="","",IF(OR($B319="",$D319="",$H319="",$K319="",$M319=""),"Faltan datos obligatorios",IF($T319="","Estrategia no reconocida",IF(AND($M319&lt;&gt;"Abierta",$N319=""),"Falta fecha cierre",IF(AND(OR($M319="Cerrada",$M319="Rolada"),$O319=""),"Falta prima cierre",IF(AND($N319&lt;&gt;"",$N319&lt;$B319),"Cierre anterior a apertura",IF(AND($M319="Asignada",$R319=""),"Asignada: falta ID lote acciones",IF(AND($R319&lt;&gt;"",ISNA(MATCH($R319,Acciones!$A$2:$A$201,0))),"El ID lote no existe en Acciones",IF($AD319="","Revisa capital en riesgo","OK")))))))))</f>
        <v/>
      </c>
    </row>
    <row r="320" customFormat="false" ht="15" hidden="false" customHeight="true" outlineLevel="0" collapsed="false">
      <c r="A320" s="5"/>
      <c r="B320" s="6"/>
      <c r="C320" s="7"/>
      <c r="D320" s="7"/>
      <c r="E320" s="8"/>
      <c r="F320" s="8"/>
      <c r="G320" s="6"/>
      <c r="H320" s="5"/>
      <c r="I320" s="5" t="n">
        <v>100</v>
      </c>
      <c r="J320" s="8"/>
      <c r="K320" s="8"/>
      <c r="L320" s="9"/>
      <c r="M320" s="7"/>
      <c r="N320" s="6"/>
      <c r="O320" s="8"/>
      <c r="P320" s="9"/>
      <c r="Q320" s="9"/>
      <c r="R320" s="7"/>
      <c r="S320" s="7"/>
      <c r="T320" s="10" t="str">
        <f aca="false">IF($C320="","",IFERROR(INDEX(Listas!$B$2:$B$20,MATCH($D320,Listas!$A$2:$A$20,0)),""))</f>
        <v/>
      </c>
      <c r="U320" s="10" t="str">
        <f aca="false">IF($C320="","",IFERROR(INDEX(Listas!$C$2:$C$20,MATCH($D320,Listas!$A$2:$A$20,0)),""))</f>
        <v/>
      </c>
      <c r="V320" s="10" t="str">
        <f aca="false">IF($C320="","",IFERROR(INDEX(Listas!$D$2:$D$20,MATCH($D320,Listas!$A$2:$A$20,0)),""))</f>
        <v/>
      </c>
      <c r="W320" s="11" t="str">
        <f aca="false">IF(OR($C320="",$B320="",$G320=""),"",$G320-$B320)</f>
        <v/>
      </c>
      <c r="X320" s="11" t="str">
        <f aca="true">IF(OR($C320="",$B320=""),"",IF($N320&lt;&gt;"",$N320,TODAY())-$B320)</f>
        <v/>
      </c>
      <c r="Y320" s="11" t="str">
        <f aca="true">IF(OR($C320="",$M320&lt;&gt;"Abierta",$G320=""),"",MAX($G320-TODAY(),0))</f>
        <v/>
      </c>
      <c r="Z320" s="12" t="str">
        <f aca="false">IF($C320="","",N($K320)*N($H320)*N($I320)*IF($U320="Débito",-1,1))</f>
        <v/>
      </c>
      <c r="AA320" s="13" t="str">
        <f aca="false">IF($C320="","",IF(AND($U320="Débito",$F320&lt;&gt;""),$F320,$E320))</f>
        <v/>
      </c>
      <c r="AB320" s="13" t="str">
        <f aca="false">IF(OR($C320="",$T320="Mixta",$AA320=""),"",IF($V320="Subyacente",IF($J320="","",$J320-$K320),IF($T320="Put",$AA320-$K320,$AA320+$K320)))</f>
        <v/>
      </c>
      <c r="AC320" s="14" t="str">
        <f aca="false">IF(OR($C320="",$T320="Mixta",$J320="",$AA320=""),"",IF($T320="Put",($J320-$AA320)/$J320,($AA320-$J320)/$J320))</f>
        <v/>
      </c>
      <c r="AD320" s="12" t="str">
        <f aca="false">IF($C320="","",IF($Q320&lt;&gt;"",$Q320,IF($V320="Strike",N($E320)*$H320*$I320,IF($V320="Subyacente",IF($J320="","",$J320*$H320*$I320),IF($V320="Ancho",IF($F320="","",ABS($E320-$F320)*$H320*$I320-$K320*$H320*$I320),IF($V320="Prima",$K320*$H320*$I320,""))))))</f>
        <v/>
      </c>
      <c r="AE320" s="12" t="str">
        <f aca="false">IF(OR($C320="",$M320="Abierta",$M320=""),"",(N($K320)-IF(OR($M320="Cerrada",$M320="Rolada"),N($O320),0))*$H320*$I320*IF($U320="Débito",-1,1)-N($L320)-N($P320))</f>
        <v/>
      </c>
      <c r="AF320" s="14" t="str">
        <f aca="false">IF(OR($AE320="",$AD320=""),"",IF($AD320&lt;=0,"",$AE320/$AD320))</f>
        <v/>
      </c>
      <c r="AG320" s="14" t="str">
        <f aca="false">IF($AF320="","",$AF320*365/MAX(N($X320),1))</f>
        <v/>
      </c>
      <c r="AH320" s="14" t="str">
        <f aca="false">IF(OR($C320="",$U320&lt;&gt;"Crédito",$AD320=""),"",IF($AD320&lt;=0,"",($Z320-N($L320))/$AD320))</f>
        <v/>
      </c>
      <c r="AI320" s="14" t="str">
        <f aca="false">IF(OR($AH320="",$W320=""),"",$AH320*365/MAX($W320,1))</f>
        <v/>
      </c>
      <c r="AJ320" s="14" t="str">
        <f aca="false">IF(OR($AE320="",$U320&lt;&gt;"Crédito",N($K320)=0),"",(N($K320)-IF(OR($M320="Cerrada",$M320="Rolada"),N($O320),0))/$K320)</f>
        <v/>
      </c>
      <c r="AK320" s="15" t="str">
        <f aca="false">IF(OR($C320="",$N320=""),"",DATE(YEAR($N320),MONTH($N320),1))</f>
        <v/>
      </c>
      <c r="AL320" s="11" t="str">
        <f aca="false">IF($C320="","",IF($M320="Abierta",0,1))</f>
        <v/>
      </c>
      <c r="AM320" s="16" t="str">
        <f aca="false">IF(OR($AE320="",$AD320=""),"",$AD320*MAX(N($X320),1))</f>
        <v/>
      </c>
      <c r="AN320" s="10" t="str">
        <f aca="false">IF($C320="","",IF(OR($B320="",$D320="",$H320="",$K320="",$M320=""),"Faltan datos obligatorios",IF($T320="","Estrategia no reconocida",IF(AND($M320&lt;&gt;"Abierta",$N320=""),"Falta fecha cierre",IF(AND(OR($M320="Cerrada",$M320="Rolada"),$O320=""),"Falta prima cierre",IF(AND($N320&lt;&gt;"",$N320&lt;$B320),"Cierre anterior a apertura",IF(AND($M320="Asignada",$R320=""),"Asignada: falta ID lote acciones",IF(AND($R320&lt;&gt;"",ISNA(MATCH($R320,Acciones!$A$2:$A$201,0))),"El ID lote no existe en Acciones",IF($AD320="","Revisa capital en riesgo","OK")))))))))</f>
        <v/>
      </c>
    </row>
    <row r="321" customFormat="false" ht="15" hidden="false" customHeight="true" outlineLevel="0" collapsed="false">
      <c r="A321" s="5"/>
      <c r="B321" s="6"/>
      <c r="C321" s="7"/>
      <c r="D321" s="7"/>
      <c r="E321" s="8"/>
      <c r="F321" s="8"/>
      <c r="G321" s="6"/>
      <c r="H321" s="5"/>
      <c r="I321" s="5" t="n">
        <v>100</v>
      </c>
      <c r="J321" s="8"/>
      <c r="K321" s="8"/>
      <c r="L321" s="9"/>
      <c r="M321" s="7"/>
      <c r="N321" s="6"/>
      <c r="O321" s="8"/>
      <c r="P321" s="9"/>
      <c r="Q321" s="9"/>
      <c r="R321" s="7"/>
      <c r="S321" s="7"/>
      <c r="T321" s="10" t="str">
        <f aca="false">IF($C321="","",IFERROR(INDEX(Listas!$B$2:$B$20,MATCH($D321,Listas!$A$2:$A$20,0)),""))</f>
        <v/>
      </c>
      <c r="U321" s="10" t="str">
        <f aca="false">IF($C321="","",IFERROR(INDEX(Listas!$C$2:$C$20,MATCH($D321,Listas!$A$2:$A$20,0)),""))</f>
        <v/>
      </c>
      <c r="V321" s="10" t="str">
        <f aca="false">IF($C321="","",IFERROR(INDEX(Listas!$D$2:$D$20,MATCH($D321,Listas!$A$2:$A$20,0)),""))</f>
        <v/>
      </c>
      <c r="W321" s="11" t="str">
        <f aca="false">IF(OR($C321="",$B321="",$G321=""),"",$G321-$B321)</f>
        <v/>
      </c>
      <c r="X321" s="11" t="str">
        <f aca="true">IF(OR($C321="",$B321=""),"",IF($N321&lt;&gt;"",$N321,TODAY())-$B321)</f>
        <v/>
      </c>
      <c r="Y321" s="11" t="str">
        <f aca="true">IF(OR($C321="",$M321&lt;&gt;"Abierta",$G321=""),"",MAX($G321-TODAY(),0))</f>
        <v/>
      </c>
      <c r="Z321" s="12" t="str">
        <f aca="false">IF($C321="","",N($K321)*N($H321)*N($I321)*IF($U321="Débito",-1,1))</f>
        <v/>
      </c>
      <c r="AA321" s="13" t="str">
        <f aca="false">IF($C321="","",IF(AND($U321="Débito",$F321&lt;&gt;""),$F321,$E321))</f>
        <v/>
      </c>
      <c r="AB321" s="13" t="str">
        <f aca="false">IF(OR($C321="",$T321="Mixta",$AA321=""),"",IF($V321="Subyacente",IF($J321="","",$J321-$K321),IF($T321="Put",$AA321-$K321,$AA321+$K321)))</f>
        <v/>
      </c>
      <c r="AC321" s="14" t="str">
        <f aca="false">IF(OR($C321="",$T321="Mixta",$J321="",$AA321=""),"",IF($T321="Put",($J321-$AA321)/$J321,($AA321-$J321)/$J321))</f>
        <v/>
      </c>
      <c r="AD321" s="12" t="str">
        <f aca="false">IF($C321="","",IF($Q321&lt;&gt;"",$Q321,IF($V321="Strike",N($E321)*$H321*$I321,IF($V321="Subyacente",IF($J321="","",$J321*$H321*$I321),IF($V321="Ancho",IF($F321="","",ABS($E321-$F321)*$H321*$I321-$K321*$H321*$I321),IF($V321="Prima",$K321*$H321*$I321,""))))))</f>
        <v/>
      </c>
      <c r="AE321" s="12" t="str">
        <f aca="false">IF(OR($C321="",$M321="Abierta",$M321=""),"",(N($K321)-IF(OR($M321="Cerrada",$M321="Rolada"),N($O321),0))*$H321*$I321*IF($U321="Débito",-1,1)-N($L321)-N($P321))</f>
        <v/>
      </c>
      <c r="AF321" s="14" t="str">
        <f aca="false">IF(OR($AE321="",$AD321=""),"",IF($AD321&lt;=0,"",$AE321/$AD321))</f>
        <v/>
      </c>
      <c r="AG321" s="14" t="str">
        <f aca="false">IF($AF321="","",$AF321*365/MAX(N($X321),1))</f>
        <v/>
      </c>
      <c r="AH321" s="14" t="str">
        <f aca="false">IF(OR($C321="",$U321&lt;&gt;"Crédito",$AD321=""),"",IF($AD321&lt;=0,"",($Z321-N($L321))/$AD321))</f>
        <v/>
      </c>
      <c r="AI321" s="14" t="str">
        <f aca="false">IF(OR($AH321="",$W321=""),"",$AH321*365/MAX($W321,1))</f>
        <v/>
      </c>
      <c r="AJ321" s="14" t="str">
        <f aca="false">IF(OR($AE321="",$U321&lt;&gt;"Crédito",N($K321)=0),"",(N($K321)-IF(OR($M321="Cerrada",$M321="Rolada"),N($O321),0))/$K321)</f>
        <v/>
      </c>
      <c r="AK321" s="15" t="str">
        <f aca="false">IF(OR($C321="",$N321=""),"",DATE(YEAR($N321),MONTH($N321),1))</f>
        <v/>
      </c>
      <c r="AL321" s="11" t="str">
        <f aca="false">IF($C321="","",IF($M321="Abierta",0,1))</f>
        <v/>
      </c>
      <c r="AM321" s="16" t="str">
        <f aca="false">IF(OR($AE321="",$AD321=""),"",$AD321*MAX(N($X321),1))</f>
        <v/>
      </c>
      <c r="AN321" s="10" t="str">
        <f aca="false">IF($C321="","",IF(OR($B321="",$D321="",$H321="",$K321="",$M321=""),"Faltan datos obligatorios",IF($T321="","Estrategia no reconocida",IF(AND($M321&lt;&gt;"Abierta",$N321=""),"Falta fecha cierre",IF(AND(OR($M321="Cerrada",$M321="Rolada"),$O321=""),"Falta prima cierre",IF(AND($N321&lt;&gt;"",$N321&lt;$B321),"Cierre anterior a apertura",IF(AND($M321="Asignada",$R321=""),"Asignada: falta ID lote acciones",IF(AND($R321&lt;&gt;"",ISNA(MATCH($R321,Acciones!$A$2:$A$201,0))),"El ID lote no existe en Acciones",IF($AD321="","Revisa capital en riesgo","OK")))))))))</f>
        <v/>
      </c>
    </row>
    <row r="322" customFormat="false" ht="15" hidden="false" customHeight="true" outlineLevel="0" collapsed="false">
      <c r="A322" s="5"/>
      <c r="B322" s="6"/>
      <c r="C322" s="7"/>
      <c r="D322" s="7"/>
      <c r="E322" s="8"/>
      <c r="F322" s="8"/>
      <c r="G322" s="6"/>
      <c r="H322" s="5"/>
      <c r="I322" s="5" t="n">
        <v>100</v>
      </c>
      <c r="J322" s="8"/>
      <c r="K322" s="8"/>
      <c r="L322" s="9"/>
      <c r="M322" s="7"/>
      <c r="N322" s="6"/>
      <c r="O322" s="8"/>
      <c r="P322" s="9"/>
      <c r="Q322" s="9"/>
      <c r="R322" s="7"/>
      <c r="S322" s="7"/>
      <c r="T322" s="10" t="str">
        <f aca="false">IF($C322="","",IFERROR(INDEX(Listas!$B$2:$B$20,MATCH($D322,Listas!$A$2:$A$20,0)),""))</f>
        <v/>
      </c>
      <c r="U322" s="10" t="str">
        <f aca="false">IF($C322="","",IFERROR(INDEX(Listas!$C$2:$C$20,MATCH($D322,Listas!$A$2:$A$20,0)),""))</f>
        <v/>
      </c>
      <c r="V322" s="10" t="str">
        <f aca="false">IF($C322="","",IFERROR(INDEX(Listas!$D$2:$D$20,MATCH($D322,Listas!$A$2:$A$20,0)),""))</f>
        <v/>
      </c>
      <c r="W322" s="11" t="str">
        <f aca="false">IF(OR($C322="",$B322="",$G322=""),"",$G322-$B322)</f>
        <v/>
      </c>
      <c r="X322" s="11" t="str">
        <f aca="true">IF(OR($C322="",$B322=""),"",IF($N322&lt;&gt;"",$N322,TODAY())-$B322)</f>
        <v/>
      </c>
      <c r="Y322" s="11" t="str">
        <f aca="true">IF(OR($C322="",$M322&lt;&gt;"Abierta",$G322=""),"",MAX($G322-TODAY(),0))</f>
        <v/>
      </c>
      <c r="Z322" s="12" t="str">
        <f aca="false">IF($C322="","",N($K322)*N($H322)*N($I322)*IF($U322="Débito",-1,1))</f>
        <v/>
      </c>
      <c r="AA322" s="13" t="str">
        <f aca="false">IF($C322="","",IF(AND($U322="Débito",$F322&lt;&gt;""),$F322,$E322))</f>
        <v/>
      </c>
      <c r="AB322" s="13" t="str">
        <f aca="false">IF(OR($C322="",$T322="Mixta",$AA322=""),"",IF($V322="Subyacente",IF($J322="","",$J322-$K322),IF($T322="Put",$AA322-$K322,$AA322+$K322)))</f>
        <v/>
      </c>
      <c r="AC322" s="14" t="str">
        <f aca="false">IF(OR($C322="",$T322="Mixta",$J322="",$AA322=""),"",IF($T322="Put",($J322-$AA322)/$J322,($AA322-$J322)/$J322))</f>
        <v/>
      </c>
      <c r="AD322" s="12" t="str">
        <f aca="false">IF($C322="","",IF($Q322&lt;&gt;"",$Q322,IF($V322="Strike",N($E322)*$H322*$I322,IF($V322="Subyacente",IF($J322="","",$J322*$H322*$I322),IF($V322="Ancho",IF($F322="","",ABS($E322-$F322)*$H322*$I322-$K322*$H322*$I322),IF($V322="Prima",$K322*$H322*$I322,""))))))</f>
        <v/>
      </c>
      <c r="AE322" s="12" t="str">
        <f aca="false">IF(OR($C322="",$M322="Abierta",$M322=""),"",(N($K322)-IF(OR($M322="Cerrada",$M322="Rolada"),N($O322),0))*$H322*$I322*IF($U322="Débito",-1,1)-N($L322)-N($P322))</f>
        <v/>
      </c>
      <c r="AF322" s="14" t="str">
        <f aca="false">IF(OR($AE322="",$AD322=""),"",IF($AD322&lt;=0,"",$AE322/$AD322))</f>
        <v/>
      </c>
      <c r="AG322" s="14" t="str">
        <f aca="false">IF($AF322="","",$AF322*365/MAX(N($X322),1))</f>
        <v/>
      </c>
      <c r="AH322" s="14" t="str">
        <f aca="false">IF(OR($C322="",$U322&lt;&gt;"Crédito",$AD322=""),"",IF($AD322&lt;=0,"",($Z322-N($L322))/$AD322))</f>
        <v/>
      </c>
      <c r="AI322" s="14" t="str">
        <f aca="false">IF(OR($AH322="",$W322=""),"",$AH322*365/MAX($W322,1))</f>
        <v/>
      </c>
      <c r="AJ322" s="14" t="str">
        <f aca="false">IF(OR($AE322="",$U322&lt;&gt;"Crédito",N($K322)=0),"",(N($K322)-IF(OR($M322="Cerrada",$M322="Rolada"),N($O322),0))/$K322)</f>
        <v/>
      </c>
      <c r="AK322" s="15" t="str">
        <f aca="false">IF(OR($C322="",$N322=""),"",DATE(YEAR($N322),MONTH($N322),1))</f>
        <v/>
      </c>
      <c r="AL322" s="11" t="str">
        <f aca="false">IF($C322="","",IF($M322="Abierta",0,1))</f>
        <v/>
      </c>
      <c r="AM322" s="16" t="str">
        <f aca="false">IF(OR($AE322="",$AD322=""),"",$AD322*MAX(N($X322),1))</f>
        <v/>
      </c>
      <c r="AN322" s="10" t="str">
        <f aca="false">IF($C322="","",IF(OR($B322="",$D322="",$H322="",$K322="",$M322=""),"Faltan datos obligatorios",IF($T322="","Estrategia no reconocida",IF(AND($M322&lt;&gt;"Abierta",$N322=""),"Falta fecha cierre",IF(AND(OR($M322="Cerrada",$M322="Rolada"),$O322=""),"Falta prima cierre",IF(AND($N322&lt;&gt;"",$N322&lt;$B322),"Cierre anterior a apertura",IF(AND($M322="Asignada",$R322=""),"Asignada: falta ID lote acciones",IF(AND($R322&lt;&gt;"",ISNA(MATCH($R322,Acciones!$A$2:$A$201,0))),"El ID lote no existe en Acciones",IF($AD322="","Revisa capital en riesgo","OK")))))))))</f>
        <v/>
      </c>
    </row>
    <row r="323" customFormat="false" ht="15" hidden="false" customHeight="true" outlineLevel="0" collapsed="false">
      <c r="A323" s="5"/>
      <c r="B323" s="6"/>
      <c r="C323" s="7"/>
      <c r="D323" s="7"/>
      <c r="E323" s="8"/>
      <c r="F323" s="8"/>
      <c r="G323" s="6"/>
      <c r="H323" s="5"/>
      <c r="I323" s="5" t="n">
        <v>100</v>
      </c>
      <c r="J323" s="8"/>
      <c r="K323" s="8"/>
      <c r="L323" s="9"/>
      <c r="M323" s="7"/>
      <c r="N323" s="6"/>
      <c r="O323" s="8"/>
      <c r="P323" s="9"/>
      <c r="Q323" s="9"/>
      <c r="R323" s="7"/>
      <c r="S323" s="7"/>
      <c r="T323" s="10" t="str">
        <f aca="false">IF($C323="","",IFERROR(INDEX(Listas!$B$2:$B$20,MATCH($D323,Listas!$A$2:$A$20,0)),""))</f>
        <v/>
      </c>
      <c r="U323" s="10" t="str">
        <f aca="false">IF($C323="","",IFERROR(INDEX(Listas!$C$2:$C$20,MATCH($D323,Listas!$A$2:$A$20,0)),""))</f>
        <v/>
      </c>
      <c r="V323" s="10" t="str">
        <f aca="false">IF($C323="","",IFERROR(INDEX(Listas!$D$2:$D$20,MATCH($D323,Listas!$A$2:$A$20,0)),""))</f>
        <v/>
      </c>
      <c r="W323" s="11" t="str">
        <f aca="false">IF(OR($C323="",$B323="",$G323=""),"",$G323-$B323)</f>
        <v/>
      </c>
      <c r="X323" s="11" t="str">
        <f aca="true">IF(OR($C323="",$B323=""),"",IF($N323&lt;&gt;"",$N323,TODAY())-$B323)</f>
        <v/>
      </c>
      <c r="Y323" s="11" t="str">
        <f aca="true">IF(OR($C323="",$M323&lt;&gt;"Abierta",$G323=""),"",MAX($G323-TODAY(),0))</f>
        <v/>
      </c>
      <c r="Z323" s="12" t="str">
        <f aca="false">IF($C323="","",N($K323)*N($H323)*N($I323)*IF($U323="Débito",-1,1))</f>
        <v/>
      </c>
      <c r="AA323" s="13" t="str">
        <f aca="false">IF($C323="","",IF(AND($U323="Débito",$F323&lt;&gt;""),$F323,$E323))</f>
        <v/>
      </c>
      <c r="AB323" s="13" t="str">
        <f aca="false">IF(OR($C323="",$T323="Mixta",$AA323=""),"",IF($V323="Subyacente",IF($J323="","",$J323-$K323),IF($T323="Put",$AA323-$K323,$AA323+$K323)))</f>
        <v/>
      </c>
      <c r="AC323" s="14" t="str">
        <f aca="false">IF(OR($C323="",$T323="Mixta",$J323="",$AA323=""),"",IF($T323="Put",($J323-$AA323)/$J323,($AA323-$J323)/$J323))</f>
        <v/>
      </c>
      <c r="AD323" s="12" t="str">
        <f aca="false">IF($C323="","",IF($Q323&lt;&gt;"",$Q323,IF($V323="Strike",N($E323)*$H323*$I323,IF($V323="Subyacente",IF($J323="","",$J323*$H323*$I323),IF($V323="Ancho",IF($F323="","",ABS($E323-$F323)*$H323*$I323-$K323*$H323*$I323),IF($V323="Prima",$K323*$H323*$I323,""))))))</f>
        <v/>
      </c>
      <c r="AE323" s="12" t="str">
        <f aca="false">IF(OR($C323="",$M323="Abierta",$M323=""),"",(N($K323)-IF(OR($M323="Cerrada",$M323="Rolada"),N($O323),0))*$H323*$I323*IF($U323="Débito",-1,1)-N($L323)-N($P323))</f>
        <v/>
      </c>
      <c r="AF323" s="14" t="str">
        <f aca="false">IF(OR($AE323="",$AD323=""),"",IF($AD323&lt;=0,"",$AE323/$AD323))</f>
        <v/>
      </c>
      <c r="AG323" s="14" t="str">
        <f aca="false">IF($AF323="","",$AF323*365/MAX(N($X323),1))</f>
        <v/>
      </c>
      <c r="AH323" s="14" t="str">
        <f aca="false">IF(OR($C323="",$U323&lt;&gt;"Crédito",$AD323=""),"",IF($AD323&lt;=0,"",($Z323-N($L323))/$AD323))</f>
        <v/>
      </c>
      <c r="AI323" s="14" t="str">
        <f aca="false">IF(OR($AH323="",$W323=""),"",$AH323*365/MAX($W323,1))</f>
        <v/>
      </c>
      <c r="AJ323" s="14" t="str">
        <f aca="false">IF(OR($AE323="",$U323&lt;&gt;"Crédito",N($K323)=0),"",(N($K323)-IF(OR($M323="Cerrada",$M323="Rolada"),N($O323),0))/$K323)</f>
        <v/>
      </c>
      <c r="AK323" s="15" t="str">
        <f aca="false">IF(OR($C323="",$N323=""),"",DATE(YEAR($N323),MONTH($N323),1))</f>
        <v/>
      </c>
      <c r="AL323" s="11" t="str">
        <f aca="false">IF($C323="","",IF($M323="Abierta",0,1))</f>
        <v/>
      </c>
      <c r="AM323" s="16" t="str">
        <f aca="false">IF(OR($AE323="",$AD323=""),"",$AD323*MAX(N($X323),1))</f>
        <v/>
      </c>
      <c r="AN323" s="10" t="str">
        <f aca="false">IF($C323="","",IF(OR($B323="",$D323="",$H323="",$K323="",$M323=""),"Faltan datos obligatorios",IF($T323="","Estrategia no reconocida",IF(AND($M323&lt;&gt;"Abierta",$N323=""),"Falta fecha cierre",IF(AND(OR($M323="Cerrada",$M323="Rolada"),$O323=""),"Falta prima cierre",IF(AND($N323&lt;&gt;"",$N323&lt;$B323),"Cierre anterior a apertura",IF(AND($M323="Asignada",$R323=""),"Asignada: falta ID lote acciones",IF(AND($R323&lt;&gt;"",ISNA(MATCH($R323,Acciones!$A$2:$A$201,0))),"El ID lote no existe en Acciones",IF($AD323="","Revisa capital en riesgo","OK")))))))))</f>
        <v/>
      </c>
    </row>
    <row r="324" customFormat="false" ht="15" hidden="false" customHeight="true" outlineLevel="0" collapsed="false">
      <c r="A324" s="5"/>
      <c r="B324" s="6"/>
      <c r="C324" s="7"/>
      <c r="D324" s="7"/>
      <c r="E324" s="8"/>
      <c r="F324" s="8"/>
      <c r="G324" s="6"/>
      <c r="H324" s="5"/>
      <c r="I324" s="5" t="n">
        <v>100</v>
      </c>
      <c r="J324" s="8"/>
      <c r="K324" s="8"/>
      <c r="L324" s="9"/>
      <c r="M324" s="7"/>
      <c r="N324" s="6"/>
      <c r="O324" s="8"/>
      <c r="P324" s="9"/>
      <c r="Q324" s="9"/>
      <c r="R324" s="7"/>
      <c r="S324" s="7"/>
      <c r="T324" s="10" t="str">
        <f aca="false">IF($C324="","",IFERROR(INDEX(Listas!$B$2:$B$20,MATCH($D324,Listas!$A$2:$A$20,0)),""))</f>
        <v/>
      </c>
      <c r="U324" s="10" t="str">
        <f aca="false">IF($C324="","",IFERROR(INDEX(Listas!$C$2:$C$20,MATCH($D324,Listas!$A$2:$A$20,0)),""))</f>
        <v/>
      </c>
      <c r="V324" s="10" t="str">
        <f aca="false">IF($C324="","",IFERROR(INDEX(Listas!$D$2:$D$20,MATCH($D324,Listas!$A$2:$A$20,0)),""))</f>
        <v/>
      </c>
      <c r="W324" s="11" t="str">
        <f aca="false">IF(OR($C324="",$B324="",$G324=""),"",$G324-$B324)</f>
        <v/>
      </c>
      <c r="X324" s="11" t="str">
        <f aca="true">IF(OR($C324="",$B324=""),"",IF($N324&lt;&gt;"",$N324,TODAY())-$B324)</f>
        <v/>
      </c>
      <c r="Y324" s="11" t="str">
        <f aca="true">IF(OR($C324="",$M324&lt;&gt;"Abierta",$G324=""),"",MAX($G324-TODAY(),0))</f>
        <v/>
      </c>
      <c r="Z324" s="12" t="str">
        <f aca="false">IF($C324="","",N($K324)*N($H324)*N($I324)*IF($U324="Débito",-1,1))</f>
        <v/>
      </c>
      <c r="AA324" s="13" t="str">
        <f aca="false">IF($C324="","",IF(AND($U324="Débito",$F324&lt;&gt;""),$F324,$E324))</f>
        <v/>
      </c>
      <c r="AB324" s="13" t="str">
        <f aca="false">IF(OR($C324="",$T324="Mixta",$AA324=""),"",IF($V324="Subyacente",IF($J324="","",$J324-$K324),IF($T324="Put",$AA324-$K324,$AA324+$K324)))</f>
        <v/>
      </c>
      <c r="AC324" s="14" t="str">
        <f aca="false">IF(OR($C324="",$T324="Mixta",$J324="",$AA324=""),"",IF($T324="Put",($J324-$AA324)/$J324,($AA324-$J324)/$J324))</f>
        <v/>
      </c>
      <c r="AD324" s="12" t="str">
        <f aca="false">IF($C324="","",IF($Q324&lt;&gt;"",$Q324,IF($V324="Strike",N($E324)*$H324*$I324,IF($V324="Subyacente",IF($J324="","",$J324*$H324*$I324),IF($V324="Ancho",IF($F324="","",ABS($E324-$F324)*$H324*$I324-$K324*$H324*$I324),IF($V324="Prima",$K324*$H324*$I324,""))))))</f>
        <v/>
      </c>
      <c r="AE324" s="12" t="str">
        <f aca="false">IF(OR($C324="",$M324="Abierta",$M324=""),"",(N($K324)-IF(OR($M324="Cerrada",$M324="Rolada"),N($O324),0))*$H324*$I324*IF($U324="Débito",-1,1)-N($L324)-N($P324))</f>
        <v/>
      </c>
      <c r="AF324" s="14" t="str">
        <f aca="false">IF(OR($AE324="",$AD324=""),"",IF($AD324&lt;=0,"",$AE324/$AD324))</f>
        <v/>
      </c>
      <c r="AG324" s="14" t="str">
        <f aca="false">IF($AF324="","",$AF324*365/MAX(N($X324),1))</f>
        <v/>
      </c>
      <c r="AH324" s="14" t="str">
        <f aca="false">IF(OR($C324="",$U324&lt;&gt;"Crédito",$AD324=""),"",IF($AD324&lt;=0,"",($Z324-N($L324))/$AD324))</f>
        <v/>
      </c>
      <c r="AI324" s="14" t="str">
        <f aca="false">IF(OR($AH324="",$W324=""),"",$AH324*365/MAX($W324,1))</f>
        <v/>
      </c>
      <c r="AJ324" s="14" t="str">
        <f aca="false">IF(OR($AE324="",$U324&lt;&gt;"Crédito",N($K324)=0),"",(N($K324)-IF(OR($M324="Cerrada",$M324="Rolada"),N($O324),0))/$K324)</f>
        <v/>
      </c>
      <c r="AK324" s="15" t="str">
        <f aca="false">IF(OR($C324="",$N324=""),"",DATE(YEAR($N324),MONTH($N324),1))</f>
        <v/>
      </c>
      <c r="AL324" s="11" t="str">
        <f aca="false">IF($C324="","",IF($M324="Abierta",0,1))</f>
        <v/>
      </c>
      <c r="AM324" s="16" t="str">
        <f aca="false">IF(OR($AE324="",$AD324=""),"",$AD324*MAX(N($X324),1))</f>
        <v/>
      </c>
      <c r="AN324" s="10" t="str">
        <f aca="false">IF($C324="","",IF(OR($B324="",$D324="",$H324="",$K324="",$M324=""),"Faltan datos obligatorios",IF($T324="","Estrategia no reconocida",IF(AND($M324&lt;&gt;"Abierta",$N324=""),"Falta fecha cierre",IF(AND(OR($M324="Cerrada",$M324="Rolada"),$O324=""),"Falta prima cierre",IF(AND($N324&lt;&gt;"",$N324&lt;$B324),"Cierre anterior a apertura",IF(AND($M324="Asignada",$R324=""),"Asignada: falta ID lote acciones",IF(AND($R324&lt;&gt;"",ISNA(MATCH($R324,Acciones!$A$2:$A$201,0))),"El ID lote no existe en Acciones",IF($AD324="","Revisa capital en riesgo","OK")))))))))</f>
        <v/>
      </c>
    </row>
    <row r="325" customFormat="false" ht="15" hidden="false" customHeight="true" outlineLevel="0" collapsed="false">
      <c r="A325" s="5"/>
      <c r="B325" s="6"/>
      <c r="C325" s="7"/>
      <c r="D325" s="7"/>
      <c r="E325" s="8"/>
      <c r="F325" s="8"/>
      <c r="G325" s="6"/>
      <c r="H325" s="5"/>
      <c r="I325" s="5" t="n">
        <v>100</v>
      </c>
      <c r="J325" s="8"/>
      <c r="K325" s="8"/>
      <c r="L325" s="9"/>
      <c r="M325" s="7"/>
      <c r="N325" s="6"/>
      <c r="O325" s="8"/>
      <c r="P325" s="9"/>
      <c r="Q325" s="9"/>
      <c r="R325" s="7"/>
      <c r="S325" s="7"/>
      <c r="T325" s="10" t="str">
        <f aca="false">IF($C325="","",IFERROR(INDEX(Listas!$B$2:$B$20,MATCH($D325,Listas!$A$2:$A$20,0)),""))</f>
        <v/>
      </c>
      <c r="U325" s="10" t="str">
        <f aca="false">IF($C325="","",IFERROR(INDEX(Listas!$C$2:$C$20,MATCH($D325,Listas!$A$2:$A$20,0)),""))</f>
        <v/>
      </c>
      <c r="V325" s="10" t="str">
        <f aca="false">IF($C325="","",IFERROR(INDEX(Listas!$D$2:$D$20,MATCH($D325,Listas!$A$2:$A$20,0)),""))</f>
        <v/>
      </c>
      <c r="W325" s="11" t="str">
        <f aca="false">IF(OR($C325="",$B325="",$G325=""),"",$G325-$B325)</f>
        <v/>
      </c>
      <c r="X325" s="11" t="str">
        <f aca="true">IF(OR($C325="",$B325=""),"",IF($N325&lt;&gt;"",$N325,TODAY())-$B325)</f>
        <v/>
      </c>
      <c r="Y325" s="11" t="str">
        <f aca="true">IF(OR($C325="",$M325&lt;&gt;"Abierta",$G325=""),"",MAX($G325-TODAY(),0))</f>
        <v/>
      </c>
      <c r="Z325" s="12" t="str">
        <f aca="false">IF($C325="","",N($K325)*N($H325)*N($I325)*IF($U325="Débito",-1,1))</f>
        <v/>
      </c>
      <c r="AA325" s="13" t="str">
        <f aca="false">IF($C325="","",IF(AND($U325="Débito",$F325&lt;&gt;""),$F325,$E325))</f>
        <v/>
      </c>
      <c r="AB325" s="13" t="str">
        <f aca="false">IF(OR($C325="",$T325="Mixta",$AA325=""),"",IF($V325="Subyacente",IF($J325="","",$J325-$K325),IF($T325="Put",$AA325-$K325,$AA325+$K325)))</f>
        <v/>
      </c>
      <c r="AC325" s="14" t="str">
        <f aca="false">IF(OR($C325="",$T325="Mixta",$J325="",$AA325=""),"",IF($T325="Put",($J325-$AA325)/$J325,($AA325-$J325)/$J325))</f>
        <v/>
      </c>
      <c r="AD325" s="12" t="str">
        <f aca="false">IF($C325="","",IF($Q325&lt;&gt;"",$Q325,IF($V325="Strike",N($E325)*$H325*$I325,IF($V325="Subyacente",IF($J325="","",$J325*$H325*$I325),IF($V325="Ancho",IF($F325="","",ABS($E325-$F325)*$H325*$I325-$K325*$H325*$I325),IF($V325="Prima",$K325*$H325*$I325,""))))))</f>
        <v/>
      </c>
      <c r="AE325" s="12" t="str">
        <f aca="false">IF(OR($C325="",$M325="Abierta",$M325=""),"",(N($K325)-IF(OR($M325="Cerrada",$M325="Rolada"),N($O325),0))*$H325*$I325*IF($U325="Débito",-1,1)-N($L325)-N($P325))</f>
        <v/>
      </c>
      <c r="AF325" s="14" t="str">
        <f aca="false">IF(OR($AE325="",$AD325=""),"",IF($AD325&lt;=0,"",$AE325/$AD325))</f>
        <v/>
      </c>
      <c r="AG325" s="14" t="str">
        <f aca="false">IF($AF325="","",$AF325*365/MAX(N($X325),1))</f>
        <v/>
      </c>
      <c r="AH325" s="14" t="str">
        <f aca="false">IF(OR($C325="",$U325&lt;&gt;"Crédito",$AD325=""),"",IF($AD325&lt;=0,"",($Z325-N($L325))/$AD325))</f>
        <v/>
      </c>
      <c r="AI325" s="14" t="str">
        <f aca="false">IF(OR($AH325="",$W325=""),"",$AH325*365/MAX($W325,1))</f>
        <v/>
      </c>
      <c r="AJ325" s="14" t="str">
        <f aca="false">IF(OR($AE325="",$U325&lt;&gt;"Crédito",N($K325)=0),"",(N($K325)-IF(OR($M325="Cerrada",$M325="Rolada"),N($O325),0))/$K325)</f>
        <v/>
      </c>
      <c r="AK325" s="15" t="str">
        <f aca="false">IF(OR($C325="",$N325=""),"",DATE(YEAR($N325),MONTH($N325),1))</f>
        <v/>
      </c>
      <c r="AL325" s="11" t="str">
        <f aca="false">IF($C325="","",IF($M325="Abierta",0,1))</f>
        <v/>
      </c>
      <c r="AM325" s="16" t="str">
        <f aca="false">IF(OR($AE325="",$AD325=""),"",$AD325*MAX(N($X325),1))</f>
        <v/>
      </c>
      <c r="AN325" s="10" t="str">
        <f aca="false">IF($C325="","",IF(OR($B325="",$D325="",$H325="",$K325="",$M325=""),"Faltan datos obligatorios",IF($T325="","Estrategia no reconocida",IF(AND($M325&lt;&gt;"Abierta",$N325=""),"Falta fecha cierre",IF(AND(OR($M325="Cerrada",$M325="Rolada"),$O325=""),"Falta prima cierre",IF(AND($N325&lt;&gt;"",$N325&lt;$B325),"Cierre anterior a apertura",IF(AND($M325="Asignada",$R325=""),"Asignada: falta ID lote acciones",IF(AND($R325&lt;&gt;"",ISNA(MATCH($R325,Acciones!$A$2:$A$201,0))),"El ID lote no existe en Acciones",IF($AD325="","Revisa capital en riesgo","OK")))))))))</f>
        <v/>
      </c>
    </row>
    <row r="326" customFormat="false" ht="15" hidden="false" customHeight="true" outlineLevel="0" collapsed="false">
      <c r="A326" s="5"/>
      <c r="B326" s="6"/>
      <c r="C326" s="7"/>
      <c r="D326" s="7"/>
      <c r="E326" s="8"/>
      <c r="F326" s="8"/>
      <c r="G326" s="6"/>
      <c r="H326" s="5"/>
      <c r="I326" s="5" t="n">
        <v>100</v>
      </c>
      <c r="J326" s="8"/>
      <c r="K326" s="8"/>
      <c r="L326" s="9"/>
      <c r="M326" s="7"/>
      <c r="N326" s="6"/>
      <c r="O326" s="8"/>
      <c r="P326" s="9"/>
      <c r="Q326" s="9"/>
      <c r="R326" s="7"/>
      <c r="S326" s="7"/>
      <c r="T326" s="10" t="str">
        <f aca="false">IF($C326="","",IFERROR(INDEX(Listas!$B$2:$B$20,MATCH($D326,Listas!$A$2:$A$20,0)),""))</f>
        <v/>
      </c>
      <c r="U326" s="10" t="str">
        <f aca="false">IF($C326="","",IFERROR(INDEX(Listas!$C$2:$C$20,MATCH($D326,Listas!$A$2:$A$20,0)),""))</f>
        <v/>
      </c>
      <c r="V326" s="10" t="str">
        <f aca="false">IF($C326="","",IFERROR(INDEX(Listas!$D$2:$D$20,MATCH($D326,Listas!$A$2:$A$20,0)),""))</f>
        <v/>
      </c>
      <c r="W326" s="11" t="str">
        <f aca="false">IF(OR($C326="",$B326="",$G326=""),"",$G326-$B326)</f>
        <v/>
      </c>
      <c r="X326" s="11" t="str">
        <f aca="true">IF(OR($C326="",$B326=""),"",IF($N326&lt;&gt;"",$N326,TODAY())-$B326)</f>
        <v/>
      </c>
      <c r="Y326" s="11" t="str">
        <f aca="true">IF(OR($C326="",$M326&lt;&gt;"Abierta",$G326=""),"",MAX($G326-TODAY(),0))</f>
        <v/>
      </c>
      <c r="Z326" s="12" t="str">
        <f aca="false">IF($C326="","",N($K326)*N($H326)*N($I326)*IF($U326="Débito",-1,1))</f>
        <v/>
      </c>
      <c r="AA326" s="13" t="str">
        <f aca="false">IF($C326="","",IF(AND($U326="Débito",$F326&lt;&gt;""),$F326,$E326))</f>
        <v/>
      </c>
      <c r="AB326" s="13" t="str">
        <f aca="false">IF(OR($C326="",$T326="Mixta",$AA326=""),"",IF($V326="Subyacente",IF($J326="","",$J326-$K326),IF($T326="Put",$AA326-$K326,$AA326+$K326)))</f>
        <v/>
      </c>
      <c r="AC326" s="14" t="str">
        <f aca="false">IF(OR($C326="",$T326="Mixta",$J326="",$AA326=""),"",IF($T326="Put",($J326-$AA326)/$J326,($AA326-$J326)/$J326))</f>
        <v/>
      </c>
      <c r="AD326" s="12" t="str">
        <f aca="false">IF($C326="","",IF($Q326&lt;&gt;"",$Q326,IF($V326="Strike",N($E326)*$H326*$I326,IF($V326="Subyacente",IF($J326="","",$J326*$H326*$I326),IF($V326="Ancho",IF($F326="","",ABS($E326-$F326)*$H326*$I326-$K326*$H326*$I326),IF($V326="Prima",$K326*$H326*$I326,""))))))</f>
        <v/>
      </c>
      <c r="AE326" s="12" t="str">
        <f aca="false">IF(OR($C326="",$M326="Abierta",$M326=""),"",(N($K326)-IF(OR($M326="Cerrada",$M326="Rolada"),N($O326),0))*$H326*$I326*IF($U326="Débito",-1,1)-N($L326)-N($P326))</f>
        <v/>
      </c>
      <c r="AF326" s="14" t="str">
        <f aca="false">IF(OR($AE326="",$AD326=""),"",IF($AD326&lt;=0,"",$AE326/$AD326))</f>
        <v/>
      </c>
      <c r="AG326" s="14" t="str">
        <f aca="false">IF($AF326="","",$AF326*365/MAX(N($X326),1))</f>
        <v/>
      </c>
      <c r="AH326" s="14" t="str">
        <f aca="false">IF(OR($C326="",$U326&lt;&gt;"Crédito",$AD326=""),"",IF($AD326&lt;=0,"",($Z326-N($L326))/$AD326))</f>
        <v/>
      </c>
      <c r="AI326" s="14" t="str">
        <f aca="false">IF(OR($AH326="",$W326=""),"",$AH326*365/MAX($W326,1))</f>
        <v/>
      </c>
      <c r="AJ326" s="14" t="str">
        <f aca="false">IF(OR($AE326="",$U326&lt;&gt;"Crédito",N($K326)=0),"",(N($K326)-IF(OR($M326="Cerrada",$M326="Rolada"),N($O326),0))/$K326)</f>
        <v/>
      </c>
      <c r="AK326" s="15" t="str">
        <f aca="false">IF(OR($C326="",$N326=""),"",DATE(YEAR($N326),MONTH($N326),1))</f>
        <v/>
      </c>
      <c r="AL326" s="11" t="str">
        <f aca="false">IF($C326="","",IF($M326="Abierta",0,1))</f>
        <v/>
      </c>
      <c r="AM326" s="16" t="str">
        <f aca="false">IF(OR($AE326="",$AD326=""),"",$AD326*MAX(N($X326),1))</f>
        <v/>
      </c>
      <c r="AN326" s="10" t="str">
        <f aca="false">IF($C326="","",IF(OR($B326="",$D326="",$H326="",$K326="",$M326=""),"Faltan datos obligatorios",IF($T326="","Estrategia no reconocida",IF(AND($M326&lt;&gt;"Abierta",$N326=""),"Falta fecha cierre",IF(AND(OR($M326="Cerrada",$M326="Rolada"),$O326=""),"Falta prima cierre",IF(AND($N326&lt;&gt;"",$N326&lt;$B326),"Cierre anterior a apertura",IF(AND($M326="Asignada",$R326=""),"Asignada: falta ID lote acciones",IF(AND($R326&lt;&gt;"",ISNA(MATCH($R326,Acciones!$A$2:$A$201,0))),"El ID lote no existe en Acciones",IF($AD326="","Revisa capital en riesgo","OK")))))))))</f>
        <v/>
      </c>
    </row>
    <row r="327" customFormat="false" ht="15" hidden="false" customHeight="true" outlineLevel="0" collapsed="false">
      <c r="A327" s="5"/>
      <c r="B327" s="6"/>
      <c r="C327" s="7"/>
      <c r="D327" s="7"/>
      <c r="E327" s="8"/>
      <c r="F327" s="8"/>
      <c r="G327" s="6"/>
      <c r="H327" s="5"/>
      <c r="I327" s="5" t="n">
        <v>100</v>
      </c>
      <c r="J327" s="8"/>
      <c r="K327" s="8"/>
      <c r="L327" s="9"/>
      <c r="M327" s="7"/>
      <c r="N327" s="6"/>
      <c r="O327" s="8"/>
      <c r="P327" s="9"/>
      <c r="Q327" s="9"/>
      <c r="R327" s="7"/>
      <c r="S327" s="7"/>
      <c r="T327" s="10" t="str">
        <f aca="false">IF($C327="","",IFERROR(INDEX(Listas!$B$2:$B$20,MATCH($D327,Listas!$A$2:$A$20,0)),""))</f>
        <v/>
      </c>
      <c r="U327" s="10" t="str">
        <f aca="false">IF($C327="","",IFERROR(INDEX(Listas!$C$2:$C$20,MATCH($D327,Listas!$A$2:$A$20,0)),""))</f>
        <v/>
      </c>
      <c r="V327" s="10" t="str">
        <f aca="false">IF($C327="","",IFERROR(INDEX(Listas!$D$2:$D$20,MATCH($D327,Listas!$A$2:$A$20,0)),""))</f>
        <v/>
      </c>
      <c r="W327" s="11" t="str">
        <f aca="false">IF(OR($C327="",$B327="",$G327=""),"",$G327-$B327)</f>
        <v/>
      </c>
      <c r="X327" s="11" t="str">
        <f aca="true">IF(OR($C327="",$B327=""),"",IF($N327&lt;&gt;"",$N327,TODAY())-$B327)</f>
        <v/>
      </c>
      <c r="Y327" s="11" t="str">
        <f aca="true">IF(OR($C327="",$M327&lt;&gt;"Abierta",$G327=""),"",MAX($G327-TODAY(),0))</f>
        <v/>
      </c>
      <c r="Z327" s="12" t="str">
        <f aca="false">IF($C327="","",N($K327)*N($H327)*N($I327)*IF($U327="Débito",-1,1))</f>
        <v/>
      </c>
      <c r="AA327" s="13" t="str">
        <f aca="false">IF($C327="","",IF(AND($U327="Débito",$F327&lt;&gt;""),$F327,$E327))</f>
        <v/>
      </c>
      <c r="AB327" s="13" t="str">
        <f aca="false">IF(OR($C327="",$T327="Mixta",$AA327=""),"",IF($V327="Subyacente",IF($J327="","",$J327-$K327),IF($T327="Put",$AA327-$K327,$AA327+$K327)))</f>
        <v/>
      </c>
      <c r="AC327" s="14" t="str">
        <f aca="false">IF(OR($C327="",$T327="Mixta",$J327="",$AA327=""),"",IF($T327="Put",($J327-$AA327)/$J327,($AA327-$J327)/$J327))</f>
        <v/>
      </c>
      <c r="AD327" s="12" t="str">
        <f aca="false">IF($C327="","",IF($Q327&lt;&gt;"",$Q327,IF($V327="Strike",N($E327)*$H327*$I327,IF($V327="Subyacente",IF($J327="","",$J327*$H327*$I327),IF($V327="Ancho",IF($F327="","",ABS($E327-$F327)*$H327*$I327-$K327*$H327*$I327),IF($V327="Prima",$K327*$H327*$I327,""))))))</f>
        <v/>
      </c>
      <c r="AE327" s="12" t="str">
        <f aca="false">IF(OR($C327="",$M327="Abierta",$M327=""),"",(N($K327)-IF(OR($M327="Cerrada",$M327="Rolada"),N($O327),0))*$H327*$I327*IF($U327="Débito",-1,1)-N($L327)-N($P327))</f>
        <v/>
      </c>
      <c r="AF327" s="14" t="str">
        <f aca="false">IF(OR($AE327="",$AD327=""),"",IF($AD327&lt;=0,"",$AE327/$AD327))</f>
        <v/>
      </c>
      <c r="AG327" s="14" t="str">
        <f aca="false">IF($AF327="","",$AF327*365/MAX(N($X327),1))</f>
        <v/>
      </c>
      <c r="AH327" s="14" t="str">
        <f aca="false">IF(OR($C327="",$U327&lt;&gt;"Crédito",$AD327=""),"",IF($AD327&lt;=0,"",($Z327-N($L327))/$AD327))</f>
        <v/>
      </c>
      <c r="AI327" s="14" t="str">
        <f aca="false">IF(OR($AH327="",$W327=""),"",$AH327*365/MAX($W327,1))</f>
        <v/>
      </c>
      <c r="AJ327" s="14" t="str">
        <f aca="false">IF(OR($AE327="",$U327&lt;&gt;"Crédito",N($K327)=0),"",(N($K327)-IF(OR($M327="Cerrada",$M327="Rolada"),N($O327),0))/$K327)</f>
        <v/>
      </c>
      <c r="AK327" s="15" t="str">
        <f aca="false">IF(OR($C327="",$N327=""),"",DATE(YEAR($N327),MONTH($N327),1))</f>
        <v/>
      </c>
      <c r="AL327" s="11" t="str">
        <f aca="false">IF($C327="","",IF($M327="Abierta",0,1))</f>
        <v/>
      </c>
      <c r="AM327" s="16" t="str">
        <f aca="false">IF(OR($AE327="",$AD327=""),"",$AD327*MAX(N($X327),1))</f>
        <v/>
      </c>
      <c r="AN327" s="10" t="str">
        <f aca="false">IF($C327="","",IF(OR($B327="",$D327="",$H327="",$K327="",$M327=""),"Faltan datos obligatorios",IF($T327="","Estrategia no reconocida",IF(AND($M327&lt;&gt;"Abierta",$N327=""),"Falta fecha cierre",IF(AND(OR($M327="Cerrada",$M327="Rolada"),$O327=""),"Falta prima cierre",IF(AND($N327&lt;&gt;"",$N327&lt;$B327),"Cierre anterior a apertura",IF(AND($M327="Asignada",$R327=""),"Asignada: falta ID lote acciones",IF(AND($R327&lt;&gt;"",ISNA(MATCH($R327,Acciones!$A$2:$A$201,0))),"El ID lote no existe en Acciones",IF($AD327="","Revisa capital en riesgo","OK")))))))))</f>
        <v/>
      </c>
    </row>
    <row r="328" customFormat="false" ht="15" hidden="false" customHeight="true" outlineLevel="0" collapsed="false">
      <c r="A328" s="5"/>
      <c r="B328" s="6"/>
      <c r="C328" s="7"/>
      <c r="D328" s="7"/>
      <c r="E328" s="8"/>
      <c r="F328" s="8"/>
      <c r="G328" s="6"/>
      <c r="H328" s="5"/>
      <c r="I328" s="5" t="n">
        <v>100</v>
      </c>
      <c r="J328" s="8"/>
      <c r="K328" s="8"/>
      <c r="L328" s="9"/>
      <c r="M328" s="7"/>
      <c r="N328" s="6"/>
      <c r="O328" s="8"/>
      <c r="P328" s="9"/>
      <c r="Q328" s="9"/>
      <c r="R328" s="7"/>
      <c r="S328" s="7"/>
      <c r="T328" s="10" t="str">
        <f aca="false">IF($C328="","",IFERROR(INDEX(Listas!$B$2:$B$20,MATCH($D328,Listas!$A$2:$A$20,0)),""))</f>
        <v/>
      </c>
      <c r="U328" s="10" t="str">
        <f aca="false">IF($C328="","",IFERROR(INDEX(Listas!$C$2:$C$20,MATCH($D328,Listas!$A$2:$A$20,0)),""))</f>
        <v/>
      </c>
      <c r="V328" s="10" t="str">
        <f aca="false">IF($C328="","",IFERROR(INDEX(Listas!$D$2:$D$20,MATCH($D328,Listas!$A$2:$A$20,0)),""))</f>
        <v/>
      </c>
      <c r="W328" s="11" t="str">
        <f aca="false">IF(OR($C328="",$B328="",$G328=""),"",$G328-$B328)</f>
        <v/>
      </c>
      <c r="X328" s="11" t="str">
        <f aca="true">IF(OR($C328="",$B328=""),"",IF($N328&lt;&gt;"",$N328,TODAY())-$B328)</f>
        <v/>
      </c>
      <c r="Y328" s="11" t="str">
        <f aca="true">IF(OR($C328="",$M328&lt;&gt;"Abierta",$G328=""),"",MAX($G328-TODAY(),0))</f>
        <v/>
      </c>
      <c r="Z328" s="12" t="str">
        <f aca="false">IF($C328="","",N($K328)*N($H328)*N($I328)*IF($U328="Débito",-1,1))</f>
        <v/>
      </c>
      <c r="AA328" s="13" t="str">
        <f aca="false">IF($C328="","",IF(AND($U328="Débito",$F328&lt;&gt;""),$F328,$E328))</f>
        <v/>
      </c>
      <c r="AB328" s="13" t="str">
        <f aca="false">IF(OR($C328="",$T328="Mixta",$AA328=""),"",IF($V328="Subyacente",IF($J328="","",$J328-$K328),IF($T328="Put",$AA328-$K328,$AA328+$K328)))</f>
        <v/>
      </c>
      <c r="AC328" s="14" t="str">
        <f aca="false">IF(OR($C328="",$T328="Mixta",$J328="",$AA328=""),"",IF($T328="Put",($J328-$AA328)/$J328,($AA328-$J328)/$J328))</f>
        <v/>
      </c>
      <c r="AD328" s="12" t="str">
        <f aca="false">IF($C328="","",IF($Q328&lt;&gt;"",$Q328,IF($V328="Strike",N($E328)*$H328*$I328,IF($V328="Subyacente",IF($J328="","",$J328*$H328*$I328),IF($V328="Ancho",IF($F328="","",ABS($E328-$F328)*$H328*$I328-$K328*$H328*$I328),IF($V328="Prima",$K328*$H328*$I328,""))))))</f>
        <v/>
      </c>
      <c r="AE328" s="12" t="str">
        <f aca="false">IF(OR($C328="",$M328="Abierta",$M328=""),"",(N($K328)-IF(OR($M328="Cerrada",$M328="Rolada"),N($O328),0))*$H328*$I328*IF($U328="Débito",-1,1)-N($L328)-N($P328))</f>
        <v/>
      </c>
      <c r="AF328" s="14" t="str">
        <f aca="false">IF(OR($AE328="",$AD328=""),"",IF($AD328&lt;=0,"",$AE328/$AD328))</f>
        <v/>
      </c>
      <c r="AG328" s="14" t="str">
        <f aca="false">IF($AF328="","",$AF328*365/MAX(N($X328),1))</f>
        <v/>
      </c>
      <c r="AH328" s="14" t="str">
        <f aca="false">IF(OR($C328="",$U328&lt;&gt;"Crédito",$AD328=""),"",IF($AD328&lt;=0,"",($Z328-N($L328))/$AD328))</f>
        <v/>
      </c>
      <c r="AI328" s="14" t="str">
        <f aca="false">IF(OR($AH328="",$W328=""),"",$AH328*365/MAX($W328,1))</f>
        <v/>
      </c>
      <c r="AJ328" s="14" t="str">
        <f aca="false">IF(OR($AE328="",$U328&lt;&gt;"Crédito",N($K328)=0),"",(N($K328)-IF(OR($M328="Cerrada",$M328="Rolada"),N($O328),0))/$K328)</f>
        <v/>
      </c>
      <c r="AK328" s="15" t="str">
        <f aca="false">IF(OR($C328="",$N328=""),"",DATE(YEAR($N328),MONTH($N328),1))</f>
        <v/>
      </c>
      <c r="AL328" s="11" t="str">
        <f aca="false">IF($C328="","",IF($M328="Abierta",0,1))</f>
        <v/>
      </c>
      <c r="AM328" s="16" t="str">
        <f aca="false">IF(OR($AE328="",$AD328=""),"",$AD328*MAX(N($X328),1))</f>
        <v/>
      </c>
      <c r="AN328" s="10" t="str">
        <f aca="false">IF($C328="","",IF(OR($B328="",$D328="",$H328="",$K328="",$M328=""),"Faltan datos obligatorios",IF($T328="","Estrategia no reconocida",IF(AND($M328&lt;&gt;"Abierta",$N328=""),"Falta fecha cierre",IF(AND(OR($M328="Cerrada",$M328="Rolada"),$O328=""),"Falta prima cierre",IF(AND($N328&lt;&gt;"",$N328&lt;$B328),"Cierre anterior a apertura",IF(AND($M328="Asignada",$R328=""),"Asignada: falta ID lote acciones",IF(AND($R328&lt;&gt;"",ISNA(MATCH($R328,Acciones!$A$2:$A$201,0))),"El ID lote no existe en Acciones",IF($AD328="","Revisa capital en riesgo","OK")))))))))</f>
        <v/>
      </c>
    </row>
    <row r="329" customFormat="false" ht="15" hidden="false" customHeight="true" outlineLevel="0" collapsed="false">
      <c r="A329" s="5"/>
      <c r="B329" s="6"/>
      <c r="C329" s="7"/>
      <c r="D329" s="7"/>
      <c r="E329" s="8"/>
      <c r="F329" s="8"/>
      <c r="G329" s="6"/>
      <c r="H329" s="5"/>
      <c r="I329" s="5" t="n">
        <v>100</v>
      </c>
      <c r="J329" s="8"/>
      <c r="K329" s="8"/>
      <c r="L329" s="9"/>
      <c r="M329" s="7"/>
      <c r="N329" s="6"/>
      <c r="O329" s="8"/>
      <c r="P329" s="9"/>
      <c r="Q329" s="9"/>
      <c r="R329" s="7"/>
      <c r="S329" s="7"/>
      <c r="T329" s="10" t="str">
        <f aca="false">IF($C329="","",IFERROR(INDEX(Listas!$B$2:$B$20,MATCH($D329,Listas!$A$2:$A$20,0)),""))</f>
        <v/>
      </c>
      <c r="U329" s="10" t="str">
        <f aca="false">IF($C329="","",IFERROR(INDEX(Listas!$C$2:$C$20,MATCH($D329,Listas!$A$2:$A$20,0)),""))</f>
        <v/>
      </c>
      <c r="V329" s="10" t="str">
        <f aca="false">IF($C329="","",IFERROR(INDEX(Listas!$D$2:$D$20,MATCH($D329,Listas!$A$2:$A$20,0)),""))</f>
        <v/>
      </c>
      <c r="W329" s="11" t="str">
        <f aca="false">IF(OR($C329="",$B329="",$G329=""),"",$G329-$B329)</f>
        <v/>
      </c>
      <c r="X329" s="11" t="str">
        <f aca="true">IF(OR($C329="",$B329=""),"",IF($N329&lt;&gt;"",$N329,TODAY())-$B329)</f>
        <v/>
      </c>
      <c r="Y329" s="11" t="str">
        <f aca="true">IF(OR($C329="",$M329&lt;&gt;"Abierta",$G329=""),"",MAX($G329-TODAY(),0))</f>
        <v/>
      </c>
      <c r="Z329" s="12" t="str">
        <f aca="false">IF($C329="","",N($K329)*N($H329)*N($I329)*IF($U329="Débito",-1,1))</f>
        <v/>
      </c>
      <c r="AA329" s="13" t="str">
        <f aca="false">IF($C329="","",IF(AND($U329="Débito",$F329&lt;&gt;""),$F329,$E329))</f>
        <v/>
      </c>
      <c r="AB329" s="13" t="str">
        <f aca="false">IF(OR($C329="",$T329="Mixta",$AA329=""),"",IF($V329="Subyacente",IF($J329="","",$J329-$K329),IF($T329="Put",$AA329-$K329,$AA329+$K329)))</f>
        <v/>
      </c>
      <c r="AC329" s="14" t="str">
        <f aca="false">IF(OR($C329="",$T329="Mixta",$J329="",$AA329=""),"",IF($T329="Put",($J329-$AA329)/$J329,($AA329-$J329)/$J329))</f>
        <v/>
      </c>
      <c r="AD329" s="12" t="str">
        <f aca="false">IF($C329="","",IF($Q329&lt;&gt;"",$Q329,IF($V329="Strike",N($E329)*$H329*$I329,IF($V329="Subyacente",IF($J329="","",$J329*$H329*$I329),IF($V329="Ancho",IF($F329="","",ABS($E329-$F329)*$H329*$I329-$K329*$H329*$I329),IF($V329="Prima",$K329*$H329*$I329,""))))))</f>
        <v/>
      </c>
      <c r="AE329" s="12" t="str">
        <f aca="false">IF(OR($C329="",$M329="Abierta",$M329=""),"",(N($K329)-IF(OR($M329="Cerrada",$M329="Rolada"),N($O329),0))*$H329*$I329*IF($U329="Débito",-1,1)-N($L329)-N($P329))</f>
        <v/>
      </c>
      <c r="AF329" s="14" t="str">
        <f aca="false">IF(OR($AE329="",$AD329=""),"",IF($AD329&lt;=0,"",$AE329/$AD329))</f>
        <v/>
      </c>
      <c r="AG329" s="14" t="str">
        <f aca="false">IF($AF329="","",$AF329*365/MAX(N($X329),1))</f>
        <v/>
      </c>
      <c r="AH329" s="14" t="str">
        <f aca="false">IF(OR($C329="",$U329&lt;&gt;"Crédito",$AD329=""),"",IF($AD329&lt;=0,"",($Z329-N($L329))/$AD329))</f>
        <v/>
      </c>
      <c r="AI329" s="14" t="str">
        <f aca="false">IF(OR($AH329="",$W329=""),"",$AH329*365/MAX($W329,1))</f>
        <v/>
      </c>
      <c r="AJ329" s="14" t="str">
        <f aca="false">IF(OR($AE329="",$U329&lt;&gt;"Crédito",N($K329)=0),"",(N($K329)-IF(OR($M329="Cerrada",$M329="Rolada"),N($O329),0))/$K329)</f>
        <v/>
      </c>
      <c r="AK329" s="15" t="str">
        <f aca="false">IF(OR($C329="",$N329=""),"",DATE(YEAR($N329),MONTH($N329),1))</f>
        <v/>
      </c>
      <c r="AL329" s="11" t="str">
        <f aca="false">IF($C329="","",IF($M329="Abierta",0,1))</f>
        <v/>
      </c>
      <c r="AM329" s="16" t="str">
        <f aca="false">IF(OR($AE329="",$AD329=""),"",$AD329*MAX(N($X329),1))</f>
        <v/>
      </c>
      <c r="AN329" s="10" t="str">
        <f aca="false">IF($C329="","",IF(OR($B329="",$D329="",$H329="",$K329="",$M329=""),"Faltan datos obligatorios",IF($T329="","Estrategia no reconocida",IF(AND($M329&lt;&gt;"Abierta",$N329=""),"Falta fecha cierre",IF(AND(OR($M329="Cerrada",$M329="Rolada"),$O329=""),"Falta prima cierre",IF(AND($N329&lt;&gt;"",$N329&lt;$B329),"Cierre anterior a apertura",IF(AND($M329="Asignada",$R329=""),"Asignada: falta ID lote acciones",IF(AND($R329&lt;&gt;"",ISNA(MATCH($R329,Acciones!$A$2:$A$201,0))),"El ID lote no existe en Acciones",IF($AD329="","Revisa capital en riesgo","OK")))))))))</f>
        <v/>
      </c>
    </row>
    <row r="330" customFormat="false" ht="15" hidden="false" customHeight="true" outlineLevel="0" collapsed="false">
      <c r="A330" s="5"/>
      <c r="B330" s="6"/>
      <c r="C330" s="7"/>
      <c r="D330" s="7"/>
      <c r="E330" s="8"/>
      <c r="F330" s="8"/>
      <c r="G330" s="6"/>
      <c r="H330" s="5"/>
      <c r="I330" s="5" t="n">
        <v>100</v>
      </c>
      <c r="J330" s="8"/>
      <c r="K330" s="8"/>
      <c r="L330" s="9"/>
      <c r="M330" s="7"/>
      <c r="N330" s="6"/>
      <c r="O330" s="8"/>
      <c r="P330" s="9"/>
      <c r="Q330" s="9"/>
      <c r="R330" s="7"/>
      <c r="S330" s="7"/>
      <c r="T330" s="10" t="str">
        <f aca="false">IF($C330="","",IFERROR(INDEX(Listas!$B$2:$B$20,MATCH($D330,Listas!$A$2:$A$20,0)),""))</f>
        <v/>
      </c>
      <c r="U330" s="10" t="str">
        <f aca="false">IF($C330="","",IFERROR(INDEX(Listas!$C$2:$C$20,MATCH($D330,Listas!$A$2:$A$20,0)),""))</f>
        <v/>
      </c>
      <c r="V330" s="10" t="str">
        <f aca="false">IF($C330="","",IFERROR(INDEX(Listas!$D$2:$D$20,MATCH($D330,Listas!$A$2:$A$20,0)),""))</f>
        <v/>
      </c>
      <c r="W330" s="11" t="str">
        <f aca="false">IF(OR($C330="",$B330="",$G330=""),"",$G330-$B330)</f>
        <v/>
      </c>
      <c r="X330" s="11" t="str">
        <f aca="true">IF(OR($C330="",$B330=""),"",IF($N330&lt;&gt;"",$N330,TODAY())-$B330)</f>
        <v/>
      </c>
      <c r="Y330" s="11" t="str">
        <f aca="true">IF(OR($C330="",$M330&lt;&gt;"Abierta",$G330=""),"",MAX($G330-TODAY(),0))</f>
        <v/>
      </c>
      <c r="Z330" s="12" t="str">
        <f aca="false">IF($C330="","",N($K330)*N($H330)*N($I330)*IF($U330="Débito",-1,1))</f>
        <v/>
      </c>
      <c r="AA330" s="13" t="str">
        <f aca="false">IF($C330="","",IF(AND($U330="Débito",$F330&lt;&gt;""),$F330,$E330))</f>
        <v/>
      </c>
      <c r="AB330" s="13" t="str">
        <f aca="false">IF(OR($C330="",$T330="Mixta",$AA330=""),"",IF($V330="Subyacente",IF($J330="","",$J330-$K330),IF($T330="Put",$AA330-$K330,$AA330+$K330)))</f>
        <v/>
      </c>
      <c r="AC330" s="14" t="str">
        <f aca="false">IF(OR($C330="",$T330="Mixta",$J330="",$AA330=""),"",IF($T330="Put",($J330-$AA330)/$J330,($AA330-$J330)/$J330))</f>
        <v/>
      </c>
      <c r="AD330" s="12" t="str">
        <f aca="false">IF($C330="","",IF($Q330&lt;&gt;"",$Q330,IF($V330="Strike",N($E330)*$H330*$I330,IF($V330="Subyacente",IF($J330="","",$J330*$H330*$I330),IF($V330="Ancho",IF($F330="","",ABS($E330-$F330)*$H330*$I330-$K330*$H330*$I330),IF($V330="Prima",$K330*$H330*$I330,""))))))</f>
        <v/>
      </c>
      <c r="AE330" s="12" t="str">
        <f aca="false">IF(OR($C330="",$M330="Abierta",$M330=""),"",(N($K330)-IF(OR($M330="Cerrada",$M330="Rolada"),N($O330),0))*$H330*$I330*IF($U330="Débito",-1,1)-N($L330)-N($P330))</f>
        <v/>
      </c>
      <c r="AF330" s="14" t="str">
        <f aca="false">IF(OR($AE330="",$AD330=""),"",IF($AD330&lt;=0,"",$AE330/$AD330))</f>
        <v/>
      </c>
      <c r="AG330" s="14" t="str">
        <f aca="false">IF($AF330="","",$AF330*365/MAX(N($X330),1))</f>
        <v/>
      </c>
      <c r="AH330" s="14" t="str">
        <f aca="false">IF(OR($C330="",$U330&lt;&gt;"Crédito",$AD330=""),"",IF($AD330&lt;=0,"",($Z330-N($L330))/$AD330))</f>
        <v/>
      </c>
      <c r="AI330" s="14" t="str">
        <f aca="false">IF(OR($AH330="",$W330=""),"",$AH330*365/MAX($W330,1))</f>
        <v/>
      </c>
      <c r="AJ330" s="14" t="str">
        <f aca="false">IF(OR($AE330="",$U330&lt;&gt;"Crédito",N($K330)=0),"",(N($K330)-IF(OR($M330="Cerrada",$M330="Rolada"),N($O330),0))/$K330)</f>
        <v/>
      </c>
      <c r="AK330" s="15" t="str">
        <f aca="false">IF(OR($C330="",$N330=""),"",DATE(YEAR($N330),MONTH($N330),1))</f>
        <v/>
      </c>
      <c r="AL330" s="11" t="str">
        <f aca="false">IF($C330="","",IF($M330="Abierta",0,1))</f>
        <v/>
      </c>
      <c r="AM330" s="16" t="str">
        <f aca="false">IF(OR($AE330="",$AD330=""),"",$AD330*MAX(N($X330),1))</f>
        <v/>
      </c>
      <c r="AN330" s="10" t="str">
        <f aca="false">IF($C330="","",IF(OR($B330="",$D330="",$H330="",$K330="",$M330=""),"Faltan datos obligatorios",IF($T330="","Estrategia no reconocida",IF(AND($M330&lt;&gt;"Abierta",$N330=""),"Falta fecha cierre",IF(AND(OR($M330="Cerrada",$M330="Rolada"),$O330=""),"Falta prima cierre",IF(AND($N330&lt;&gt;"",$N330&lt;$B330),"Cierre anterior a apertura",IF(AND($M330="Asignada",$R330=""),"Asignada: falta ID lote acciones",IF(AND($R330&lt;&gt;"",ISNA(MATCH($R330,Acciones!$A$2:$A$201,0))),"El ID lote no existe en Acciones",IF($AD330="","Revisa capital en riesgo","OK")))))))))</f>
        <v/>
      </c>
    </row>
    <row r="331" customFormat="false" ht="15" hidden="false" customHeight="true" outlineLevel="0" collapsed="false">
      <c r="A331" s="5"/>
      <c r="B331" s="6"/>
      <c r="C331" s="7"/>
      <c r="D331" s="7"/>
      <c r="E331" s="8"/>
      <c r="F331" s="8"/>
      <c r="G331" s="6"/>
      <c r="H331" s="5"/>
      <c r="I331" s="5" t="n">
        <v>100</v>
      </c>
      <c r="J331" s="8"/>
      <c r="K331" s="8"/>
      <c r="L331" s="9"/>
      <c r="M331" s="7"/>
      <c r="N331" s="6"/>
      <c r="O331" s="8"/>
      <c r="P331" s="9"/>
      <c r="Q331" s="9"/>
      <c r="R331" s="7"/>
      <c r="S331" s="7"/>
      <c r="T331" s="10" t="str">
        <f aca="false">IF($C331="","",IFERROR(INDEX(Listas!$B$2:$B$20,MATCH($D331,Listas!$A$2:$A$20,0)),""))</f>
        <v/>
      </c>
      <c r="U331" s="10" t="str">
        <f aca="false">IF($C331="","",IFERROR(INDEX(Listas!$C$2:$C$20,MATCH($D331,Listas!$A$2:$A$20,0)),""))</f>
        <v/>
      </c>
      <c r="V331" s="10" t="str">
        <f aca="false">IF($C331="","",IFERROR(INDEX(Listas!$D$2:$D$20,MATCH($D331,Listas!$A$2:$A$20,0)),""))</f>
        <v/>
      </c>
      <c r="W331" s="11" t="str">
        <f aca="false">IF(OR($C331="",$B331="",$G331=""),"",$G331-$B331)</f>
        <v/>
      </c>
      <c r="X331" s="11" t="str">
        <f aca="true">IF(OR($C331="",$B331=""),"",IF($N331&lt;&gt;"",$N331,TODAY())-$B331)</f>
        <v/>
      </c>
      <c r="Y331" s="11" t="str">
        <f aca="true">IF(OR($C331="",$M331&lt;&gt;"Abierta",$G331=""),"",MAX($G331-TODAY(),0))</f>
        <v/>
      </c>
      <c r="Z331" s="12" t="str">
        <f aca="false">IF($C331="","",N($K331)*N($H331)*N($I331)*IF($U331="Débito",-1,1))</f>
        <v/>
      </c>
      <c r="AA331" s="13" t="str">
        <f aca="false">IF($C331="","",IF(AND($U331="Débito",$F331&lt;&gt;""),$F331,$E331))</f>
        <v/>
      </c>
      <c r="AB331" s="13" t="str">
        <f aca="false">IF(OR($C331="",$T331="Mixta",$AA331=""),"",IF($V331="Subyacente",IF($J331="","",$J331-$K331),IF($T331="Put",$AA331-$K331,$AA331+$K331)))</f>
        <v/>
      </c>
      <c r="AC331" s="14" t="str">
        <f aca="false">IF(OR($C331="",$T331="Mixta",$J331="",$AA331=""),"",IF($T331="Put",($J331-$AA331)/$J331,($AA331-$J331)/$J331))</f>
        <v/>
      </c>
      <c r="AD331" s="12" t="str">
        <f aca="false">IF($C331="","",IF($Q331&lt;&gt;"",$Q331,IF($V331="Strike",N($E331)*$H331*$I331,IF($V331="Subyacente",IF($J331="","",$J331*$H331*$I331),IF($V331="Ancho",IF($F331="","",ABS($E331-$F331)*$H331*$I331-$K331*$H331*$I331),IF($V331="Prima",$K331*$H331*$I331,""))))))</f>
        <v/>
      </c>
      <c r="AE331" s="12" t="str">
        <f aca="false">IF(OR($C331="",$M331="Abierta",$M331=""),"",(N($K331)-IF(OR($M331="Cerrada",$M331="Rolada"),N($O331),0))*$H331*$I331*IF($U331="Débito",-1,1)-N($L331)-N($P331))</f>
        <v/>
      </c>
      <c r="AF331" s="14" t="str">
        <f aca="false">IF(OR($AE331="",$AD331=""),"",IF($AD331&lt;=0,"",$AE331/$AD331))</f>
        <v/>
      </c>
      <c r="AG331" s="14" t="str">
        <f aca="false">IF($AF331="","",$AF331*365/MAX(N($X331),1))</f>
        <v/>
      </c>
      <c r="AH331" s="14" t="str">
        <f aca="false">IF(OR($C331="",$U331&lt;&gt;"Crédito",$AD331=""),"",IF($AD331&lt;=0,"",($Z331-N($L331))/$AD331))</f>
        <v/>
      </c>
      <c r="AI331" s="14" t="str">
        <f aca="false">IF(OR($AH331="",$W331=""),"",$AH331*365/MAX($W331,1))</f>
        <v/>
      </c>
      <c r="AJ331" s="14" t="str">
        <f aca="false">IF(OR($AE331="",$U331&lt;&gt;"Crédito",N($K331)=0),"",(N($K331)-IF(OR($M331="Cerrada",$M331="Rolada"),N($O331),0))/$K331)</f>
        <v/>
      </c>
      <c r="AK331" s="15" t="str">
        <f aca="false">IF(OR($C331="",$N331=""),"",DATE(YEAR($N331),MONTH($N331),1))</f>
        <v/>
      </c>
      <c r="AL331" s="11" t="str">
        <f aca="false">IF($C331="","",IF($M331="Abierta",0,1))</f>
        <v/>
      </c>
      <c r="AM331" s="16" t="str">
        <f aca="false">IF(OR($AE331="",$AD331=""),"",$AD331*MAX(N($X331),1))</f>
        <v/>
      </c>
      <c r="AN331" s="10" t="str">
        <f aca="false">IF($C331="","",IF(OR($B331="",$D331="",$H331="",$K331="",$M331=""),"Faltan datos obligatorios",IF($T331="","Estrategia no reconocida",IF(AND($M331&lt;&gt;"Abierta",$N331=""),"Falta fecha cierre",IF(AND(OR($M331="Cerrada",$M331="Rolada"),$O331=""),"Falta prima cierre",IF(AND($N331&lt;&gt;"",$N331&lt;$B331),"Cierre anterior a apertura",IF(AND($M331="Asignada",$R331=""),"Asignada: falta ID lote acciones",IF(AND($R331&lt;&gt;"",ISNA(MATCH($R331,Acciones!$A$2:$A$201,0))),"El ID lote no existe en Acciones",IF($AD331="","Revisa capital en riesgo","OK")))))))))</f>
        <v/>
      </c>
    </row>
    <row r="332" customFormat="false" ht="15" hidden="false" customHeight="true" outlineLevel="0" collapsed="false">
      <c r="A332" s="5"/>
      <c r="B332" s="6"/>
      <c r="C332" s="7"/>
      <c r="D332" s="7"/>
      <c r="E332" s="8"/>
      <c r="F332" s="8"/>
      <c r="G332" s="6"/>
      <c r="H332" s="5"/>
      <c r="I332" s="5" t="n">
        <v>100</v>
      </c>
      <c r="J332" s="8"/>
      <c r="K332" s="8"/>
      <c r="L332" s="9"/>
      <c r="M332" s="7"/>
      <c r="N332" s="6"/>
      <c r="O332" s="8"/>
      <c r="P332" s="9"/>
      <c r="Q332" s="9"/>
      <c r="R332" s="7"/>
      <c r="S332" s="7"/>
      <c r="T332" s="10" t="str">
        <f aca="false">IF($C332="","",IFERROR(INDEX(Listas!$B$2:$B$20,MATCH($D332,Listas!$A$2:$A$20,0)),""))</f>
        <v/>
      </c>
      <c r="U332" s="10" t="str">
        <f aca="false">IF($C332="","",IFERROR(INDEX(Listas!$C$2:$C$20,MATCH($D332,Listas!$A$2:$A$20,0)),""))</f>
        <v/>
      </c>
      <c r="V332" s="10" t="str">
        <f aca="false">IF($C332="","",IFERROR(INDEX(Listas!$D$2:$D$20,MATCH($D332,Listas!$A$2:$A$20,0)),""))</f>
        <v/>
      </c>
      <c r="W332" s="11" t="str">
        <f aca="false">IF(OR($C332="",$B332="",$G332=""),"",$G332-$B332)</f>
        <v/>
      </c>
      <c r="X332" s="11" t="str">
        <f aca="true">IF(OR($C332="",$B332=""),"",IF($N332&lt;&gt;"",$N332,TODAY())-$B332)</f>
        <v/>
      </c>
      <c r="Y332" s="11" t="str">
        <f aca="true">IF(OR($C332="",$M332&lt;&gt;"Abierta",$G332=""),"",MAX($G332-TODAY(),0))</f>
        <v/>
      </c>
      <c r="Z332" s="12" t="str">
        <f aca="false">IF($C332="","",N($K332)*N($H332)*N($I332)*IF($U332="Débito",-1,1))</f>
        <v/>
      </c>
      <c r="AA332" s="13" t="str">
        <f aca="false">IF($C332="","",IF(AND($U332="Débito",$F332&lt;&gt;""),$F332,$E332))</f>
        <v/>
      </c>
      <c r="AB332" s="13" t="str">
        <f aca="false">IF(OR($C332="",$T332="Mixta",$AA332=""),"",IF($V332="Subyacente",IF($J332="","",$J332-$K332),IF($T332="Put",$AA332-$K332,$AA332+$K332)))</f>
        <v/>
      </c>
      <c r="AC332" s="14" t="str">
        <f aca="false">IF(OR($C332="",$T332="Mixta",$J332="",$AA332=""),"",IF($T332="Put",($J332-$AA332)/$J332,($AA332-$J332)/$J332))</f>
        <v/>
      </c>
      <c r="AD332" s="12" t="str">
        <f aca="false">IF($C332="","",IF($Q332&lt;&gt;"",$Q332,IF($V332="Strike",N($E332)*$H332*$I332,IF($V332="Subyacente",IF($J332="","",$J332*$H332*$I332),IF($V332="Ancho",IF($F332="","",ABS($E332-$F332)*$H332*$I332-$K332*$H332*$I332),IF($V332="Prima",$K332*$H332*$I332,""))))))</f>
        <v/>
      </c>
      <c r="AE332" s="12" t="str">
        <f aca="false">IF(OR($C332="",$M332="Abierta",$M332=""),"",(N($K332)-IF(OR($M332="Cerrada",$M332="Rolada"),N($O332),0))*$H332*$I332*IF($U332="Débito",-1,1)-N($L332)-N($P332))</f>
        <v/>
      </c>
      <c r="AF332" s="14" t="str">
        <f aca="false">IF(OR($AE332="",$AD332=""),"",IF($AD332&lt;=0,"",$AE332/$AD332))</f>
        <v/>
      </c>
      <c r="AG332" s="14" t="str">
        <f aca="false">IF($AF332="","",$AF332*365/MAX(N($X332),1))</f>
        <v/>
      </c>
      <c r="AH332" s="14" t="str">
        <f aca="false">IF(OR($C332="",$U332&lt;&gt;"Crédito",$AD332=""),"",IF($AD332&lt;=0,"",($Z332-N($L332))/$AD332))</f>
        <v/>
      </c>
      <c r="AI332" s="14" t="str">
        <f aca="false">IF(OR($AH332="",$W332=""),"",$AH332*365/MAX($W332,1))</f>
        <v/>
      </c>
      <c r="AJ332" s="14" t="str">
        <f aca="false">IF(OR($AE332="",$U332&lt;&gt;"Crédito",N($K332)=0),"",(N($K332)-IF(OR($M332="Cerrada",$M332="Rolada"),N($O332),0))/$K332)</f>
        <v/>
      </c>
      <c r="AK332" s="15" t="str">
        <f aca="false">IF(OR($C332="",$N332=""),"",DATE(YEAR($N332),MONTH($N332),1))</f>
        <v/>
      </c>
      <c r="AL332" s="11" t="str">
        <f aca="false">IF($C332="","",IF($M332="Abierta",0,1))</f>
        <v/>
      </c>
      <c r="AM332" s="16" t="str">
        <f aca="false">IF(OR($AE332="",$AD332=""),"",$AD332*MAX(N($X332),1))</f>
        <v/>
      </c>
      <c r="AN332" s="10" t="str">
        <f aca="false">IF($C332="","",IF(OR($B332="",$D332="",$H332="",$K332="",$M332=""),"Faltan datos obligatorios",IF($T332="","Estrategia no reconocida",IF(AND($M332&lt;&gt;"Abierta",$N332=""),"Falta fecha cierre",IF(AND(OR($M332="Cerrada",$M332="Rolada"),$O332=""),"Falta prima cierre",IF(AND($N332&lt;&gt;"",$N332&lt;$B332),"Cierre anterior a apertura",IF(AND($M332="Asignada",$R332=""),"Asignada: falta ID lote acciones",IF(AND($R332&lt;&gt;"",ISNA(MATCH($R332,Acciones!$A$2:$A$201,0))),"El ID lote no existe en Acciones",IF($AD332="","Revisa capital en riesgo","OK")))))))))</f>
        <v/>
      </c>
    </row>
    <row r="333" customFormat="false" ht="15" hidden="false" customHeight="true" outlineLevel="0" collapsed="false">
      <c r="A333" s="5"/>
      <c r="B333" s="6"/>
      <c r="C333" s="7"/>
      <c r="D333" s="7"/>
      <c r="E333" s="8"/>
      <c r="F333" s="8"/>
      <c r="G333" s="6"/>
      <c r="H333" s="5"/>
      <c r="I333" s="5" t="n">
        <v>100</v>
      </c>
      <c r="J333" s="8"/>
      <c r="K333" s="8"/>
      <c r="L333" s="9"/>
      <c r="M333" s="7"/>
      <c r="N333" s="6"/>
      <c r="O333" s="8"/>
      <c r="P333" s="9"/>
      <c r="Q333" s="9"/>
      <c r="R333" s="7"/>
      <c r="S333" s="7"/>
      <c r="T333" s="10" t="str">
        <f aca="false">IF($C333="","",IFERROR(INDEX(Listas!$B$2:$B$20,MATCH($D333,Listas!$A$2:$A$20,0)),""))</f>
        <v/>
      </c>
      <c r="U333" s="10" t="str">
        <f aca="false">IF($C333="","",IFERROR(INDEX(Listas!$C$2:$C$20,MATCH($D333,Listas!$A$2:$A$20,0)),""))</f>
        <v/>
      </c>
      <c r="V333" s="10" t="str">
        <f aca="false">IF($C333="","",IFERROR(INDEX(Listas!$D$2:$D$20,MATCH($D333,Listas!$A$2:$A$20,0)),""))</f>
        <v/>
      </c>
      <c r="W333" s="11" t="str">
        <f aca="false">IF(OR($C333="",$B333="",$G333=""),"",$G333-$B333)</f>
        <v/>
      </c>
      <c r="X333" s="11" t="str">
        <f aca="true">IF(OR($C333="",$B333=""),"",IF($N333&lt;&gt;"",$N333,TODAY())-$B333)</f>
        <v/>
      </c>
      <c r="Y333" s="11" t="str">
        <f aca="true">IF(OR($C333="",$M333&lt;&gt;"Abierta",$G333=""),"",MAX($G333-TODAY(),0))</f>
        <v/>
      </c>
      <c r="Z333" s="12" t="str">
        <f aca="false">IF($C333="","",N($K333)*N($H333)*N($I333)*IF($U333="Débito",-1,1))</f>
        <v/>
      </c>
      <c r="AA333" s="13" t="str">
        <f aca="false">IF($C333="","",IF(AND($U333="Débito",$F333&lt;&gt;""),$F333,$E333))</f>
        <v/>
      </c>
      <c r="AB333" s="13" t="str">
        <f aca="false">IF(OR($C333="",$T333="Mixta",$AA333=""),"",IF($V333="Subyacente",IF($J333="","",$J333-$K333),IF($T333="Put",$AA333-$K333,$AA333+$K333)))</f>
        <v/>
      </c>
      <c r="AC333" s="14" t="str">
        <f aca="false">IF(OR($C333="",$T333="Mixta",$J333="",$AA333=""),"",IF($T333="Put",($J333-$AA333)/$J333,($AA333-$J333)/$J333))</f>
        <v/>
      </c>
      <c r="AD333" s="12" t="str">
        <f aca="false">IF($C333="","",IF($Q333&lt;&gt;"",$Q333,IF($V333="Strike",N($E333)*$H333*$I333,IF($V333="Subyacente",IF($J333="","",$J333*$H333*$I333),IF($V333="Ancho",IF($F333="","",ABS($E333-$F333)*$H333*$I333-$K333*$H333*$I333),IF($V333="Prima",$K333*$H333*$I333,""))))))</f>
        <v/>
      </c>
      <c r="AE333" s="12" t="str">
        <f aca="false">IF(OR($C333="",$M333="Abierta",$M333=""),"",(N($K333)-IF(OR($M333="Cerrada",$M333="Rolada"),N($O333),0))*$H333*$I333*IF($U333="Débito",-1,1)-N($L333)-N($P333))</f>
        <v/>
      </c>
      <c r="AF333" s="14" t="str">
        <f aca="false">IF(OR($AE333="",$AD333=""),"",IF($AD333&lt;=0,"",$AE333/$AD333))</f>
        <v/>
      </c>
      <c r="AG333" s="14" t="str">
        <f aca="false">IF($AF333="","",$AF333*365/MAX(N($X333),1))</f>
        <v/>
      </c>
      <c r="AH333" s="14" t="str">
        <f aca="false">IF(OR($C333="",$U333&lt;&gt;"Crédito",$AD333=""),"",IF($AD333&lt;=0,"",($Z333-N($L333))/$AD333))</f>
        <v/>
      </c>
      <c r="AI333" s="14" t="str">
        <f aca="false">IF(OR($AH333="",$W333=""),"",$AH333*365/MAX($W333,1))</f>
        <v/>
      </c>
      <c r="AJ333" s="14" t="str">
        <f aca="false">IF(OR($AE333="",$U333&lt;&gt;"Crédito",N($K333)=0),"",(N($K333)-IF(OR($M333="Cerrada",$M333="Rolada"),N($O333),0))/$K333)</f>
        <v/>
      </c>
      <c r="AK333" s="15" t="str">
        <f aca="false">IF(OR($C333="",$N333=""),"",DATE(YEAR($N333),MONTH($N333),1))</f>
        <v/>
      </c>
      <c r="AL333" s="11" t="str">
        <f aca="false">IF($C333="","",IF($M333="Abierta",0,1))</f>
        <v/>
      </c>
      <c r="AM333" s="16" t="str">
        <f aca="false">IF(OR($AE333="",$AD333=""),"",$AD333*MAX(N($X333),1))</f>
        <v/>
      </c>
      <c r="AN333" s="10" t="str">
        <f aca="false">IF($C333="","",IF(OR($B333="",$D333="",$H333="",$K333="",$M333=""),"Faltan datos obligatorios",IF($T333="","Estrategia no reconocida",IF(AND($M333&lt;&gt;"Abierta",$N333=""),"Falta fecha cierre",IF(AND(OR($M333="Cerrada",$M333="Rolada"),$O333=""),"Falta prima cierre",IF(AND($N333&lt;&gt;"",$N333&lt;$B333),"Cierre anterior a apertura",IF(AND($M333="Asignada",$R333=""),"Asignada: falta ID lote acciones",IF(AND($R333&lt;&gt;"",ISNA(MATCH($R333,Acciones!$A$2:$A$201,0))),"El ID lote no existe en Acciones",IF($AD333="","Revisa capital en riesgo","OK")))))))))</f>
        <v/>
      </c>
    </row>
    <row r="334" customFormat="false" ht="15" hidden="false" customHeight="true" outlineLevel="0" collapsed="false">
      <c r="A334" s="5"/>
      <c r="B334" s="6"/>
      <c r="C334" s="7"/>
      <c r="D334" s="7"/>
      <c r="E334" s="8"/>
      <c r="F334" s="8"/>
      <c r="G334" s="6"/>
      <c r="H334" s="5"/>
      <c r="I334" s="5" t="n">
        <v>100</v>
      </c>
      <c r="J334" s="8"/>
      <c r="K334" s="8"/>
      <c r="L334" s="9"/>
      <c r="M334" s="7"/>
      <c r="N334" s="6"/>
      <c r="O334" s="8"/>
      <c r="P334" s="9"/>
      <c r="Q334" s="9"/>
      <c r="R334" s="7"/>
      <c r="S334" s="7"/>
      <c r="T334" s="10" t="str">
        <f aca="false">IF($C334="","",IFERROR(INDEX(Listas!$B$2:$B$20,MATCH($D334,Listas!$A$2:$A$20,0)),""))</f>
        <v/>
      </c>
      <c r="U334" s="10" t="str">
        <f aca="false">IF($C334="","",IFERROR(INDEX(Listas!$C$2:$C$20,MATCH($D334,Listas!$A$2:$A$20,0)),""))</f>
        <v/>
      </c>
      <c r="V334" s="10" t="str">
        <f aca="false">IF($C334="","",IFERROR(INDEX(Listas!$D$2:$D$20,MATCH($D334,Listas!$A$2:$A$20,0)),""))</f>
        <v/>
      </c>
      <c r="W334" s="11" t="str">
        <f aca="false">IF(OR($C334="",$B334="",$G334=""),"",$G334-$B334)</f>
        <v/>
      </c>
      <c r="X334" s="11" t="str">
        <f aca="true">IF(OR($C334="",$B334=""),"",IF($N334&lt;&gt;"",$N334,TODAY())-$B334)</f>
        <v/>
      </c>
      <c r="Y334" s="11" t="str">
        <f aca="true">IF(OR($C334="",$M334&lt;&gt;"Abierta",$G334=""),"",MAX($G334-TODAY(),0))</f>
        <v/>
      </c>
      <c r="Z334" s="12" t="str">
        <f aca="false">IF($C334="","",N($K334)*N($H334)*N($I334)*IF($U334="Débito",-1,1))</f>
        <v/>
      </c>
      <c r="AA334" s="13" t="str">
        <f aca="false">IF($C334="","",IF(AND($U334="Débito",$F334&lt;&gt;""),$F334,$E334))</f>
        <v/>
      </c>
      <c r="AB334" s="13" t="str">
        <f aca="false">IF(OR($C334="",$T334="Mixta",$AA334=""),"",IF($V334="Subyacente",IF($J334="","",$J334-$K334),IF($T334="Put",$AA334-$K334,$AA334+$K334)))</f>
        <v/>
      </c>
      <c r="AC334" s="14" t="str">
        <f aca="false">IF(OR($C334="",$T334="Mixta",$J334="",$AA334=""),"",IF($T334="Put",($J334-$AA334)/$J334,($AA334-$J334)/$J334))</f>
        <v/>
      </c>
      <c r="AD334" s="12" t="str">
        <f aca="false">IF($C334="","",IF($Q334&lt;&gt;"",$Q334,IF($V334="Strike",N($E334)*$H334*$I334,IF($V334="Subyacente",IF($J334="","",$J334*$H334*$I334),IF($V334="Ancho",IF($F334="","",ABS($E334-$F334)*$H334*$I334-$K334*$H334*$I334),IF($V334="Prima",$K334*$H334*$I334,""))))))</f>
        <v/>
      </c>
      <c r="AE334" s="12" t="str">
        <f aca="false">IF(OR($C334="",$M334="Abierta",$M334=""),"",(N($K334)-IF(OR($M334="Cerrada",$M334="Rolada"),N($O334),0))*$H334*$I334*IF($U334="Débito",-1,1)-N($L334)-N($P334))</f>
        <v/>
      </c>
      <c r="AF334" s="14" t="str">
        <f aca="false">IF(OR($AE334="",$AD334=""),"",IF($AD334&lt;=0,"",$AE334/$AD334))</f>
        <v/>
      </c>
      <c r="AG334" s="14" t="str">
        <f aca="false">IF($AF334="","",$AF334*365/MAX(N($X334),1))</f>
        <v/>
      </c>
      <c r="AH334" s="14" t="str">
        <f aca="false">IF(OR($C334="",$U334&lt;&gt;"Crédito",$AD334=""),"",IF($AD334&lt;=0,"",($Z334-N($L334))/$AD334))</f>
        <v/>
      </c>
      <c r="AI334" s="14" t="str">
        <f aca="false">IF(OR($AH334="",$W334=""),"",$AH334*365/MAX($W334,1))</f>
        <v/>
      </c>
      <c r="AJ334" s="14" t="str">
        <f aca="false">IF(OR($AE334="",$U334&lt;&gt;"Crédito",N($K334)=0),"",(N($K334)-IF(OR($M334="Cerrada",$M334="Rolada"),N($O334),0))/$K334)</f>
        <v/>
      </c>
      <c r="AK334" s="15" t="str">
        <f aca="false">IF(OR($C334="",$N334=""),"",DATE(YEAR($N334),MONTH($N334),1))</f>
        <v/>
      </c>
      <c r="AL334" s="11" t="str">
        <f aca="false">IF($C334="","",IF($M334="Abierta",0,1))</f>
        <v/>
      </c>
      <c r="AM334" s="16" t="str">
        <f aca="false">IF(OR($AE334="",$AD334=""),"",$AD334*MAX(N($X334),1))</f>
        <v/>
      </c>
      <c r="AN334" s="10" t="str">
        <f aca="false">IF($C334="","",IF(OR($B334="",$D334="",$H334="",$K334="",$M334=""),"Faltan datos obligatorios",IF($T334="","Estrategia no reconocida",IF(AND($M334&lt;&gt;"Abierta",$N334=""),"Falta fecha cierre",IF(AND(OR($M334="Cerrada",$M334="Rolada"),$O334=""),"Falta prima cierre",IF(AND($N334&lt;&gt;"",$N334&lt;$B334),"Cierre anterior a apertura",IF(AND($M334="Asignada",$R334=""),"Asignada: falta ID lote acciones",IF(AND($R334&lt;&gt;"",ISNA(MATCH($R334,Acciones!$A$2:$A$201,0))),"El ID lote no existe en Acciones",IF($AD334="","Revisa capital en riesgo","OK")))))))))</f>
        <v/>
      </c>
    </row>
    <row r="335" customFormat="false" ht="15" hidden="false" customHeight="true" outlineLevel="0" collapsed="false">
      <c r="A335" s="5"/>
      <c r="B335" s="6"/>
      <c r="C335" s="7"/>
      <c r="D335" s="7"/>
      <c r="E335" s="8"/>
      <c r="F335" s="8"/>
      <c r="G335" s="6"/>
      <c r="H335" s="5"/>
      <c r="I335" s="5" t="n">
        <v>100</v>
      </c>
      <c r="J335" s="8"/>
      <c r="K335" s="8"/>
      <c r="L335" s="9"/>
      <c r="M335" s="7"/>
      <c r="N335" s="6"/>
      <c r="O335" s="8"/>
      <c r="P335" s="9"/>
      <c r="Q335" s="9"/>
      <c r="R335" s="7"/>
      <c r="S335" s="7"/>
      <c r="T335" s="10" t="str">
        <f aca="false">IF($C335="","",IFERROR(INDEX(Listas!$B$2:$B$20,MATCH($D335,Listas!$A$2:$A$20,0)),""))</f>
        <v/>
      </c>
      <c r="U335" s="10" t="str">
        <f aca="false">IF($C335="","",IFERROR(INDEX(Listas!$C$2:$C$20,MATCH($D335,Listas!$A$2:$A$20,0)),""))</f>
        <v/>
      </c>
      <c r="V335" s="10" t="str">
        <f aca="false">IF($C335="","",IFERROR(INDEX(Listas!$D$2:$D$20,MATCH($D335,Listas!$A$2:$A$20,0)),""))</f>
        <v/>
      </c>
      <c r="W335" s="11" t="str">
        <f aca="false">IF(OR($C335="",$B335="",$G335=""),"",$G335-$B335)</f>
        <v/>
      </c>
      <c r="X335" s="11" t="str">
        <f aca="true">IF(OR($C335="",$B335=""),"",IF($N335&lt;&gt;"",$N335,TODAY())-$B335)</f>
        <v/>
      </c>
      <c r="Y335" s="11" t="str">
        <f aca="true">IF(OR($C335="",$M335&lt;&gt;"Abierta",$G335=""),"",MAX($G335-TODAY(),0))</f>
        <v/>
      </c>
      <c r="Z335" s="12" t="str">
        <f aca="false">IF($C335="","",N($K335)*N($H335)*N($I335)*IF($U335="Débito",-1,1))</f>
        <v/>
      </c>
      <c r="AA335" s="13" t="str">
        <f aca="false">IF($C335="","",IF(AND($U335="Débito",$F335&lt;&gt;""),$F335,$E335))</f>
        <v/>
      </c>
      <c r="AB335" s="13" t="str">
        <f aca="false">IF(OR($C335="",$T335="Mixta",$AA335=""),"",IF($V335="Subyacente",IF($J335="","",$J335-$K335),IF($T335="Put",$AA335-$K335,$AA335+$K335)))</f>
        <v/>
      </c>
      <c r="AC335" s="14" t="str">
        <f aca="false">IF(OR($C335="",$T335="Mixta",$J335="",$AA335=""),"",IF($T335="Put",($J335-$AA335)/$J335,($AA335-$J335)/$J335))</f>
        <v/>
      </c>
      <c r="AD335" s="12" t="str">
        <f aca="false">IF($C335="","",IF($Q335&lt;&gt;"",$Q335,IF($V335="Strike",N($E335)*$H335*$I335,IF($V335="Subyacente",IF($J335="","",$J335*$H335*$I335),IF($V335="Ancho",IF($F335="","",ABS($E335-$F335)*$H335*$I335-$K335*$H335*$I335),IF($V335="Prima",$K335*$H335*$I335,""))))))</f>
        <v/>
      </c>
      <c r="AE335" s="12" t="str">
        <f aca="false">IF(OR($C335="",$M335="Abierta",$M335=""),"",(N($K335)-IF(OR($M335="Cerrada",$M335="Rolada"),N($O335),0))*$H335*$I335*IF($U335="Débito",-1,1)-N($L335)-N($P335))</f>
        <v/>
      </c>
      <c r="AF335" s="14" t="str">
        <f aca="false">IF(OR($AE335="",$AD335=""),"",IF($AD335&lt;=0,"",$AE335/$AD335))</f>
        <v/>
      </c>
      <c r="AG335" s="14" t="str">
        <f aca="false">IF($AF335="","",$AF335*365/MAX(N($X335),1))</f>
        <v/>
      </c>
      <c r="AH335" s="14" t="str">
        <f aca="false">IF(OR($C335="",$U335&lt;&gt;"Crédito",$AD335=""),"",IF($AD335&lt;=0,"",($Z335-N($L335))/$AD335))</f>
        <v/>
      </c>
      <c r="AI335" s="14" t="str">
        <f aca="false">IF(OR($AH335="",$W335=""),"",$AH335*365/MAX($W335,1))</f>
        <v/>
      </c>
      <c r="AJ335" s="14" t="str">
        <f aca="false">IF(OR($AE335="",$U335&lt;&gt;"Crédito",N($K335)=0),"",(N($K335)-IF(OR($M335="Cerrada",$M335="Rolada"),N($O335),0))/$K335)</f>
        <v/>
      </c>
      <c r="AK335" s="15" t="str">
        <f aca="false">IF(OR($C335="",$N335=""),"",DATE(YEAR($N335),MONTH($N335),1))</f>
        <v/>
      </c>
      <c r="AL335" s="11" t="str">
        <f aca="false">IF($C335="","",IF($M335="Abierta",0,1))</f>
        <v/>
      </c>
      <c r="AM335" s="16" t="str">
        <f aca="false">IF(OR($AE335="",$AD335=""),"",$AD335*MAX(N($X335),1))</f>
        <v/>
      </c>
      <c r="AN335" s="10" t="str">
        <f aca="false">IF($C335="","",IF(OR($B335="",$D335="",$H335="",$K335="",$M335=""),"Faltan datos obligatorios",IF($T335="","Estrategia no reconocida",IF(AND($M335&lt;&gt;"Abierta",$N335=""),"Falta fecha cierre",IF(AND(OR($M335="Cerrada",$M335="Rolada"),$O335=""),"Falta prima cierre",IF(AND($N335&lt;&gt;"",$N335&lt;$B335),"Cierre anterior a apertura",IF(AND($M335="Asignada",$R335=""),"Asignada: falta ID lote acciones",IF(AND($R335&lt;&gt;"",ISNA(MATCH($R335,Acciones!$A$2:$A$201,0))),"El ID lote no existe en Acciones",IF($AD335="","Revisa capital en riesgo","OK")))))))))</f>
        <v/>
      </c>
    </row>
    <row r="336" customFormat="false" ht="15" hidden="false" customHeight="true" outlineLevel="0" collapsed="false">
      <c r="A336" s="5"/>
      <c r="B336" s="6"/>
      <c r="C336" s="7"/>
      <c r="D336" s="7"/>
      <c r="E336" s="8"/>
      <c r="F336" s="8"/>
      <c r="G336" s="6"/>
      <c r="H336" s="5"/>
      <c r="I336" s="5" t="n">
        <v>100</v>
      </c>
      <c r="J336" s="8"/>
      <c r="K336" s="8"/>
      <c r="L336" s="9"/>
      <c r="M336" s="7"/>
      <c r="N336" s="6"/>
      <c r="O336" s="8"/>
      <c r="P336" s="9"/>
      <c r="Q336" s="9"/>
      <c r="R336" s="7"/>
      <c r="S336" s="7"/>
      <c r="T336" s="10" t="str">
        <f aca="false">IF($C336="","",IFERROR(INDEX(Listas!$B$2:$B$20,MATCH($D336,Listas!$A$2:$A$20,0)),""))</f>
        <v/>
      </c>
      <c r="U336" s="10" t="str">
        <f aca="false">IF($C336="","",IFERROR(INDEX(Listas!$C$2:$C$20,MATCH($D336,Listas!$A$2:$A$20,0)),""))</f>
        <v/>
      </c>
      <c r="V336" s="10" t="str">
        <f aca="false">IF($C336="","",IFERROR(INDEX(Listas!$D$2:$D$20,MATCH($D336,Listas!$A$2:$A$20,0)),""))</f>
        <v/>
      </c>
      <c r="W336" s="11" t="str">
        <f aca="false">IF(OR($C336="",$B336="",$G336=""),"",$G336-$B336)</f>
        <v/>
      </c>
      <c r="X336" s="11" t="str">
        <f aca="true">IF(OR($C336="",$B336=""),"",IF($N336&lt;&gt;"",$N336,TODAY())-$B336)</f>
        <v/>
      </c>
      <c r="Y336" s="11" t="str">
        <f aca="true">IF(OR($C336="",$M336&lt;&gt;"Abierta",$G336=""),"",MAX($G336-TODAY(),0))</f>
        <v/>
      </c>
      <c r="Z336" s="12" t="str">
        <f aca="false">IF($C336="","",N($K336)*N($H336)*N($I336)*IF($U336="Débito",-1,1))</f>
        <v/>
      </c>
      <c r="AA336" s="13" t="str">
        <f aca="false">IF($C336="","",IF(AND($U336="Débito",$F336&lt;&gt;""),$F336,$E336))</f>
        <v/>
      </c>
      <c r="AB336" s="13" t="str">
        <f aca="false">IF(OR($C336="",$T336="Mixta",$AA336=""),"",IF($V336="Subyacente",IF($J336="","",$J336-$K336),IF($T336="Put",$AA336-$K336,$AA336+$K336)))</f>
        <v/>
      </c>
      <c r="AC336" s="14" t="str">
        <f aca="false">IF(OR($C336="",$T336="Mixta",$J336="",$AA336=""),"",IF($T336="Put",($J336-$AA336)/$J336,($AA336-$J336)/$J336))</f>
        <v/>
      </c>
      <c r="AD336" s="12" t="str">
        <f aca="false">IF($C336="","",IF($Q336&lt;&gt;"",$Q336,IF($V336="Strike",N($E336)*$H336*$I336,IF($V336="Subyacente",IF($J336="","",$J336*$H336*$I336),IF($V336="Ancho",IF($F336="","",ABS($E336-$F336)*$H336*$I336-$K336*$H336*$I336),IF($V336="Prima",$K336*$H336*$I336,""))))))</f>
        <v/>
      </c>
      <c r="AE336" s="12" t="str">
        <f aca="false">IF(OR($C336="",$M336="Abierta",$M336=""),"",(N($K336)-IF(OR($M336="Cerrada",$M336="Rolada"),N($O336),0))*$H336*$I336*IF($U336="Débito",-1,1)-N($L336)-N($P336))</f>
        <v/>
      </c>
      <c r="AF336" s="14" t="str">
        <f aca="false">IF(OR($AE336="",$AD336=""),"",IF($AD336&lt;=0,"",$AE336/$AD336))</f>
        <v/>
      </c>
      <c r="AG336" s="14" t="str">
        <f aca="false">IF($AF336="","",$AF336*365/MAX(N($X336),1))</f>
        <v/>
      </c>
      <c r="AH336" s="14" t="str">
        <f aca="false">IF(OR($C336="",$U336&lt;&gt;"Crédito",$AD336=""),"",IF($AD336&lt;=0,"",($Z336-N($L336))/$AD336))</f>
        <v/>
      </c>
      <c r="AI336" s="14" t="str">
        <f aca="false">IF(OR($AH336="",$W336=""),"",$AH336*365/MAX($W336,1))</f>
        <v/>
      </c>
      <c r="AJ336" s="14" t="str">
        <f aca="false">IF(OR($AE336="",$U336&lt;&gt;"Crédito",N($K336)=0),"",(N($K336)-IF(OR($M336="Cerrada",$M336="Rolada"),N($O336),0))/$K336)</f>
        <v/>
      </c>
      <c r="AK336" s="15" t="str">
        <f aca="false">IF(OR($C336="",$N336=""),"",DATE(YEAR($N336),MONTH($N336),1))</f>
        <v/>
      </c>
      <c r="AL336" s="11" t="str">
        <f aca="false">IF($C336="","",IF($M336="Abierta",0,1))</f>
        <v/>
      </c>
      <c r="AM336" s="16" t="str">
        <f aca="false">IF(OR($AE336="",$AD336=""),"",$AD336*MAX(N($X336),1))</f>
        <v/>
      </c>
      <c r="AN336" s="10" t="str">
        <f aca="false">IF($C336="","",IF(OR($B336="",$D336="",$H336="",$K336="",$M336=""),"Faltan datos obligatorios",IF($T336="","Estrategia no reconocida",IF(AND($M336&lt;&gt;"Abierta",$N336=""),"Falta fecha cierre",IF(AND(OR($M336="Cerrada",$M336="Rolada"),$O336=""),"Falta prima cierre",IF(AND($N336&lt;&gt;"",$N336&lt;$B336),"Cierre anterior a apertura",IF(AND($M336="Asignada",$R336=""),"Asignada: falta ID lote acciones",IF(AND($R336&lt;&gt;"",ISNA(MATCH($R336,Acciones!$A$2:$A$201,0))),"El ID lote no existe en Acciones",IF($AD336="","Revisa capital en riesgo","OK")))))))))</f>
        <v/>
      </c>
    </row>
    <row r="337" customFormat="false" ht="15" hidden="false" customHeight="true" outlineLevel="0" collapsed="false">
      <c r="A337" s="5"/>
      <c r="B337" s="6"/>
      <c r="C337" s="7"/>
      <c r="D337" s="7"/>
      <c r="E337" s="8"/>
      <c r="F337" s="8"/>
      <c r="G337" s="6"/>
      <c r="H337" s="5"/>
      <c r="I337" s="5" t="n">
        <v>100</v>
      </c>
      <c r="J337" s="8"/>
      <c r="K337" s="8"/>
      <c r="L337" s="9"/>
      <c r="M337" s="7"/>
      <c r="N337" s="6"/>
      <c r="O337" s="8"/>
      <c r="P337" s="9"/>
      <c r="Q337" s="9"/>
      <c r="R337" s="7"/>
      <c r="S337" s="7"/>
      <c r="T337" s="10" t="str">
        <f aca="false">IF($C337="","",IFERROR(INDEX(Listas!$B$2:$B$20,MATCH($D337,Listas!$A$2:$A$20,0)),""))</f>
        <v/>
      </c>
      <c r="U337" s="10" t="str">
        <f aca="false">IF($C337="","",IFERROR(INDEX(Listas!$C$2:$C$20,MATCH($D337,Listas!$A$2:$A$20,0)),""))</f>
        <v/>
      </c>
      <c r="V337" s="10" t="str">
        <f aca="false">IF($C337="","",IFERROR(INDEX(Listas!$D$2:$D$20,MATCH($D337,Listas!$A$2:$A$20,0)),""))</f>
        <v/>
      </c>
      <c r="W337" s="11" t="str">
        <f aca="false">IF(OR($C337="",$B337="",$G337=""),"",$G337-$B337)</f>
        <v/>
      </c>
      <c r="X337" s="11" t="str">
        <f aca="true">IF(OR($C337="",$B337=""),"",IF($N337&lt;&gt;"",$N337,TODAY())-$B337)</f>
        <v/>
      </c>
      <c r="Y337" s="11" t="str">
        <f aca="true">IF(OR($C337="",$M337&lt;&gt;"Abierta",$G337=""),"",MAX($G337-TODAY(),0))</f>
        <v/>
      </c>
      <c r="Z337" s="12" t="str">
        <f aca="false">IF($C337="","",N($K337)*N($H337)*N($I337)*IF($U337="Débito",-1,1))</f>
        <v/>
      </c>
      <c r="AA337" s="13" t="str">
        <f aca="false">IF($C337="","",IF(AND($U337="Débito",$F337&lt;&gt;""),$F337,$E337))</f>
        <v/>
      </c>
      <c r="AB337" s="13" t="str">
        <f aca="false">IF(OR($C337="",$T337="Mixta",$AA337=""),"",IF($V337="Subyacente",IF($J337="","",$J337-$K337),IF($T337="Put",$AA337-$K337,$AA337+$K337)))</f>
        <v/>
      </c>
      <c r="AC337" s="14" t="str">
        <f aca="false">IF(OR($C337="",$T337="Mixta",$J337="",$AA337=""),"",IF($T337="Put",($J337-$AA337)/$J337,($AA337-$J337)/$J337))</f>
        <v/>
      </c>
      <c r="AD337" s="12" t="str">
        <f aca="false">IF($C337="","",IF($Q337&lt;&gt;"",$Q337,IF($V337="Strike",N($E337)*$H337*$I337,IF($V337="Subyacente",IF($J337="","",$J337*$H337*$I337),IF($V337="Ancho",IF($F337="","",ABS($E337-$F337)*$H337*$I337-$K337*$H337*$I337),IF($V337="Prima",$K337*$H337*$I337,""))))))</f>
        <v/>
      </c>
      <c r="AE337" s="12" t="str">
        <f aca="false">IF(OR($C337="",$M337="Abierta",$M337=""),"",(N($K337)-IF(OR($M337="Cerrada",$M337="Rolada"),N($O337),0))*$H337*$I337*IF($U337="Débito",-1,1)-N($L337)-N($P337))</f>
        <v/>
      </c>
      <c r="AF337" s="14" t="str">
        <f aca="false">IF(OR($AE337="",$AD337=""),"",IF($AD337&lt;=0,"",$AE337/$AD337))</f>
        <v/>
      </c>
      <c r="AG337" s="14" t="str">
        <f aca="false">IF($AF337="","",$AF337*365/MAX(N($X337),1))</f>
        <v/>
      </c>
      <c r="AH337" s="14" t="str">
        <f aca="false">IF(OR($C337="",$U337&lt;&gt;"Crédito",$AD337=""),"",IF($AD337&lt;=0,"",($Z337-N($L337))/$AD337))</f>
        <v/>
      </c>
      <c r="AI337" s="14" t="str">
        <f aca="false">IF(OR($AH337="",$W337=""),"",$AH337*365/MAX($W337,1))</f>
        <v/>
      </c>
      <c r="AJ337" s="14" t="str">
        <f aca="false">IF(OR($AE337="",$U337&lt;&gt;"Crédito",N($K337)=0),"",(N($K337)-IF(OR($M337="Cerrada",$M337="Rolada"),N($O337),0))/$K337)</f>
        <v/>
      </c>
      <c r="AK337" s="15" t="str">
        <f aca="false">IF(OR($C337="",$N337=""),"",DATE(YEAR($N337),MONTH($N337),1))</f>
        <v/>
      </c>
      <c r="AL337" s="11" t="str">
        <f aca="false">IF($C337="","",IF($M337="Abierta",0,1))</f>
        <v/>
      </c>
      <c r="AM337" s="16" t="str">
        <f aca="false">IF(OR($AE337="",$AD337=""),"",$AD337*MAX(N($X337),1))</f>
        <v/>
      </c>
      <c r="AN337" s="10" t="str">
        <f aca="false">IF($C337="","",IF(OR($B337="",$D337="",$H337="",$K337="",$M337=""),"Faltan datos obligatorios",IF($T337="","Estrategia no reconocida",IF(AND($M337&lt;&gt;"Abierta",$N337=""),"Falta fecha cierre",IF(AND(OR($M337="Cerrada",$M337="Rolada"),$O337=""),"Falta prima cierre",IF(AND($N337&lt;&gt;"",$N337&lt;$B337),"Cierre anterior a apertura",IF(AND($M337="Asignada",$R337=""),"Asignada: falta ID lote acciones",IF(AND($R337&lt;&gt;"",ISNA(MATCH($R337,Acciones!$A$2:$A$201,0))),"El ID lote no existe en Acciones",IF($AD337="","Revisa capital en riesgo","OK")))))))))</f>
        <v/>
      </c>
    </row>
    <row r="338" customFormat="false" ht="15" hidden="false" customHeight="true" outlineLevel="0" collapsed="false">
      <c r="A338" s="5"/>
      <c r="B338" s="6"/>
      <c r="C338" s="7"/>
      <c r="D338" s="7"/>
      <c r="E338" s="8"/>
      <c r="F338" s="8"/>
      <c r="G338" s="6"/>
      <c r="H338" s="5"/>
      <c r="I338" s="5" t="n">
        <v>100</v>
      </c>
      <c r="J338" s="8"/>
      <c r="K338" s="8"/>
      <c r="L338" s="9"/>
      <c r="M338" s="7"/>
      <c r="N338" s="6"/>
      <c r="O338" s="8"/>
      <c r="P338" s="9"/>
      <c r="Q338" s="9"/>
      <c r="R338" s="7"/>
      <c r="S338" s="7"/>
      <c r="T338" s="10" t="str">
        <f aca="false">IF($C338="","",IFERROR(INDEX(Listas!$B$2:$B$20,MATCH($D338,Listas!$A$2:$A$20,0)),""))</f>
        <v/>
      </c>
      <c r="U338" s="10" t="str">
        <f aca="false">IF($C338="","",IFERROR(INDEX(Listas!$C$2:$C$20,MATCH($D338,Listas!$A$2:$A$20,0)),""))</f>
        <v/>
      </c>
      <c r="V338" s="10" t="str">
        <f aca="false">IF($C338="","",IFERROR(INDEX(Listas!$D$2:$D$20,MATCH($D338,Listas!$A$2:$A$20,0)),""))</f>
        <v/>
      </c>
      <c r="W338" s="11" t="str">
        <f aca="false">IF(OR($C338="",$B338="",$G338=""),"",$G338-$B338)</f>
        <v/>
      </c>
      <c r="X338" s="11" t="str">
        <f aca="true">IF(OR($C338="",$B338=""),"",IF($N338&lt;&gt;"",$N338,TODAY())-$B338)</f>
        <v/>
      </c>
      <c r="Y338" s="11" t="str">
        <f aca="true">IF(OR($C338="",$M338&lt;&gt;"Abierta",$G338=""),"",MAX($G338-TODAY(),0))</f>
        <v/>
      </c>
      <c r="Z338" s="12" t="str">
        <f aca="false">IF($C338="","",N($K338)*N($H338)*N($I338)*IF($U338="Débito",-1,1))</f>
        <v/>
      </c>
      <c r="AA338" s="13" t="str">
        <f aca="false">IF($C338="","",IF(AND($U338="Débito",$F338&lt;&gt;""),$F338,$E338))</f>
        <v/>
      </c>
      <c r="AB338" s="13" t="str">
        <f aca="false">IF(OR($C338="",$T338="Mixta",$AA338=""),"",IF($V338="Subyacente",IF($J338="","",$J338-$K338),IF($T338="Put",$AA338-$K338,$AA338+$K338)))</f>
        <v/>
      </c>
      <c r="AC338" s="14" t="str">
        <f aca="false">IF(OR($C338="",$T338="Mixta",$J338="",$AA338=""),"",IF($T338="Put",($J338-$AA338)/$J338,($AA338-$J338)/$J338))</f>
        <v/>
      </c>
      <c r="AD338" s="12" t="str">
        <f aca="false">IF($C338="","",IF($Q338&lt;&gt;"",$Q338,IF($V338="Strike",N($E338)*$H338*$I338,IF($V338="Subyacente",IF($J338="","",$J338*$H338*$I338),IF($V338="Ancho",IF($F338="","",ABS($E338-$F338)*$H338*$I338-$K338*$H338*$I338),IF($V338="Prima",$K338*$H338*$I338,""))))))</f>
        <v/>
      </c>
      <c r="AE338" s="12" t="str">
        <f aca="false">IF(OR($C338="",$M338="Abierta",$M338=""),"",(N($K338)-IF(OR($M338="Cerrada",$M338="Rolada"),N($O338),0))*$H338*$I338*IF($U338="Débito",-1,1)-N($L338)-N($P338))</f>
        <v/>
      </c>
      <c r="AF338" s="14" t="str">
        <f aca="false">IF(OR($AE338="",$AD338=""),"",IF($AD338&lt;=0,"",$AE338/$AD338))</f>
        <v/>
      </c>
      <c r="AG338" s="14" t="str">
        <f aca="false">IF($AF338="","",$AF338*365/MAX(N($X338),1))</f>
        <v/>
      </c>
      <c r="AH338" s="14" t="str">
        <f aca="false">IF(OR($C338="",$U338&lt;&gt;"Crédito",$AD338=""),"",IF($AD338&lt;=0,"",($Z338-N($L338))/$AD338))</f>
        <v/>
      </c>
      <c r="AI338" s="14" t="str">
        <f aca="false">IF(OR($AH338="",$W338=""),"",$AH338*365/MAX($W338,1))</f>
        <v/>
      </c>
      <c r="AJ338" s="14" t="str">
        <f aca="false">IF(OR($AE338="",$U338&lt;&gt;"Crédito",N($K338)=0),"",(N($K338)-IF(OR($M338="Cerrada",$M338="Rolada"),N($O338),0))/$K338)</f>
        <v/>
      </c>
      <c r="AK338" s="15" t="str">
        <f aca="false">IF(OR($C338="",$N338=""),"",DATE(YEAR($N338),MONTH($N338),1))</f>
        <v/>
      </c>
      <c r="AL338" s="11" t="str">
        <f aca="false">IF($C338="","",IF($M338="Abierta",0,1))</f>
        <v/>
      </c>
      <c r="AM338" s="16" t="str">
        <f aca="false">IF(OR($AE338="",$AD338=""),"",$AD338*MAX(N($X338),1))</f>
        <v/>
      </c>
      <c r="AN338" s="10" t="str">
        <f aca="false">IF($C338="","",IF(OR($B338="",$D338="",$H338="",$K338="",$M338=""),"Faltan datos obligatorios",IF($T338="","Estrategia no reconocida",IF(AND($M338&lt;&gt;"Abierta",$N338=""),"Falta fecha cierre",IF(AND(OR($M338="Cerrada",$M338="Rolada"),$O338=""),"Falta prima cierre",IF(AND($N338&lt;&gt;"",$N338&lt;$B338),"Cierre anterior a apertura",IF(AND($M338="Asignada",$R338=""),"Asignada: falta ID lote acciones",IF(AND($R338&lt;&gt;"",ISNA(MATCH($R338,Acciones!$A$2:$A$201,0))),"El ID lote no existe en Acciones",IF($AD338="","Revisa capital en riesgo","OK")))))))))</f>
        <v/>
      </c>
    </row>
    <row r="339" customFormat="false" ht="15" hidden="false" customHeight="true" outlineLevel="0" collapsed="false">
      <c r="A339" s="5"/>
      <c r="B339" s="6"/>
      <c r="C339" s="7"/>
      <c r="D339" s="7"/>
      <c r="E339" s="8"/>
      <c r="F339" s="8"/>
      <c r="G339" s="6"/>
      <c r="H339" s="5"/>
      <c r="I339" s="5" t="n">
        <v>100</v>
      </c>
      <c r="J339" s="8"/>
      <c r="K339" s="8"/>
      <c r="L339" s="9"/>
      <c r="M339" s="7"/>
      <c r="N339" s="6"/>
      <c r="O339" s="8"/>
      <c r="P339" s="9"/>
      <c r="Q339" s="9"/>
      <c r="R339" s="7"/>
      <c r="S339" s="7"/>
      <c r="T339" s="10" t="str">
        <f aca="false">IF($C339="","",IFERROR(INDEX(Listas!$B$2:$B$20,MATCH($D339,Listas!$A$2:$A$20,0)),""))</f>
        <v/>
      </c>
      <c r="U339" s="10" t="str">
        <f aca="false">IF($C339="","",IFERROR(INDEX(Listas!$C$2:$C$20,MATCH($D339,Listas!$A$2:$A$20,0)),""))</f>
        <v/>
      </c>
      <c r="V339" s="10" t="str">
        <f aca="false">IF($C339="","",IFERROR(INDEX(Listas!$D$2:$D$20,MATCH($D339,Listas!$A$2:$A$20,0)),""))</f>
        <v/>
      </c>
      <c r="W339" s="11" t="str">
        <f aca="false">IF(OR($C339="",$B339="",$G339=""),"",$G339-$B339)</f>
        <v/>
      </c>
      <c r="X339" s="11" t="str">
        <f aca="true">IF(OR($C339="",$B339=""),"",IF($N339&lt;&gt;"",$N339,TODAY())-$B339)</f>
        <v/>
      </c>
      <c r="Y339" s="11" t="str">
        <f aca="true">IF(OR($C339="",$M339&lt;&gt;"Abierta",$G339=""),"",MAX($G339-TODAY(),0))</f>
        <v/>
      </c>
      <c r="Z339" s="12" t="str">
        <f aca="false">IF($C339="","",N($K339)*N($H339)*N($I339)*IF($U339="Débito",-1,1))</f>
        <v/>
      </c>
      <c r="AA339" s="13" t="str">
        <f aca="false">IF($C339="","",IF(AND($U339="Débito",$F339&lt;&gt;""),$F339,$E339))</f>
        <v/>
      </c>
      <c r="AB339" s="13" t="str">
        <f aca="false">IF(OR($C339="",$T339="Mixta",$AA339=""),"",IF($V339="Subyacente",IF($J339="","",$J339-$K339),IF($T339="Put",$AA339-$K339,$AA339+$K339)))</f>
        <v/>
      </c>
      <c r="AC339" s="14" t="str">
        <f aca="false">IF(OR($C339="",$T339="Mixta",$J339="",$AA339=""),"",IF($T339="Put",($J339-$AA339)/$J339,($AA339-$J339)/$J339))</f>
        <v/>
      </c>
      <c r="AD339" s="12" t="str">
        <f aca="false">IF($C339="","",IF($Q339&lt;&gt;"",$Q339,IF($V339="Strike",N($E339)*$H339*$I339,IF($V339="Subyacente",IF($J339="","",$J339*$H339*$I339),IF($V339="Ancho",IF($F339="","",ABS($E339-$F339)*$H339*$I339-$K339*$H339*$I339),IF($V339="Prima",$K339*$H339*$I339,""))))))</f>
        <v/>
      </c>
      <c r="AE339" s="12" t="str">
        <f aca="false">IF(OR($C339="",$M339="Abierta",$M339=""),"",(N($K339)-IF(OR($M339="Cerrada",$M339="Rolada"),N($O339),0))*$H339*$I339*IF($U339="Débito",-1,1)-N($L339)-N($P339))</f>
        <v/>
      </c>
      <c r="AF339" s="14" t="str">
        <f aca="false">IF(OR($AE339="",$AD339=""),"",IF($AD339&lt;=0,"",$AE339/$AD339))</f>
        <v/>
      </c>
      <c r="AG339" s="14" t="str">
        <f aca="false">IF($AF339="","",$AF339*365/MAX(N($X339),1))</f>
        <v/>
      </c>
      <c r="AH339" s="14" t="str">
        <f aca="false">IF(OR($C339="",$U339&lt;&gt;"Crédito",$AD339=""),"",IF($AD339&lt;=0,"",($Z339-N($L339))/$AD339))</f>
        <v/>
      </c>
      <c r="AI339" s="14" t="str">
        <f aca="false">IF(OR($AH339="",$W339=""),"",$AH339*365/MAX($W339,1))</f>
        <v/>
      </c>
      <c r="AJ339" s="14" t="str">
        <f aca="false">IF(OR($AE339="",$U339&lt;&gt;"Crédito",N($K339)=0),"",(N($K339)-IF(OR($M339="Cerrada",$M339="Rolada"),N($O339),0))/$K339)</f>
        <v/>
      </c>
      <c r="AK339" s="15" t="str">
        <f aca="false">IF(OR($C339="",$N339=""),"",DATE(YEAR($N339),MONTH($N339),1))</f>
        <v/>
      </c>
      <c r="AL339" s="11" t="str">
        <f aca="false">IF($C339="","",IF($M339="Abierta",0,1))</f>
        <v/>
      </c>
      <c r="AM339" s="16" t="str">
        <f aca="false">IF(OR($AE339="",$AD339=""),"",$AD339*MAX(N($X339),1))</f>
        <v/>
      </c>
      <c r="AN339" s="10" t="str">
        <f aca="false">IF($C339="","",IF(OR($B339="",$D339="",$H339="",$K339="",$M339=""),"Faltan datos obligatorios",IF($T339="","Estrategia no reconocida",IF(AND($M339&lt;&gt;"Abierta",$N339=""),"Falta fecha cierre",IF(AND(OR($M339="Cerrada",$M339="Rolada"),$O339=""),"Falta prima cierre",IF(AND($N339&lt;&gt;"",$N339&lt;$B339),"Cierre anterior a apertura",IF(AND($M339="Asignada",$R339=""),"Asignada: falta ID lote acciones",IF(AND($R339&lt;&gt;"",ISNA(MATCH($R339,Acciones!$A$2:$A$201,0))),"El ID lote no existe en Acciones",IF($AD339="","Revisa capital en riesgo","OK")))))))))</f>
        <v/>
      </c>
    </row>
    <row r="340" customFormat="false" ht="15" hidden="false" customHeight="true" outlineLevel="0" collapsed="false">
      <c r="A340" s="5"/>
      <c r="B340" s="6"/>
      <c r="C340" s="7"/>
      <c r="D340" s="7"/>
      <c r="E340" s="8"/>
      <c r="F340" s="8"/>
      <c r="G340" s="6"/>
      <c r="H340" s="5"/>
      <c r="I340" s="5" t="n">
        <v>100</v>
      </c>
      <c r="J340" s="8"/>
      <c r="K340" s="8"/>
      <c r="L340" s="9"/>
      <c r="M340" s="7"/>
      <c r="N340" s="6"/>
      <c r="O340" s="8"/>
      <c r="P340" s="9"/>
      <c r="Q340" s="9"/>
      <c r="R340" s="7"/>
      <c r="S340" s="7"/>
      <c r="T340" s="10" t="str">
        <f aca="false">IF($C340="","",IFERROR(INDEX(Listas!$B$2:$B$20,MATCH($D340,Listas!$A$2:$A$20,0)),""))</f>
        <v/>
      </c>
      <c r="U340" s="10" t="str">
        <f aca="false">IF($C340="","",IFERROR(INDEX(Listas!$C$2:$C$20,MATCH($D340,Listas!$A$2:$A$20,0)),""))</f>
        <v/>
      </c>
      <c r="V340" s="10" t="str">
        <f aca="false">IF($C340="","",IFERROR(INDEX(Listas!$D$2:$D$20,MATCH($D340,Listas!$A$2:$A$20,0)),""))</f>
        <v/>
      </c>
      <c r="W340" s="11" t="str">
        <f aca="false">IF(OR($C340="",$B340="",$G340=""),"",$G340-$B340)</f>
        <v/>
      </c>
      <c r="X340" s="11" t="str">
        <f aca="true">IF(OR($C340="",$B340=""),"",IF($N340&lt;&gt;"",$N340,TODAY())-$B340)</f>
        <v/>
      </c>
      <c r="Y340" s="11" t="str">
        <f aca="true">IF(OR($C340="",$M340&lt;&gt;"Abierta",$G340=""),"",MAX($G340-TODAY(),0))</f>
        <v/>
      </c>
      <c r="Z340" s="12" t="str">
        <f aca="false">IF($C340="","",N($K340)*N($H340)*N($I340)*IF($U340="Débito",-1,1))</f>
        <v/>
      </c>
      <c r="AA340" s="13" t="str">
        <f aca="false">IF($C340="","",IF(AND($U340="Débito",$F340&lt;&gt;""),$F340,$E340))</f>
        <v/>
      </c>
      <c r="AB340" s="13" t="str">
        <f aca="false">IF(OR($C340="",$T340="Mixta",$AA340=""),"",IF($V340="Subyacente",IF($J340="","",$J340-$K340),IF($T340="Put",$AA340-$K340,$AA340+$K340)))</f>
        <v/>
      </c>
      <c r="AC340" s="14" t="str">
        <f aca="false">IF(OR($C340="",$T340="Mixta",$J340="",$AA340=""),"",IF($T340="Put",($J340-$AA340)/$J340,($AA340-$J340)/$J340))</f>
        <v/>
      </c>
      <c r="AD340" s="12" t="str">
        <f aca="false">IF($C340="","",IF($Q340&lt;&gt;"",$Q340,IF($V340="Strike",N($E340)*$H340*$I340,IF($V340="Subyacente",IF($J340="","",$J340*$H340*$I340),IF($V340="Ancho",IF($F340="","",ABS($E340-$F340)*$H340*$I340-$K340*$H340*$I340),IF($V340="Prima",$K340*$H340*$I340,""))))))</f>
        <v/>
      </c>
      <c r="AE340" s="12" t="str">
        <f aca="false">IF(OR($C340="",$M340="Abierta",$M340=""),"",(N($K340)-IF(OR($M340="Cerrada",$M340="Rolada"),N($O340),0))*$H340*$I340*IF($U340="Débito",-1,1)-N($L340)-N($P340))</f>
        <v/>
      </c>
      <c r="AF340" s="14" t="str">
        <f aca="false">IF(OR($AE340="",$AD340=""),"",IF($AD340&lt;=0,"",$AE340/$AD340))</f>
        <v/>
      </c>
      <c r="AG340" s="14" t="str">
        <f aca="false">IF($AF340="","",$AF340*365/MAX(N($X340),1))</f>
        <v/>
      </c>
      <c r="AH340" s="14" t="str">
        <f aca="false">IF(OR($C340="",$U340&lt;&gt;"Crédito",$AD340=""),"",IF($AD340&lt;=0,"",($Z340-N($L340))/$AD340))</f>
        <v/>
      </c>
      <c r="AI340" s="14" t="str">
        <f aca="false">IF(OR($AH340="",$W340=""),"",$AH340*365/MAX($W340,1))</f>
        <v/>
      </c>
      <c r="AJ340" s="14" t="str">
        <f aca="false">IF(OR($AE340="",$U340&lt;&gt;"Crédito",N($K340)=0),"",(N($K340)-IF(OR($M340="Cerrada",$M340="Rolada"),N($O340),0))/$K340)</f>
        <v/>
      </c>
      <c r="AK340" s="15" t="str">
        <f aca="false">IF(OR($C340="",$N340=""),"",DATE(YEAR($N340),MONTH($N340),1))</f>
        <v/>
      </c>
      <c r="AL340" s="11" t="str">
        <f aca="false">IF($C340="","",IF($M340="Abierta",0,1))</f>
        <v/>
      </c>
      <c r="AM340" s="16" t="str">
        <f aca="false">IF(OR($AE340="",$AD340=""),"",$AD340*MAX(N($X340),1))</f>
        <v/>
      </c>
      <c r="AN340" s="10" t="str">
        <f aca="false">IF($C340="","",IF(OR($B340="",$D340="",$H340="",$K340="",$M340=""),"Faltan datos obligatorios",IF($T340="","Estrategia no reconocida",IF(AND($M340&lt;&gt;"Abierta",$N340=""),"Falta fecha cierre",IF(AND(OR($M340="Cerrada",$M340="Rolada"),$O340=""),"Falta prima cierre",IF(AND($N340&lt;&gt;"",$N340&lt;$B340),"Cierre anterior a apertura",IF(AND($M340="Asignada",$R340=""),"Asignada: falta ID lote acciones",IF(AND($R340&lt;&gt;"",ISNA(MATCH($R340,Acciones!$A$2:$A$201,0))),"El ID lote no existe en Acciones",IF($AD340="","Revisa capital en riesgo","OK")))))))))</f>
        <v/>
      </c>
    </row>
    <row r="341" customFormat="false" ht="15" hidden="false" customHeight="true" outlineLevel="0" collapsed="false">
      <c r="A341" s="5"/>
      <c r="B341" s="6"/>
      <c r="C341" s="7"/>
      <c r="D341" s="7"/>
      <c r="E341" s="8"/>
      <c r="F341" s="8"/>
      <c r="G341" s="6"/>
      <c r="H341" s="5"/>
      <c r="I341" s="5" t="n">
        <v>100</v>
      </c>
      <c r="J341" s="8"/>
      <c r="K341" s="8"/>
      <c r="L341" s="9"/>
      <c r="M341" s="7"/>
      <c r="N341" s="6"/>
      <c r="O341" s="8"/>
      <c r="P341" s="9"/>
      <c r="Q341" s="9"/>
      <c r="R341" s="7"/>
      <c r="S341" s="7"/>
      <c r="T341" s="10" t="str">
        <f aca="false">IF($C341="","",IFERROR(INDEX(Listas!$B$2:$B$20,MATCH($D341,Listas!$A$2:$A$20,0)),""))</f>
        <v/>
      </c>
      <c r="U341" s="10" t="str">
        <f aca="false">IF($C341="","",IFERROR(INDEX(Listas!$C$2:$C$20,MATCH($D341,Listas!$A$2:$A$20,0)),""))</f>
        <v/>
      </c>
      <c r="V341" s="10" t="str">
        <f aca="false">IF($C341="","",IFERROR(INDEX(Listas!$D$2:$D$20,MATCH($D341,Listas!$A$2:$A$20,0)),""))</f>
        <v/>
      </c>
      <c r="W341" s="11" t="str">
        <f aca="false">IF(OR($C341="",$B341="",$G341=""),"",$G341-$B341)</f>
        <v/>
      </c>
      <c r="X341" s="11" t="str">
        <f aca="true">IF(OR($C341="",$B341=""),"",IF($N341&lt;&gt;"",$N341,TODAY())-$B341)</f>
        <v/>
      </c>
      <c r="Y341" s="11" t="str">
        <f aca="true">IF(OR($C341="",$M341&lt;&gt;"Abierta",$G341=""),"",MAX($G341-TODAY(),0))</f>
        <v/>
      </c>
      <c r="Z341" s="12" t="str">
        <f aca="false">IF($C341="","",N($K341)*N($H341)*N($I341)*IF($U341="Débito",-1,1))</f>
        <v/>
      </c>
      <c r="AA341" s="13" t="str">
        <f aca="false">IF($C341="","",IF(AND($U341="Débito",$F341&lt;&gt;""),$F341,$E341))</f>
        <v/>
      </c>
      <c r="AB341" s="13" t="str">
        <f aca="false">IF(OR($C341="",$T341="Mixta",$AA341=""),"",IF($V341="Subyacente",IF($J341="","",$J341-$K341),IF($T341="Put",$AA341-$K341,$AA341+$K341)))</f>
        <v/>
      </c>
      <c r="AC341" s="14" t="str">
        <f aca="false">IF(OR($C341="",$T341="Mixta",$J341="",$AA341=""),"",IF($T341="Put",($J341-$AA341)/$J341,($AA341-$J341)/$J341))</f>
        <v/>
      </c>
      <c r="AD341" s="12" t="str">
        <f aca="false">IF($C341="","",IF($Q341&lt;&gt;"",$Q341,IF($V341="Strike",N($E341)*$H341*$I341,IF($V341="Subyacente",IF($J341="","",$J341*$H341*$I341),IF($V341="Ancho",IF($F341="","",ABS($E341-$F341)*$H341*$I341-$K341*$H341*$I341),IF($V341="Prima",$K341*$H341*$I341,""))))))</f>
        <v/>
      </c>
      <c r="AE341" s="12" t="str">
        <f aca="false">IF(OR($C341="",$M341="Abierta",$M341=""),"",(N($K341)-IF(OR($M341="Cerrada",$M341="Rolada"),N($O341),0))*$H341*$I341*IF($U341="Débito",-1,1)-N($L341)-N($P341))</f>
        <v/>
      </c>
      <c r="AF341" s="14" t="str">
        <f aca="false">IF(OR($AE341="",$AD341=""),"",IF($AD341&lt;=0,"",$AE341/$AD341))</f>
        <v/>
      </c>
      <c r="AG341" s="14" t="str">
        <f aca="false">IF($AF341="","",$AF341*365/MAX(N($X341),1))</f>
        <v/>
      </c>
      <c r="AH341" s="14" t="str">
        <f aca="false">IF(OR($C341="",$U341&lt;&gt;"Crédito",$AD341=""),"",IF($AD341&lt;=0,"",($Z341-N($L341))/$AD341))</f>
        <v/>
      </c>
      <c r="AI341" s="14" t="str">
        <f aca="false">IF(OR($AH341="",$W341=""),"",$AH341*365/MAX($W341,1))</f>
        <v/>
      </c>
      <c r="AJ341" s="14" t="str">
        <f aca="false">IF(OR($AE341="",$U341&lt;&gt;"Crédito",N($K341)=0),"",(N($K341)-IF(OR($M341="Cerrada",$M341="Rolada"),N($O341),0))/$K341)</f>
        <v/>
      </c>
      <c r="AK341" s="15" t="str">
        <f aca="false">IF(OR($C341="",$N341=""),"",DATE(YEAR($N341),MONTH($N341),1))</f>
        <v/>
      </c>
      <c r="AL341" s="11" t="str">
        <f aca="false">IF($C341="","",IF($M341="Abierta",0,1))</f>
        <v/>
      </c>
      <c r="AM341" s="16" t="str">
        <f aca="false">IF(OR($AE341="",$AD341=""),"",$AD341*MAX(N($X341),1))</f>
        <v/>
      </c>
      <c r="AN341" s="10" t="str">
        <f aca="false">IF($C341="","",IF(OR($B341="",$D341="",$H341="",$K341="",$M341=""),"Faltan datos obligatorios",IF($T341="","Estrategia no reconocida",IF(AND($M341&lt;&gt;"Abierta",$N341=""),"Falta fecha cierre",IF(AND(OR($M341="Cerrada",$M341="Rolada"),$O341=""),"Falta prima cierre",IF(AND($N341&lt;&gt;"",$N341&lt;$B341),"Cierre anterior a apertura",IF(AND($M341="Asignada",$R341=""),"Asignada: falta ID lote acciones",IF(AND($R341&lt;&gt;"",ISNA(MATCH($R341,Acciones!$A$2:$A$201,0))),"El ID lote no existe en Acciones",IF($AD341="","Revisa capital en riesgo","OK")))))))))</f>
        <v/>
      </c>
    </row>
    <row r="342" customFormat="false" ht="15" hidden="false" customHeight="true" outlineLevel="0" collapsed="false">
      <c r="A342" s="5"/>
      <c r="B342" s="6"/>
      <c r="C342" s="7"/>
      <c r="D342" s="7"/>
      <c r="E342" s="8"/>
      <c r="F342" s="8"/>
      <c r="G342" s="6"/>
      <c r="H342" s="5"/>
      <c r="I342" s="5" t="n">
        <v>100</v>
      </c>
      <c r="J342" s="8"/>
      <c r="K342" s="8"/>
      <c r="L342" s="9"/>
      <c r="M342" s="7"/>
      <c r="N342" s="6"/>
      <c r="O342" s="8"/>
      <c r="P342" s="9"/>
      <c r="Q342" s="9"/>
      <c r="R342" s="7"/>
      <c r="S342" s="7"/>
      <c r="T342" s="10" t="str">
        <f aca="false">IF($C342="","",IFERROR(INDEX(Listas!$B$2:$B$20,MATCH($D342,Listas!$A$2:$A$20,0)),""))</f>
        <v/>
      </c>
      <c r="U342" s="10" t="str">
        <f aca="false">IF($C342="","",IFERROR(INDEX(Listas!$C$2:$C$20,MATCH($D342,Listas!$A$2:$A$20,0)),""))</f>
        <v/>
      </c>
      <c r="V342" s="10" t="str">
        <f aca="false">IF($C342="","",IFERROR(INDEX(Listas!$D$2:$D$20,MATCH($D342,Listas!$A$2:$A$20,0)),""))</f>
        <v/>
      </c>
      <c r="W342" s="11" t="str">
        <f aca="false">IF(OR($C342="",$B342="",$G342=""),"",$G342-$B342)</f>
        <v/>
      </c>
      <c r="X342" s="11" t="str">
        <f aca="true">IF(OR($C342="",$B342=""),"",IF($N342&lt;&gt;"",$N342,TODAY())-$B342)</f>
        <v/>
      </c>
      <c r="Y342" s="11" t="str">
        <f aca="true">IF(OR($C342="",$M342&lt;&gt;"Abierta",$G342=""),"",MAX($G342-TODAY(),0))</f>
        <v/>
      </c>
      <c r="Z342" s="12" t="str">
        <f aca="false">IF($C342="","",N($K342)*N($H342)*N($I342)*IF($U342="Débito",-1,1))</f>
        <v/>
      </c>
      <c r="AA342" s="13" t="str">
        <f aca="false">IF($C342="","",IF(AND($U342="Débito",$F342&lt;&gt;""),$F342,$E342))</f>
        <v/>
      </c>
      <c r="AB342" s="13" t="str">
        <f aca="false">IF(OR($C342="",$T342="Mixta",$AA342=""),"",IF($V342="Subyacente",IF($J342="","",$J342-$K342),IF($T342="Put",$AA342-$K342,$AA342+$K342)))</f>
        <v/>
      </c>
      <c r="AC342" s="14" t="str">
        <f aca="false">IF(OR($C342="",$T342="Mixta",$J342="",$AA342=""),"",IF($T342="Put",($J342-$AA342)/$J342,($AA342-$J342)/$J342))</f>
        <v/>
      </c>
      <c r="AD342" s="12" t="str">
        <f aca="false">IF($C342="","",IF($Q342&lt;&gt;"",$Q342,IF($V342="Strike",N($E342)*$H342*$I342,IF($V342="Subyacente",IF($J342="","",$J342*$H342*$I342),IF($V342="Ancho",IF($F342="","",ABS($E342-$F342)*$H342*$I342-$K342*$H342*$I342),IF($V342="Prima",$K342*$H342*$I342,""))))))</f>
        <v/>
      </c>
      <c r="AE342" s="12" t="str">
        <f aca="false">IF(OR($C342="",$M342="Abierta",$M342=""),"",(N($K342)-IF(OR($M342="Cerrada",$M342="Rolada"),N($O342),0))*$H342*$I342*IF($U342="Débito",-1,1)-N($L342)-N($P342))</f>
        <v/>
      </c>
      <c r="AF342" s="14" t="str">
        <f aca="false">IF(OR($AE342="",$AD342=""),"",IF($AD342&lt;=0,"",$AE342/$AD342))</f>
        <v/>
      </c>
      <c r="AG342" s="14" t="str">
        <f aca="false">IF($AF342="","",$AF342*365/MAX(N($X342),1))</f>
        <v/>
      </c>
      <c r="AH342" s="14" t="str">
        <f aca="false">IF(OR($C342="",$U342&lt;&gt;"Crédito",$AD342=""),"",IF($AD342&lt;=0,"",($Z342-N($L342))/$AD342))</f>
        <v/>
      </c>
      <c r="AI342" s="14" t="str">
        <f aca="false">IF(OR($AH342="",$W342=""),"",$AH342*365/MAX($W342,1))</f>
        <v/>
      </c>
      <c r="AJ342" s="14" t="str">
        <f aca="false">IF(OR($AE342="",$U342&lt;&gt;"Crédito",N($K342)=0),"",(N($K342)-IF(OR($M342="Cerrada",$M342="Rolada"),N($O342),0))/$K342)</f>
        <v/>
      </c>
      <c r="AK342" s="15" t="str">
        <f aca="false">IF(OR($C342="",$N342=""),"",DATE(YEAR($N342),MONTH($N342),1))</f>
        <v/>
      </c>
      <c r="AL342" s="11" t="str">
        <f aca="false">IF($C342="","",IF($M342="Abierta",0,1))</f>
        <v/>
      </c>
      <c r="AM342" s="16" t="str">
        <f aca="false">IF(OR($AE342="",$AD342=""),"",$AD342*MAX(N($X342),1))</f>
        <v/>
      </c>
      <c r="AN342" s="10" t="str">
        <f aca="false">IF($C342="","",IF(OR($B342="",$D342="",$H342="",$K342="",$M342=""),"Faltan datos obligatorios",IF($T342="","Estrategia no reconocida",IF(AND($M342&lt;&gt;"Abierta",$N342=""),"Falta fecha cierre",IF(AND(OR($M342="Cerrada",$M342="Rolada"),$O342=""),"Falta prima cierre",IF(AND($N342&lt;&gt;"",$N342&lt;$B342),"Cierre anterior a apertura",IF(AND($M342="Asignada",$R342=""),"Asignada: falta ID lote acciones",IF(AND($R342&lt;&gt;"",ISNA(MATCH($R342,Acciones!$A$2:$A$201,0))),"El ID lote no existe en Acciones",IF($AD342="","Revisa capital en riesgo","OK")))))))))</f>
        <v/>
      </c>
    </row>
    <row r="343" customFormat="false" ht="15" hidden="false" customHeight="true" outlineLevel="0" collapsed="false">
      <c r="A343" s="5"/>
      <c r="B343" s="6"/>
      <c r="C343" s="7"/>
      <c r="D343" s="7"/>
      <c r="E343" s="8"/>
      <c r="F343" s="8"/>
      <c r="G343" s="6"/>
      <c r="H343" s="5"/>
      <c r="I343" s="5" t="n">
        <v>100</v>
      </c>
      <c r="J343" s="8"/>
      <c r="K343" s="8"/>
      <c r="L343" s="9"/>
      <c r="M343" s="7"/>
      <c r="N343" s="6"/>
      <c r="O343" s="8"/>
      <c r="P343" s="9"/>
      <c r="Q343" s="9"/>
      <c r="R343" s="7"/>
      <c r="S343" s="7"/>
      <c r="T343" s="10" t="str">
        <f aca="false">IF($C343="","",IFERROR(INDEX(Listas!$B$2:$B$20,MATCH($D343,Listas!$A$2:$A$20,0)),""))</f>
        <v/>
      </c>
      <c r="U343" s="10" t="str">
        <f aca="false">IF($C343="","",IFERROR(INDEX(Listas!$C$2:$C$20,MATCH($D343,Listas!$A$2:$A$20,0)),""))</f>
        <v/>
      </c>
      <c r="V343" s="10" t="str">
        <f aca="false">IF($C343="","",IFERROR(INDEX(Listas!$D$2:$D$20,MATCH($D343,Listas!$A$2:$A$20,0)),""))</f>
        <v/>
      </c>
      <c r="W343" s="11" t="str">
        <f aca="false">IF(OR($C343="",$B343="",$G343=""),"",$G343-$B343)</f>
        <v/>
      </c>
      <c r="X343" s="11" t="str">
        <f aca="true">IF(OR($C343="",$B343=""),"",IF($N343&lt;&gt;"",$N343,TODAY())-$B343)</f>
        <v/>
      </c>
      <c r="Y343" s="11" t="str">
        <f aca="true">IF(OR($C343="",$M343&lt;&gt;"Abierta",$G343=""),"",MAX($G343-TODAY(),0))</f>
        <v/>
      </c>
      <c r="Z343" s="12" t="str">
        <f aca="false">IF($C343="","",N($K343)*N($H343)*N($I343)*IF($U343="Débito",-1,1))</f>
        <v/>
      </c>
      <c r="AA343" s="13" t="str">
        <f aca="false">IF($C343="","",IF(AND($U343="Débito",$F343&lt;&gt;""),$F343,$E343))</f>
        <v/>
      </c>
      <c r="AB343" s="13" t="str">
        <f aca="false">IF(OR($C343="",$T343="Mixta",$AA343=""),"",IF($V343="Subyacente",IF($J343="","",$J343-$K343),IF($T343="Put",$AA343-$K343,$AA343+$K343)))</f>
        <v/>
      </c>
      <c r="AC343" s="14" t="str">
        <f aca="false">IF(OR($C343="",$T343="Mixta",$J343="",$AA343=""),"",IF($T343="Put",($J343-$AA343)/$J343,($AA343-$J343)/$J343))</f>
        <v/>
      </c>
      <c r="AD343" s="12" t="str">
        <f aca="false">IF($C343="","",IF($Q343&lt;&gt;"",$Q343,IF($V343="Strike",N($E343)*$H343*$I343,IF($V343="Subyacente",IF($J343="","",$J343*$H343*$I343),IF($V343="Ancho",IF($F343="","",ABS($E343-$F343)*$H343*$I343-$K343*$H343*$I343),IF($V343="Prima",$K343*$H343*$I343,""))))))</f>
        <v/>
      </c>
      <c r="AE343" s="12" t="str">
        <f aca="false">IF(OR($C343="",$M343="Abierta",$M343=""),"",(N($K343)-IF(OR($M343="Cerrada",$M343="Rolada"),N($O343),0))*$H343*$I343*IF($U343="Débito",-1,1)-N($L343)-N($P343))</f>
        <v/>
      </c>
      <c r="AF343" s="14" t="str">
        <f aca="false">IF(OR($AE343="",$AD343=""),"",IF($AD343&lt;=0,"",$AE343/$AD343))</f>
        <v/>
      </c>
      <c r="AG343" s="14" t="str">
        <f aca="false">IF($AF343="","",$AF343*365/MAX(N($X343),1))</f>
        <v/>
      </c>
      <c r="AH343" s="14" t="str">
        <f aca="false">IF(OR($C343="",$U343&lt;&gt;"Crédito",$AD343=""),"",IF($AD343&lt;=0,"",($Z343-N($L343))/$AD343))</f>
        <v/>
      </c>
      <c r="AI343" s="14" t="str">
        <f aca="false">IF(OR($AH343="",$W343=""),"",$AH343*365/MAX($W343,1))</f>
        <v/>
      </c>
      <c r="AJ343" s="14" t="str">
        <f aca="false">IF(OR($AE343="",$U343&lt;&gt;"Crédito",N($K343)=0),"",(N($K343)-IF(OR($M343="Cerrada",$M343="Rolada"),N($O343),0))/$K343)</f>
        <v/>
      </c>
      <c r="AK343" s="15" t="str">
        <f aca="false">IF(OR($C343="",$N343=""),"",DATE(YEAR($N343),MONTH($N343),1))</f>
        <v/>
      </c>
      <c r="AL343" s="11" t="str">
        <f aca="false">IF($C343="","",IF($M343="Abierta",0,1))</f>
        <v/>
      </c>
      <c r="AM343" s="16" t="str">
        <f aca="false">IF(OR($AE343="",$AD343=""),"",$AD343*MAX(N($X343),1))</f>
        <v/>
      </c>
      <c r="AN343" s="10" t="str">
        <f aca="false">IF($C343="","",IF(OR($B343="",$D343="",$H343="",$K343="",$M343=""),"Faltan datos obligatorios",IF($T343="","Estrategia no reconocida",IF(AND($M343&lt;&gt;"Abierta",$N343=""),"Falta fecha cierre",IF(AND(OR($M343="Cerrada",$M343="Rolada"),$O343=""),"Falta prima cierre",IF(AND($N343&lt;&gt;"",$N343&lt;$B343),"Cierre anterior a apertura",IF(AND($M343="Asignada",$R343=""),"Asignada: falta ID lote acciones",IF(AND($R343&lt;&gt;"",ISNA(MATCH($R343,Acciones!$A$2:$A$201,0))),"El ID lote no existe en Acciones",IF($AD343="","Revisa capital en riesgo","OK")))))))))</f>
        <v/>
      </c>
    </row>
    <row r="344" customFormat="false" ht="15" hidden="false" customHeight="true" outlineLevel="0" collapsed="false">
      <c r="A344" s="5"/>
      <c r="B344" s="6"/>
      <c r="C344" s="7"/>
      <c r="D344" s="7"/>
      <c r="E344" s="8"/>
      <c r="F344" s="8"/>
      <c r="G344" s="6"/>
      <c r="H344" s="5"/>
      <c r="I344" s="5" t="n">
        <v>100</v>
      </c>
      <c r="J344" s="8"/>
      <c r="K344" s="8"/>
      <c r="L344" s="9"/>
      <c r="M344" s="7"/>
      <c r="N344" s="6"/>
      <c r="O344" s="8"/>
      <c r="P344" s="9"/>
      <c r="Q344" s="9"/>
      <c r="R344" s="7"/>
      <c r="S344" s="7"/>
      <c r="T344" s="10" t="str">
        <f aca="false">IF($C344="","",IFERROR(INDEX(Listas!$B$2:$B$20,MATCH($D344,Listas!$A$2:$A$20,0)),""))</f>
        <v/>
      </c>
      <c r="U344" s="10" t="str">
        <f aca="false">IF($C344="","",IFERROR(INDEX(Listas!$C$2:$C$20,MATCH($D344,Listas!$A$2:$A$20,0)),""))</f>
        <v/>
      </c>
      <c r="V344" s="10" t="str">
        <f aca="false">IF($C344="","",IFERROR(INDEX(Listas!$D$2:$D$20,MATCH($D344,Listas!$A$2:$A$20,0)),""))</f>
        <v/>
      </c>
      <c r="W344" s="11" t="str">
        <f aca="false">IF(OR($C344="",$B344="",$G344=""),"",$G344-$B344)</f>
        <v/>
      </c>
      <c r="X344" s="11" t="str">
        <f aca="true">IF(OR($C344="",$B344=""),"",IF($N344&lt;&gt;"",$N344,TODAY())-$B344)</f>
        <v/>
      </c>
      <c r="Y344" s="11" t="str">
        <f aca="true">IF(OR($C344="",$M344&lt;&gt;"Abierta",$G344=""),"",MAX($G344-TODAY(),0))</f>
        <v/>
      </c>
      <c r="Z344" s="12" t="str">
        <f aca="false">IF($C344="","",N($K344)*N($H344)*N($I344)*IF($U344="Débito",-1,1))</f>
        <v/>
      </c>
      <c r="AA344" s="13" t="str">
        <f aca="false">IF($C344="","",IF(AND($U344="Débito",$F344&lt;&gt;""),$F344,$E344))</f>
        <v/>
      </c>
      <c r="AB344" s="13" t="str">
        <f aca="false">IF(OR($C344="",$T344="Mixta",$AA344=""),"",IF($V344="Subyacente",IF($J344="","",$J344-$K344),IF($T344="Put",$AA344-$K344,$AA344+$K344)))</f>
        <v/>
      </c>
      <c r="AC344" s="14" t="str">
        <f aca="false">IF(OR($C344="",$T344="Mixta",$J344="",$AA344=""),"",IF($T344="Put",($J344-$AA344)/$J344,($AA344-$J344)/$J344))</f>
        <v/>
      </c>
      <c r="AD344" s="12" t="str">
        <f aca="false">IF($C344="","",IF($Q344&lt;&gt;"",$Q344,IF($V344="Strike",N($E344)*$H344*$I344,IF($V344="Subyacente",IF($J344="","",$J344*$H344*$I344),IF($V344="Ancho",IF($F344="","",ABS($E344-$F344)*$H344*$I344-$K344*$H344*$I344),IF($V344="Prima",$K344*$H344*$I344,""))))))</f>
        <v/>
      </c>
      <c r="AE344" s="12" t="str">
        <f aca="false">IF(OR($C344="",$M344="Abierta",$M344=""),"",(N($K344)-IF(OR($M344="Cerrada",$M344="Rolada"),N($O344),0))*$H344*$I344*IF($U344="Débito",-1,1)-N($L344)-N($P344))</f>
        <v/>
      </c>
      <c r="AF344" s="14" t="str">
        <f aca="false">IF(OR($AE344="",$AD344=""),"",IF($AD344&lt;=0,"",$AE344/$AD344))</f>
        <v/>
      </c>
      <c r="AG344" s="14" t="str">
        <f aca="false">IF($AF344="","",$AF344*365/MAX(N($X344),1))</f>
        <v/>
      </c>
      <c r="AH344" s="14" t="str">
        <f aca="false">IF(OR($C344="",$U344&lt;&gt;"Crédito",$AD344=""),"",IF($AD344&lt;=0,"",($Z344-N($L344))/$AD344))</f>
        <v/>
      </c>
      <c r="AI344" s="14" t="str">
        <f aca="false">IF(OR($AH344="",$W344=""),"",$AH344*365/MAX($W344,1))</f>
        <v/>
      </c>
      <c r="AJ344" s="14" t="str">
        <f aca="false">IF(OR($AE344="",$U344&lt;&gt;"Crédito",N($K344)=0),"",(N($K344)-IF(OR($M344="Cerrada",$M344="Rolada"),N($O344),0))/$K344)</f>
        <v/>
      </c>
      <c r="AK344" s="15" t="str">
        <f aca="false">IF(OR($C344="",$N344=""),"",DATE(YEAR($N344),MONTH($N344),1))</f>
        <v/>
      </c>
      <c r="AL344" s="11" t="str">
        <f aca="false">IF($C344="","",IF($M344="Abierta",0,1))</f>
        <v/>
      </c>
      <c r="AM344" s="16" t="str">
        <f aca="false">IF(OR($AE344="",$AD344=""),"",$AD344*MAX(N($X344),1))</f>
        <v/>
      </c>
      <c r="AN344" s="10" t="str">
        <f aca="false">IF($C344="","",IF(OR($B344="",$D344="",$H344="",$K344="",$M344=""),"Faltan datos obligatorios",IF($T344="","Estrategia no reconocida",IF(AND($M344&lt;&gt;"Abierta",$N344=""),"Falta fecha cierre",IF(AND(OR($M344="Cerrada",$M344="Rolada"),$O344=""),"Falta prima cierre",IF(AND($N344&lt;&gt;"",$N344&lt;$B344),"Cierre anterior a apertura",IF(AND($M344="Asignada",$R344=""),"Asignada: falta ID lote acciones",IF(AND($R344&lt;&gt;"",ISNA(MATCH($R344,Acciones!$A$2:$A$201,0))),"El ID lote no existe en Acciones",IF($AD344="","Revisa capital en riesgo","OK")))))))))</f>
        <v/>
      </c>
    </row>
    <row r="345" customFormat="false" ht="15" hidden="false" customHeight="true" outlineLevel="0" collapsed="false">
      <c r="A345" s="5"/>
      <c r="B345" s="6"/>
      <c r="C345" s="7"/>
      <c r="D345" s="7"/>
      <c r="E345" s="8"/>
      <c r="F345" s="8"/>
      <c r="G345" s="6"/>
      <c r="H345" s="5"/>
      <c r="I345" s="5" t="n">
        <v>100</v>
      </c>
      <c r="J345" s="8"/>
      <c r="K345" s="8"/>
      <c r="L345" s="9"/>
      <c r="M345" s="7"/>
      <c r="N345" s="6"/>
      <c r="O345" s="8"/>
      <c r="P345" s="9"/>
      <c r="Q345" s="9"/>
      <c r="R345" s="7"/>
      <c r="S345" s="7"/>
      <c r="T345" s="10" t="str">
        <f aca="false">IF($C345="","",IFERROR(INDEX(Listas!$B$2:$B$20,MATCH($D345,Listas!$A$2:$A$20,0)),""))</f>
        <v/>
      </c>
      <c r="U345" s="10" t="str">
        <f aca="false">IF($C345="","",IFERROR(INDEX(Listas!$C$2:$C$20,MATCH($D345,Listas!$A$2:$A$20,0)),""))</f>
        <v/>
      </c>
      <c r="V345" s="10" t="str">
        <f aca="false">IF($C345="","",IFERROR(INDEX(Listas!$D$2:$D$20,MATCH($D345,Listas!$A$2:$A$20,0)),""))</f>
        <v/>
      </c>
      <c r="W345" s="11" t="str">
        <f aca="false">IF(OR($C345="",$B345="",$G345=""),"",$G345-$B345)</f>
        <v/>
      </c>
      <c r="X345" s="11" t="str">
        <f aca="true">IF(OR($C345="",$B345=""),"",IF($N345&lt;&gt;"",$N345,TODAY())-$B345)</f>
        <v/>
      </c>
      <c r="Y345" s="11" t="str">
        <f aca="true">IF(OR($C345="",$M345&lt;&gt;"Abierta",$G345=""),"",MAX($G345-TODAY(),0))</f>
        <v/>
      </c>
      <c r="Z345" s="12" t="str">
        <f aca="false">IF($C345="","",N($K345)*N($H345)*N($I345)*IF($U345="Débito",-1,1))</f>
        <v/>
      </c>
      <c r="AA345" s="13" t="str">
        <f aca="false">IF($C345="","",IF(AND($U345="Débito",$F345&lt;&gt;""),$F345,$E345))</f>
        <v/>
      </c>
      <c r="AB345" s="13" t="str">
        <f aca="false">IF(OR($C345="",$T345="Mixta",$AA345=""),"",IF($V345="Subyacente",IF($J345="","",$J345-$K345),IF($T345="Put",$AA345-$K345,$AA345+$K345)))</f>
        <v/>
      </c>
      <c r="AC345" s="14" t="str">
        <f aca="false">IF(OR($C345="",$T345="Mixta",$J345="",$AA345=""),"",IF($T345="Put",($J345-$AA345)/$J345,($AA345-$J345)/$J345))</f>
        <v/>
      </c>
      <c r="AD345" s="12" t="str">
        <f aca="false">IF($C345="","",IF($Q345&lt;&gt;"",$Q345,IF($V345="Strike",N($E345)*$H345*$I345,IF($V345="Subyacente",IF($J345="","",$J345*$H345*$I345),IF($V345="Ancho",IF($F345="","",ABS($E345-$F345)*$H345*$I345-$K345*$H345*$I345),IF($V345="Prima",$K345*$H345*$I345,""))))))</f>
        <v/>
      </c>
      <c r="AE345" s="12" t="str">
        <f aca="false">IF(OR($C345="",$M345="Abierta",$M345=""),"",(N($K345)-IF(OR($M345="Cerrada",$M345="Rolada"),N($O345),0))*$H345*$I345*IF($U345="Débito",-1,1)-N($L345)-N($P345))</f>
        <v/>
      </c>
      <c r="AF345" s="14" t="str">
        <f aca="false">IF(OR($AE345="",$AD345=""),"",IF($AD345&lt;=0,"",$AE345/$AD345))</f>
        <v/>
      </c>
      <c r="AG345" s="14" t="str">
        <f aca="false">IF($AF345="","",$AF345*365/MAX(N($X345),1))</f>
        <v/>
      </c>
      <c r="AH345" s="14" t="str">
        <f aca="false">IF(OR($C345="",$U345&lt;&gt;"Crédito",$AD345=""),"",IF($AD345&lt;=0,"",($Z345-N($L345))/$AD345))</f>
        <v/>
      </c>
      <c r="AI345" s="14" t="str">
        <f aca="false">IF(OR($AH345="",$W345=""),"",$AH345*365/MAX($W345,1))</f>
        <v/>
      </c>
      <c r="AJ345" s="14" t="str">
        <f aca="false">IF(OR($AE345="",$U345&lt;&gt;"Crédito",N($K345)=0),"",(N($K345)-IF(OR($M345="Cerrada",$M345="Rolada"),N($O345),0))/$K345)</f>
        <v/>
      </c>
      <c r="AK345" s="15" t="str">
        <f aca="false">IF(OR($C345="",$N345=""),"",DATE(YEAR($N345),MONTH($N345),1))</f>
        <v/>
      </c>
      <c r="AL345" s="11" t="str">
        <f aca="false">IF($C345="","",IF($M345="Abierta",0,1))</f>
        <v/>
      </c>
      <c r="AM345" s="16" t="str">
        <f aca="false">IF(OR($AE345="",$AD345=""),"",$AD345*MAX(N($X345),1))</f>
        <v/>
      </c>
      <c r="AN345" s="10" t="str">
        <f aca="false">IF($C345="","",IF(OR($B345="",$D345="",$H345="",$K345="",$M345=""),"Faltan datos obligatorios",IF($T345="","Estrategia no reconocida",IF(AND($M345&lt;&gt;"Abierta",$N345=""),"Falta fecha cierre",IF(AND(OR($M345="Cerrada",$M345="Rolada"),$O345=""),"Falta prima cierre",IF(AND($N345&lt;&gt;"",$N345&lt;$B345),"Cierre anterior a apertura",IF(AND($M345="Asignada",$R345=""),"Asignada: falta ID lote acciones",IF(AND($R345&lt;&gt;"",ISNA(MATCH($R345,Acciones!$A$2:$A$201,0))),"El ID lote no existe en Acciones",IF($AD345="","Revisa capital en riesgo","OK")))))))))</f>
        <v/>
      </c>
    </row>
    <row r="346" customFormat="false" ht="15" hidden="false" customHeight="true" outlineLevel="0" collapsed="false">
      <c r="A346" s="5"/>
      <c r="B346" s="6"/>
      <c r="C346" s="7"/>
      <c r="D346" s="7"/>
      <c r="E346" s="8"/>
      <c r="F346" s="8"/>
      <c r="G346" s="6"/>
      <c r="H346" s="5"/>
      <c r="I346" s="5" t="n">
        <v>100</v>
      </c>
      <c r="J346" s="8"/>
      <c r="K346" s="8"/>
      <c r="L346" s="9"/>
      <c r="M346" s="7"/>
      <c r="N346" s="6"/>
      <c r="O346" s="8"/>
      <c r="P346" s="9"/>
      <c r="Q346" s="9"/>
      <c r="R346" s="7"/>
      <c r="S346" s="7"/>
      <c r="T346" s="10" t="str">
        <f aca="false">IF($C346="","",IFERROR(INDEX(Listas!$B$2:$B$20,MATCH($D346,Listas!$A$2:$A$20,0)),""))</f>
        <v/>
      </c>
      <c r="U346" s="10" t="str">
        <f aca="false">IF($C346="","",IFERROR(INDEX(Listas!$C$2:$C$20,MATCH($D346,Listas!$A$2:$A$20,0)),""))</f>
        <v/>
      </c>
      <c r="V346" s="10" t="str">
        <f aca="false">IF($C346="","",IFERROR(INDEX(Listas!$D$2:$D$20,MATCH($D346,Listas!$A$2:$A$20,0)),""))</f>
        <v/>
      </c>
      <c r="W346" s="11" t="str">
        <f aca="false">IF(OR($C346="",$B346="",$G346=""),"",$G346-$B346)</f>
        <v/>
      </c>
      <c r="X346" s="11" t="str">
        <f aca="true">IF(OR($C346="",$B346=""),"",IF($N346&lt;&gt;"",$N346,TODAY())-$B346)</f>
        <v/>
      </c>
      <c r="Y346" s="11" t="str">
        <f aca="true">IF(OR($C346="",$M346&lt;&gt;"Abierta",$G346=""),"",MAX($G346-TODAY(),0))</f>
        <v/>
      </c>
      <c r="Z346" s="12" t="str">
        <f aca="false">IF($C346="","",N($K346)*N($H346)*N($I346)*IF($U346="Débito",-1,1))</f>
        <v/>
      </c>
      <c r="AA346" s="13" t="str">
        <f aca="false">IF($C346="","",IF(AND($U346="Débito",$F346&lt;&gt;""),$F346,$E346))</f>
        <v/>
      </c>
      <c r="AB346" s="13" t="str">
        <f aca="false">IF(OR($C346="",$T346="Mixta",$AA346=""),"",IF($V346="Subyacente",IF($J346="","",$J346-$K346),IF($T346="Put",$AA346-$K346,$AA346+$K346)))</f>
        <v/>
      </c>
      <c r="AC346" s="14" t="str">
        <f aca="false">IF(OR($C346="",$T346="Mixta",$J346="",$AA346=""),"",IF($T346="Put",($J346-$AA346)/$J346,($AA346-$J346)/$J346))</f>
        <v/>
      </c>
      <c r="AD346" s="12" t="str">
        <f aca="false">IF($C346="","",IF($Q346&lt;&gt;"",$Q346,IF($V346="Strike",N($E346)*$H346*$I346,IF($V346="Subyacente",IF($J346="","",$J346*$H346*$I346),IF($V346="Ancho",IF($F346="","",ABS($E346-$F346)*$H346*$I346-$K346*$H346*$I346),IF($V346="Prima",$K346*$H346*$I346,""))))))</f>
        <v/>
      </c>
      <c r="AE346" s="12" t="str">
        <f aca="false">IF(OR($C346="",$M346="Abierta",$M346=""),"",(N($K346)-IF(OR($M346="Cerrada",$M346="Rolada"),N($O346),0))*$H346*$I346*IF($U346="Débito",-1,1)-N($L346)-N($P346))</f>
        <v/>
      </c>
      <c r="AF346" s="14" t="str">
        <f aca="false">IF(OR($AE346="",$AD346=""),"",IF($AD346&lt;=0,"",$AE346/$AD346))</f>
        <v/>
      </c>
      <c r="AG346" s="14" t="str">
        <f aca="false">IF($AF346="","",$AF346*365/MAX(N($X346),1))</f>
        <v/>
      </c>
      <c r="AH346" s="14" t="str">
        <f aca="false">IF(OR($C346="",$U346&lt;&gt;"Crédito",$AD346=""),"",IF($AD346&lt;=0,"",($Z346-N($L346))/$AD346))</f>
        <v/>
      </c>
      <c r="AI346" s="14" t="str">
        <f aca="false">IF(OR($AH346="",$W346=""),"",$AH346*365/MAX($W346,1))</f>
        <v/>
      </c>
      <c r="AJ346" s="14" t="str">
        <f aca="false">IF(OR($AE346="",$U346&lt;&gt;"Crédito",N($K346)=0),"",(N($K346)-IF(OR($M346="Cerrada",$M346="Rolada"),N($O346),0))/$K346)</f>
        <v/>
      </c>
      <c r="AK346" s="15" t="str">
        <f aca="false">IF(OR($C346="",$N346=""),"",DATE(YEAR($N346),MONTH($N346),1))</f>
        <v/>
      </c>
      <c r="AL346" s="11" t="str">
        <f aca="false">IF($C346="","",IF($M346="Abierta",0,1))</f>
        <v/>
      </c>
      <c r="AM346" s="16" t="str">
        <f aca="false">IF(OR($AE346="",$AD346=""),"",$AD346*MAX(N($X346),1))</f>
        <v/>
      </c>
      <c r="AN346" s="10" t="str">
        <f aca="false">IF($C346="","",IF(OR($B346="",$D346="",$H346="",$K346="",$M346=""),"Faltan datos obligatorios",IF($T346="","Estrategia no reconocida",IF(AND($M346&lt;&gt;"Abierta",$N346=""),"Falta fecha cierre",IF(AND(OR($M346="Cerrada",$M346="Rolada"),$O346=""),"Falta prima cierre",IF(AND($N346&lt;&gt;"",$N346&lt;$B346),"Cierre anterior a apertura",IF(AND($M346="Asignada",$R346=""),"Asignada: falta ID lote acciones",IF(AND($R346&lt;&gt;"",ISNA(MATCH($R346,Acciones!$A$2:$A$201,0))),"El ID lote no existe en Acciones",IF($AD346="","Revisa capital en riesgo","OK")))))))))</f>
        <v/>
      </c>
    </row>
    <row r="347" customFormat="false" ht="15" hidden="false" customHeight="true" outlineLevel="0" collapsed="false">
      <c r="A347" s="5"/>
      <c r="B347" s="6"/>
      <c r="C347" s="7"/>
      <c r="D347" s="7"/>
      <c r="E347" s="8"/>
      <c r="F347" s="8"/>
      <c r="G347" s="6"/>
      <c r="H347" s="5"/>
      <c r="I347" s="5" t="n">
        <v>100</v>
      </c>
      <c r="J347" s="8"/>
      <c r="K347" s="8"/>
      <c r="L347" s="9"/>
      <c r="M347" s="7"/>
      <c r="N347" s="6"/>
      <c r="O347" s="8"/>
      <c r="P347" s="9"/>
      <c r="Q347" s="9"/>
      <c r="R347" s="7"/>
      <c r="S347" s="7"/>
      <c r="T347" s="10" t="str">
        <f aca="false">IF($C347="","",IFERROR(INDEX(Listas!$B$2:$B$20,MATCH($D347,Listas!$A$2:$A$20,0)),""))</f>
        <v/>
      </c>
      <c r="U347" s="10" t="str">
        <f aca="false">IF($C347="","",IFERROR(INDEX(Listas!$C$2:$C$20,MATCH($D347,Listas!$A$2:$A$20,0)),""))</f>
        <v/>
      </c>
      <c r="V347" s="10" t="str">
        <f aca="false">IF($C347="","",IFERROR(INDEX(Listas!$D$2:$D$20,MATCH($D347,Listas!$A$2:$A$20,0)),""))</f>
        <v/>
      </c>
      <c r="W347" s="11" t="str">
        <f aca="false">IF(OR($C347="",$B347="",$G347=""),"",$G347-$B347)</f>
        <v/>
      </c>
      <c r="X347" s="11" t="str">
        <f aca="true">IF(OR($C347="",$B347=""),"",IF($N347&lt;&gt;"",$N347,TODAY())-$B347)</f>
        <v/>
      </c>
      <c r="Y347" s="11" t="str">
        <f aca="true">IF(OR($C347="",$M347&lt;&gt;"Abierta",$G347=""),"",MAX($G347-TODAY(),0))</f>
        <v/>
      </c>
      <c r="Z347" s="12" t="str">
        <f aca="false">IF($C347="","",N($K347)*N($H347)*N($I347)*IF($U347="Débito",-1,1))</f>
        <v/>
      </c>
      <c r="AA347" s="13" t="str">
        <f aca="false">IF($C347="","",IF(AND($U347="Débito",$F347&lt;&gt;""),$F347,$E347))</f>
        <v/>
      </c>
      <c r="AB347" s="13" t="str">
        <f aca="false">IF(OR($C347="",$T347="Mixta",$AA347=""),"",IF($V347="Subyacente",IF($J347="","",$J347-$K347),IF($T347="Put",$AA347-$K347,$AA347+$K347)))</f>
        <v/>
      </c>
      <c r="AC347" s="14" t="str">
        <f aca="false">IF(OR($C347="",$T347="Mixta",$J347="",$AA347=""),"",IF($T347="Put",($J347-$AA347)/$J347,($AA347-$J347)/$J347))</f>
        <v/>
      </c>
      <c r="AD347" s="12" t="str">
        <f aca="false">IF($C347="","",IF($Q347&lt;&gt;"",$Q347,IF($V347="Strike",N($E347)*$H347*$I347,IF($V347="Subyacente",IF($J347="","",$J347*$H347*$I347),IF($V347="Ancho",IF($F347="","",ABS($E347-$F347)*$H347*$I347-$K347*$H347*$I347),IF($V347="Prima",$K347*$H347*$I347,""))))))</f>
        <v/>
      </c>
      <c r="AE347" s="12" t="str">
        <f aca="false">IF(OR($C347="",$M347="Abierta",$M347=""),"",(N($K347)-IF(OR($M347="Cerrada",$M347="Rolada"),N($O347),0))*$H347*$I347*IF($U347="Débito",-1,1)-N($L347)-N($P347))</f>
        <v/>
      </c>
      <c r="AF347" s="14" t="str">
        <f aca="false">IF(OR($AE347="",$AD347=""),"",IF($AD347&lt;=0,"",$AE347/$AD347))</f>
        <v/>
      </c>
      <c r="AG347" s="14" t="str">
        <f aca="false">IF($AF347="","",$AF347*365/MAX(N($X347),1))</f>
        <v/>
      </c>
      <c r="AH347" s="14" t="str">
        <f aca="false">IF(OR($C347="",$U347&lt;&gt;"Crédito",$AD347=""),"",IF($AD347&lt;=0,"",($Z347-N($L347))/$AD347))</f>
        <v/>
      </c>
      <c r="AI347" s="14" t="str">
        <f aca="false">IF(OR($AH347="",$W347=""),"",$AH347*365/MAX($W347,1))</f>
        <v/>
      </c>
      <c r="AJ347" s="14" t="str">
        <f aca="false">IF(OR($AE347="",$U347&lt;&gt;"Crédito",N($K347)=0),"",(N($K347)-IF(OR($M347="Cerrada",$M347="Rolada"),N($O347),0))/$K347)</f>
        <v/>
      </c>
      <c r="AK347" s="15" t="str">
        <f aca="false">IF(OR($C347="",$N347=""),"",DATE(YEAR($N347),MONTH($N347),1))</f>
        <v/>
      </c>
      <c r="AL347" s="11" t="str">
        <f aca="false">IF($C347="","",IF($M347="Abierta",0,1))</f>
        <v/>
      </c>
      <c r="AM347" s="16" t="str">
        <f aca="false">IF(OR($AE347="",$AD347=""),"",$AD347*MAX(N($X347),1))</f>
        <v/>
      </c>
      <c r="AN347" s="10" t="str">
        <f aca="false">IF($C347="","",IF(OR($B347="",$D347="",$H347="",$K347="",$M347=""),"Faltan datos obligatorios",IF($T347="","Estrategia no reconocida",IF(AND($M347&lt;&gt;"Abierta",$N347=""),"Falta fecha cierre",IF(AND(OR($M347="Cerrada",$M347="Rolada"),$O347=""),"Falta prima cierre",IF(AND($N347&lt;&gt;"",$N347&lt;$B347),"Cierre anterior a apertura",IF(AND($M347="Asignada",$R347=""),"Asignada: falta ID lote acciones",IF(AND($R347&lt;&gt;"",ISNA(MATCH($R347,Acciones!$A$2:$A$201,0))),"El ID lote no existe en Acciones",IF($AD347="","Revisa capital en riesgo","OK")))))))))</f>
        <v/>
      </c>
    </row>
    <row r="348" customFormat="false" ht="15" hidden="false" customHeight="true" outlineLevel="0" collapsed="false">
      <c r="A348" s="5"/>
      <c r="B348" s="6"/>
      <c r="C348" s="7"/>
      <c r="D348" s="7"/>
      <c r="E348" s="8"/>
      <c r="F348" s="8"/>
      <c r="G348" s="6"/>
      <c r="H348" s="5"/>
      <c r="I348" s="5" t="n">
        <v>100</v>
      </c>
      <c r="J348" s="8"/>
      <c r="K348" s="8"/>
      <c r="L348" s="9"/>
      <c r="M348" s="7"/>
      <c r="N348" s="6"/>
      <c r="O348" s="8"/>
      <c r="P348" s="9"/>
      <c r="Q348" s="9"/>
      <c r="R348" s="7"/>
      <c r="S348" s="7"/>
      <c r="T348" s="10" t="str">
        <f aca="false">IF($C348="","",IFERROR(INDEX(Listas!$B$2:$B$20,MATCH($D348,Listas!$A$2:$A$20,0)),""))</f>
        <v/>
      </c>
      <c r="U348" s="10" t="str">
        <f aca="false">IF($C348="","",IFERROR(INDEX(Listas!$C$2:$C$20,MATCH($D348,Listas!$A$2:$A$20,0)),""))</f>
        <v/>
      </c>
      <c r="V348" s="10" t="str">
        <f aca="false">IF($C348="","",IFERROR(INDEX(Listas!$D$2:$D$20,MATCH($D348,Listas!$A$2:$A$20,0)),""))</f>
        <v/>
      </c>
      <c r="W348" s="11" t="str">
        <f aca="false">IF(OR($C348="",$B348="",$G348=""),"",$G348-$B348)</f>
        <v/>
      </c>
      <c r="X348" s="11" t="str">
        <f aca="true">IF(OR($C348="",$B348=""),"",IF($N348&lt;&gt;"",$N348,TODAY())-$B348)</f>
        <v/>
      </c>
      <c r="Y348" s="11" t="str">
        <f aca="true">IF(OR($C348="",$M348&lt;&gt;"Abierta",$G348=""),"",MAX($G348-TODAY(),0))</f>
        <v/>
      </c>
      <c r="Z348" s="12" t="str">
        <f aca="false">IF($C348="","",N($K348)*N($H348)*N($I348)*IF($U348="Débito",-1,1))</f>
        <v/>
      </c>
      <c r="AA348" s="13" t="str">
        <f aca="false">IF($C348="","",IF(AND($U348="Débito",$F348&lt;&gt;""),$F348,$E348))</f>
        <v/>
      </c>
      <c r="AB348" s="13" t="str">
        <f aca="false">IF(OR($C348="",$T348="Mixta",$AA348=""),"",IF($V348="Subyacente",IF($J348="","",$J348-$K348),IF($T348="Put",$AA348-$K348,$AA348+$K348)))</f>
        <v/>
      </c>
      <c r="AC348" s="14" t="str">
        <f aca="false">IF(OR($C348="",$T348="Mixta",$J348="",$AA348=""),"",IF($T348="Put",($J348-$AA348)/$J348,($AA348-$J348)/$J348))</f>
        <v/>
      </c>
      <c r="AD348" s="12" t="str">
        <f aca="false">IF($C348="","",IF($Q348&lt;&gt;"",$Q348,IF($V348="Strike",N($E348)*$H348*$I348,IF($V348="Subyacente",IF($J348="","",$J348*$H348*$I348),IF($V348="Ancho",IF($F348="","",ABS($E348-$F348)*$H348*$I348-$K348*$H348*$I348),IF($V348="Prima",$K348*$H348*$I348,""))))))</f>
        <v/>
      </c>
      <c r="AE348" s="12" t="str">
        <f aca="false">IF(OR($C348="",$M348="Abierta",$M348=""),"",(N($K348)-IF(OR($M348="Cerrada",$M348="Rolada"),N($O348),0))*$H348*$I348*IF($U348="Débito",-1,1)-N($L348)-N($P348))</f>
        <v/>
      </c>
      <c r="AF348" s="14" t="str">
        <f aca="false">IF(OR($AE348="",$AD348=""),"",IF($AD348&lt;=0,"",$AE348/$AD348))</f>
        <v/>
      </c>
      <c r="AG348" s="14" t="str">
        <f aca="false">IF($AF348="","",$AF348*365/MAX(N($X348),1))</f>
        <v/>
      </c>
      <c r="AH348" s="14" t="str">
        <f aca="false">IF(OR($C348="",$U348&lt;&gt;"Crédito",$AD348=""),"",IF($AD348&lt;=0,"",($Z348-N($L348))/$AD348))</f>
        <v/>
      </c>
      <c r="AI348" s="14" t="str">
        <f aca="false">IF(OR($AH348="",$W348=""),"",$AH348*365/MAX($W348,1))</f>
        <v/>
      </c>
      <c r="AJ348" s="14" t="str">
        <f aca="false">IF(OR($AE348="",$U348&lt;&gt;"Crédito",N($K348)=0),"",(N($K348)-IF(OR($M348="Cerrada",$M348="Rolada"),N($O348),0))/$K348)</f>
        <v/>
      </c>
      <c r="AK348" s="15" t="str">
        <f aca="false">IF(OR($C348="",$N348=""),"",DATE(YEAR($N348),MONTH($N348),1))</f>
        <v/>
      </c>
      <c r="AL348" s="11" t="str">
        <f aca="false">IF($C348="","",IF($M348="Abierta",0,1))</f>
        <v/>
      </c>
      <c r="AM348" s="16" t="str">
        <f aca="false">IF(OR($AE348="",$AD348=""),"",$AD348*MAX(N($X348),1))</f>
        <v/>
      </c>
      <c r="AN348" s="10" t="str">
        <f aca="false">IF($C348="","",IF(OR($B348="",$D348="",$H348="",$K348="",$M348=""),"Faltan datos obligatorios",IF($T348="","Estrategia no reconocida",IF(AND($M348&lt;&gt;"Abierta",$N348=""),"Falta fecha cierre",IF(AND(OR($M348="Cerrada",$M348="Rolada"),$O348=""),"Falta prima cierre",IF(AND($N348&lt;&gt;"",$N348&lt;$B348),"Cierre anterior a apertura",IF(AND($M348="Asignada",$R348=""),"Asignada: falta ID lote acciones",IF(AND($R348&lt;&gt;"",ISNA(MATCH($R348,Acciones!$A$2:$A$201,0))),"El ID lote no existe en Acciones",IF($AD348="","Revisa capital en riesgo","OK")))))))))</f>
        <v/>
      </c>
    </row>
    <row r="349" customFormat="false" ht="15" hidden="false" customHeight="true" outlineLevel="0" collapsed="false">
      <c r="A349" s="5"/>
      <c r="B349" s="6"/>
      <c r="C349" s="7"/>
      <c r="D349" s="7"/>
      <c r="E349" s="8"/>
      <c r="F349" s="8"/>
      <c r="G349" s="6"/>
      <c r="H349" s="5"/>
      <c r="I349" s="5" t="n">
        <v>100</v>
      </c>
      <c r="J349" s="8"/>
      <c r="K349" s="8"/>
      <c r="L349" s="9"/>
      <c r="M349" s="7"/>
      <c r="N349" s="6"/>
      <c r="O349" s="8"/>
      <c r="P349" s="9"/>
      <c r="Q349" s="9"/>
      <c r="R349" s="7"/>
      <c r="S349" s="7"/>
      <c r="T349" s="10" t="str">
        <f aca="false">IF($C349="","",IFERROR(INDEX(Listas!$B$2:$B$20,MATCH($D349,Listas!$A$2:$A$20,0)),""))</f>
        <v/>
      </c>
      <c r="U349" s="10" t="str">
        <f aca="false">IF($C349="","",IFERROR(INDEX(Listas!$C$2:$C$20,MATCH($D349,Listas!$A$2:$A$20,0)),""))</f>
        <v/>
      </c>
      <c r="V349" s="10" t="str">
        <f aca="false">IF($C349="","",IFERROR(INDEX(Listas!$D$2:$D$20,MATCH($D349,Listas!$A$2:$A$20,0)),""))</f>
        <v/>
      </c>
      <c r="W349" s="11" t="str">
        <f aca="false">IF(OR($C349="",$B349="",$G349=""),"",$G349-$B349)</f>
        <v/>
      </c>
      <c r="X349" s="11" t="str">
        <f aca="true">IF(OR($C349="",$B349=""),"",IF($N349&lt;&gt;"",$N349,TODAY())-$B349)</f>
        <v/>
      </c>
      <c r="Y349" s="11" t="str">
        <f aca="true">IF(OR($C349="",$M349&lt;&gt;"Abierta",$G349=""),"",MAX($G349-TODAY(),0))</f>
        <v/>
      </c>
      <c r="Z349" s="12" t="str">
        <f aca="false">IF($C349="","",N($K349)*N($H349)*N($I349)*IF($U349="Débito",-1,1))</f>
        <v/>
      </c>
      <c r="AA349" s="13" t="str">
        <f aca="false">IF($C349="","",IF(AND($U349="Débito",$F349&lt;&gt;""),$F349,$E349))</f>
        <v/>
      </c>
      <c r="AB349" s="13" t="str">
        <f aca="false">IF(OR($C349="",$T349="Mixta",$AA349=""),"",IF($V349="Subyacente",IF($J349="","",$J349-$K349),IF($T349="Put",$AA349-$K349,$AA349+$K349)))</f>
        <v/>
      </c>
      <c r="AC349" s="14" t="str">
        <f aca="false">IF(OR($C349="",$T349="Mixta",$J349="",$AA349=""),"",IF($T349="Put",($J349-$AA349)/$J349,($AA349-$J349)/$J349))</f>
        <v/>
      </c>
      <c r="AD349" s="12" t="str">
        <f aca="false">IF($C349="","",IF($Q349&lt;&gt;"",$Q349,IF($V349="Strike",N($E349)*$H349*$I349,IF($V349="Subyacente",IF($J349="","",$J349*$H349*$I349),IF($V349="Ancho",IF($F349="","",ABS($E349-$F349)*$H349*$I349-$K349*$H349*$I349),IF($V349="Prima",$K349*$H349*$I349,""))))))</f>
        <v/>
      </c>
      <c r="AE349" s="12" t="str">
        <f aca="false">IF(OR($C349="",$M349="Abierta",$M349=""),"",(N($K349)-IF(OR($M349="Cerrada",$M349="Rolada"),N($O349),0))*$H349*$I349*IF($U349="Débito",-1,1)-N($L349)-N($P349))</f>
        <v/>
      </c>
      <c r="AF349" s="14" t="str">
        <f aca="false">IF(OR($AE349="",$AD349=""),"",IF($AD349&lt;=0,"",$AE349/$AD349))</f>
        <v/>
      </c>
      <c r="AG349" s="14" t="str">
        <f aca="false">IF($AF349="","",$AF349*365/MAX(N($X349),1))</f>
        <v/>
      </c>
      <c r="AH349" s="14" t="str">
        <f aca="false">IF(OR($C349="",$U349&lt;&gt;"Crédito",$AD349=""),"",IF($AD349&lt;=0,"",($Z349-N($L349))/$AD349))</f>
        <v/>
      </c>
      <c r="AI349" s="14" t="str">
        <f aca="false">IF(OR($AH349="",$W349=""),"",$AH349*365/MAX($W349,1))</f>
        <v/>
      </c>
      <c r="AJ349" s="14" t="str">
        <f aca="false">IF(OR($AE349="",$U349&lt;&gt;"Crédito",N($K349)=0),"",(N($K349)-IF(OR($M349="Cerrada",$M349="Rolada"),N($O349),0))/$K349)</f>
        <v/>
      </c>
      <c r="AK349" s="15" t="str">
        <f aca="false">IF(OR($C349="",$N349=""),"",DATE(YEAR($N349),MONTH($N349),1))</f>
        <v/>
      </c>
      <c r="AL349" s="11" t="str">
        <f aca="false">IF($C349="","",IF($M349="Abierta",0,1))</f>
        <v/>
      </c>
      <c r="AM349" s="16" t="str">
        <f aca="false">IF(OR($AE349="",$AD349=""),"",$AD349*MAX(N($X349),1))</f>
        <v/>
      </c>
      <c r="AN349" s="10" t="str">
        <f aca="false">IF($C349="","",IF(OR($B349="",$D349="",$H349="",$K349="",$M349=""),"Faltan datos obligatorios",IF($T349="","Estrategia no reconocida",IF(AND($M349&lt;&gt;"Abierta",$N349=""),"Falta fecha cierre",IF(AND(OR($M349="Cerrada",$M349="Rolada"),$O349=""),"Falta prima cierre",IF(AND($N349&lt;&gt;"",$N349&lt;$B349),"Cierre anterior a apertura",IF(AND($M349="Asignada",$R349=""),"Asignada: falta ID lote acciones",IF(AND($R349&lt;&gt;"",ISNA(MATCH($R349,Acciones!$A$2:$A$201,0))),"El ID lote no existe en Acciones",IF($AD349="","Revisa capital en riesgo","OK")))))))))</f>
        <v/>
      </c>
    </row>
    <row r="350" customFormat="false" ht="15" hidden="false" customHeight="true" outlineLevel="0" collapsed="false">
      <c r="A350" s="5"/>
      <c r="B350" s="6"/>
      <c r="C350" s="7"/>
      <c r="D350" s="7"/>
      <c r="E350" s="8"/>
      <c r="F350" s="8"/>
      <c r="G350" s="6"/>
      <c r="H350" s="5"/>
      <c r="I350" s="5" t="n">
        <v>100</v>
      </c>
      <c r="J350" s="8"/>
      <c r="K350" s="8"/>
      <c r="L350" s="9"/>
      <c r="M350" s="7"/>
      <c r="N350" s="6"/>
      <c r="O350" s="8"/>
      <c r="P350" s="9"/>
      <c r="Q350" s="9"/>
      <c r="R350" s="7"/>
      <c r="S350" s="7"/>
      <c r="T350" s="10" t="str">
        <f aca="false">IF($C350="","",IFERROR(INDEX(Listas!$B$2:$B$20,MATCH($D350,Listas!$A$2:$A$20,0)),""))</f>
        <v/>
      </c>
      <c r="U350" s="10" t="str">
        <f aca="false">IF($C350="","",IFERROR(INDEX(Listas!$C$2:$C$20,MATCH($D350,Listas!$A$2:$A$20,0)),""))</f>
        <v/>
      </c>
      <c r="V350" s="10" t="str">
        <f aca="false">IF($C350="","",IFERROR(INDEX(Listas!$D$2:$D$20,MATCH($D350,Listas!$A$2:$A$20,0)),""))</f>
        <v/>
      </c>
      <c r="W350" s="11" t="str">
        <f aca="false">IF(OR($C350="",$B350="",$G350=""),"",$G350-$B350)</f>
        <v/>
      </c>
      <c r="X350" s="11" t="str">
        <f aca="true">IF(OR($C350="",$B350=""),"",IF($N350&lt;&gt;"",$N350,TODAY())-$B350)</f>
        <v/>
      </c>
      <c r="Y350" s="11" t="str">
        <f aca="true">IF(OR($C350="",$M350&lt;&gt;"Abierta",$G350=""),"",MAX($G350-TODAY(),0))</f>
        <v/>
      </c>
      <c r="Z350" s="12" t="str">
        <f aca="false">IF($C350="","",N($K350)*N($H350)*N($I350)*IF($U350="Débito",-1,1))</f>
        <v/>
      </c>
      <c r="AA350" s="13" t="str">
        <f aca="false">IF($C350="","",IF(AND($U350="Débito",$F350&lt;&gt;""),$F350,$E350))</f>
        <v/>
      </c>
      <c r="AB350" s="13" t="str">
        <f aca="false">IF(OR($C350="",$T350="Mixta",$AA350=""),"",IF($V350="Subyacente",IF($J350="","",$J350-$K350),IF($T350="Put",$AA350-$K350,$AA350+$K350)))</f>
        <v/>
      </c>
      <c r="AC350" s="14" t="str">
        <f aca="false">IF(OR($C350="",$T350="Mixta",$J350="",$AA350=""),"",IF($T350="Put",($J350-$AA350)/$J350,($AA350-$J350)/$J350))</f>
        <v/>
      </c>
      <c r="AD350" s="12" t="str">
        <f aca="false">IF($C350="","",IF($Q350&lt;&gt;"",$Q350,IF($V350="Strike",N($E350)*$H350*$I350,IF($V350="Subyacente",IF($J350="","",$J350*$H350*$I350),IF($V350="Ancho",IF($F350="","",ABS($E350-$F350)*$H350*$I350-$K350*$H350*$I350),IF($V350="Prima",$K350*$H350*$I350,""))))))</f>
        <v/>
      </c>
      <c r="AE350" s="12" t="str">
        <f aca="false">IF(OR($C350="",$M350="Abierta",$M350=""),"",(N($K350)-IF(OR($M350="Cerrada",$M350="Rolada"),N($O350),0))*$H350*$I350*IF($U350="Débito",-1,1)-N($L350)-N($P350))</f>
        <v/>
      </c>
      <c r="AF350" s="14" t="str">
        <f aca="false">IF(OR($AE350="",$AD350=""),"",IF($AD350&lt;=0,"",$AE350/$AD350))</f>
        <v/>
      </c>
      <c r="AG350" s="14" t="str">
        <f aca="false">IF($AF350="","",$AF350*365/MAX(N($X350),1))</f>
        <v/>
      </c>
      <c r="AH350" s="14" t="str">
        <f aca="false">IF(OR($C350="",$U350&lt;&gt;"Crédito",$AD350=""),"",IF($AD350&lt;=0,"",($Z350-N($L350))/$AD350))</f>
        <v/>
      </c>
      <c r="AI350" s="14" t="str">
        <f aca="false">IF(OR($AH350="",$W350=""),"",$AH350*365/MAX($W350,1))</f>
        <v/>
      </c>
      <c r="AJ350" s="14" t="str">
        <f aca="false">IF(OR($AE350="",$U350&lt;&gt;"Crédito",N($K350)=0),"",(N($K350)-IF(OR($M350="Cerrada",$M350="Rolada"),N($O350),0))/$K350)</f>
        <v/>
      </c>
      <c r="AK350" s="15" t="str">
        <f aca="false">IF(OR($C350="",$N350=""),"",DATE(YEAR($N350),MONTH($N350),1))</f>
        <v/>
      </c>
      <c r="AL350" s="11" t="str">
        <f aca="false">IF($C350="","",IF($M350="Abierta",0,1))</f>
        <v/>
      </c>
      <c r="AM350" s="16" t="str">
        <f aca="false">IF(OR($AE350="",$AD350=""),"",$AD350*MAX(N($X350),1))</f>
        <v/>
      </c>
      <c r="AN350" s="10" t="str">
        <f aca="false">IF($C350="","",IF(OR($B350="",$D350="",$H350="",$K350="",$M350=""),"Faltan datos obligatorios",IF($T350="","Estrategia no reconocida",IF(AND($M350&lt;&gt;"Abierta",$N350=""),"Falta fecha cierre",IF(AND(OR($M350="Cerrada",$M350="Rolada"),$O350=""),"Falta prima cierre",IF(AND($N350&lt;&gt;"",$N350&lt;$B350),"Cierre anterior a apertura",IF(AND($M350="Asignada",$R350=""),"Asignada: falta ID lote acciones",IF(AND($R350&lt;&gt;"",ISNA(MATCH($R350,Acciones!$A$2:$A$201,0))),"El ID lote no existe en Acciones",IF($AD350="","Revisa capital en riesgo","OK")))))))))</f>
        <v/>
      </c>
    </row>
    <row r="351" customFormat="false" ht="15" hidden="false" customHeight="true" outlineLevel="0" collapsed="false">
      <c r="A351" s="5"/>
      <c r="B351" s="6"/>
      <c r="C351" s="7"/>
      <c r="D351" s="7"/>
      <c r="E351" s="8"/>
      <c r="F351" s="8"/>
      <c r="G351" s="6"/>
      <c r="H351" s="5"/>
      <c r="I351" s="5" t="n">
        <v>100</v>
      </c>
      <c r="J351" s="8"/>
      <c r="K351" s="8"/>
      <c r="L351" s="9"/>
      <c r="M351" s="7"/>
      <c r="N351" s="6"/>
      <c r="O351" s="8"/>
      <c r="P351" s="9"/>
      <c r="Q351" s="9"/>
      <c r="R351" s="7"/>
      <c r="S351" s="7"/>
      <c r="T351" s="10" t="str">
        <f aca="false">IF($C351="","",IFERROR(INDEX(Listas!$B$2:$B$20,MATCH($D351,Listas!$A$2:$A$20,0)),""))</f>
        <v/>
      </c>
      <c r="U351" s="10" t="str">
        <f aca="false">IF($C351="","",IFERROR(INDEX(Listas!$C$2:$C$20,MATCH($D351,Listas!$A$2:$A$20,0)),""))</f>
        <v/>
      </c>
      <c r="V351" s="10" t="str">
        <f aca="false">IF($C351="","",IFERROR(INDEX(Listas!$D$2:$D$20,MATCH($D351,Listas!$A$2:$A$20,0)),""))</f>
        <v/>
      </c>
      <c r="W351" s="11" t="str">
        <f aca="false">IF(OR($C351="",$B351="",$G351=""),"",$G351-$B351)</f>
        <v/>
      </c>
      <c r="X351" s="11" t="str">
        <f aca="true">IF(OR($C351="",$B351=""),"",IF($N351&lt;&gt;"",$N351,TODAY())-$B351)</f>
        <v/>
      </c>
      <c r="Y351" s="11" t="str">
        <f aca="true">IF(OR($C351="",$M351&lt;&gt;"Abierta",$G351=""),"",MAX($G351-TODAY(),0))</f>
        <v/>
      </c>
      <c r="Z351" s="12" t="str">
        <f aca="false">IF($C351="","",N($K351)*N($H351)*N($I351)*IF($U351="Débito",-1,1))</f>
        <v/>
      </c>
      <c r="AA351" s="13" t="str">
        <f aca="false">IF($C351="","",IF(AND($U351="Débito",$F351&lt;&gt;""),$F351,$E351))</f>
        <v/>
      </c>
      <c r="AB351" s="13" t="str">
        <f aca="false">IF(OR($C351="",$T351="Mixta",$AA351=""),"",IF($V351="Subyacente",IF($J351="","",$J351-$K351),IF($T351="Put",$AA351-$K351,$AA351+$K351)))</f>
        <v/>
      </c>
      <c r="AC351" s="14" t="str">
        <f aca="false">IF(OR($C351="",$T351="Mixta",$J351="",$AA351=""),"",IF($T351="Put",($J351-$AA351)/$J351,($AA351-$J351)/$J351))</f>
        <v/>
      </c>
      <c r="AD351" s="12" t="str">
        <f aca="false">IF($C351="","",IF($Q351&lt;&gt;"",$Q351,IF($V351="Strike",N($E351)*$H351*$I351,IF($V351="Subyacente",IF($J351="","",$J351*$H351*$I351),IF($V351="Ancho",IF($F351="","",ABS($E351-$F351)*$H351*$I351-$K351*$H351*$I351),IF($V351="Prima",$K351*$H351*$I351,""))))))</f>
        <v/>
      </c>
      <c r="AE351" s="12" t="str">
        <f aca="false">IF(OR($C351="",$M351="Abierta",$M351=""),"",(N($K351)-IF(OR($M351="Cerrada",$M351="Rolada"),N($O351),0))*$H351*$I351*IF($U351="Débito",-1,1)-N($L351)-N($P351))</f>
        <v/>
      </c>
      <c r="AF351" s="14" t="str">
        <f aca="false">IF(OR($AE351="",$AD351=""),"",IF($AD351&lt;=0,"",$AE351/$AD351))</f>
        <v/>
      </c>
      <c r="AG351" s="14" t="str">
        <f aca="false">IF($AF351="","",$AF351*365/MAX(N($X351),1))</f>
        <v/>
      </c>
      <c r="AH351" s="14" t="str">
        <f aca="false">IF(OR($C351="",$U351&lt;&gt;"Crédito",$AD351=""),"",IF($AD351&lt;=0,"",($Z351-N($L351))/$AD351))</f>
        <v/>
      </c>
      <c r="AI351" s="14" t="str">
        <f aca="false">IF(OR($AH351="",$W351=""),"",$AH351*365/MAX($W351,1))</f>
        <v/>
      </c>
      <c r="AJ351" s="14" t="str">
        <f aca="false">IF(OR($AE351="",$U351&lt;&gt;"Crédito",N($K351)=0),"",(N($K351)-IF(OR($M351="Cerrada",$M351="Rolada"),N($O351),0))/$K351)</f>
        <v/>
      </c>
      <c r="AK351" s="15" t="str">
        <f aca="false">IF(OR($C351="",$N351=""),"",DATE(YEAR($N351),MONTH($N351),1))</f>
        <v/>
      </c>
      <c r="AL351" s="11" t="str">
        <f aca="false">IF($C351="","",IF($M351="Abierta",0,1))</f>
        <v/>
      </c>
      <c r="AM351" s="16" t="str">
        <f aca="false">IF(OR($AE351="",$AD351=""),"",$AD351*MAX(N($X351),1))</f>
        <v/>
      </c>
      <c r="AN351" s="10" t="str">
        <f aca="false">IF($C351="","",IF(OR($B351="",$D351="",$H351="",$K351="",$M351=""),"Faltan datos obligatorios",IF($T351="","Estrategia no reconocida",IF(AND($M351&lt;&gt;"Abierta",$N351=""),"Falta fecha cierre",IF(AND(OR($M351="Cerrada",$M351="Rolada"),$O351=""),"Falta prima cierre",IF(AND($N351&lt;&gt;"",$N351&lt;$B351),"Cierre anterior a apertura",IF(AND($M351="Asignada",$R351=""),"Asignada: falta ID lote acciones",IF(AND($R351&lt;&gt;"",ISNA(MATCH($R351,Acciones!$A$2:$A$201,0))),"El ID lote no existe en Acciones",IF($AD351="","Revisa capital en riesgo","OK")))))))))</f>
        <v/>
      </c>
    </row>
    <row r="352" customFormat="false" ht="15" hidden="false" customHeight="true" outlineLevel="0" collapsed="false">
      <c r="A352" s="5"/>
      <c r="B352" s="6"/>
      <c r="C352" s="7"/>
      <c r="D352" s="7"/>
      <c r="E352" s="8"/>
      <c r="F352" s="8"/>
      <c r="G352" s="6"/>
      <c r="H352" s="5"/>
      <c r="I352" s="5" t="n">
        <v>100</v>
      </c>
      <c r="J352" s="8"/>
      <c r="K352" s="8"/>
      <c r="L352" s="9"/>
      <c r="M352" s="7"/>
      <c r="N352" s="6"/>
      <c r="O352" s="8"/>
      <c r="P352" s="9"/>
      <c r="Q352" s="9"/>
      <c r="R352" s="7"/>
      <c r="S352" s="7"/>
      <c r="T352" s="10" t="str">
        <f aca="false">IF($C352="","",IFERROR(INDEX(Listas!$B$2:$B$20,MATCH($D352,Listas!$A$2:$A$20,0)),""))</f>
        <v/>
      </c>
      <c r="U352" s="10" t="str">
        <f aca="false">IF($C352="","",IFERROR(INDEX(Listas!$C$2:$C$20,MATCH($D352,Listas!$A$2:$A$20,0)),""))</f>
        <v/>
      </c>
      <c r="V352" s="10" t="str">
        <f aca="false">IF($C352="","",IFERROR(INDEX(Listas!$D$2:$D$20,MATCH($D352,Listas!$A$2:$A$20,0)),""))</f>
        <v/>
      </c>
      <c r="W352" s="11" t="str">
        <f aca="false">IF(OR($C352="",$B352="",$G352=""),"",$G352-$B352)</f>
        <v/>
      </c>
      <c r="X352" s="11" t="str">
        <f aca="true">IF(OR($C352="",$B352=""),"",IF($N352&lt;&gt;"",$N352,TODAY())-$B352)</f>
        <v/>
      </c>
      <c r="Y352" s="11" t="str">
        <f aca="true">IF(OR($C352="",$M352&lt;&gt;"Abierta",$G352=""),"",MAX($G352-TODAY(),0))</f>
        <v/>
      </c>
      <c r="Z352" s="12" t="str">
        <f aca="false">IF($C352="","",N($K352)*N($H352)*N($I352)*IF($U352="Débito",-1,1))</f>
        <v/>
      </c>
      <c r="AA352" s="13" t="str">
        <f aca="false">IF($C352="","",IF(AND($U352="Débito",$F352&lt;&gt;""),$F352,$E352))</f>
        <v/>
      </c>
      <c r="AB352" s="13" t="str">
        <f aca="false">IF(OR($C352="",$T352="Mixta",$AA352=""),"",IF($V352="Subyacente",IF($J352="","",$J352-$K352),IF($T352="Put",$AA352-$K352,$AA352+$K352)))</f>
        <v/>
      </c>
      <c r="AC352" s="14" t="str">
        <f aca="false">IF(OR($C352="",$T352="Mixta",$J352="",$AA352=""),"",IF($T352="Put",($J352-$AA352)/$J352,($AA352-$J352)/$J352))</f>
        <v/>
      </c>
      <c r="AD352" s="12" t="str">
        <f aca="false">IF($C352="","",IF($Q352&lt;&gt;"",$Q352,IF($V352="Strike",N($E352)*$H352*$I352,IF($V352="Subyacente",IF($J352="","",$J352*$H352*$I352),IF($V352="Ancho",IF($F352="","",ABS($E352-$F352)*$H352*$I352-$K352*$H352*$I352),IF($V352="Prima",$K352*$H352*$I352,""))))))</f>
        <v/>
      </c>
      <c r="AE352" s="12" t="str">
        <f aca="false">IF(OR($C352="",$M352="Abierta",$M352=""),"",(N($K352)-IF(OR($M352="Cerrada",$M352="Rolada"),N($O352),0))*$H352*$I352*IF($U352="Débito",-1,1)-N($L352)-N($P352))</f>
        <v/>
      </c>
      <c r="AF352" s="14" t="str">
        <f aca="false">IF(OR($AE352="",$AD352=""),"",IF($AD352&lt;=0,"",$AE352/$AD352))</f>
        <v/>
      </c>
      <c r="AG352" s="14" t="str">
        <f aca="false">IF($AF352="","",$AF352*365/MAX(N($X352),1))</f>
        <v/>
      </c>
      <c r="AH352" s="14" t="str">
        <f aca="false">IF(OR($C352="",$U352&lt;&gt;"Crédito",$AD352=""),"",IF($AD352&lt;=0,"",($Z352-N($L352))/$AD352))</f>
        <v/>
      </c>
      <c r="AI352" s="14" t="str">
        <f aca="false">IF(OR($AH352="",$W352=""),"",$AH352*365/MAX($W352,1))</f>
        <v/>
      </c>
      <c r="AJ352" s="14" t="str">
        <f aca="false">IF(OR($AE352="",$U352&lt;&gt;"Crédito",N($K352)=0),"",(N($K352)-IF(OR($M352="Cerrada",$M352="Rolada"),N($O352),0))/$K352)</f>
        <v/>
      </c>
      <c r="AK352" s="15" t="str">
        <f aca="false">IF(OR($C352="",$N352=""),"",DATE(YEAR($N352),MONTH($N352),1))</f>
        <v/>
      </c>
      <c r="AL352" s="11" t="str">
        <f aca="false">IF($C352="","",IF($M352="Abierta",0,1))</f>
        <v/>
      </c>
      <c r="AM352" s="16" t="str">
        <f aca="false">IF(OR($AE352="",$AD352=""),"",$AD352*MAX(N($X352),1))</f>
        <v/>
      </c>
      <c r="AN352" s="10" t="str">
        <f aca="false">IF($C352="","",IF(OR($B352="",$D352="",$H352="",$K352="",$M352=""),"Faltan datos obligatorios",IF($T352="","Estrategia no reconocida",IF(AND($M352&lt;&gt;"Abierta",$N352=""),"Falta fecha cierre",IF(AND(OR($M352="Cerrada",$M352="Rolada"),$O352=""),"Falta prima cierre",IF(AND($N352&lt;&gt;"",$N352&lt;$B352),"Cierre anterior a apertura",IF(AND($M352="Asignada",$R352=""),"Asignada: falta ID lote acciones",IF(AND($R352&lt;&gt;"",ISNA(MATCH($R352,Acciones!$A$2:$A$201,0))),"El ID lote no existe en Acciones",IF($AD352="","Revisa capital en riesgo","OK")))))))))</f>
        <v/>
      </c>
    </row>
    <row r="353" customFormat="false" ht="15" hidden="false" customHeight="true" outlineLevel="0" collapsed="false">
      <c r="A353" s="5"/>
      <c r="B353" s="6"/>
      <c r="C353" s="7"/>
      <c r="D353" s="7"/>
      <c r="E353" s="8"/>
      <c r="F353" s="8"/>
      <c r="G353" s="6"/>
      <c r="H353" s="5"/>
      <c r="I353" s="5" t="n">
        <v>100</v>
      </c>
      <c r="J353" s="8"/>
      <c r="K353" s="8"/>
      <c r="L353" s="9"/>
      <c r="M353" s="7"/>
      <c r="N353" s="6"/>
      <c r="O353" s="8"/>
      <c r="P353" s="9"/>
      <c r="Q353" s="9"/>
      <c r="R353" s="7"/>
      <c r="S353" s="7"/>
      <c r="T353" s="10" t="str">
        <f aca="false">IF($C353="","",IFERROR(INDEX(Listas!$B$2:$B$20,MATCH($D353,Listas!$A$2:$A$20,0)),""))</f>
        <v/>
      </c>
      <c r="U353" s="10" t="str">
        <f aca="false">IF($C353="","",IFERROR(INDEX(Listas!$C$2:$C$20,MATCH($D353,Listas!$A$2:$A$20,0)),""))</f>
        <v/>
      </c>
      <c r="V353" s="10" t="str">
        <f aca="false">IF($C353="","",IFERROR(INDEX(Listas!$D$2:$D$20,MATCH($D353,Listas!$A$2:$A$20,0)),""))</f>
        <v/>
      </c>
      <c r="W353" s="11" t="str">
        <f aca="false">IF(OR($C353="",$B353="",$G353=""),"",$G353-$B353)</f>
        <v/>
      </c>
      <c r="X353" s="11" t="str">
        <f aca="true">IF(OR($C353="",$B353=""),"",IF($N353&lt;&gt;"",$N353,TODAY())-$B353)</f>
        <v/>
      </c>
      <c r="Y353" s="11" t="str">
        <f aca="true">IF(OR($C353="",$M353&lt;&gt;"Abierta",$G353=""),"",MAX($G353-TODAY(),0))</f>
        <v/>
      </c>
      <c r="Z353" s="12" t="str">
        <f aca="false">IF($C353="","",N($K353)*N($H353)*N($I353)*IF($U353="Débito",-1,1))</f>
        <v/>
      </c>
      <c r="AA353" s="13" t="str">
        <f aca="false">IF($C353="","",IF(AND($U353="Débito",$F353&lt;&gt;""),$F353,$E353))</f>
        <v/>
      </c>
      <c r="AB353" s="13" t="str">
        <f aca="false">IF(OR($C353="",$T353="Mixta",$AA353=""),"",IF($V353="Subyacente",IF($J353="","",$J353-$K353),IF($T353="Put",$AA353-$K353,$AA353+$K353)))</f>
        <v/>
      </c>
      <c r="AC353" s="14" t="str">
        <f aca="false">IF(OR($C353="",$T353="Mixta",$J353="",$AA353=""),"",IF($T353="Put",($J353-$AA353)/$J353,($AA353-$J353)/$J353))</f>
        <v/>
      </c>
      <c r="AD353" s="12" t="str">
        <f aca="false">IF($C353="","",IF($Q353&lt;&gt;"",$Q353,IF($V353="Strike",N($E353)*$H353*$I353,IF($V353="Subyacente",IF($J353="","",$J353*$H353*$I353),IF($V353="Ancho",IF($F353="","",ABS($E353-$F353)*$H353*$I353-$K353*$H353*$I353),IF($V353="Prima",$K353*$H353*$I353,""))))))</f>
        <v/>
      </c>
      <c r="AE353" s="12" t="str">
        <f aca="false">IF(OR($C353="",$M353="Abierta",$M353=""),"",(N($K353)-IF(OR($M353="Cerrada",$M353="Rolada"),N($O353),0))*$H353*$I353*IF($U353="Débito",-1,1)-N($L353)-N($P353))</f>
        <v/>
      </c>
      <c r="AF353" s="14" t="str">
        <f aca="false">IF(OR($AE353="",$AD353=""),"",IF($AD353&lt;=0,"",$AE353/$AD353))</f>
        <v/>
      </c>
      <c r="AG353" s="14" t="str">
        <f aca="false">IF($AF353="","",$AF353*365/MAX(N($X353),1))</f>
        <v/>
      </c>
      <c r="AH353" s="14" t="str">
        <f aca="false">IF(OR($C353="",$U353&lt;&gt;"Crédito",$AD353=""),"",IF($AD353&lt;=0,"",($Z353-N($L353))/$AD353))</f>
        <v/>
      </c>
      <c r="AI353" s="14" t="str">
        <f aca="false">IF(OR($AH353="",$W353=""),"",$AH353*365/MAX($W353,1))</f>
        <v/>
      </c>
      <c r="AJ353" s="14" t="str">
        <f aca="false">IF(OR($AE353="",$U353&lt;&gt;"Crédito",N($K353)=0),"",(N($K353)-IF(OR($M353="Cerrada",$M353="Rolada"),N($O353),0))/$K353)</f>
        <v/>
      </c>
      <c r="AK353" s="15" t="str">
        <f aca="false">IF(OR($C353="",$N353=""),"",DATE(YEAR($N353),MONTH($N353),1))</f>
        <v/>
      </c>
      <c r="AL353" s="11" t="str">
        <f aca="false">IF($C353="","",IF($M353="Abierta",0,1))</f>
        <v/>
      </c>
      <c r="AM353" s="16" t="str">
        <f aca="false">IF(OR($AE353="",$AD353=""),"",$AD353*MAX(N($X353),1))</f>
        <v/>
      </c>
      <c r="AN353" s="10" t="str">
        <f aca="false">IF($C353="","",IF(OR($B353="",$D353="",$H353="",$K353="",$M353=""),"Faltan datos obligatorios",IF($T353="","Estrategia no reconocida",IF(AND($M353&lt;&gt;"Abierta",$N353=""),"Falta fecha cierre",IF(AND(OR($M353="Cerrada",$M353="Rolada"),$O353=""),"Falta prima cierre",IF(AND($N353&lt;&gt;"",$N353&lt;$B353),"Cierre anterior a apertura",IF(AND($M353="Asignada",$R353=""),"Asignada: falta ID lote acciones",IF(AND($R353&lt;&gt;"",ISNA(MATCH($R353,Acciones!$A$2:$A$201,0))),"El ID lote no existe en Acciones",IF($AD353="","Revisa capital en riesgo","OK")))))))))</f>
        <v/>
      </c>
    </row>
    <row r="354" customFormat="false" ht="15" hidden="false" customHeight="true" outlineLevel="0" collapsed="false">
      <c r="A354" s="5"/>
      <c r="B354" s="6"/>
      <c r="C354" s="7"/>
      <c r="D354" s="7"/>
      <c r="E354" s="8"/>
      <c r="F354" s="8"/>
      <c r="G354" s="6"/>
      <c r="H354" s="5"/>
      <c r="I354" s="5" t="n">
        <v>100</v>
      </c>
      <c r="J354" s="8"/>
      <c r="K354" s="8"/>
      <c r="L354" s="9"/>
      <c r="M354" s="7"/>
      <c r="N354" s="6"/>
      <c r="O354" s="8"/>
      <c r="P354" s="9"/>
      <c r="Q354" s="9"/>
      <c r="R354" s="7"/>
      <c r="S354" s="7"/>
      <c r="T354" s="10" t="str">
        <f aca="false">IF($C354="","",IFERROR(INDEX(Listas!$B$2:$B$20,MATCH($D354,Listas!$A$2:$A$20,0)),""))</f>
        <v/>
      </c>
      <c r="U354" s="10" t="str">
        <f aca="false">IF($C354="","",IFERROR(INDEX(Listas!$C$2:$C$20,MATCH($D354,Listas!$A$2:$A$20,0)),""))</f>
        <v/>
      </c>
      <c r="V354" s="10" t="str">
        <f aca="false">IF($C354="","",IFERROR(INDEX(Listas!$D$2:$D$20,MATCH($D354,Listas!$A$2:$A$20,0)),""))</f>
        <v/>
      </c>
      <c r="W354" s="11" t="str">
        <f aca="false">IF(OR($C354="",$B354="",$G354=""),"",$G354-$B354)</f>
        <v/>
      </c>
      <c r="X354" s="11" t="str">
        <f aca="true">IF(OR($C354="",$B354=""),"",IF($N354&lt;&gt;"",$N354,TODAY())-$B354)</f>
        <v/>
      </c>
      <c r="Y354" s="11" t="str">
        <f aca="true">IF(OR($C354="",$M354&lt;&gt;"Abierta",$G354=""),"",MAX($G354-TODAY(),0))</f>
        <v/>
      </c>
      <c r="Z354" s="12" t="str">
        <f aca="false">IF($C354="","",N($K354)*N($H354)*N($I354)*IF($U354="Débito",-1,1))</f>
        <v/>
      </c>
      <c r="AA354" s="13" t="str">
        <f aca="false">IF($C354="","",IF(AND($U354="Débito",$F354&lt;&gt;""),$F354,$E354))</f>
        <v/>
      </c>
      <c r="AB354" s="13" t="str">
        <f aca="false">IF(OR($C354="",$T354="Mixta",$AA354=""),"",IF($V354="Subyacente",IF($J354="","",$J354-$K354),IF($T354="Put",$AA354-$K354,$AA354+$K354)))</f>
        <v/>
      </c>
      <c r="AC354" s="14" t="str">
        <f aca="false">IF(OR($C354="",$T354="Mixta",$J354="",$AA354=""),"",IF($T354="Put",($J354-$AA354)/$J354,($AA354-$J354)/$J354))</f>
        <v/>
      </c>
      <c r="AD354" s="12" t="str">
        <f aca="false">IF($C354="","",IF($Q354&lt;&gt;"",$Q354,IF($V354="Strike",N($E354)*$H354*$I354,IF($V354="Subyacente",IF($J354="","",$J354*$H354*$I354),IF($V354="Ancho",IF($F354="","",ABS($E354-$F354)*$H354*$I354-$K354*$H354*$I354),IF($V354="Prima",$K354*$H354*$I354,""))))))</f>
        <v/>
      </c>
      <c r="AE354" s="12" t="str">
        <f aca="false">IF(OR($C354="",$M354="Abierta",$M354=""),"",(N($K354)-IF(OR($M354="Cerrada",$M354="Rolada"),N($O354),0))*$H354*$I354*IF($U354="Débito",-1,1)-N($L354)-N($P354))</f>
        <v/>
      </c>
      <c r="AF354" s="14" t="str">
        <f aca="false">IF(OR($AE354="",$AD354=""),"",IF($AD354&lt;=0,"",$AE354/$AD354))</f>
        <v/>
      </c>
      <c r="AG354" s="14" t="str">
        <f aca="false">IF($AF354="","",$AF354*365/MAX(N($X354),1))</f>
        <v/>
      </c>
      <c r="AH354" s="14" t="str">
        <f aca="false">IF(OR($C354="",$U354&lt;&gt;"Crédito",$AD354=""),"",IF($AD354&lt;=0,"",($Z354-N($L354))/$AD354))</f>
        <v/>
      </c>
      <c r="AI354" s="14" t="str">
        <f aca="false">IF(OR($AH354="",$W354=""),"",$AH354*365/MAX($W354,1))</f>
        <v/>
      </c>
      <c r="AJ354" s="14" t="str">
        <f aca="false">IF(OR($AE354="",$U354&lt;&gt;"Crédito",N($K354)=0),"",(N($K354)-IF(OR($M354="Cerrada",$M354="Rolada"),N($O354),0))/$K354)</f>
        <v/>
      </c>
      <c r="AK354" s="15" t="str">
        <f aca="false">IF(OR($C354="",$N354=""),"",DATE(YEAR($N354),MONTH($N354),1))</f>
        <v/>
      </c>
      <c r="AL354" s="11" t="str">
        <f aca="false">IF($C354="","",IF($M354="Abierta",0,1))</f>
        <v/>
      </c>
      <c r="AM354" s="16" t="str">
        <f aca="false">IF(OR($AE354="",$AD354=""),"",$AD354*MAX(N($X354),1))</f>
        <v/>
      </c>
      <c r="AN354" s="10" t="str">
        <f aca="false">IF($C354="","",IF(OR($B354="",$D354="",$H354="",$K354="",$M354=""),"Faltan datos obligatorios",IF($T354="","Estrategia no reconocida",IF(AND($M354&lt;&gt;"Abierta",$N354=""),"Falta fecha cierre",IF(AND(OR($M354="Cerrada",$M354="Rolada"),$O354=""),"Falta prima cierre",IF(AND($N354&lt;&gt;"",$N354&lt;$B354),"Cierre anterior a apertura",IF(AND($M354="Asignada",$R354=""),"Asignada: falta ID lote acciones",IF(AND($R354&lt;&gt;"",ISNA(MATCH($R354,Acciones!$A$2:$A$201,0))),"El ID lote no existe en Acciones",IF($AD354="","Revisa capital en riesgo","OK")))))))))</f>
        <v/>
      </c>
    </row>
    <row r="355" customFormat="false" ht="15" hidden="false" customHeight="true" outlineLevel="0" collapsed="false">
      <c r="A355" s="5"/>
      <c r="B355" s="6"/>
      <c r="C355" s="7"/>
      <c r="D355" s="7"/>
      <c r="E355" s="8"/>
      <c r="F355" s="8"/>
      <c r="G355" s="6"/>
      <c r="H355" s="5"/>
      <c r="I355" s="5" t="n">
        <v>100</v>
      </c>
      <c r="J355" s="8"/>
      <c r="K355" s="8"/>
      <c r="L355" s="9"/>
      <c r="M355" s="7"/>
      <c r="N355" s="6"/>
      <c r="O355" s="8"/>
      <c r="P355" s="9"/>
      <c r="Q355" s="9"/>
      <c r="R355" s="7"/>
      <c r="S355" s="7"/>
      <c r="T355" s="10" t="str">
        <f aca="false">IF($C355="","",IFERROR(INDEX(Listas!$B$2:$B$20,MATCH($D355,Listas!$A$2:$A$20,0)),""))</f>
        <v/>
      </c>
      <c r="U355" s="10" t="str">
        <f aca="false">IF($C355="","",IFERROR(INDEX(Listas!$C$2:$C$20,MATCH($D355,Listas!$A$2:$A$20,0)),""))</f>
        <v/>
      </c>
      <c r="V355" s="10" t="str">
        <f aca="false">IF($C355="","",IFERROR(INDEX(Listas!$D$2:$D$20,MATCH($D355,Listas!$A$2:$A$20,0)),""))</f>
        <v/>
      </c>
      <c r="W355" s="11" t="str">
        <f aca="false">IF(OR($C355="",$B355="",$G355=""),"",$G355-$B355)</f>
        <v/>
      </c>
      <c r="X355" s="11" t="str">
        <f aca="true">IF(OR($C355="",$B355=""),"",IF($N355&lt;&gt;"",$N355,TODAY())-$B355)</f>
        <v/>
      </c>
      <c r="Y355" s="11" t="str">
        <f aca="true">IF(OR($C355="",$M355&lt;&gt;"Abierta",$G355=""),"",MAX($G355-TODAY(),0))</f>
        <v/>
      </c>
      <c r="Z355" s="12" t="str">
        <f aca="false">IF($C355="","",N($K355)*N($H355)*N($I355)*IF($U355="Débito",-1,1))</f>
        <v/>
      </c>
      <c r="AA355" s="13" t="str">
        <f aca="false">IF($C355="","",IF(AND($U355="Débito",$F355&lt;&gt;""),$F355,$E355))</f>
        <v/>
      </c>
      <c r="AB355" s="13" t="str">
        <f aca="false">IF(OR($C355="",$T355="Mixta",$AA355=""),"",IF($V355="Subyacente",IF($J355="","",$J355-$K355),IF($T355="Put",$AA355-$K355,$AA355+$K355)))</f>
        <v/>
      </c>
      <c r="AC355" s="14" t="str">
        <f aca="false">IF(OR($C355="",$T355="Mixta",$J355="",$AA355=""),"",IF($T355="Put",($J355-$AA355)/$J355,($AA355-$J355)/$J355))</f>
        <v/>
      </c>
      <c r="AD355" s="12" t="str">
        <f aca="false">IF($C355="","",IF($Q355&lt;&gt;"",$Q355,IF($V355="Strike",N($E355)*$H355*$I355,IF($V355="Subyacente",IF($J355="","",$J355*$H355*$I355),IF($V355="Ancho",IF($F355="","",ABS($E355-$F355)*$H355*$I355-$K355*$H355*$I355),IF($V355="Prima",$K355*$H355*$I355,""))))))</f>
        <v/>
      </c>
      <c r="AE355" s="12" t="str">
        <f aca="false">IF(OR($C355="",$M355="Abierta",$M355=""),"",(N($K355)-IF(OR($M355="Cerrada",$M355="Rolada"),N($O355),0))*$H355*$I355*IF($U355="Débito",-1,1)-N($L355)-N($P355))</f>
        <v/>
      </c>
      <c r="AF355" s="14" t="str">
        <f aca="false">IF(OR($AE355="",$AD355=""),"",IF($AD355&lt;=0,"",$AE355/$AD355))</f>
        <v/>
      </c>
      <c r="AG355" s="14" t="str">
        <f aca="false">IF($AF355="","",$AF355*365/MAX(N($X355),1))</f>
        <v/>
      </c>
      <c r="AH355" s="14" t="str">
        <f aca="false">IF(OR($C355="",$U355&lt;&gt;"Crédito",$AD355=""),"",IF($AD355&lt;=0,"",($Z355-N($L355))/$AD355))</f>
        <v/>
      </c>
      <c r="AI355" s="14" t="str">
        <f aca="false">IF(OR($AH355="",$W355=""),"",$AH355*365/MAX($W355,1))</f>
        <v/>
      </c>
      <c r="AJ355" s="14" t="str">
        <f aca="false">IF(OR($AE355="",$U355&lt;&gt;"Crédito",N($K355)=0),"",(N($K355)-IF(OR($M355="Cerrada",$M355="Rolada"),N($O355),0))/$K355)</f>
        <v/>
      </c>
      <c r="AK355" s="15" t="str">
        <f aca="false">IF(OR($C355="",$N355=""),"",DATE(YEAR($N355),MONTH($N355),1))</f>
        <v/>
      </c>
      <c r="AL355" s="11" t="str">
        <f aca="false">IF($C355="","",IF($M355="Abierta",0,1))</f>
        <v/>
      </c>
      <c r="AM355" s="16" t="str">
        <f aca="false">IF(OR($AE355="",$AD355=""),"",$AD355*MAX(N($X355),1))</f>
        <v/>
      </c>
      <c r="AN355" s="10" t="str">
        <f aca="false">IF($C355="","",IF(OR($B355="",$D355="",$H355="",$K355="",$M355=""),"Faltan datos obligatorios",IF($T355="","Estrategia no reconocida",IF(AND($M355&lt;&gt;"Abierta",$N355=""),"Falta fecha cierre",IF(AND(OR($M355="Cerrada",$M355="Rolada"),$O355=""),"Falta prima cierre",IF(AND($N355&lt;&gt;"",$N355&lt;$B355),"Cierre anterior a apertura",IF(AND($M355="Asignada",$R355=""),"Asignada: falta ID lote acciones",IF(AND($R355&lt;&gt;"",ISNA(MATCH($R355,Acciones!$A$2:$A$201,0))),"El ID lote no existe en Acciones",IF($AD355="","Revisa capital en riesgo","OK")))))))))</f>
        <v/>
      </c>
    </row>
    <row r="356" customFormat="false" ht="15" hidden="false" customHeight="true" outlineLevel="0" collapsed="false">
      <c r="A356" s="5"/>
      <c r="B356" s="6"/>
      <c r="C356" s="7"/>
      <c r="D356" s="7"/>
      <c r="E356" s="8"/>
      <c r="F356" s="8"/>
      <c r="G356" s="6"/>
      <c r="H356" s="5"/>
      <c r="I356" s="5" t="n">
        <v>100</v>
      </c>
      <c r="J356" s="8"/>
      <c r="K356" s="8"/>
      <c r="L356" s="9"/>
      <c r="M356" s="7"/>
      <c r="N356" s="6"/>
      <c r="O356" s="8"/>
      <c r="P356" s="9"/>
      <c r="Q356" s="9"/>
      <c r="R356" s="7"/>
      <c r="S356" s="7"/>
      <c r="T356" s="10" t="str">
        <f aca="false">IF($C356="","",IFERROR(INDEX(Listas!$B$2:$B$20,MATCH($D356,Listas!$A$2:$A$20,0)),""))</f>
        <v/>
      </c>
      <c r="U356" s="10" t="str">
        <f aca="false">IF($C356="","",IFERROR(INDEX(Listas!$C$2:$C$20,MATCH($D356,Listas!$A$2:$A$20,0)),""))</f>
        <v/>
      </c>
      <c r="V356" s="10" t="str">
        <f aca="false">IF($C356="","",IFERROR(INDEX(Listas!$D$2:$D$20,MATCH($D356,Listas!$A$2:$A$20,0)),""))</f>
        <v/>
      </c>
      <c r="W356" s="11" t="str">
        <f aca="false">IF(OR($C356="",$B356="",$G356=""),"",$G356-$B356)</f>
        <v/>
      </c>
      <c r="X356" s="11" t="str">
        <f aca="true">IF(OR($C356="",$B356=""),"",IF($N356&lt;&gt;"",$N356,TODAY())-$B356)</f>
        <v/>
      </c>
      <c r="Y356" s="11" t="str">
        <f aca="true">IF(OR($C356="",$M356&lt;&gt;"Abierta",$G356=""),"",MAX($G356-TODAY(),0))</f>
        <v/>
      </c>
      <c r="Z356" s="12" t="str">
        <f aca="false">IF($C356="","",N($K356)*N($H356)*N($I356)*IF($U356="Débito",-1,1))</f>
        <v/>
      </c>
      <c r="AA356" s="13" t="str">
        <f aca="false">IF($C356="","",IF(AND($U356="Débito",$F356&lt;&gt;""),$F356,$E356))</f>
        <v/>
      </c>
      <c r="AB356" s="13" t="str">
        <f aca="false">IF(OR($C356="",$T356="Mixta",$AA356=""),"",IF($V356="Subyacente",IF($J356="","",$J356-$K356),IF($T356="Put",$AA356-$K356,$AA356+$K356)))</f>
        <v/>
      </c>
      <c r="AC356" s="14" t="str">
        <f aca="false">IF(OR($C356="",$T356="Mixta",$J356="",$AA356=""),"",IF($T356="Put",($J356-$AA356)/$J356,($AA356-$J356)/$J356))</f>
        <v/>
      </c>
      <c r="AD356" s="12" t="str">
        <f aca="false">IF($C356="","",IF($Q356&lt;&gt;"",$Q356,IF($V356="Strike",N($E356)*$H356*$I356,IF($V356="Subyacente",IF($J356="","",$J356*$H356*$I356),IF($V356="Ancho",IF($F356="","",ABS($E356-$F356)*$H356*$I356-$K356*$H356*$I356),IF($V356="Prima",$K356*$H356*$I356,""))))))</f>
        <v/>
      </c>
      <c r="AE356" s="12" t="str">
        <f aca="false">IF(OR($C356="",$M356="Abierta",$M356=""),"",(N($K356)-IF(OR($M356="Cerrada",$M356="Rolada"),N($O356),0))*$H356*$I356*IF($U356="Débito",-1,1)-N($L356)-N($P356))</f>
        <v/>
      </c>
      <c r="AF356" s="14" t="str">
        <f aca="false">IF(OR($AE356="",$AD356=""),"",IF($AD356&lt;=0,"",$AE356/$AD356))</f>
        <v/>
      </c>
      <c r="AG356" s="14" t="str">
        <f aca="false">IF($AF356="","",$AF356*365/MAX(N($X356),1))</f>
        <v/>
      </c>
      <c r="AH356" s="14" t="str">
        <f aca="false">IF(OR($C356="",$U356&lt;&gt;"Crédito",$AD356=""),"",IF($AD356&lt;=0,"",($Z356-N($L356))/$AD356))</f>
        <v/>
      </c>
      <c r="AI356" s="14" t="str">
        <f aca="false">IF(OR($AH356="",$W356=""),"",$AH356*365/MAX($W356,1))</f>
        <v/>
      </c>
      <c r="AJ356" s="14" t="str">
        <f aca="false">IF(OR($AE356="",$U356&lt;&gt;"Crédito",N($K356)=0),"",(N($K356)-IF(OR($M356="Cerrada",$M356="Rolada"),N($O356),0))/$K356)</f>
        <v/>
      </c>
      <c r="AK356" s="15" t="str">
        <f aca="false">IF(OR($C356="",$N356=""),"",DATE(YEAR($N356),MONTH($N356),1))</f>
        <v/>
      </c>
      <c r="AL356" s="11" t="str">
        <f aca="false">IF($C356="","",IF($M356="Abierta",0,1))</f>
        <v/>
      </c>
      <c r="AM356" s="16" t="str">
        <f aca="false">IF(OR($AE356="",$AD356=""),"",$AD356*MAX(N($X356),1))</f>
        <v/>
      </c>
      <c r="AN356" s="10" t="str">
        <f aca="false">IF($C356="","",IF(OR($B356="",$D356="",$H356="",$K356="",$M356=""),"Faltan datos obligatorios",IF($T356="","Estrategia no reconocida",IF(AND($M356&lt;&gt;"Abierta",$N356=""),"Falta fecha cierre",IF(AND(OR($M356="Cerrada",$M356="Rolada"),$O356=""),"Falta prima cierre",IF(AND($N356&lt;&gt;"",$N356&lt;$B356),"Cierre anterior a apertura",IF(AND($M356="Asignada",$R356=""),"Asignada: falta ID lote acciones",IF(AND($R356&lt;&gt;"",ISNA(MATCH($R356,Acciones!$A$2:$A$201,0))),"El ID lote no existe en Acciones",IF($AD356="","Revisa capital en riesgo","OK")))))))))</f>
        <v/>
      </c>
    </row>
    <row r="357" customFormat="false" ht="15" hidden="false" customHeight="true" outlineLevel="0" collapsed="false">
      <c r="A357" s="5"/>
      <c r="B357" s="6"/>
      <c r="C357" s="7"/>
      <c r="D357" s="7"/>
      <c r="E357" s="8"/>
      <c r="F357" s="8"/>
      <c r="G357" s="6"/>
      <c r="H357" s="5"/>
      <c r="I357" s="5" t="n">
        <v>100</v>
      </c>
      <c r="J357" s="8"/>
      <c r="K357" s="8"/>
      <c r="L357" s="9"/>
      <c r="M357" s="7"/>
      <c r="N357" s="6"/>
      <c r="O357" s="8"/>
      <c r="P357" s="9"/>
      <c r="Q357" s="9"/>
      <c r="R357" s="7"/>
      <c r="S357" s="7"/>
      <c r="T357" s="10" t="str">
        <f aca="false">IF($C357="","",IFERROR(INDEX(Listas!$B$2:$B$20,MATCH($D357,Listas!$A$2:$A$20,0)),""))</f>
        <v/>
      </c>
      <c r="U357" s="10" t="str">
        <f aca="false">IF($C357="","",IFERROR(INDEX(Listas!$C$2:$C$20,MATCH($D357,Listas!$A$2:$A$20,0)),""))</f>
        <v/>
      </c>
      <c r="V357" s="10" t="str">
        <f aca="false">IF($C357="","",IFERROR(INDEX(Listas!$D$2:$D$20,MATCH($D357,Listas!$A$2:$A$20,0)),""))</f>
        <v/>
      </c>
      <c r="W357" s="11" t="str">
        <f aca="false">IF(OR($C357="",$B357="",$G357=""),"",$G357-$B357)</f>
        <v/>
      </c>
      <c r="X357" s="11" t="str">
        <f aca="true">IF(OR($C357="",$B357=""),"",IF($N357&lt;&gt;"",$N357,TODAY())-$B357)</f>
        <v/>
      </c>
      <c r="Y357" s="11" t="str">
        <f aca="true">IF(OR($C357="",$M357&lt;&gt;"Abierta",$G357=""),"",MAX($G357-TODAY(),0))</f>
        <v/>
      </c>
      <c r="Z357" s="12" t="str">
        <f aca="false">IF($C357="","",N($K357)*N($H357)*N($I357)*IF($U357="Débito",-1,1))</f>
        <v/>
      </c>
      <c r="AA357" s="13" t="str">
        <f aca="false">IF($C357="","",IF(AND($U357="Débito",$F357&lt;&gt;""),$F357,$E357))</f>
        <v/>
      </c>
      <c r="AB357" s="13" t="str">
        <f aca="false">IF(OR($C357="",$T357="Mixta",$AA357=""),"",IF($V357="Subyacente",IF($J357="","",$J357-$K357),IF($T357="Put",$AA357-$K357,$AA357+$K357)))</f>
        <v/>
      </c>
      <c r="AC357" s="14" t="str">
        <f aca="false">IF(OR($C357="",$T357="Mixta",$J357="",$AA357=""),"",IF($T357="Put",($J357-$AA357)/$J357,($AA357-$J357)/$J357))</f>
        <v/>
      </c>
      <c r="AD357" s="12" t="str">
        <f aca="false">IF($C357="","",IF($Q357&lt;&gt;"",$Q357,IF($V357="Strike",N($E357)*$H357*$I357,IF($V357="Subyacente",IF($J357="","",$J357*$H357*$I357),IF($V357="Ancho",IF($F357="","",ABS($E357-$F357)*$H357*$I357-$K357*$H357*$I357),IF($V357="Prima",$K357*$H357*$I357,""))))))</f>
        <v/>
      </c>
      <c r="AE357" s="12" t="str">
        <f aca="false">IF(OR($C357="",$M357="Abierta",$M357=""),"",(N($K357)-IF(OR($M357="Cerrada",$M357="Rolada"),N($O357),0))*$H357*$I357*IF($U357="Débito",-1,1)-N($L357)-N($P357))</f>
        <v/>
      </c>
      <c r="AF357" s="14" t="str">
        <f aca="false">IF(OR($AE357="",$AD357=""),"",IF($AD357&lt;=0,"",$AE357/$AD357))</f>
        <v/>
      </c>
      <c r="AG357" s="14" t="str">
        <f aca="false">IF($AF357="","",$AF357*365/MAX(N($X357),1))</f>
        <v/>
      </c>
      <c r="AH357" s="14" t="str">
        <f aca="false">IF(OR($C357="",$U357&lt;&gt;"Crédito",$AD357=""),"",IF($AD357&lt;=0,"",($Z357-N($L357))/$AD357))</f>
        <v/>
      </c>
      <c r="AI357" s="14" t="str">
        <f aca="false">IF(OR($AH357="",$W357=""),"",$AH357*365/MAX($W357,1))</f>
        <v/>
      </c>
      <c r="AJ357" s="14" t="str">
        <f aca="false">IF(OR($AE357="",$U357&lt;&gt;"Crédito",N($K357)=0),"",(N($K357)-IF(OR($M357="Cerrada",$M357="Rolada"),N($O357),0))/$K357)</f>
        <v/>
      </c>
      <c r="AK357" s="15" t="str">
        <f aca="false">IF(OR($C357="",$N357=""),"",DATE(YEAR($N357),MONTH($N357),1))</f>
        <v/>
      </c>
      <c r="AL357" s="11" t="str">
        <f aca="false">IF($C357="","",IF($M357="Abierta",0,1))</f>
        <v/>
      </c>
      <c r="AM357" s="16" t="str">
        <f aca="false">IF(OR($AE357="",$AD357=""),"",$AD357*MAX(N($X357),1))</f>
        <v/>
      </c>
      <c r="AN357" s="10" t="str">
        <f aca="false">IF($C357="","",IF(OR($B357="",$D357="",$H357="",$K357="",$M357=""),"Faltan datos obligatorios",IF($T357="","Estrategia no reconocida",IF(AND($M357&lt;&gt;"Abierta",$N357=""),"Falta fecha cierre",IF(AND(OR($M357="Cerrada",$M357="Rolada"),$O357=""),"Falta prima cierre",IF(AND($N357&lt;&gt;"",$N357&lt;$B357),"Cierre anterior a apertura",IF(AND($M357="Asignada",$R357=""),"Asignada: falta ID lote acciones",IF(AND($R357&lt;&gt;"",ISNA(MATCH($R357,Acciones!$A$2:$A$201,0))),"El ID lote no existe en Acciones",IF($AD357="","Revisa capital en riesgo","OK")))))))))</f>
        <v/>
      </c>
    </row>
    <row r="358" customFormat="false" ht="15" hidden="false" customHeight="true" outlineLevel="0" collapsed="false">
      <c r="A358" s="5"/>
      <c r="B358" s="6"/>
      <c r="C358" s="7"/>
      <c r="D358" s="7"/>
      <c r="E358" s="8"/>
      <c r="F358" s="8"/>
      <c r="G358" s="6"/>
      <c r="H358" s="5"/>
      <c r="I358" s="5" t="n">
        <v>100</v>
      </c>
      <c r="J358" s="8"/>
      <c r="K358" s="8"/>
      <c r="L358" s="9"/>
      <c r="M358" s="7"/>
      <c r="N358" s="6"/>
      <c r="O358" s="8"/>
      <c r="P358" s="9"/>
      <c r="Q358" s="9"/>
      <c r="R358" s="7"/>
      <c r="S358" s="7"/>
      <c r="T358" s="10" t="str">
        <f aca="false">IF($C358="","",IFERROR(INDEX(Listas!$B$2:$B$20,MATCH($D358,Listas!$A$2:$A$20,0)),""))</f>
        <v/>
      </c>
      <c r="U358" s="10" t="str">
        <f aca="false">IF($C358="","",IFERROR(INDEX(Listas!$C$2:$C$20,MATCH($D358,Listas!$A$2:$A$20,0)),""))</f>
        <v/>
      </c>
      <c r="V358" s="10" t="str">
        <f aca="false">IF($C358="","",IFERROR(INDEX(Listas!$D$2:$D$20,MATCH($D358,Listas!$A$2:$A$20,0)),""))</f>
        <v/>
      </c>
      <c r="W358" s="11" t="str">
        <f aca="false">IF(OR($C358="",$B358="",$G358=""),"",$G358-$B358)</f>
        <v/>
      </c>
      <c r="X358" s="11" t="str">
        <f aca="true">IF(OR($C358="",$B358=""),"",IF($N358&lt;&gt;"",$N358,TODAY())-$B358)</f>
        <v/>
      </c>
      <c r="Y358" s="11" t="str">
        <f aca="true">IF(OR($C358="",$M358&lt;&gt;"Abierta",$G358=""),"",MAX($G358-TODAY(),0))</f>
        <v/>
      </c>
      <c r="Z358" s="12" t="str">
        <f aca="false">IF($C358="","",N($K358)*N($H358)*N($I358)*IF($U358="Débito",-1,1))</f>
        <v/>
      </c>
      <c r="AA358" s="13" t="str">
        <f aca="false">IF($C358="","",IF(AND($U358="Débito",$F358&lt;&gt;""),$F358,$E358))</f>
        <v/>
      </c>
      <c r="AB358" s="13" t="str">
        <f aca="false">IF(OR($C358="",$T358="Mixta",$AA358=""),"",IF($V358="Subyacente",IF($J358="","",$J358-$K358),IF($T358="Put",$AA358-$K358,$AA358+$K358)))</f>
        <v/>
      </c>
      <c r="AC358" s="14" t="str">
        <f aca="false">IF(OR($C358="",$T358="Mixta",$J358="",$AA358=""),"",IF($T358="Put",($J358-$AA358)/$J358,($AA358-$J358)/$J358))</f>
        <v/>
      </c>
      <c r="AD358" s="12" t="str">
        <f aca="false">IF($C358="","",IF($Q358&lt;&gt;"",$Q358,IF($V358="Strike",N($E358)*$H358*$I358,IF($V358="Subyacente",IF($J358="","",$J358*$H358*$I358),IF($V358="Ancho",IF($F358="","",ABS($E358-$F358)*$H358*$I358-$K358*$H358*$I358),IF($V358="Prima",$K358*$H358*$I358,""))))))</f>
        <v/>
      </c>
      <c r="AE358" s="12" t="str">
        <f aca="false">IF(OR($C358="",$M358="Abierta",$M358=""),"",(N($K358)-IF(OR($M358="Cerrada",$M358="Rolada"),N($O358),0))*$H358*$I358*IF($U358="Débito",-1,1)-N($L358)-N($P358))</f>
        <v/>
      </c>
      <c r="AF358" s="14" t="str">
        <f aca="false">IF(OR($AE358="",$AD358=""),"",IF($AD358&lt;=0,"",$AE358/$AD358))</f>
        <v/>
      </c>
      <c r="AG358" s="14" t="str">
        <f aca="false">IF($AF358="","",$AF358*365/MAX(N($X358),1))</f>
        <v/>
      </c>
      <c r="AH358" s="14" t="str">
        <f aca="false">IF(OR($C358="",$U358&lt;&gt;"Crédito",$AD358=""),"",IF($AD358&lt;=0,"",($Z358-N($L358))/$AD358))</f>
        <v/>
      </c>
      <c r="AI358" s="14" t="str">
        <f aca="false">IF(OR($AH358="",$W358=""),"",$AH358*365/MAX($W358,1))</f>
        <v/>
      </c>
      <c r="AJ358" s="14" t="str">
        <f aca="false">IF(OR($AE358="",$U358&lt;&gt;"Crédito",N($K358)=0),"",(N($K358)-IF(OR($M358="Cerrada",$M358="Rolada"),N($O358),0))/$K358)</f>
        <v/>
      </c>
      <c r="AK358" s="15" t="str">
        <f aca="false">IF(OR($C358="",$N358=""),"",DATE(YEAR($N358),MONTH($N358),1))</f>
        <v/>
      </c>
      <c r="AL358" s="11" t="str">
        <f aca="false">IF($C358="","",IF($M358="Abierta",0,1))</f>
        <v/>
      </c>
      <c r="AM358" s="16" t="str">
        <f aca="false">IF(OR($AE358="",$AD358=""),"",$AD358*MAX(N($X358),1))</f>
        <v/>
      </c>
      <c r="AN358" s="10" t="str">
        <f aca="false">IF($C358="","",IF(OR($B358="",$D358="",$H358="",$K358="",$M358=""),"Faltan datos obligatorios",IF($T358="","Estrategia no reconocida",IF(AND($M358&lt;&gt;"Abierta",$N358=""),"Falta fecha cierre",IF(AND(OR($M358="Cerrada",$M358="Rolada"),$O358=""),"Falta prima cierre",IF(AND($N358&lt;&gt;"",$N358&lt;$B358),"Cierre anterior a apertura",IF(AND($M358="Asignada",$R358=""),"Asignada: falta ID lote acciones",IF(AND($R358&lt;&gt;"",ISNA(MATCH($R358,Acciones!$A$2:$A$201,0))),"El ID lote no existe en Acciones",IF($AD358="","Revisa capital en riesgo","OK")))))))))</f>
        <v/>
      </c>
    </row>
    <row r="359" customFormat="false" ht="15" hidden="false" customHeight="true" outlineLevel="0" collapsed="false">
      <c r="A359" s="5"/>
      <c r="B359" s="6"/>
      <c r="C359" s="7"/>
      <c r="D359" s="7"/>
      <c r="E359" s="8"/>
      <c r="F359" s="8"/>
      <c r="G359" s="6"/>
      <c r="H359" s="5"/>
      <c r="I359" s="5" t="n">
        <v>100</v>
      </c>
      <c r="J359" s="8"/>
      <c r="K359" s="8"/>
      <c r="L359" s="9"/>
      <c r="M359" s="7"/>
      <c r="N359" s="6"/>
      <c r="O359" s="8"/>
      <c r="P359" s="9"/>
      <c r="Q359" s="9"/>
      <c r="R359" s="7"/>
      <c r="S359" s="7"/>
      <c r="T359" s="10" t="str">
        <f aca="false">IF($C359="","",IFERROR(INDEX(Listas!$B$2:$B$20,MATCH($D359,Listas!$A$2:$A$20,0)),""))</f>
        <v/>
      </c>
      <c r="U359" s="10" t="str">
        <f aca="false">IF($C359="","",IFERROR(INDEX(Listas!$C$2:$C$20,MATCH($D359,Listas!$A$2:$A$20,0)),""))</f>
        <v/>
      </c>
      <c r="V359" s="10" t="str">
        <f aca="false">IF($C359="","",IFERROR(INDEX(Listas!$D$2:$D$20,MATCH($D359,Listas!$A$2:$A$20,0)),""))</f>
        <v/>
      </c>
      <c r="W359" s="11" t="str">
        <f aca="false">IF(OR($C359="",$B359="",$G359=""),"",$G359-$B359)</f>
        <v/>
      </c>
      <c r="X359" s="11" t="str">
        <f aca="true">IF(OR($C359="",$B359=""),"",IF($N359&lt;&gt;"",$N359,TODAY())-$B359)</f>
        <v/>
      </c>
      <c r="Y359" s="11" t="str">
        <f aca="true">IF(OR($C359="",$M359&lt;&gt;"Abierta",$G359=""),"",MAX($G359-TODAY(),0))</f>
        <v/>
      </c>
      <c r="Z359" s="12" t="str">
        <f aca="false">IF($C359="","",N($K359)*N($H359)*N($I359)*IF($U359="Débito",-1,1))</f>
        <v/>
      </c>
      <c r="AA359" s="13" t="str">
        <f aca="false">IF($C359="","",IF(AND($U359="Débito",$F359&lt;&gt;""),$F359,$E359))</f>
        <v/>
      </c>
      <c r="AB359" s="13" t="str">
        <f aca="false">IF(OR($C359="",$T359="Mixta",$AA359=""),"",IF($V359="Subyacente",IF($J359="","",$J359-$K359),IF($T359="Put",$AA359-$K359,$AA359+$K359)))</f>
        <v/>
      </c>
      <c r="AC359" s="14" t="str">
        <f aca="false">IF(OR($C359="",$T359="Mixta",$J359="",$AA359=""),"",IF($T359="Put",($J359-$AA359)/$J359,($AA359-$J359)/$J359))</f>
        <v/>
      </c>
      <c r="AD359" s="12" t="str">
        <f aca="false">IF($C359="","",IF($Q359&lt;&gt;"",$Q359,IF($V359="Strike",N($E359)*$H359*$I359,IF($V359="Subyacente",IF($J359="","",$J359*$H359*$I359),IF($V359="Ancho",IF($F359="","",ABS($E359-$F359)*$H359*$I359-$K359*$H359*$I359),IF($V359="Prima",$K359*$H359*$I359,""))))))</f>
        <v/>
      </c>
      <c r="AE359" s="12" t="str">
        <f aca="false">IF(OR($C359="",$M359="Abierta",$M359=""),"",(N($K359)-IF(OR($M359="Cerrada",$M359="Rolada"),N($O359),0))*$H359*$I359*IF($U359="Débito",-1,1)-N($L359)-N($P359))</f>
        <v/>
      </c>
      <c r="AF359" s="14" t="str">
        <f aca="false">IF(OR($AE359="",$AD359=""),"",IF($AD359&lt;=0,"",$AE359/$AD359))</f>
        <v/>
      </c>
      <c r="AG359" s="14" t="str">
        <f aca="false">IF($AF359="","",$AF359*365/MAX(N($X359),1))</f>
        <v/>
      </c>
      <c r="AH359" s="14" t="str">
        <f aca="false">IF(OR($C359="",$U359&lt;&gt;"Crédito",$AD359=""),"",IF($AD359&lt;=0,"",($Z359-N($L359))/$AD359))</f>
        <v/>
      </c>
      <c r="AI359" s="14" t="str">
        <f aca="false">IF(OR($AH359="",$W359=""),"",$AH359*365/MAX($W359,1))</f>
        <v/>
      </c>
      <c r="AJ359" s="14" t="str">
        <f aca="false">IF(OR($AE359="",$U359&lt;&gt;"Crédito",N($K359)=0),"",(N($K359)-IF(OR($M359="Cerrada",$M359="Rolada"),N($O359),0))/$K359)</f>
        <v/>
      </c>
      <c r="AK359" s="15" t="str">
        <f aca="false">IF(OR($C359="",$N359=""),"",DATE(YEAR($N359),MONTH($N359),1))</f>
        <v/>
      </c>
      <c r="AL359" s="11" t="str">
        <f aca="false">IF($C359="","",IF($M359="Abierta",0,1))</f>
        <v/>
      </c>
      <c r="AM359" s="16" t="str">
        <f aca="false">IF(OR($AE359="",$AD359=""),"",$AD359*MAX(N($X359),1))</f>
        <v/>
      </c>
      <c r="AN359" s="10" t="str">
        <f aca="false">IF($C359="","",IF(OR($B359="",$D359="",$H359="",$K359="",$M359=""),"Faltan datos obligatorios",IF($T359="","Estrategia no reconocida",IF(AND($M359&lt;&gt;"Abierta",$N359=""),"Falta fecha cierre",IF(AND(OR($M359="Cerrada",$M359="Rolada"),$O359=""),"Falta prima cierre",IF(AND($N359&lt;&gt;"",$N359&lt;$B359),"Cierre anterior a apertura",IF(AND($M359="Asignada",$R359=""),"Asignada: falta ID lote acciones",IF(AND($R359&lt;&gt;"",ISNA(MATCH($R359,Acciones!$A$2:$A$201,0))),"El ID lote no existe en Acciones",IF($AD359="","Revisa capital en riesgo","OK")))))))))</f>
        <v/>
      </c>
    </row>
    <row r="360" customFormat="false" ht="15" hidden="false" customHeight="true" outlineLevel="0" collapsed="false">
      <c r="A360" s="5"/>
      <c r="B360" s="6"/>
      <c r="C360" s="7"/>
      <c r="D360" s="7"/>
      <c r="E360" s="8"/>
      <c r="F360" s="8"/>
      <c r="G360" s="6"/>
      <c r="H360" s="5"/>
      <c r="I360" s="5" t="n">
        <v>100</v>
      </c>
      <c r="J360" s="8"/>
      <c r="K360" s="8"/>
      <c r="L360" s="9"/>
      <c r="M360" s="7"/>
      <c r="N360" s="6"/>
      <c r="O360" s="8"/>
      <c r="P360" s="9"/>
      <c r="Q360" s="9"/>
      <c r="R360" s="7"/>
      <c r="S360" s="7"/>
      <c r="T360" s="10" t="str">
        <f aca="false">IF($C360="","",IFERROR(INDEX(Listas!$B$2:$B$20,MATCH($D360,Listas!$A$2:$A$20,0)),""))</f>
        <v/>
      </c>
      <c r="U360" s="10" t="str">
        <f aca="false">IF($C360="","",IFERROR(INDEX(Listas!$C$2:$C$20,MATCH($D360,Listas!$A$2:$A$20,0)),""))</f>
        <v/>
      </c>
      <c r="V360" s="10" t="str">
        <f aca="false">IF($C360="","",IFERROR(INDEX(Listas!$D$2:$D$20,MATCH($D360,Listas!$A$2:$A$20,0)),""))</f>
        <v/>
      </c>
      <c r="W360" s="11" t="str">
        <f aca="false">IF(OR($C360="",$B360="",$G360=""),"",$G360-$B360)</f>
        <v/>
      </c>
      <c r="X360" s="11" t="str">
        <f aca="true">IF(OR($C360="",$B360=""),"",IF($N360&lt;&gt;"",$N360,TODAY())-$B360)</f>
        <v/>
      </c>
      <c r="Y360" s="11" t="str">
        <f aca="true">IF(OR($C360="",$M360&lt;&gt;"Abierta",$G360=""),"",MAX($G360-TODAY(),0))</f>
        <v/>
      </c>
      <c r="Z360" s="12" t="str">
        <f aca="false">IF($C360="","",N($K360)*N($H360)*N($I360)*IF($U360="Débito",-1,1))</f>
        <v/>
      </c>
      <c r="AA360" s="13" t="str">
        <f aca="false">IF($C360="","",IF(AND($U360="Débito",$F360&lt;&gt;""),$F360,$E360))</f>
        <v/>
      </c>
      <c r="AB360" s="13" t="str">
        <f aca="false">IF(OR($C360="",$T360="Mixta",$AA360=""),"",IF($V360="Subyacente",IF($J360="","",$J360-$K360),IF($T360="Put",$AA360-$K360,$AA360+$K360)))</f>
        <v/>
      </c>
      <c r="AC360" s="14" t="str">
        <f aca="false">IF(OR($C360="",$T360="Mixta",$J360="",$AA360=""),"",IF($T360="Put",($J360-$AA360)/$J360,($AA360-$J360)/$J360))</f>
        <v/>
      </c>
      <c r="AD360" s="12" t="str">
        <f aca="false">IF($C360="","",IF($Q360&lt;&gt;"",$Q360,IF($V360="Strike",N($E360)*$H360*$I360,IF($V360="Subyacente",IF($J360="","",$J360*$H360*$I360),IF($V360="Ancho",IF($F360="","",ABS($E360-$F360)*$H360*$I360-$K360*$H360*$I360),IF($V360="Prima",$K360*$H360*$I360,""))))))</f>
        <v/>
      </c>
      <c r="AE360" s="12" t="str">
        <f aca="false">IF(OR($C360="",$M360="Abierta",$M360=""),"",(N($K360)-IF(OR($M360="Cerrada",$M360="Rolada"),N($O360),0))*$H360*$I360*IF($U360="Débito",-1,1)-N($L360)-N($P360))</f>
        <v/>
      </c>
      <c r="AF360" s="14" t="str">
        <f aca="false">IF(OR($AE360="",$AD360=""),"",IF($AD360&lt;=0,"",$AE360/$AD360))</f>
        <v/>
      </c>
      <c r="AG360" s="14" t="str">
        <f aca="false">IF($AF360="","",$AF360*365/MAX(N($X360),1))</f>
        <v/>
      </c>
      <c r="AH360" s="14" t="str">
        <f aca="false">IF(OR($C360="",$U360&lt;&gt;"Crédito",$AD360=""),"",IF($AD360&lt;=0,"",($Z360-N($L360))/$AD360))</f>
        <v/>
      </c>
      <c r="AI360" s="14" t="str">
        <f aca="false">IF(OR($AH360="",$W360=""),"",$AH360*365/MAX($W360,1))</f>
        <v/>
      </c>
      <c r="AJ360" s="14" t="str">
        <f aca="false">IF(OR($AE360="",$U360&lt;&gt;"Crédito",N($K360)=0),"",(N($K360)-IF(OR($M360="Cerrada",$M360="Rolada"),N($O360),0))/$K360)</f>
        <v/>
      </c>
      <c r="AK360" s="15" t="str">
        <f aca="false">IF(OR($C360="",$N360=""),"",DATE(YEAR($N360),MONTH($N360),1))</f>
        <v/>
      </c>
      <c r="AL360" s="11" t="str">
        <f aca="false">IF($C360="","",IF($M360="Abierta",0,1))</f>
        <v/>
      </c>
      <c r="AM360" s="16" t="str">
        <f aca="false">IF(OR($AE360="",$AD360=""),"",$AD360*MAX(N($X360),1))</f>
        <v/>
      </c>
      <c r="AN360" s="10" t="str">
        <f aca="false">IF($C360="","",IF(OR($B360="",$D360="",$H360="",$K360="",$M360=""),"Faltan datos obligatorios",IF($T360="","Estrategia no reconocida",IF(AND($M360&lt;&gt;"Abierta",$N360=""),"Falta fecha cierre",IF(AND(OR($M360="Cerrada",$M360="Rolada"),$O360=""),"Falta prima cierre",IF(AND($N360&lt;&gt;"",$N360&lt;$B360),"Cierre anterior a apertura",IF(AND($M360="Asignada",$R360=""),"Asignada: falta ID lote acciones",IF(AND($R360&lt;&gt;"",ISNA(MATCH($R360,Acciones!$A$2:$A$201,0))),"El ID lote no existe en Acciones",IF($AD360="","Revisa capital en riesgo","OK")))))))))</f>
        <v/>
      </c>
    </row>
    <row r="361" customFormat="false" ht="15" hidden="false" customHeight="true" outlineLevel="0" collapsed="false">
      <c r="A361" s="5"/>
      <c r="B361" s="6"/>
      <c r="C361" s="7"/>
      <c r="D361" s="7"/>
      <c r="E361" s="8"/>
      <c r="F361" s="8"/>
      <c r="G361" s="6"/>
      <c r="H361" s="5"/>
      <c r="I361" s="5" t="n">
        <v>100</v>
      </c>
      <c r="J361" s="8"/>
      <c r="K361" s="8"/>
      <c r="L361" s="9"/>
      <c r="M361" s="7"/>
      <c r="N361" s="6"/>
      <c r="O361" s="8"/>
      <c r="P361" s="9"/>
      <c r="Q361" s="9"/>
      <c r="R361" s="7"/>
      <c r="S361" s="7"/>
      <c r="T361" s="10" t="str">
        <f aca="false">IF($C361="","",IFERROR(INDEX(Listas!$B$2:$B$20,MATCH($D361,Listas!$A$2:$A$20,0)),""))</f>
        <v/>
      </c>
      <c r="U361" s="10" t="str">
        <f aca="false">IF($C361="","",IFERROR(INDEX(Listas!$C$2:$C$20,MATCH($D361,Listas!$A$2:$A$20,0)),""))</f>
        <v/>
      </c>
      <c r="V361" s="10" t="str">
        <f aca="false">IF($C361="","",IFERROR(INDEX(Listas!$D$2:$D$20,MATCH($D361,Listas!$A$2:$A$20,0)),""))</f>
        <v/>
      </c>
      <c r="W361" s="11" t="str">
        <f aca="false">IF(OR($C361="",$B361="",$G361=""),"",$G361-$B361)</f>
        <v/>
      </c>
      <c r="X361" s="11" t="str">
        <f aca="true">IF(OR($C361="",$B361=""),"",IF($N361&lt;&gt;"",$N361,TODAY())-$B361)</f>
        <v/>
      </c>
      <c r="Y361" s="11" t="str">
        <f aca="true">IF(OR($C361="",$M361&lt;&gt;"Abierta",$G361=""),"",MAX($G361-TODAY(),0))</f>
        <v/>
      </c>
      <c r="Z361" s="12" t="str">
        <f aca="false">IF($C361="","",N($K361)*N($H361)*N($I361)*IF($U361="Débito",-1,1))</f>
        <v/>
      </c>
      <c r="AA361" s="13" t="str">
        <f aca="false">IF($C361="","",IF(AND($U361="Débito",$F361&lt;&gt;""),$F361,$E361))</f>
        <v/>
      </c>
      <c r="AB361" s="13" t="str">
        <f aca="false">IF(OR($C361="",$T361="Mixta",$AA361=""),"",IF($V361="Subyacente",IF($J361="","",$J361-$K361),IF($T361="Put",$AA361-$K361,$AA361+$K361)))</f>
        <v/>
      </c>
      <c r="AC361" s="14" t="str">
        <f aca="false">IF(OR($C361="",$T361="Mixta",$J361="",$AA361=""),"",IF($T361="Put",($J361-$AA361)/$J361,($AA361-$J361)/$J361))</f>
        <v/>
      </c>
      <c r="AD361" s="12" t="str">
        <f aca="false">IF($C361="","",IF($Q361&lt;&gt;"",$Q361,IF($V361="Strike",N($E361)*$H361*$I361,IF($V361="Subyacente",IF($J361="","",$J361*$H361*$I361),IF($V361="Ancho",IF($F361="","",ABS($E361-$F361)*$H361*$I361-$K361*$H361*$I361),IF($V361="Prima",$K361*$H361*$I361,""))))))</f>
        <v/>
      </c>
      <c r="AE361" s="12" t="str">
        <f aca="false">IF(OR($C361="",$M361="Abierta",$M361=""),"",(N($K361)-IF(OR($M361="Cerrada",$M361="Rolada"),N($O361),0))*$H361*$I361*IF($U361="Débito",-1,1)-N($L361)-N($P361))</f>
        <v/>
      </c>
      <c r="AF361" s="14" t="str">
        <f aca="false">IF(OR($AE361="",$AD361=""),"",IF($AD361&lt;=0,"",$AE361/$AD361))</f>
        <v/>
      </c>
      <c r="AG361" s="14" t="str">
        <f aca="false">IF($AF361="","",$AF361*365/MAX(N($X361),1))</f>
        <v/>
      </c>
      <c r="AH361" s="14" t="str">
        <f aca="false">IF(OR($C361="",$U361&lt;&gt;"Crédito",$AD361=""),"",IF($AD361&lt;=0,"",($Z361-N($L361))/$AD361))</f>
        <v/>
      </c>
      <c r="AI361" s="14" t="str">
        <f aca="false">IF(OR($AH361="",$W361=""),"",$AH361*365/MAX($W361,1))</f>
        <v/>
      </c>
      <c r="AJ361" s="14" t="str">
        <f aca="false">IF(OR($AE361="",$U361&lt;&gt;"Crédito",N($K361)=0),"",(N($K361)-IF(OR($M361="Cerrada",$M361="Rolada"),N($O361),0))/$K361)</f>
        <v/>
      </c>
      <c r="AK361" s="15" t="str">
        <f aca="false">IF(OR($C361="",$N361=""),"",DATE(YEAR($N361),MONTH($N361),1))</f>
        <v/>
      </c>
      <c r="AL361" s="11" t="str">
        <f aca="false">IF($C361="","",IF($M361="Abierta",0,1))</f>
        <v/>
      </c>
      <c r="AM361" s="16" t="str">
        <f aca="false">IF(OR($AE361="",$AD361=""),"",$AD361*MAX(N($X361),1))</f>
        <v/>
      </c>
      <c r="AN361" s="10" t="str">
        <f aca="false">IF($C361="","",IF(OR($B361="",$D361="",$H361="",$K361="",$M361=""),"Faltan datos obligatorios",IF($T361="","Estrategia no reconocida",IF(AND($M361&lt;&gt;"Abierta",$N361=""),"Falta fecha cierre",IF(AND(OR($M361="Cerrada",$M361="Rolada"),$O361=""),"Falta prima cierre",IF(AND($N361&lt;&gt;"",$N361&lt;$B361),"Cierre anterior a apertura",IF(AND($M361="Asignada",$R361=""),"Asignada: falta ID lote acciones",IF(AND($R361&lt;&gt;"",ISNA(MATCH($R361,Acciones!$A$2:$A$201,0))),"El ID lote no existe en Acciones",IF($AD361="","Revisa capital en riesgo","OK")))))))))</f>
        <v/>
      </c>
    </row>
    <row r="362" customFormat="false" ht="15" hidden="false" customHeight="true" outlineLevel="0" collapsed="false">
      <c r="A362" s="5"/>
      <c r="B362" s="6"/>
      <c r="C362" s="7"/>
      <c r="D362" s="7"/>
      <c r="E362" s="8"/>
      <c r="F362" s="8"/>
      <c r="G362" s="6"/>
      <c r="H362" s="5"/>
      <c r="I362" s="5" t="n">
        <v>100</v>
      </c>
      <c r="J362" s="8"/>
      <c r="K362" s="8"/>
      <c r="L362" s="9"/>
      <c r="M362" s="7"/>
      <c r="N362" s="6"/>
      <c r="O362" s="8"/>
      <c r="P362" s="9"/>
      <c r="Q362" s="9"/>
      <c r="R362" s="7"/>
      <c r="S362" s="7"/>
      <c r="T362" s="10" t="str">
        <f aca="false">IF($C362="","",IFERROR(INDEX(Listas!$B$2:$B$20,MATCH($D362,Listas!$A$2:$A$20,0)),""))</f>
        <v/>
      </c>
      <c r="U362" s="10" t="str">
        <f aca="false">IF($C362="","",IFERROR(INDEX(Listas!$C$2:$C$20,MATCH($D362,Listas!$A$2:$A$20,0)),""))</f>
        <v/>
      </c>
      <c r="V362" s="10" t="str">
        <f aca="false">IF($C362="","",IFERROR(INDEX(Listas!$D$2:$D$20,MATCH($D362,Listas!$A$2:$A$20,0)),""))</f>
        <v/>
      </c>
      <c r="W362" s="11" t="str">
        <f aca="false">IF(OR($C362="",$B362="",$G362=""),"",$G362-$B362)</f>
        <v/>
      </c>
      <c r="X362" s="11" t="str">
        <f aca="true">IF(OR($C362="",$B362=""),"",IF($N362&lt;&gt;"",$N362,TODAY())-$B362)</f>
        <v/>
      </c>
      <c r="Y362" s="11" t="str">
        <f aca="true">IF(OR($C362="",$M362&lt;&gt;"Abierta",$G362=""),"",MAX($G362-TODAY(),0))</f>
        <v/>
      </c>
      <c r="Z362" s="12" t="str">
        <f aca="false">IF($C362="","",N($K362)*N($H362)*N($I362)*IF($U362="Débito",-1,1))</f>
        <v/>
      </c>
      <c r="AA362" s="13" t="str">
        <f aca="false">IF($C362="","",IF(AND($U362="Débito",$F362&lt;&gt;""),$F362,$E362))</f>
        <v/>
      </c>
      <c r="AB362" s="13" t="str">
        <f aca="false">IF(OR($C362="",$T362="Mixta",$AA362=""),"",IF($V362="Subyacente",IF($J362="","",$J362-$K362),IF($T362="Put",$AA362-$K362,$AA362+$K362)))</f>
        <v/>
      </c>
      <c r="AC362" s="14" t="str">
        <f aca="false">IF(OR($C362="",$T362="Mixta",$J362="",$AA362=""),"",IF($T362="Put",($J362-$AA362)/$J362,($AA362-$J362)/$J362))</f>
        <v/>
      </c>
      <c r="AD362" s="12" t="str">
        <f aca="false">IF($C362="","",IF($Q362&lt;&gt;"",$Q362,IF($V362="Strike",N($E362)*$H362*$I362,IF($V362="Subyacente",IF($J362="","",$J362*$H362*$I362),IF($V362="Ancho",IF($F362="","",ABS($E362-$F362)*$H362*$I362-$K362*$H362*$I362),IF($V362="Prima",$K362*$H362*$I362,""))))))</f>
        <v/>
      </c>
      <c r="AE362" s="12" t="str">
        <f aca="false">IF(OR($C362="",$M362="Abierta",$M362=""),"",(N($K362)-IF(OR($M362="Cerrada",$M362="Rolada"),N($O362),0))*$H362*$I362*IF($U362="Débito",-1,1)-N($L362)-N($P362))</f>
        <v/>
      </c>
      <c r="AF362" s="14" t="str">
        <f aca="false">IF(OR($AE362="",$AD362=""),"",IF($AD362&lt;=0,"",$AE362/$AD362))</f>
        <v/>
      </c>
      <c r="AG362" s="14" t="str">
        <f aca="false">IF($AF362="","",$AF362*365/MAX(N($X362),1))</f>
        <v/>
      </c>
      <c r="AH362" s="14" t="str">
        <f aca="false">IF(OR($C362="",$U362&lt;&gt;"Crédito",$AD362=""),"",IF($AD362&lt;=0,"",($Z362-N($L362))/$AD362))</f>
        <v/>
      </c>
      <c r="AI362" s="14" t="str">
        <f aca="false">IF(OR($AH362="",$W362=""),"",$AH362*365/MAX($W362,1))</f>
        <v/>
      </c>
      <c r="AJ362" s="14" t="str">
        <f aca="false">IF(OR($AE362="",$U362&lt;&gt;"Crédito",N($K362)=0),"",(N($K362)-IF(OR($M362="Cerrada",$M362="Rolada"),N($O362),0))/$K362)</f>
        <v/>
      </c>
      <c r="AK362" s="15" t="str">
        <f aca="false">IF(OR($C362="",$N362=""),"",DATE(YEAR($N362),MONTH($N362),1))</f>
        <v/>
      </c>
      <c r="AL362" s="11" t="str">
        <f aca="false">IF($C362="","",IF($M362="Abierta",0,1))</f>
        <v/>
      </c>
      <c r="AM362" s="16" t="str">
        <f aca="false">IF(OR($AE362="",$AD362=""),"",$AD362*MAX(N($X362),1))</f>
        <v/>
      </c>
      <c r="AN362" s="10" t="str">
        <f aca="false">IF($C362="","",IF(OR($B362="",$D362="",$H362="",$K362="",$M362=""),"Faltan datos obligatorios",IF($T362="","Estrategia no reconocida",IF(AND($M362&lt;&gt;"Abierta",$N362=""),"Falta fecha cierre",IF(AND(OR($M362="Cerrada",$M362="Rolada"),$O362=""),"Falta prima cierre",IF(AND($N362&lt;&gt;"",$N362&lt;$B362),"Cierre anterior a apertura",IF(AND($M362="Asignada",$R362=""),"Asignada: falta ID lote acciones",IF(AND($R362&lt;&gt;"",ISNA(MATCH($R362,Acciones!$A$2:$A$201,0))),"El ID lote no existe en Acciones",IF($AD362="","Revisa capital en riesgo","OK")))))))))</f>
        <v/>
      </c>
    </row>
    <row r="363" customFormat="false" ht="15" hidden="false" customHeight="true" outlineLevel="0" collapsed="false">
      <c r="A363" s="5"/>
      <c r="B363" s="6"/>
      <c r="C363" s="7"/>
      <c r="D363" s="7"/>
      <c r="E363" s="8"/>
      <c r="F363" s="8"/>
      <c r="G363" s="6"/>
      <c r="H363" s="5"/>
      <c r="I363" s="5" t="n">
        <v>100</v>
      </c>
      <c r="J363" s="8"/>
      <c r="K363" s="8"/>
      <c r="L363" s="9"/>
      <c r="M363" s="7"/>
      <c r="N363" s="6"/>
      <c r="O363" s="8"/>
      <c r="P363" s="9"/>
      <c r="Q363" s="9"/>
      <c r="R363" s="7"/>
      <c r="S363" s="7"/>
      <c r="T363" s="10" t="str">
        <f aca="false">IF($C363="","",IFERROR(INDEX(Listas!$B$2:$B$20,MATCH($D363,Listas!$A$2:$A$20,0)),""))</f>
        <v/>
      </c>
      <c r="U363" s="10" t="str">
        <f aca="false">IF($C363="","",IFERROR(INDEX(Listas!$C$2:$C$20,MATCH($D363,Listas!$A$2:$A$20,0)),""))</f>
        <v/>
      </c>
      <c r="V363" s="10" t="str">
        <f aca="false">IF($C363="","",IFERROR(INDEX(Listas!$D$2:$D$20,MATCH($D363,Listas!$A$2:$A$20,0)),""))</f>
        <v/>
      </c>
      <c r="W363" s="11" t="str">
        <f aca="false">IF(OR($C363="",$B363="",$G363=""),"",$G363-$B363)</f>
        <v/>
      </c>
      <c r="X363" s="11" t="str">
        <f aca="true">IF(OR($C363="",$B363=""),"",IF($N363&lt;&gt;"",$N363,TODAY())-$B363)</f>
        <v/>
      </c>
      <c r="Y363" s="11" t="str">
        <f aca="true">IF(OR($C363="",$M363&lt;&gt;"Abierta",$G363=""),"",MAX($G363-TODAY(),0))</f>
        <v/>
      </c>
      <c r="Z363" s="12" t="str">
        <f aca="false">IF($C363="","",N($K363)*N($H363)*N($I363)*IF($U363="Débito",-1,1))</f>
        <v/>
      </c>
      <c r="AA363" s="13" t="str">
        <f aca="false">IF($C363="","",IF(AND($U363="Débito",$F363&lt;&gt;""),$F363,$E363))</f>
        <v/>
      </c>
      <c r="AB363" s="13" t="str">
        <f aca="false">IF(OR($C363="",$T363="Mixta",$AA363=""),"",IF($V363="Subyacente",IF($J363="","",$J363-$K363),IF($T363="Put",$AA363-$K363,$AA363+$K363)))</f>
        <v/>
      </c>
      <c r="AC363" s="14" t="str">
        <f aca="false">IF(OR($C363="",$T363="Mixta",$J363="",$AA363=""),"",IF($T363="Put",($J363-$AA363)/$J363,($AA363-$J363)/$J363))</f>
        <v/>
      </c>
      <c r="AD363" s="12" t="str">
        <f aca="false">IF($C363="","",IF($Q363&lt;&gt;"",$Q363,IF($V363="Strike",N($E363)*$H363*$I363,IF($V363="Subyacente",IF($J363="","",$J363*$H363*$I363),IF($V363="Ancho",IF($F363="","",ABS($E363-$F363)*$H363*$I363-$K363*$H363*$I363),IF($V363="Prima",$K363*$H363*$I363,""))))))</f>
        <v/>
      </c>
      <c r="AE363" s="12" t="str">
        <f aca="false">IF(OR($C363="",$M363="Abierta",$M363=""),"",(N($K363)-IF(OR($M363="Cerrada",$M363="Rolada"),N($O363),0))*$H363*$I363*IF($U363="Débito",-1,1)-N($L363)-N($P363))</f>
        <v/>
      </c>
      <c r="AF363" s="14" t="str">
        <f aca="false">IF(OR($AE363="",$AD363=""),"",IF($AD363&lt;=0,"",$AE363/$AD363))</f>
        <v/>
      </c>
      <c r="AG363" s="14" t="str">
        <f aca="false">IF($AF363="","",$AF363*365/MAX(N($X363),1))</f>
        <v/>
      </c>
      <c r="AH363" s="14" t="str">
        <f aca="false">IF(OR($C363="",$U363&lt;&gt;"Crédito",$AD363=""),"",IF($AD363&lt;=0,"",($Z363-N($L363))/$AD363))</f>
        <v/>
      </c>
      <c r="AI363" s="14" t="str">
        <f aca="false">IF(OR($AH363="",$W363=""),"",$AH363*365/MAX($W363,1))</f>
        <v/>
      </c>
      <c r="AJ363" s="14" t="str">
        <f aca="false">IF(OR($AE363="",$U363&lt;&gt;"Crédito",N($K363)=0),"",(N($K363)-IF(OR($M363="Cerrada",$M363="Rolada"),N($O363),0))/$K363)</f>
        <v/>
      </c>
      <c r="AK363" s="15" t="str">
        <f aca="false">IF(OR($C363="",$N363=""),"",DATE(YEAR($N363),MONTH($N363),1))</f>
        <v/>
      </c>
      <c r="AL363" s="11" t="str">
        <f aca="false">IF($C363="","",IF($M363="Abierta",0,1))</f>
        <v/>
      </c>
      <c r="AM363" s="16" t="str">
        <f aca="false">IF(OR($AE363="",$AD363=""),"",$AD363*MAX(N($X363),1))</f>
        <v/>
      </c>
      <c r="AN363" s="10" t="str">
        <f aca="false">IF($C363="","",IF(OR($B363="",$D363="",$H363="",$K363="",$M363=""),"Faltan datos obligatorios",IF($T363="","Estrategia no reconocida",IF(AND($M363&lt;&gt;"Abierta",$N363=""),"Falta fecha cierre",IF(AND(OR($M363="Cerrada",$M363="Rolada"),$O363=""),"Falta prima cierre",IF(AND($N363&lt;&gt;"",$N363&lt;$B363),"Cierre anterior a apertura",IF(AND($M363="Asignada",$R363=""),"Asignada: falta ID lote acciones",IF(AND($R363&lt;&gt;"",ISNA(MATCH($R363,Acciones!$A$2:$A$201,0))),"El ID lote no existe en Acciones",IF($AD363="","Revisa capital en riesgo","OK")))))))))</f>
        <v/>
      </c>
    </row>
    <row r="364" customFormat="false" ht="15" hidden="false" customHeight="true" outlineLevel="0" collapsed="false">
      <c r="A364" s="5"/>
      <c r="B364" s="6"/>
      <c r="C364" s="7"/>
      <c r="D364" s="7"/>
      <c r="E364" s="8"/>
      <c r="F364" s="8"/>
      <c r="G364" s="6"/>
      <c r="H364" s="5"/>
      <c r="I364" s="5" t="n">
        <v>100</v>
      </c>
      <c r="J364" s="8"/>
      <c r="K364" s="8"/>
      <c r="L364" s="9"/>
      <c r="M364" s="7"/>
      <c r="N364" s="6"/>
      <c r="O364" s="8"/>
      <c r="P364" s="9"/>
      <c r="Q364" s="9"/>
      <c r="R364" s="7"/>
      <c r="S364" s="7"/>
      <c r="T364" s="10" t="str">
        <f aca="false">IF($C364="","",IFERROR(INDEX(Listas!$B$2:$B$20,MATCH($D364,Listas!$A$2:$A$20,0)),""))</f>
        <v/>
      </c>
      <c r="U364" s="10" t="str">
        <f aca="false">IF($C364="","",IFERROR(INDEX(Listas!$C$2:$C$20,MATCH($D364,Listas!$A$2:$A$20,0)),""))</f>
        <v/>
      </c>
      <c r="V364" s="10" t="str">
        <f aca="false">IF($C364="","",IFERROR(INDEX(Listas!$D$2:$D$20,MATCH($D364,Listas!$A$2:$A$20,0)),""))</f>
        <v/>
      </c>
      <c r="W364" s="11" t="str">
        <f aca="false">IF(OR($C364="",$B364="",$G364=""),"",$G364-$B364)</f>
        <v/>
      </c>
      <c r="X364" s="11" t="str">
        <f aca="true">IF(OR($C364="",$B364=""),"",IF($N364&lt;&gt;"",$N364,TODAY())-$B364)</f>
        <v/>
      </c>
      <c r="Y364" s="11" t="str">
        <f aca="true">IF(OR($C364="",$M364&lt;&gt;"Abierta",$G364=""),"",MAX($G364-TODAY(),0))</f>
        <v/>
      </c>
      <c r="Z364" s="12" t="str">
        <f aca="false">IF($C364="","",N($K364)*N($H364)*N($I364)*IF($U364="Débito",-1,1))</f>
        <v/>
      </c>
      <c r="AA364" s="13" t="str">
        <f aca="false">IF($C364="","",IF(AND($U364="Débito",$F364&lt;&gt;""),$F364,$E364))</f>
        <v/>
      </c>
      <c r="AB364" s="13" t="str">
        <f aca="false">IF(OR($C364="",$T364="Mixta",$AA364=""),"",IF($V364="Subyacente",IF($J364="","",$J364-$K364),IF($T364="Put",$AA364-$K364,$AA364+$K364)))</f>
        <v/>
      </c>
      <c r="AC364" s="14" t="str">
        <f aca="false">IF(OR($C364="",$T364="Mixta",$J364="",$AA364=""),"",IF($T364="Put",($J364-$AA364)/$J364,($AA364-$J364)/$J364))</f>
        <v/>
      </c>
      <c r="AD364" s="12" t="str">
        <f aca="false">IF($C364="","",IF($Q364&lt;&gt;"",$Q364,IF($V364="Strike",N($E364)*$H364*$I364,IF($V364="Subyacente",IF($J364="","",$J364*$H364*$I364),IF($V364="Ancho",IF($F364="","",ABS($E364-$F364)*$H364*$I364-$K364*$H364*$I364),IF($V364="Prima",$K364*$H364*$I364,""))))))</f>
        <v/>
      </c>
      <c r="AE364" s="12" t="str">
        <f aca="false">IF(OR($C364="",$M364="Abierta",$M364=""),"",(N($K364)-IF(OR($M364="Cerrada",$M364="Rolada"),N($O364),0))*$H364*$I364*IF($U364="Débito",-1,1)-N($L364)-N($P364))</f>
        <v/>
      </c>
      <c r="AF364" s="14" t="str">
        <f aca="false">IF(OR($AE364="",$AD364=""),"",IF($AD364&lt;=0,"",$AE364/$AD364))</f>
        <v/>
      </c>
      <c r="AG364" s="14" t="str">
        <f aca="false">IF($AF364="","",$AF364*365/MAX(N($X364),1))</f>
        <v/>
      </c>
      <c r="AH364" s="14" t="str">
        <f aca="false">IF(OR($C364="",$U364&lt;&gt;"Crédito",$AD364=""),"",IF($AD364&lt;=0,"",($Z364-N($L364))/$AD364))</f>
        <v/>
      </c>
      <c r="AI364" s="14" t="str">
        <f aca="false">IF(OR($AH364="",$W364=""),"",$AH364*365/MAX($W364,1))</f>
        <v/>
      </c>
      <c r="AJ364" s="14" t="str">
        <f aca="false">IF(OR($AE364="",$U364&lt;&gt;"Crédito",N($K364)=0),"",(N($K364)-IF(OR($M364="Cerrada",$M364="Rolada"),N($O364),0))/$K364)</f>
        <v/>
      </c>
      <c r="AK364" s="15" t="str">
        <f aca="false">IF(OR($C364="",$N364=""),"",DATE(YEAR($N364),MONTH($N364),1))</f>
        <v/>
      </c>
      <c r="AL364" s="11" t="str">
        <f aca="false">IF($C364="","",IF($M364="Abierta",0,1))</f>
        <v/>
      </c>
      <c r="AM364" s="16" t="str">
        <f aca="false">IF(OR($AE364="",$AD364=""),"",$AD364*MAX(N($X364),1))</f>
        <v/>
      </c>
      <c r="AN364" s="10" t="str">
        <f aca="false">IF($C364="","",IF(OR($B364="",$D364="",$H364="",$K364="",$M364=""),"Faltan datos obligatorios",IF($T364="","Estrategia no reconocida",IF(AND($M364&lt;&gt;"Abierta",$N364=""),"Falta fecha cierre",IF(AND(OR($M364="Cerrada",$M364="Rolada"),$O364=""),"Falta prima cierre",IF(AND($N364&lt;&gt;"",$N364&lt;$B364),"Cierre anterior a apertura",IF(AND($M364="Asignada",$R364=""),"Asignada: falta ID lote acciones",IF(AND($R364&lt;&gt;"",ISNA(MATCH($R364,Acciones!$A$2:$A$201,0))),"El ID lote no existe en Acciones",IF($AD364="","Revisa capital en riesgo","OK")))))))))</f>
        <v/>
      </c>
    </row>
    <row r="365" customFormat="false" ht="15" hidden="false" customHeight="true" outlineLevel="0" collapsed="false">
      <c r="A365" s="5"/>
      <c r="B365" s="6"/>
      <c r="C365" s="7"/>
      <c r="D365" s="7"/>
      <c r="E365" s="8"/>
      <c r="F365" s="8"/>
      <c r="G365" s="6"/>
      <c r="H365" s="5"/>
      <c r="I365" s="5" t="n">
        <v>100</v>
      </c>
      <c r="J365" s="8"/>
      <c r="K365" s="8"/>
      <c r="L365" s="9"/>
      <c r="M365" s="7"/>
      <c r="N365" s="6"/>
      <c r="O365" s="8"/>
      <c r="P365" s="9"/>
      <c r="Q365" s="9"/>
      <c r="R365" s="7"/>
      <c r="S365" s="7"/>
      <c r="T365" s="10" t="str">
        <f aca="false">IF($C365="","",IFERROR(INDEX(Listas!$B$2:$B$20,MATCH($D365,Listas!$A$2:$A$20,0)),""))</f>
        <v/>
      </c>
      <c r="U365" s="10" t="str">
        <f aca="false">IF($C365="","",IFERROR(INDEX(Listas!$C$2:$C$20,MATCH($D365,Listas!$A$2:$A$20,0)),""))</f>
        <v/>
      </c>
      <c r="V365" s="10" t="str">
        <f aca="false">IF($C365="","",IFERROR(INDEX(Listas!$D$2:$D$20,MATCH($D365,Listas!$A$2:$A$20,0)),""))</f>
        <v/>
      </c>
      <c r="W365" s="11" t="str">
        <f aca="false">IF(OR($C365="",$B365="",$G365=""),"",$G365-$B365)</f>
        <v/>
      </c>
      <c r="X365" s="11" t="str">
        <f aca="true">IF(OR($C365="",$B365=""),"",IF($N365&lt;&gt;"",$N365,TODAY())-$B365)</f>
        <v/>
      </c>
      <c r="Y365" s="11" t="str">
        <f aca="true">IF(OR($C365="",$M365&lt;&gt;"Abierta",$G365=""),"",MAX($G365-TODAY(),0))</f>
        <v/>
      </c>
      <c r="Z365" s="12" t="str">
        <f aca="false">IF($C365="","",N($K365)*N($H365)*N($I365)*IF($U365="Débito",-1,1))</f>
        <v/>
      </c>
      <c r="AA365" s="13" t="str">
        <f aca="false">IF($C365="","",IF(AND($U365="Débito",$F365&lt;&gt;""),$F365,$E365))</f>
        <v/>
      </c>
      <c r="AB365" s="13" t="str">
        <f aca="false">IF(OR($C365="",$T365="Mixta",$AA365=""),"",IF($V365="Subyacente",IF($J365="","",$J365-$K365),IF($T365="Put",$AA365-$K365,$AA365+$K365)))</f>
        <v/>
      </c>
      <c r="AC365" s="14" t="str">
        <f aca="false">IF(OR($C365="",$T365="Mixta",$J365="",$AA365=""),"",IF($T365="Put",($J365-$AA365)/$J365,($AA365-$J365)/$J365))</f>
        <v/>
      </c>
      <c r="AD365" s="12" t="str">
        <f aca="false">IF($C365="","",IF($Q365&lt;&gt;"",$Q365,IF($V365="Strike",N($E365)*$H365*$I365,IF($V365="Subyacente",IF($J365="","",$J365*$H365*$I365),IF($V365="Ancho",IF($F365="","",ABS($E365-$F365)*$H365*$I365-$K365*$H365*$I365),IF($V365="Prima",$K365*$H365*$I365,""))))))</f>
        <v/>
      </c>
      <c r="AE365" s="12" t="str">
        <f aca="false">IF(OR($C365="",$M365="Abierta",$M365=""),"",(N($K365)-IF(OR($M365="Cerrada",$M365="Rolada"),N($O365),0))*$H365*$I365*IF($U365="Débito",-1,1)-N($L365)-N($P365))</f>
        <v/>
      </c>
      <c r="AF365" s="14" t="str">
        <f aca="false">IF(OR($AE365="",$AD365=""),"",IF($AD365&lt;=0,"",$AE365/$AD365))</f>
        <v/>
      </c>
      <c r="AG365" s="14" t="str">
        <f aca="false">IF($AF365="","",$AF365*365/MAX(N($X365),1))</f>
        <v/>
      </c>
      <c r="AH365" s="14" t="str">
        <f aca="false">IF(OR($C365="",$U365&lt;&gt;"Crédito",$AD365=""),"",IF($AD365&lt;=0,"",($Z365-N($L365))/$AD365))</f>
        <v/>
      </c>
      <c r="AI365" s="14" t="str">
        <f aca="false">IF(OR($AH365="",$W365=""),"",$AH365*365/MAX($W365,1))</f>
        <v/>
      </c>
      <c r="AJ365" s="14" t="str">
        <f aca="false">IF(OR($AE365="",$U365&lt;&gt;"Crédito",N($K365)=0),"",(N($K365)-IF(OR($M365="Cerrada",$M365="Rolada"),N($O365),0))/$K365)</f>
        <v/>
      </c>
      <c r="AK365" s="15" t="str">
        <f aca="false">IF(OR($C365="",$N365=""),"",DATE(YEAR($N365),MONTH($N365),1))</f>
        <v/>
      </c>
      <c r="AL365" s="11" t="str">
        <f aca="false">IF($C365="","",IF($M365="Abierta",0,1))</f>
        <v/>
      </c>
      <c r="AM365" s="16" t="str">
        <f aca="false">IF(OR($AE365="",$AD365=""),"",$AD365*MAX(N($X365),1))</f>
        <v/>
      </c>
      <c r="AN365" s="10" t="str">
        <f aca="false">IF($C365="","",IF(OR($B365="",$D365="",$H365="",$K365="",$M365=""),"Faltan datos obligatorios",IF($T365="","Estrategia no reconocida",IF(AND($M365&lt;&gt;"Abierta",$N365=""),"Falta fecha cierre",IF(AND(OR($M365="Cerrada",$M365="Rolada"),$O365=""),"Falta prima cierre",IF(AND($N365&lt;&gt;"",$N365&lt;$B365),"Cierre anterior a apertura",IF(AND($M365="Asignada",$R365=""),"Asignada: falta ID lote acciones",IF(AND($R365&lt;&gt;"",ISNA(MATCH($R365,Acciones!$A$2:$A$201,0))),"El ID lote no existe en Acciones",IF($AD365="","Revisa capital en riesgo","OK")))))))))</f>
        <v/>
      </c>
    </row>
    <row r="366" customFormat="false" ht="15" hidden="false" customHeight="true" outlineLevel="0" collapsed="false">
      <c r="A366" s="5"/>
      <c r="B366" s="6"/>
      <c r="C366" s="7"/>
      <c r="D366" s="7"/>
      <c r="E366" s="8"/>
      <c r="F366" s="8"/>
      <c r="G366" s="6"/>
      <c r="H366" s="5"/>
      <c r="I366" s="5" t="n">
        <v>100</v>
      </c>
      <c r="J366" s="8"/>
      <c r="K366" s="8"/>
      <c r="L366" s="9"/>
      <c r="M366" s="7"/>
      <c r="N366" s="6"/>
      <c r="O366" s="8"/>
      <c r="P366" s="9"/>
      <c r="Q366" s="9"/>
      <c r="R366" s="7"/>
      <c r="S366" s="7"/>
      <c r="T366" s="10" t="str">
        <f aca="false">IF($C366="","",IFERROR(INDEX(Listas!$B$2:$B$20,MATCH($D366,Listas!$A$2:$A$20,0)),""))</f>
        <v/>
      </c>
      <c r="U366" s="10" t="str">
        <f aca="false">IF($C366="","",IFERROR(INDEX(Listas!$C$2:$C$20,MATCH($D366,Listas!$A$2:$A$20,0)),""))</f>
        <v/>
      </c>
      <c r="V366" s="10" t="str">
        <f aca="false">IF($C366="","",IFERROR(INDEX(Listas!$D$2:$D$20,MATCH($D366,Listas!$A$2:$A$20,0)),""))</f>
        <v/>
      </c>
      <c r="W366" s="11" t="str">
        <f aca="false">IF(OR($C366="",$B366="",$G366=""),"",$G366-$B366)</f>
        <v/>
      </c>
      <c r="X366" s="11" t="str">
        <f aca="true">IF(OR($C366="",$B366=""),"",IF($N366&lt;&gt;"",$N366,TODAY())-$B366)</f>
        <v/>
      </c>
      <c r="Y366" s="11" t="str">
        <f aca="true">IF(OR($C366="",$M366&lt;&gt;"Abierta",$G366=""),"",MAX($G366-TODAY(),0))</f>
        <v/>
      </c>
      <c r="Z366" s="12" t="str">
        <f aca="false">IF($C366="","",N($K366)*N($H366)*N($I366)*IF($U366="Débito",-1,1))</f>
        <v/>
      </c>
      <c r="AA366" s="13" t="str">
        <f aca="false">IF($C366="","",IF(AND($U366="Débito",$F366&lt;&gt;""),$F366,$E366))</f>
        <v/>
      </c>
      <c r="AB366" s="13" t="str">
        <f aca="false">IF(OR($C366="",$T366="Mixta",$AA366=""),"",IF($V366="Subyacente",IF($J366="","",$J366-$K366),IF($T366="Put",$AA366-$K366,$AA366+$K366)))</f>
        <v/>
      </c>
      <c r="AC366" s="14" t="str">
        <f aca="false">IF(OR($C366="",$T366="Mixta",$J366="",$AA366=""),"",IF($T366="Put",($J366-$AA366)/$J366,($AA366-$J366)/$J366))</f>
        <v/>
      </c>
      <c r="AD366" s="12" t="str">
        <f aca="false">IF($C366="","",IF($Q366&lt;&gt;"",$Q366,IF($V366="Strike",N($E366)*$H366*$I366,IF($V366="Subyacente",IF($J366="","",$J366*$H366*$I366),IF($V366="Ancho",IF($F366="","",ABS($E366-$F366)*$H366*$I366-$K366*$H366*$I366),IF($V366="Prima",$K366*$H366*$I366,""))))))</f>
        <v/>
      </c>
      <c r="AE366" s="12" t="str">
        <f aca="false">IF(OR($C366="",$M366="Abierta",$M366=""),"",(N($K366)-IF(OR($M366="Cerrada",$M366="Rolada"),N($O366),0))*$H366*$I366*IF($U366="Débito",-1,1)-N($L366)-N($P366))</f>
        <v/>
      </c>
      <c r="AF366" s="14" t="str">
        <f aca="false">IF(OR($AE366="",$AD366=""),"",IF($AD366&lt;=0,"",$AE366/$AD366))</f>
        <v/>
      </c>
      <c r="AG366" s="14" t="str">
        <f aca="false">IF($AF366="","",$AF366*365/MAX(N($X366),1))</f>
        <v/>
      </c>
      <c r="AH366" s="14" t="str">
        <f aca="false">IF(OR($C366="",$U366&lt;&gt;"Crédito",$AD366=""),"",IF($AD366&lt;=0,"",($Z366-N($L366))/$AD366))</f>
        <v/>
      </c>
      <c r="AI366" s="14" t="str">
        <f aca="false">IF(OR($AH366="",$W366=""),"",$AH366*365/MAX($W366,1))</f>
        <v/>
      </c>
      <c r="AJ366" s="14" t="str">
        <f aca="false">IF(OR($AE366="",$U366&lt;&gt;"Crédito",N($K366)=0),"",(N($K366)-IF(OR($M366="Cerrada",$M366="Rolada"),N($O366),0))/$K366)</f>
        <v/>
      </c>
      <c r="AK366" s="15" t="str">
        <f aca="false">IF(OR($C366="",$N366=""),"",DATE(YEAR($N366),MONTH($N366),1))</f>
        <v/>
      </c>
      <c r="AL366" s="11" t="str">
        <f aca="false">IF($C366="","",IF($M366="Abierta",0,1))</f>
        <v/>
      </c>
      <c r="AM366" s="16" t="str">
        <f aca="false">IF(OR($AE366="",$AD366=""),"",$AD366*MAX(N($X366),1))</f>
        <v/>
      </c>
      <c r="AN366" s="10" t="str">
        <f aca="false">IF($C366="","",IF(OR($B366="",$D366="",$H366="",$K366="",$M366=""),"Faltan datos obligatorios",IF($T366="","Estrategia no reconocida",IF(AND($M366&lt;&gt;"Abierta",$N366=""),"Falta fecha cierre",IF(AND(OR($M366="Cerrada",$M366="Rolada"),$O366=""),"Falta prima cierre",IF(AND($N366&lt;&gt;"",$N366&lt;$B366),"Cierre anterior a apertura",IF(AND($M366="Asignada",$R366=""),"Asignada: falta ID lote acciones",IF(AND($R366&lt;&gt;"",ISNA(MATCH($R366,Acciones!$A$2:$A$201,0))),"El ID lote no existe en Acciones",IF($AD366="","Revisa capital en riesgo","OK")))))))))</f>
        <v/>
      </c>
    </row>
    <row r="367" customFormat="false" ht="15" hidden="false" customHeight="true" outlineLevel="0" collapsed="false">
      <c r="A367" s="5"/>
      <c r="B367" s="6"/>
      <c r="C367" s="7"/>
      <c r="D367" s="7"/>
      <c r="E367" s="8"/>
      <c r="F367" s="8"/>
      <c r="G367" s="6"/>
      <c r="H367" s="5"/>
      <c r="I367" s="5" t="n">
        <v>100</v>
      </c>
      <c r="J367" s="8"/>
      <c r="K367" s="8"/>
      <c r="L367" s="9"/>
      <c r="M367" s="7"/>
      <c r="N367" s="6"/>
      <c r="O367" s="8"/>
      <c r="P367" s="9"/>
      <c r="Q367" s="9"/>
      <c r="R367" s="7"/>
      <c r="S367" s="7"/>
      <c r="T367" s="10" t="str">
        <f aca="false">IF($C367="","",IFERROR(INDEX(Listas!$B$2:$B$20,MATCH($D367,Listas!$A$2:$A$20,0)),""))</f>
        <v/>
      </c>
      <c r="U367" s="10" t="str">
        <f aca="false">IF($C367="","",IFERROR(INDEX(Listas!$C$2:$C$20,MATCH($D367,Listas!$A$2:$A$20,0)),""))</f>
        <v/>
      </c>
      <c r="V367" s="10" t="str">
        <f aca="false">IF($C367="","",IFERROR(INDEX(Listas!$D$2:$D$20,MATCH($D367,Listas!$A$2:$A$20,0)),""))</f>
        <v/>
      </c>
      <c r="W367" s="11" t="str">
        <f aca="false">IF(OR($C367="",$B367="",$G367=""),"",$G367-$B367)</f>
        <v/>
      </c>
      <c r="X367" s="11" t="str">
        <f aca="true">IF(OR($C367="",$B367=""),"",IF($N367&lt;&gt;"",$N367,TODAY())-$B367)</f>
        <v/>
      </c>
      <c r="Y367" s="11" t="str">
        <f aca="true">IF(OR($C367="",$M367&lt;&gt;"Abierta",$G367=""),"",MAX($G367-TODAY(),0))</f>
        <v/>
      </c>
      <c r="Z367" s="12" t="str">
        <f aca="false">IF($C367="","",N($K367)*N($H367)*N($I367)*IF($U367="Débito",-1,1))</f>
        <v/>
      </c>
      <c r="AA367" s="13" t="str">
        <f aca="false">IF($C367="","",IF(AND($U367="Débito",$F367&lt;&gt;""),$F367,$E367))</f>
        <v/>
      </c>
      <c r="AB367" s="13" t="str">
        <f aca="false">IF(OR($C367="",$T367="Mixta",$AA367=""),"",IF($V367="Subyacente",IF($J367="","",$J367-$K367),IF($T367="Put",$AA367-$K367,$AA367+$K367)))</f>
        <v/>
      </c>
      <c r="AC367" s="14" t="str">
        <f aca="false">IF(OR($C367="",$T367="Mixta",$J367="",$AA367=""),"",IF($T367="Put",($J367-$AA367)/$J367,($AA367-$J367)/$J367))</f>
        <v/>
      </c>
      <c r="AD367" s="12" t="str">
        <f aca="false">IF($C367="","",IF($Q367&lt;&gt;"",$Q367,IF($V367="Strike",N($E367)*$H367*$I367,IF($V367="Subyacente",IF($J367="","",$J367*$H367*$I367),IF($V367="Ancho",IF($F367="","",ABS($E367-$F367)*$H367*$I367-$K367*$H367*$I367),IF($V367="Prima",$K367*$H367*$I367,""))))))</f>
        <v/>
      </c>
      <c r="AE367" s="12" t="str">
        <f aca="false">IF(OR($C367="",$M367="Abierta",$M367=""),"",(N($K367)-IF(OR($M367="Cerrada",$M367="Rolada"),N($O367),0))*$H367*$I367*IF($U367="Débito",-1,1)-N($L367)-N($P367))</f>
        <v/>
      </c>
      <c r="AF367" s="14" t="str">
        <f aca="false">IF(OR($AE367="",$AD367=""),"",IF($AD367&lt;=0,"",$AE367/$AD367))</f>
        <v/>
      </c>
      <c r="AG367" s="14" t="str">
        <f aca="false">IF($AF367="","",$AF367*365/MAX(N($X367),1))</f>
        <v/>
      </c>
      <c r="AH367" s="14" t="str">
        <f aca="false">IF(OR($C367="",$U367&lt;&gt;"Crédito",$AD367=""),"",IF($AD367&lt;=0,"",($Z367-N($L367))/$AD367))</f>
        <v/>
      </c>
      <c r="AI367" s="14" t="str">
        <f aca="false">IF(OR($AH367="",$W367=""),"",$AH367*365/MAX($W367,1))</f>
        <v/>
      </c>
      <c r="AJ367" s="14" t="str">
        <f aca="false">IF(OR($AE367="",$U367&lt;&gt;"Crédito",N($K367)=0),"",(N($K367)-IF(OR($M367="Cerrada",$M367="Rolada"),N($O367),0))/$K367)</f>
        <v/>
      </c>
      <c r="AK367" s="15" t="str">
        <f aca="false">IF(OR($C367="",$N367=""),"",DATE(YEAR($N367),MONTH($N367),1))</f>
        <v/>
      </c>
      <c r="AL367" s="11" t="str">
        <f aca="false">IF($C367="","",IF($M367="Abierta",0,1))</f>
        <v/>
      </c>
      <c r="AM367" s="16" t="str">
        <f aca="false">IF(OR($AE367="",$AD367=""),"",$AD367*MAX(N($X367),1))</f>
        <v/>
      </c>
      <c r="AN367" s="10" t="str">
        <f aca="false">IF($C367="","",IF(OR($B367="",$D367="",$H367="",$K367="",$M367=""),"Faltan datos obligatorios",IF($T367="","Estrategia no reconocida",IF(AND($M367&lt;&gt;"Abierta",$N367=""),"Falta fecha cierre",IF(AND(OR($M367="Cerrada",$M367="Rolada"),$O367=""),"Falta prima cierre",IF(AND($N367&lt;&gt;"",$N367&lt;$B367),"Cierre anterior a apertura",IF(AND($M367="Asignada",$R367=""),"Asignada: falta ID lote acciones",IF(AND($R367&lt;&gt;"",ISNA(MATCH($R367,Acciones!$A$2:$A$201,0))),"El ID lote no existe en Acciones",IF($AD367="","Revisa capital en riesgo","OK")))))))))</f>
        <v/>
      </c>
    </row>
    <row r="368" customFormat="false" ht="15" hidden="false" customHeight="true" outlineLevel="0" collapsed="false">
      <c r="A368" s="5"/>
      <c r="B368" s="6"/>
      <c r="C368" s="7"/>
      <c r="D368" s="7"/>
      <c r="E368" s="8"/>
      <c r="F368" s="8"/>
      <c r="G368" s="6"/>
      <c r="H368" s="5"/>
      <c r="I368" s="5" t="n">
        <v>100</v>
      </c>
      <c r="J368" s="8"/>
      <c r="K368" s="8"/>
      <c r="L368" s="9"/>
      <c r="M368" s="7"/>
      <c r="N368" s="6"/>
      <c r="O368" s="8"/>
      <c r="P368" s="9"/>
      <c r="Q368" s="9"/>
      <c r="R368" s="7"/>
      <c r="S368" s="7"/>
      <c r="T368" s="10" t="str">
        <f aca="false">IF($C368="","",IFERROR(INDEX(Listas!$B$2:$B$20,MATCH($D368,Listas!$A$2:$A$20,0)),""))</f>
        <v/>
      </c>
      <c r="U368" s="10" t="str">
        <f aca="false">IF($C368="","",IFERROR(INDEX(Listas!$C$2:$C$20,MATCH($D368,Listas!$A$2:$A$20,0)),""))</f>
        <v/>
      </c>
      <c r="V368" s="10" t="str">
        <f aca="false">IF($C368="","",IFERROR(INDEX(Listas!$D$2:$D$20,MATCH($D368,Listas!$A$2:$A$20,0)),""))</f>
        <v/>
      </c>
      <c r="W368" s="11" t="str">
        <f aca="false">IF(OR($C368="",$B368="",$G368=""),"",$G368-$B368)</f>
        <v/>
      </c>
      <c r="X368" s="11" t="str">
        <f aca="true">IF(OR($C368="",$B368=""),"",IF($N368&lt;&gt;"",$N368,TODAY())-$B368)</f>
        <v/>
      </c>
      <c r="Y368" s="11" t="str">
        <f aca="true">IF(OR($C368="",$M368&lt;&gt;"Abierta",$G368=""),"",MAX($G368-TODAY(),0))</f>
        <v/>
      </c>
      <c r="Z368" s="12" t="str">
        <f aca="false">IF($C368="","",N($K368)*N($H368)*N($I368)*IF($U368="Débito",-1,1))</f>
        <v/>
      </c>
      <c r="AA368" s="13" t="str">
        <f aca="false">IF($C368="","",IF(AND($U368="Débito",$F368&lt;&gt;""),$F368,$E368))</f>
        <v/>
      </c>
      <c r="AB368" s="13" t="str">
        <f aca="false">IF(OR($C368="",$T368="Mixta",$AA368=""),"",IF($V368="Subyacente",IF($J368="","",$J368-$K368),IF($T368="Put",$AA368-$K368,$AA368+$K368)))</f>
        <v/>
      </c>
      <c r="AC368" s="14" t="str">
        <f aca="false">IF(OR($C368="",$T368="Mixta",$J368="",$AA368=""),"",IF($T368="Put",($J368-$AA368)/$J368,($AA368-$J368)/$J368))</f>
        <v/>
      </c>
      <c r="AD368" s="12" t="str">
        <f aca="false">IF($C368="","",IF($Q368&lt;&gt;"",$Q368,IF($V368="Strike",N($E368)*$H368*$I368,IF($V368="Subyacente",IF($J368="","",$J368*$H368*$I368),IF($V368="Ancho",IF($F368="","",ABS($E368-$F368)*$H368*$I368-$K368*$H368*$I368),IF($V368="Prima",$K368*$H368*$I368,""))))))</f>
        <v/>
      </c>
      <c r="AE368" s="12" t="str">
        <f aca="false">IF(OR($C368="",$M368="Abierta",$M368=""),"",(N($K368)-IF(OR($M368="Cerrada",$M368="Rolada"),N($O368),0))*$H368*$I368*IF($U368="Débito",-1,1)-N($L368)-N($P368))</f>
        <v/>
      </c>
      <c r="AF368" s="14" t="str">
        <f aca="false">IF(OR($AE368="",$AD368=""),"",IF($AD368&lt;=0,"",$AE368/$AD368))</f>
        <v/>
      </c>
      <c r="AG368" s="14" t="str">
        <f aca="false">IF($AF368="","",$AF368*365/MAX(N($X368),1))</f>
        <v/>
      </c>
      <c r="AH368" s="14" t="str">
        <f aca="false">IF(OR($C368="",$U368&lt;&gt;"Crédito",$AD368=""),"",IF($AD368&lt;=0,"",($Z368-N($L368))/$AD368))</f>
        <v/>
      </c>
      <c r="AI368" s="14" t="str">
        <f aca="false">IF(OR($AH368="",$W368=""),"",$AH368*365/MAX($W368,1))</f>
        <v/>
      </c>
      <c r="AJ368" s="14" t="str">
        <f aca="false">IF(OR($AE368="",$U368&lt;&gt;"Crédito",N($K368)=0),"",(N($K368)-IF(OR($M368="Cerrada",$M368="Rolada"),N($O368),0))/$K368)</f>
        <v/>
      </c>
      <c r="AK368" s="15" t="str">
        <f aca="false">IF(OR($C368="",$N368=""),"",DATE(YEAR($N368),MONTH($N368),1))</f>
        <v/>
      </c>
      <c r="AL368" s="11" t="str">
        <f aca="false">IF($C368="","",IF($M368="Abierta",0,1))</f>
        <v/>
      </c>
      <c r="AM368" s="16" t="str">
        <f aca="false">IF(OR($AE368="",$AD368=""),"",$AD368*MAX(N($X368),1))</f>
        <v/>
      </c>
      <c r="AN368" s="10" t="str">
        <f aca="false">IF($C368="","",IF(OR($B368="",$D368="",$H368="",$K368="",$M368=""),"Faltan datos obligatorios",IF($T368="","Estrategia no reconocida",IF(AND($M368&lt;&gt;"Abierta",$N368=""),"Falta fecha cierre",IF(AND(OR($M368="Cerrada",$M368="Rolada"),$O368=""),"Falta prima cierre",IF(AND($N368&lt;&gt;"",$N368&lt;$B368),"Cierre anterior a apertura",IF(AND($M368="Asignada",$R368=""),"Asignada: falta ID lote acciones",IF(AND($R368&lt;&gt;"",ISNA(MATCH($R368,Acciones!$A$2:$A$201,0))),"El ID lote no existe en Acciones",IF($AD368="","Revisa capital en riesgo","OK")))))))))</f>
        <v/>
      </c>
    </row>
    <row r="369" customFormat="false" ht="15" hidden="false" customHeight="true" outlineLevel="0" collapsed="false">
      <c r="A369" s="5"/>
      <c r="B369" s="6"/>
      <c r="C369" s="7"/>
      <c r="D369" s="7"/>
      <c r="E369" s="8"/>
      <c r="F369" s="8"/>
      <c r="G369" s="6"/>
      <c r="H369" s="5"/>
      <c r="I369" s="5" t="n">
        <v>100</v>
      </c>
      <c r="J369" s="8"/>
      <c r="K369" s="8"/>
      <c r="L369" s="9"/>
      <c r="M369" s="7"/>
      <c r="N369" s="6"/>
      <c r="O369" s="8"/>
      <c r="P369" s="9"/>
      <c r="Q369" s="9"/>
      <c r="R369" s="7"/>
      <c r="S369" s="7"/>
      <c r="T369" s="10" t="str">
        <f aca="false">IF($C369="","",IFERROR(INDEX(Listas!$B$2:$B$20,MATCH($D369,Listas!$A$2:$A$20,0)),""))</f>
        <v/>
      </c>
      <c r="U369" s="10" t="str">
        <f aca="false">IF($C369="","",IFERROR(INDEX(Listas!$C$2:$C$20,MATCH($D369,Listas!$A$2:$A$20,0)),""))</f>
        <v/>
      </c>
      <c r="V369" s="10" t="str">
        <f aca="false">IF($C369="","",IFERROR(INDEX(Listas!$D$2:$D$20,MATCH($D369,Listas!$A$2:$A$20,0)),""))</f>
        <v/>
      </c>
      <c r="W369" s="11" t="str">
        <f aca="false">IF(OR($C369="",$B369="",$G369=""),"",$G369-$B369)</f>
        <v/>
      </c>
      <c r="X369" s="11" t="str">
        <f aca="true">IF(OR($C369="",$B369=""),"",IF($N369&lt;&gt;"",$N369,TODAY())-$B369)</f>
        <v/>
      </c>
      <c r="Y369" s="11" t="str">
        <f aca="true">IF(OR($C369="",$M369&lt;&gt;"Abierta",$G369=""),"",MAX($G369-TODAY(),0))</f>
        <v/>
      </c>
      <c r="Z369" s="12" t="str">
        <f aca="false">IF($C369="","",N($K369)*N($H369)*N($I369)*IF($U369="Débito",-1,1))</f>
        <v/>
      </c>
      <c r="AA369" s="13" t="str">
        <f aca="false">IF($C369="","",IF(AND($U369="Débito",$F369&lt;&gt;""),$F369,$E369))</f>
        <v/>
      </c>
      <c r="AB369" s="13" t="str">
        <f aca="false">IF(OR($C369="",$T369="Mixta",$AA369=""),"",IF($V369="Subyacente",IF($J369="","",$J369-$K369),IF($T369="Put",$AA369-$K369,$AA369+$K369)))</f>
        <v/>
      </c>
      <c r="AC369" s="14" t="str">
        <f aca="false">IF(OR($C369="",$T369="Mixta",$J369="",$AA369=""),"",IF($T369="Put",($J369-$AA369)/$J369,($AA369-$J369)/$J369))</f>
        <v/>
      </c>
      <c r="AD369" s="12" t="str">
        <f aca="false">IF($C369="","",IF($Q369&lt;&gt;"",$Q369,IF($V369="Strike",N($E369)*$H369*$I369,IF($V369="Subyacente",IF($J369="","",$J369*$H369*$I369),IF($V369="Ancho",IF($F369="","",ABS($E369-$F369)*$H369*$I369-$K369*$H369*$I369),IF($V369="Prima",$K369*$H369*$I369,""))))))</f>
        <v/>
      </c>
      <c r="AE369" s="12" t="str">
        <f aca="false">IF(OR($C369="",$M369="Abierta",$M369=""),"",(N($K369)-IF(OR($M369="Cerrada",$M369="Rolada"),N($O369),0))*$H369*$I369*IF($U369="Débito",-1,1)-N($L369)-N($P369))</f>
        <v/>
      </c>
      <c r="AF369" s="14" t="str">
        <f aca="false">IF(OR($AE369="",$AD369=""),"",IF($AD369&lt;=0,"",$AE369/$AD369))</f>
        <v/>
      </c>
      <c r="AG369" s="14" t="str">
        <f aca="false">IF($AF369="","",$AF369*365/MAX(N($X369),1))</f>
        <v/>
      </c>
      <c r="AH369" s="14" t="str">
        <f aca="false">IF(OR($C369="",$U369&lt;&gt;"Crédito",$AD369=""),"",IF($AD369&lt;=0,"",($Z369-N($L369))/$AD369))</f>
        <v/>
      </c>
      <c r="AI369" s="14" t="str">
        <f aca="false">IF(OR($AH369="",$W369=""),"",$AH369*365/MAX($W369,1))</f>
        <v/>
      </c>
      <c r="AJ369" s="14" t="str">
        <f aca="false">IF(OR($AE369="",$U369&lt;&gt;"Crédito",N($K369)=0),"",(N($K369)-IF(OR($M369="Cerrada",$M369="Rolada"),N($O369),0))/$K369)</f>
        <v/>
      </c>
      <c r="AK369" s="15" t="str">
        <f aca="false">IF(OR($C369="",$N369=""),"",DATE(YEAR($N369),MONTH($N369),1))</f>
        <v/>
      </c>
      <c r="AL369" s="11" t="str">
        <f aca="false">IF($C369="","",IF($M369="Abierta",0,1))</f>
        <v/>
      </c>
      <c r="AM369" s="16" t="str">
        <f aca="false">IF(OR($AE369="",$AD369=""),"",$AD369*MAX(N($X369),1))</f>
        <v/>
      </c>
      <c r="AN369" s="10" t="str">
        <f aca="false">IF($C369="","",IF(OR($B369="",$D369="",$H369="",$K369="",$M369=""),"Faltan datos obligatorios",IF($T369="","Estrategia no reconocida",IF(AND($M369&lt;&gt;"Abierta",$N369=""),"Falta fecha cierre",IF(AND(OR($M369="Cerrada",$M369="Rolada"),$O369=""),"Falta prima cierre",IF(AND($N369&lt;&gt;"",$N369&lt;$B369),"Cierre anterior a apertura",IF(AND($M369="Asignada",$R369=""),"Asignada: falta ID lote acciones",IF(AND($R369&lt;&gt;"",ISNA(MATCH($R369,Acciones!$A$2:$A$201,0))),"El ID lote no existe en Acciones",IF($AD369="","Revisa capital en riesgo","OK")))))))))</f>
        <v/>
      </c>
    </row>
    <row r="370" customFormat="false" ht="15" hidden="false" customHeight="true" outlineLevel="0" collapsed="false">
      <c r="A370" s="5"/>
      <c r="B370" s="6"/>
      <c r="C370" s="7"/>
      <c r="D370" s="7"/>
      <c r="E370" s="8"/>
      <c r="F370" s="8"/>
      <c r="G370" s="6"/>
      <c r="H370" s="5"/>
      <c r="I370" s="5" t="n">
        <v>100</v>
      </c>
      <c r="J370" s="8"/>
      <c r="K370" s="8"/>
      <c r="L370" s="9"/>
      <c r="M370" s="7"/>
      <c r="N370" s="6"/>
      <c r="O370" s="8"/>
      <c r="P370" s="9"/>
      <c r="Q370" s="9"/>
      <c r="R370" s="7"/>
      <c r="S370" s="7"/>
      <c r="T370" s="10" t="str">
        <f aca="false">IF($C370="","",IFERROR(INDEX(Listas!$B$2:$B$20,MATCH($D370,Listas!$A$2:$A$20,0)),""))</f>
        <v/>
      </c>
      <c r="U370" s="10" t="str">
        <f aca="false">IF($C370="","",IFERROR(INDEX(Listas!$C$2:$C$20,MATCH($D370,Listas!$A$2:$A$20,0)),""))</f>
        <v/>
      </c>
      <c r="V370" s="10" t="str">
        <f aca="false">IF($C370="","",IFERROR(INDEX(Listas!$D$2:$D$20,MATCH($D370,Listas!$A$2:$A$20,0)),""))</f>
        <v/>
      </c>
      <c r="W370" s="11" t="str">
        <f aca="false">IF(OR($C370="",$B370="",$G370=""),"",$G370-$B370)</f>
        <v/>
      </c>
      <c r="X370" s="11" t="str">
        <f aca="true">IF(OR($C370="",$B370=""),"",IF($N370&lt;&gt;"",$N370,TODAY())-$B370)</f>
        <v/>
      </c>
      <c r="Y370" s="11" t="str">
        <f aca="true">IF(OR($C370="",$M370&lt;&gt;"Abierta",$G370=""),"",MAX($G370-TODAY(),0))</f>
        <v/>
      </c>
      <c r="Z370" s="12" t="str">
        <f aca="false">IF($C370="","",N($K370)*N($H370)*N($I370)*IF($U370="Débito",-1,1))</f>
        <v/>
      </c>
      <c r="AA370" s="13" t="str">
        <f aca="false">IF($C370="","",IF(AND($U370="Débito",$F370&lt;&gt;""),$F370,$E370))</f>
        <v/>
      </c>
      <c r="AB370" s="13" t="str">
        <f aca="false">IF(OR($C370="",$T370="Mixta",$AA370=""),"",IF($V370="Subyacente",IF($J370="","",$J370-$K370),IF($T370="Put",$AA370-$K370,$AA370+$K370)))</f>
        <v/>
      </c>
      <c r="AC370" s="14" t="str">
        <f aca="false">IF(OR($C370="",$T370="Mixta",$J370="",$AA370=""),"",IF($T370="Put",($J370-$AA370)/$J370,($AA370-$J370)/$J370))</f>
        <v/>
      </c>
      <c r="AD370" s="12" t="str">
        <f aca="false">IF($C370="","",IF($Q370&lt;&gt;"",$Q370,IF($V370="Strike",N($E370)*$H370*$I370,IF($V370="Subyacente",IF($J370="","",$J370*$H370*$I370),IF($V370="Ancho",IF($F370="","",ABS($E370-$F370)*$H370*$I370-$K370*$H370*$I370),IF($V370="Prima",$K370*$H370*$I370,""))))))</f>
        <v/>
      </c>
      <c r="AE370" s="12" t="str">
        <f aca="false">IF(OR($C370="",$M370="Abierta",$M370=""),"",(N($K370)-IF(OR($M370="Cerrada",$M370="Rolada"),N($O370),0))*$H370*$I370*IF($U370="Débito",-1,1)-N($L370)-N($P370))</f>
        <v/>
      </c>
      <c r="AF370" s="14" t="str">
        <f aca="false">IF(OR($AE370="",$AD370=""),"",IF($AD370&lt;=0,"",$AE370/$AD370))</f>
        <v/>
      </c>
      <c r="AG370" s="14" t="str">
        <f aca="false">IF($AF370="","",$AF370*365/MAX(N($X370),1))</f>
        <v/>
      </c>
      <c r="AH370" s="14" t="str">
        <f aca="false">IF(OR($C370="",$U370&lt;&gt;"Crédito",$AD370=""),"",IF($AD370&lt;=0,"",($Z370-N($L370))/$AD370))</f>
        <v/>
      </c>
      <c r="AI370" s="14" t="str">
        <f aca="false">IF(OR($AH370="",$W370=""),"",$AH370*365/MAX($W370,1))</f>
        <v/>
      </c>
      <c r="AJ370" s="14" t="str">
        <f aca="false">IF(OR($AE370="",$U370&lt;&gt;"Crédito",N($K370)=0),"",(N($K370)-IF(OR($M370="Cerrada",$M370="Rolada"),N($O370),0))/$K370)</f>
        <v/>
      </c>
      <c r="AK370" s="15" t="str">
        <f aca="false">IF(OR($C370="",$N370=""),"",DATE(YEAR($N370),MONTH($N370),1))</f>
        <v/>
      </c>
      <c r="AL370" s="11" t="str">
        <f aca="false">IF($C370="","",IF($M370="Abierta",0,1))</f>
        <v/>
      </c>
      <c r="AM370" s="16" t="str">
        <f aca="false">IF(OR($AE370="",$AD370=""),"",$AD370*MAX(N($X370),1))</f>
        <v/>
      </c>
      <c r="AN370" s="10" t="str">
        <f aca="false">IF($C370="","",IF(OR($B370="",$D370="",$H370="",$K370="",$M370=""),"Faltan datos obligatorios",IF($T370="","Estrategia no reconocida",IF(AND($M370&lt;&gt;"Abierta",$N370=""),"Falta fecha cierre",IF(AND(OR($M370="Cerrada",$M370="Rolada"),$O370=""),"Falta prima cierre",IF(AND($N370&lt;&gt;"",$N370&lt;$B370),"Cierre anterior a apertura",IF(AND($M370="Asignada",$R370=""),"Asignada: falta ID lote acciones",IF(AND($R370&lt;&gt;"",ISNA(MATCH($R370,Acciones!$A$2:$A$201,0))),"El ID lote no existe en Acciones",IF($AD370="","Revisa capital en riesgo","OK")))))))))</f>
        <v/>
      </c>
    </row>
    <row r="371" customFormat="false" ht="15" hidden="false" customHeight="true" outlineLevel="0" collapsed="false">
      <c r="A371" s="5"/>
      <c r="B371" s="6"/>
      <c r="C371" s="7"/>
      <c r="D371" s="7"/>
      <c r="E371" s="8"/>
      <c r="F371" s="8"/>
      <c r="G371" s="6"/>
      <c r="H371" s="5"/>
      <c r="I371" s="5" t="n">
        <v>100</v>
      </c>
      <c r="J371" s="8"/>
      <c r="K371" s="8"/>
      <c r="L371" s="9"/>
      <c r="M371" s="7"/>
      <c r="N371" s="6"/>
      <c r="O371" s="8"/>
      <c r="P371" s="9"/>
      <c r="Q371" s="9"/>
      <c r="R371" s="7"/>
      <c r="S371" s="7"/>
      <c r="T371" s="10" t="str">
        <f aca="false">IF($C371="","",IFERROR(INDEX(Listas!$B$2:$B$20,MATCH($D371,Listas!$A$2:$A$20,0)),""))</f>
        <v/>
      </c>
      <c r="U371" s="10" t="str">
        <f aca="false">IF($C371="","",IFERROR(INDEX(Listas!$C$2:$C$20,MATCH($D371,Listas!$A$2:$A$20,0)),""))</f>
        <v/>
      </c>
      <c r="V371" s="10" t="str">
        <f aca="false">IF($C371="","",IFERROR(INDEX(Listas!$D$2:$D$20,MATCH($D371,Listas!$A$2:$A$20,0)),""))</f>
        <v/>
      </c>
      <c r="W371" s="11" t="str">
        <f aca="false">IF(OR($C371="",$B371="",$G371=""),"",$G371-$B371)</f>
        <v/>
      </c>
      <c r="X371" s="11" t="str">
        <f aca="true">IF(OR($C371="",$B371=""),"",IF($N371&lt;&gt;"",$N371,TODAY())-$B371)</f>
        <v/>
      </c>
      <c r="Y371" s="11" t="str">
        <f aca="true">IF(OR($C371="",$M371&lt;&gt;"Abierta",$G371=""),"",MAX($G371-TODAY(),0))</f>
        <v/>
      </c>
      <c r="Z371" s="12" t="str">
        <f aca="false">IF($C371="","",N($K371)*N($H371)*N($I371)*IF($U371="Débito",-1,1))</f>
        <v/>
      </c>
      <c r="AA371" s="13" t="str">
        <f aca="false">IF($C371="","",IF(AND($U371="Débito",$F371&lt;&gt;""),$F371,$E371))</f>
        <v/>
      </c>
      <c r="AB371" s="13" t="str">
        <f aca="false">IF(OR($C371="",$T371="Mixta",$AA371=""),"",IF($V371="Subyacente",IF($J371="","",$J371-$K371),IF($T371="Put",$AA371-$K371,$AA371+$K371)))</f>
        <v/>
      </c>
      <c r="AC371" s="14" t="str">
        <f aca="false">IF(OR($C371="",$T371="Mixta",$J371="",$AA371=""),"",IF($T371="Put",($J371-$AA371)/$J371,($AA371-$J371)/$J371))</f>
        <v/>
      </c>
      <c r="AD371" s="12" t="str">
        <f aca="false">IF($C371="","",IF($Q371&lt;&gt;"",$Q371,IF($V371="Strike",N($E371)*$H371*$I371,IF($V371="Subyacente",IF($J371="","",$J371*$H371*$I371),IF($V371="Ancho",IF($F371="","",ABS($E371-$F371)*$H371*$I371-$K371*$H371*$I371),IF($V371="Prima",$K371*$H371*$I371,""))))))</f>
        <v/>
      </c>
      <c r="AE371" s="12" t="str">
        <f aca="false">IF(OR($C371="",$M371="Abierta",$M371=""),"",(N($K371)-IF(OR($M371="Cerrada",$M371="Rolada"),N($O371),0))*$H371*$I371*IF($U371="Débito",-1,1)-N($L371)-N($P371))</f>
        <v/>
      </c>
      <c r="AF371" s="14" t="str">
        <f aca="false">IF(OR($AE371="",$AD371=""),"",IF($AD371&lt;=0,"",$AE371/$AD371))</f>
        <v/>
      </c>
      <c r="AG371" s="14" t="str">
        <f aca="false">IF($AF371="","",$AF371*365/MAX(N($X371),1))</f>
        <v/>
      </c>
      <c r="AH371" s="14" t="str">
        <f aca="false">IF(OR($C371="",$U371&lt;&gt;"Crédito",$AD371=""),"",IF($AD371&lt;=0,"",($Z371-N($L371))/$AD371))</f>
        <v/>
      </c>
      <c r="AI371" s="14" t="str">
        <f aca="false">IF(OR($AH371="",$W371=""),"",$AH371*365/MAX($W371,1))</f>
        <v/>
      </c>
      <c r="AJ371" s="14" t="str">
        <f aca="false">IF(OR($AE371="",$U371&lt;&gt;"Crédito",N($K371)=0),"",(N($K371)-IF(OR($M371="Cerrada",$M371="Rolada"),N($O371),0))/$K371)</f>
        <v/>
      </c>
      <c r="AK371" s="15" t="str">
        <f aca="false">IF(OR($C371="",$N371=""),"",DATE(YEAR($N371),MONTH($N371),1))</f>
        <v/>
      </c>
      <c r="AL371" s="11" t="str">
        <f aca="false">IF($C371="","",IF($M371="Abierta",0,1))</f>
        <v/>
      </c>
      <c r="AM371" s="16" t="str">
        <f aca="false">IF(OR($AE371="",$AD371=""),"",$AD371*MAX(N($X371),1))</f>
        <v/>
      </c>
      <c r="AN371" s="10" t="str">
        <f aca="false">IF($C371="","",IF(OR($B371="",$D371="",$H371="",$K371="",$M371=""),"Faltan datos obligatorios",IF($T371="","Estrategia no reconocida",IF(AND($M371&lt;&gt;"Abierta",$N371=""),"Falta fecha cierre",IF(AND(OR($M371="Cerrada",$M371="Rolada"),$O371=""),"Falta prima cierre",IF(AND($N371&lt;&gt;"",$N371&lt;$B371),"Cierre anterior a apertura",IF(AND($M371="Asignada",$R371=""),"Asignada: falta ID lote acciones",IF(AND($R371&lt;&gt;"",ISNA(MATCH($R371,Acciones!$A$2:$A$201,0))),"El ID lote no existe en Acciones",IF($AD371="","Revisa capital en riesgo","OK")))))))))</f>
        <v/>
      </c>
    </row>
    <row r="372" customFormat="false" ht="15" hidden="false" customHeight="true" outlineLevel="0" collapsed="false">
      <c r="A372" s="5"/>
      <c r="B372" s="6"/>
      <c r="C372" s="7"/>
      <c r="D372" s="7"/>
      <c r="E372" s="8"/>
      <c r="F372" s="8"/>
      <c r="G372" s="6"/>
      <c r="H372" s="5"/>
      <c r="I372" s="5" t="n">
        <v>100</v>
      </c>
      <c r="J372" s="8"/>
      <c r="K372" s="8"/>
      <c r="L372" s="9"/>
      <c r="M372" s="7"/>
      <c r="N372" s="6"/>
      <c r="O372" s="8"/>
      <c r="P372" s="9"/>
      <c r="Q372" s="9"/>
      <c r="R372" s="7"/>
      <c r="S372" s="7"/>
      <c r="T372" s="10" t="str">
        <f aca="false">IF($C372="","",IFERROR(INDEX(Listas!$B$2:$B$20,MATCH($D372,Listas!$A$2:$A$20,0)),""))</f>
        <v/>
      </c>
      <c r="U372" s="10" t="str">
        <f aca="false">IF($C372="","",IFERROR(INDEX(Listas!$C$2:$C$20,MATCH($D372,Listas!$A$2:$A$20,0)),""))</f>
        <v/>
      </c>
      <c r="V372" s="10" t="str">
        <f aca="false">IF($C372="","",IFERROR(INDEX(Listas!$D$2:$D$20,MATCH($D372,Listas!$A$2:$A$20,0)),""))</f>
        <v/>
      </c>
      <c r="W372" s="11" t="str">
        <f aca="false">IF(OR($C372="",$B372="",$G372=""),"",$G372-$B372)</f>
        <v/>
      </c>
      <c r="X372" s="11" t="str">
        <f aca="true">IF(OR($C372="",$B372=""),"",IF($N372&lt;&gt;"",$N372,TODAY())-$B372)</f>
        <v/>
      </c>
      <c r="Y372" s="11" t="str">
        <f aca="true">IF(OR($C372="",$M372&lt;&gt;"Abierta",$G372=""),"",MAX($G372-TODAY(),0))</f>
        <v/>
      </c>
      <c r="Z372" s="12" t="str">
        <f aca="false">IF($C372="","",N($K372)*N($H372)*N($I372)*IF($U372="Débito",-1,1))</f>
        <v/>
      </c>
      <c r="AA372" s="13" t="str">
        <f aca="false">IF($C372="","",IF(AND($U372="Débito",$F372&lt;&gt;""),$F372,$E372))</f>
        <v/>
      </c>
      <c r="AB372" s="13" t="str">
        <f aca="false">IF(OR($C372="",$T372="Mixta",$AA372=""),"",IF($V372="Subyacente",IF($J372="","",$J372-$K372),IF($T372="Put",$AA372-$K372,$AA372+$K372)))</f>
        <v/>
      </c>
      <c r="AC372" s="14" t="str">
        <f aca="false">IF(OR($C372="",$T372="Mixta",$J372="",$AA372=""),"",IF($T372="Put",($J372-$AA372)/$J372,($AA372-$J372)/$J372))</f>
        <v/>
      </c>
      <c r="AD372" s="12" t="str">
        <f aca="false">IF($C372="","",IF($Q372&lt;&gt;"",$Q372,IF($V372="Strike",N($E372)*$H372*$I372,IF($V372="Subyacente",IF($J372="","",$J372*$H372*$I372),IF($V372="Ancho",IF($F372="","",ABS($E372-$F372)*$H372*$I372-$K372*$H372*$I372),IF($V372="Prima",$K372*$H372*$I372,""))))))</f>
        <v/>
      </c>
      <c r="AE372" s="12" t="str">
        <f aca="false">IF(OR($C372="",$M372="Abierta",$M372=""),"",(N($K372)-IF(OR($M372="Cerrada",$M372="Rolada"),N($O372),0))*$H372*$I372*IF($U372="Débito",-1,1)-N($L372)-N($P372))</f>
        <v/>
      </c>
      <c r="AF372" s="14" t="str">
        <f aca="false">IF(OR($AE372="",$AD372=""),"",IF($AD372&lt;=0,"",$AE372/$AD372))</f>
        <v/>
      </c>
      <c r="AG372" s="14" t="str">
        <f aca="false">IF($AF372="","",$AF372*365/MAX(N($X372),1))</f>
        <v/>
      </c>
      <c r="AH372" s="14" t="str">
        <f aca="false">IF(OR($C372="",$U372&lt;&gt;"Crédito",$AD372=""),"",IF($AD372&lt;=0,"",($Z372-N($L372))/$AD372))</f>
        <v/>
      </c>
      <c r="AI372" s="14" t="str">
        <f aca="false">IF(OR($AH372="",$W372=""),"",$AH372*365/MAX($W372,1))</f>
        <v/>
      </c>
      <c r="AJ372" s="14" t="str">
        <f aca="false">IF(OR($AE372="",$U372&lt;&gt;"Crédito",N($K372)=0),"",(N($K372)-IF(OR($M372="Cerrada",$M372="Rolada"),N($O372),0))/$K372)</f>
        <v/>
      </c>
      <c r="AK372" s="15" t="str">
        <f aca="false">IF(OR($C372="",$N372=""),"",DATE(YEAR($N372),MONTH($N372),1))</f>
        <v/>
      </c>
      <c r="AL372" s="11" t="str">
        <f aca="false">IF($C372="","",IF($M372="Abierta",0,1))</f>
        <v/>
      </c>
      <c r="AM372" s="16" t="str">
        <f aca="false">IF(OR($AE372="",$AD372=""),"",$AD372*MAX(N($X372),1))</f>
        <v/>
      </c>
      <c r="AN372" s="10" t="str">
        <f aca="false">IF($C372="","",IF(OR($B372="",$D372="",$H372="",$K372="",$M372=""),"Faltan datos obligatorios",IF($T372="","Estrategia no reconocida",IF(AND($M372&lt;&gt;"Abierta",$N372=""),"Falta fecha cierre",IF(AND(OR($M372="Cerrada",$M372="Rolada"),$O372=""),"Falta prima cierre",IF(AND($N372&lt;&gt;"",$N372&lt;$B372),"Cierre anterior a apertura",IF(AND($M372="Asignada",$R372=""),"Asignada: falta ID lote acciones",IF(AND($R372&lt;&gt;"",ISNA(MATCH($R372,Acciones!$A$2:$A$201,0))),"El ID lote no existe en Acciones",IF($AD372="","Revisa capital en riesgo","OK")))))))))</f>
        <v/>
      </c>
    </row>
    <row r="373" customFormat="false" ht="15" hidden="false" customHeight="true" outlineLevel="0" collapsed="false">
      <c r="A373" s="5"/>
      <c r="B373" s="6"/>
      <c r="C373" s="7"/>
      <c r="D373" s="7"/>
      <c r="E373" s="8"/>
      <c r="F373" s="8"/>
      <c r="G373" s="6"/>
      <c r="H373" s="5"/>
      <c r="I373" s="5" t="n">
        <v>100</v>
      </c>
      <c r="J373" s="8"/>
      <c r="K373" s="8"/>
      <c r="L373" s="9"/>
      <c r="M373" s="7"/>
      <c r="N373" s="6"/>
      <c r="O373" s="8"/>
      <c r="P373" s="9"/>
      <c r="Q373" s="9"/>
      <c r="R373" s="7"/>
      <c r="S373" s="7"/>
      <c r="T373" s="10" t="str">
        <f aca="false">IF($C373="","",IFERROR(INDEX(Listas!$B$2:$B$20,MATCH($D373,Listas!$A$2:$A$20,0)),""))</f>
        <v/>
      </c>
      <c r="U373" s="10" t="str">
        <f aca="false">IF($C373="","",IFERROR(INDEX(Listas!$C$2:$C$20,MATCH($D373,Listas!$A$2:$A$20,0)),""))</f>
        <v/>
      </c>
      <c r="V373" s="10" t="str">
        <f aca="false">IF($C373="","",IFERROR(INDEX(Listas!$D$2:$D$20,MATCH($D373,Listas!$A$2:$A$20,0)),""))</f>
        <v/>
      </c>
      <c r="W373" s="11" t="str">
        <f aca="false">IF(OR($C373="",$B373="",$G373=""),"",$G373-$B373)</f>
        <v/>
      </c>
      <c r="X373" s="11" t="str">
        <f aca="true">IF(OR($C373="",$B373=""),"",IF($N373&lt;&gt;"",$N373,TODAY())-$B373)</f>
        <v/>
      </c>
      <c r="Y373" s="11" t="str">
        <f aca="true">IF(OR($C373="",$M373&lt;&gt;"Abierta",$G373=""),"",MAX($G373-TODAY(),0))</f>
        <v/>
      </c>
      <c r="Z373" s="12" t="str">
        <f aca="false">IF($C373="","",N($K373)*N($H373)*N($I373)*IF($U373="Débito",-1,1))</f>
        <v/>
      </c>
      <c r="AA373" s="13" t="str">
        <f aca="false">IF($C373="","",IF(AND($U373="Débito",$F373&lt;&gt;""),$F373,$E373))</f>
        <v/>
      </c>
      <c r="AB373" s="13" t="str">
        <f aca="false">IF(OR($C373="",$T373="Mixta",$AA373=""),"",IF($V373="Subyacente",IF($J373="","",$J373-$K373),IF($T373="Put",$AA373-$K373,$AA373+$K373)))</f>
        <v/>
      </c>
      <c r="AC373" s="14" t="str">
        <f aca="false">IF(OR($C373="",$T373="Mixta",$J373="",$AA373=""),"",IF($T373="Put",($J373-$AA373)/$J373,($AA373-$J373)/$J373))</f>
        <v/>
      </c>
      <c r="AD373" s="12" t="str">
        <f aca="false">IF($C373="","",IF($Q373&lt;&gt;"",$Q373,IF($V373="Strike",N($E373)*$H373*$I373,IF($V373="Subyacente",IF($J373="","",$J373*$H373*$I373),IF($V373="Ancho",IF($F373="","",ABS($E373-$F373)*$H373*$I373-$K373*$H373*$I373),IF($V373="Prima",$K373*$H373*$I373,""))))))</f>
        <v/>
      </c>
      <c r="AE373" s="12" t="str">
        <f aca="false">IF(OR($C373="",$M373="Abierta",$M373=""),"",(N($K373)-IF(OR($M373="Cerrada",$M373="Rolada"),N($O373),0))*$H373*$I373*IF($U373="Débito",-1,1)-N($L373)-N($P373))</f>
        <v/>
      </c>
      <c r="AF373" s="14" t="str">
        <f aca="false">IF(OR($AE373="",$AD373=""),"",IF($AD373&lt;=0,"",$AE373/$AD373))</f>
        <v/>
      </c>
      <c r="AG373" s="14" t="str">
        <f aca="false">IF($AF373="","",$AF373*365/MAX(N($X373),1))</f>
        <v/>
      </c>
      <c r="AH373" s="14" t="str">
        <f aca="false">IF(OR($C373="",$U373&lt;&gt;"Crédito",$AD373=""),"",IF($AD373&lt;=0,"",($Z373-N($L373))/$AD373))</f>
        <v/>
      </c>
      <c r="AI373" s="14" t="str">
        <f aca="false">IF(OR($AH373="",$W373=""),"",$AH373*365/MAX($W373,1))</f>
        <v/>
      </c>
      <c r="AJ373" s="14" t="str">
        <f aca="false">IF(OR($AE373="",$U373&lt;&gt;"Crédito",N($K373)=0),"",(N($K373)-IF(OR($M373="Cerrada",$M373="Rolada"),N($O373),0))/$K373)</f>
        <v/>
      </c>
      <c r="AK373" s="15" t="str">
        <f aca="false">IF(OR($C373="",$N373=""),"",DATE(YEAR($N373),MONTH($N373),1))</f>
        <v/>
      </c>
      <c r="AL373" s="11" t="str">
        <f aca="false">IF($C373="","",IF($M373="Abierta",0,1))</f>
        <v/>
      </c>
      <c r="AM373" s="16" t="str">
        <f aca="false">IF(OR($AE373="",$AD373=""),"",$AD373*MAX(N($X373),1))</f>
        <v/>
      </c>
      <c r="AN373" s="10" t="str">
        <f aca="false">IF($C373="","",IF(OR($B373="",$D373="",$H373="",$K373="",$M373=""),"Faltan datos obligatorios",IF($T373="","Estrategia no reconocida",IF(AND($M373&lt;&gt;"Abierta",$N373=""),"Falta fecha cierre",IF(AND(OR($M373="Cerrada",$M373="Rolada"),$O373=""),"Falta prima cierre",IF(AND($N373&lt;&gt;"",$N373&lt;$B373),"Cierre anterior a apertura",IF(AND($M373="Asignada",$R373=""),"Asignada: falta ID lote acciones",IF(AND($R373&lt;&gt;"",ISNA(MATCH($R373,Acciones!$A$2:$A$201,0))),"El ID lote no existe en Acciones",IF($AD373="","Revisa capital en riesgo","OK")))))))))</f>
        <v/>
      </c>
    </row>
    <row r="374" customFormat="false" ht="15" hidden="false" customHeight="true" outlineLevel="0" collapsed="false">
      <c r="A374" s="5"/>
      <c r="B374" s="6"/>
      <c r="C374" s="7"/>
      <c r="D374" s="7"/>
      <c r="E374" s="8"/>
      <c r="F374" s="8"/>
      <c r="G374" s="6"/>
      <c r="H374" s="5"/>
      <c r="I374" s="5" t="n">
        <v>100</v>
      </c>
      <c r="J374" s="8"/>
      <c r="K374" s="8"/>
      <c r="L374" s="9"/>
      <c r="M374" s="7"/>
      <c r="N374" s="6"/>
      <c r="O374" s="8"/>
      <c r="P374" s="9"/>
      <c r="Q374" s="9"/>
      <c r="R374" s="7"/>
      <c r="S374" s="7"/>
      <c r="T374" s="10" t="str">
        <f aca="false">IF($C374="","",IFERROR(INDEX(Listas!$B$2:$B$20,MATCH($D374,Listas!$A$2:$A$20,0)),""))</f>
        <v/>
      </c>
      <c r="U374" s="10" t="str">
        <f aca="false">IF($C374="","",IFERROR(INDEX(Listas!$C$2:$C$20,MATCH($D374,Listas!$A$2:$A$20,0)),""))</f>
        <v/>
      </c>
      <c r="V374" s="10" t="str">
        <f aca="false">IF($C374="","",IFERROR(INDEX(Listas!$D$2:$D$20,MATCH($D374,Listas!$A$2:$A$20,0)),""))</f>
        <v/>
      </c>
      <c r="W374" s="11" t="str">
        <f aca="false">IF(OR($C374="",$B374="",$G374=""),"",$G374-$B374)</f>
        <v/>
      </c>
      <c r="X374" s="11" t="str">
        <f aca="true">IF(OR($C374="",$B374=""),"",IF($N374&lt;&gt;"",$N374,TODAY())-$B374)</f>
        <v/>
      </c>
      <c r="Y374" s="11" t="str">
        <f aca="true">IF(OR($C374="",$M374&lt;&gt;"Abierta",$G374=""),"",MAX($G374-TODAY(),0))</f>
        <v/>
      </c>
      <c r="Z374" s="12" t="str">
        <f aca="false">IF($C374="","",N($K374)*N($H374)*N($I374)*IF($U374="Débito",-1,1))</f>
        <v/>
      </c>
      <c r="AA374" s="13" t="str">
        <f aca="false">IF($C374="","",IF(AND($U374="Débito",$F374&lt;&gt;""),$F374,$E374))</f>
        <v/>
      </c>
      <c r="AB374" s="13" t="str">
        <f aca="false">IF(OR($C374="",$T374="Mixta",$AA374=""),"",IF($V374="Subyacente",IF($J374="","",$J374-$K374),IF($T374="Put",$AA374-$K374,$AA374+$K374)))</f>
        <v/>
      </c>
      <c r="AC374" s="14" t="str">
        <f aca="false">IF(OR($C374="",$T374="Mixta",$J374="",$AA374=""),"",IF($T374="Put",($J374-$AA374)/$J374,($AA374-$J374)/$J374))</f>
        <v/>
      </c>
      <c r="AD374" s="12" t="str">
        <f aca="false">IF($C374="","",IF($Q374&lt;&gt;"",$Q374,IF($V374="Strike",N($E374)*$H374*$I374,IF($V374="Subyacente",IF($J374="","",$J374*$H374*$I374),IF($V374="Ancho",IF($F374="","",ABS($E374-$F374)*$H374*$I374-$K374*$H374*$I374),IF($V374="Prima",$K374*$H374*$I374,""))))))</f>
        <v/>
      </c>
      <c r="AE374" s="12" t="str">
        <f aca="false">IF(OR($C374="",$M374="Abierta",$M374=""),"",(N($K374)-IF(OR($M374="Cerrada",$M374="Rolada"),N($O374),0))*$H374*$I374*IF($U374="Débito",-1,1)-N($L374)-N($P374))</f>
        <v/>
      </c>
      <c r="AF374" s="14" t="str">
        <f aca="false">IF(OR($AE374="",$AD374=""),"",IF($AD374&lt;=0,"",$AE374/$AD374))</f>
        <v/>
      </c>
      <c r="AG374" s="14" t="str">
        <f aca="false">IF($AF374="","",$AF374*365/MAX(N($X374),1))</f>
        <v/>
      </c>
      <c r="AH374" s="14" t="str">
        <f aca="false">IF(OR($C374="",$U374&lt;&gt;"Crédito",$AD374=""),"",IF($AD374&lt;=0,"",($Z374-N($L374))/$AD374))</f>
        <v/>
      </c>
      <c r="AI374" s="14" t="str">
        <f aca="false">IF(OR($AH374="",$W374=""),"",$AH374*365/MAX($W374,1))</f>
        <v/>
      </c>
      <c r="AJ374" s="14" t="str">
        <f aca="false">IF(OR($AE374="",$U374&lt;&gt;"Crédito",N($K374)=0),"",(N($K374)-IF(OR($M374="Cerrada",$M374="Rolada"),N($O374),0))/$K374)</f>
        <v/>
      </c>
      <c r="AK374" s="15" t="str">
        <f aca="false">IF(OR($C374="",$N374=""),"",DATE(YEAR($N374),MONTH($N374),1))</f>
        <v/>
      </c>
      <c r="AL374" s="11" t="str">
        <f aca="false">IF($C374="","",IF($M374="Abierta",0,1))</f>
        <v/>
      </c>
      <c r="AM374" s="16" t="str">
        <f aca="false">IF(OR($AE374="",$AD374=""),"",$AD374*MAX(N($X374),1))</f>
        <v/>
      </c>
      <c r="AN374" s="10" t="str">
        <f aca="false">IF($C374="","",IF(OR($B374="",$D374="",$H374="",$K374="",$M374=""),"Faltan datos obligatorios",IF($T374="","Estrategia no reconocida",IF(AND($M374&lt;&gt;"Abierta",$N374=""),"Falta fecha cierre",IF(AND(OR($M374="Cerrada",$M374="Rolada"),$O374=""),"Falta prima cierre",IF(AND($N374&lt;&gt;"",$N374&lt;$B374),"Cierre anterior a apertura",IF(AND($M374="Asignada",$R374=""),"Asignada: falta ID lote acciones",IF(AND($R374&lt;&gt;"",ISNA(MATCH($R374,Acciones!$A$2:$A$201,0))),"El ID lote no existe en Acciones",IF($AD374="","Revisa capital en riesgo","OK")))))))))</f>
        <v/>
      </c>
    </row>
    <row r="375" customFormat="false" ht="15" hidden="false" customHeight="true" outlineLevel="0" collapsed="false">
      <c r="A375" s="5"/>
      <c r="B375" s="6"/>
      <c r="C375" s="7"/>
      <c r="D375" s="7"/>
      <c r="E375" s="8"/>
      <c r="F375" s="8"/>
      <c r="G375" s="6"/>
      <c r="H375" s="5"/>
      <c r="I375" s="5" t="n">
        <v>100</v>
      </c>
      <c r="J375" s="8"/>
      <c r="K375" s="8"/>
      <c r="L375" s="9"/>
      <c r="M375" s="7"/>
      <c r="N375" s="6"/>
      <c r="O375" s="8"/>
      <c r="P375" s="9"/>
      <c r="Q375" s="9"/>
      <c r="R375" s="7"/>
      <c r="S375" s="7"/>
      <c r="T375" s="10" t="str">
        <f aca="false">IF($C375="","",IFERROR(INDEX(Listas!$B$2:$B$20,MATCH($D375,Listas!$A$2:$A$20,0)),""))</f>
        <v/>
      </c>
      <c r="U375" s="10" t="str">
        <f aca="false">IF($C375="","",IFERROR(INDEX(Listas!$C$2:$C$20,MATCH($D375,Listas!$A$2:$A$20,0)),""))</f>
        <v/>
      </c>
      <c r="V375" s="10" t="str">
        <f aca="false">IF($C375="","",IFERROR(INDEX(Listas!$D$2:$D$20,MATCH($D375,Listas!$A$2:$A$20,0)),""))</f>
        <v/>
      </c>
      <c r="W375" s="11" t="str">
        <f aca="false">IF(OR($C375="",$B375="",$G375=""),"",$G375-$B375)</f>
        <v/>
      </c>
      <c r="X375" s="11" t="str">
        <f aca="true">IF(OR($C375="",$B375=""),"",IF($N375&lt;&gt;"",$N375,TODAY())-$B375)</f>
        <v/>
      </c>
      <c r="Y375" s="11" t="str">
        <f aca="true">IF(OR($C375="",$M375&lt;&gt;"Abierta",$G375=""),"",MAX($G375-TODAY(),0))</f>
        <v/>
      </c>
      <c r="Z375" s="12" t="str">
        <f aca="false">IF($C375="","",N($K375)*N($H375)*N($I375)*IF($U375="Débito",-1,1))</f>
        <v/>
      </c>
      <c r="AA375" s="13" t="str">
        <f aca="false">IF($C375="","",IF(AND($U375="Débito",$F375&lt;&gt;""),$F375,$E375))</f>
        <v/>
      </c>
      <c r="AB375" s="13" t="str">
        <f aca="false">IF(OR($C375="",$T375="Mixta",$AA375=""),"",IF($V375="Subyacente",IF($J375="","",$J375-$K375),IF($T375="Put",$AA375-$K375,$AA375+$K375)))</f>
        <v/>
      </c>
      <c r="AC375" s="14" t="str">
        <f aca="false">IF(OR($C375="",$T375="Mixta",$J375="",$AA375=""),"",IF($T375="Put",($J375-$AA375)/$J375,($AA375-$J375)/$J375))</f>
        <v/>
      </c>
      <c r="AD375" s="12" t="str">
        <f aca="false">IF($C375="","",IF($Q375&lt;&gt;"",$Q375,IF($V375="Strike",N($E375)*$H375*$I375,IF($V375="Subyacente",IF($J375="","",$J375*$H375*$I375),IF($V375="Ancho",IF($F375="","",ABS($E375-$F375)*$H375*$I375-$K375*$H375*$I375),IF($V375="Prima",$K375*$H375*$I375,""))))))</f>
        <v/>
      </c>
      <c r="AE375" s="12" t="str">
        <f aca="false">IF(OR($C375="",$M375="Abierta",$M375=""),"",(N($K375)-IF(OR($M375="Cerrada",$M375="Rolada"),N($O375),0))*$H375*$I375*IF($U375="Débito",-1,1)-N($L375)-N($P375))</f>
        <v/>
      </c>
      <c r="AF375" s="14" t="str">
        <f aca="false">IF(OR($AE375="",$AD375=""),"",IF($AD375&lt;=0,"",$AE375/$AD375))</f>
        <v/>
      </c>
      <c r="AG375" s="14" t="str">
        <f aca="false">IF($AF375="","",$AF375*365/MAX(N($X375),1))</f>
        <v/>
      </c>
      <c r="AH375" s="14" t="str">
        <f aca="false">IF(OR($C375="",$U375&lt;&gt;"Crédito",$AD375=""),"",IF($AD375&lt;=0,"",($Z375-N($L375))/$AD375))</f>
        <v/>
      </c>
      <c r="AI375" s="14" t="str">
        <f aca="false">IF(OR($AH375="",$W375=""),"",$AH375*365/MAX($W375,1))</f>
        <v/>
      </c>
      <c r="AJ375" s="14" t="str">
        <f aca="false">IF(OR($AE375="",$U375&lt;&gt;"Crédito",N($K375)=0),"",(N($K375)-IF(OR($M375="Cerrada",$M375="Rolada"),N($O375),0))/$K375)</f>
        <v/>
      </c>
      <c r="AK375" s="15" t="str">
        <f aca="false">IF(OR($C375="",$N375=""),"",DATE(YEAR($N375),MONTH($N375),1))</f>
        <v/>
      </c>
      <c r="AL375" s="11" t="str">
        <f aca="false">IF($C375="","",IF($M375="Abierta",0,1))</f>
        <v/>
      </c>
      <c r="AM375" s="16" t="str">
        <f aca="false">IF(OR($AE375="",$AD375=""),"",$AD375*MAX(N($X375),1))</f>
        <v/>
      </c>
      <c r="AN375" s="10" t="str">
        <f aca="false">IF($C375="","",IF(OR($B375="",$D375="",$H375="",$K375="",$M375=""),"Faltan datos obligatorios",IF($T375="","Estrategia no reconocida",IF(AND($M375&lt;&gt;"Abierta",$N375=""),"Falta fecha cierre",IF(AND(OR($M375="Cerrada",$M375="Rolada"),$O375=""),"Falta prima cierre",IF(AND($N375&lt;&gt;"",$N375&lt;$B375),"Cierre anterior a apertura",IF(AND($M375="Asignada",$R375=""),"Asignada: falta ID lote acciones",IF(AND($R375&lt;&gt;"",ISNA(MATCH($R375,Acciones!$A$2:$A$201,0))),"El ID lote no existe en Acciones",IF($AD375="","Revisa capital en riesgo","OK")))))))))</f>
        <v/>
      </c>
    </row>
    <row r="376" customFormat="false" ht="15" hidden="false" customHeight="true" outlineLevel="0" collapsed="false">
      <c r="A376" s="5"/>
      <c r="B376" s="6"/>
      <c r="C376" s="7"/>
      <c r="D376" s="7"/>
      <c r="E376" s="8"/>
      <c r="F376" s="8"/>
      <c r="G376" s="6"/>
      <c r="H376" s="5"/>
      <c r="I376" s="5" t="n">
        <v>100</v>
      </c>
      <c r="J376" s="8"/>
      <c r="K376" s="8"/>
      <c r="L376" s="9"/>
      <c r="M376" s="7"/>
      <c r="N376" s="6"/>
      <c r="O376" s="8"/>
      <c r="P376" s="9"/>
      <c r="Q376" s="9"/>
      <c r="R376" s="7"/>
      <c r="S376" s="7"/>
      <c r="T376" s="10" t="str">
        <f aca="false">IF($C376="","",IFERROR(INDEX(Listas!$B$2:$B$20,MATCH($D376,Listas!$A$2:$A$20,0)),""))</f>
        <v/>
      </c>
      <c r="U376" s="10" t="str">
        <f aca="false">IF($C376="","",IFERROR(INDEX(Listas!$C$2:$C$20,MATCH($D376,Listas!$A$2:$A$20,0)),""))</f>
        <v/>
      </c>
      <c r="V376" s="10" t="str">
        <f aca="false">IF($C376="","",IFERROR(INDEX(Listas!$D$2:$D$20,MATCH($D376,Listas!$A$2:$A$20,0)),""))</f>
        <v/>
      </c>
      <c r="W376" s="11" t="str">
        <f aca="false">IF(OR($C376="",$B376="",$G376=""),"",$G376-$B376)</f>
        <v/>
      </c>
      <c r="X376" s="11" t="str">
        <f aca="true">IF(OR($C376="",$B376=""),"",IF($N376&lt;&gt;"",$N376,TODAY())-$B376)</f>
        <v/>
      </c>
      <c r="Y376" s="11" t="str">
        <f aca="true">IF(OR($C376="",$M376&lt;&gt;"Abierta",$G376=""),"",MAX($G376-TODAY(),0))</f>
        <v/>
      </c>
      <c r="Z376" s="12" t="str">
        <f aca="false">IF($C376="","",N($K376)*N($H376)*N($I376)*IF($U376="Débito",-1,1))</f>
        <v/>
      </c>
      <c r="AA376" s="13" t="str">
        <f aca="false">IF($C376="","",IF(AND($U376="Débito",$F376&lt;&gt;""),$F376,$E376))</f>
        <v/>
      </c>
      <c r="AB376" s="13" t="str">
        <f aca="false">IF(OR($C376="",$T376="Mixta",$AA376=""),"",IF($V376="Subyacente",IF($J376="","",$J376-$K376),IF($T376="Put",$AA376-$K376,$AA376+$K376)))</f>
        <v/>
      </c>
      <c r="AC376" s="14" t="str">
        <f aca="false">IF(OR($C376="",$T376="Mixta",$J376="",$AA376=""),"",IF($T376="Put",($J376-$AA376)/$J376,($AA376-$J376)/$J376))</f>
        <v/>
      </c>
      <c r="AD376" s="12" t="str">
        <f aca="false">IF($C376="","",IF($Q376&lt;&gt;"",$Q376,IF($V376="Strike",N($E376)*$H376*$I376,IF($V376="Subyacente",IF($J376="","",$J376*$H376*$I376),IF($V376="Ancho",IF($F376="","",ABS($E376-$F376)*$H376*$I376-$K376*$H376*$I376),IF($V376="Prima",$K376*$H376*$I376,""))))))</f>
        <v/>
      </c>
      <c r="AE376" s="12" t="str">
        <f aca="false">IF(OR($C376="",$M376="Abierta",$M376=""),"",(N($K376)-IF(OR($M376="Cerrada",$M376="Rolada"),N($O376),0))*$H376*$I376*IF($U376="Débito",-1,1)-N($L376)-N($P376))</f>
        <v/>
      </c>
      <c r="AF376" s="14" t="str">
        <f aca="false">IF(OR($AE376="",$AD376=""),"",IF($AD376&lt;=0,"",$AE376/$AD376))</f>
        <v/>
      </c>
      <c r="AG376" s="14" t="str">
        <f aca="false">IF($AF376="","",$AF376*365/MAX(N($X376),1))</f>
        <v/>
      </c>
      <c r="AH376" s="14" t="str">
        <f aca="false">IF(OR($C376="",$U376&lt;&gt;"Crédito",$AD376=""),"",IF($AD376&lt;=0,"",($Z376-N($L376))/$AD376))</f>
        <v/>
      </c>
      <c r="AI376" s="14" t="str">
        <f aca="false">IF(OR($AH376="",$W376=""),"",$AH376*365/MAX($W376,1))</f>
        <v/>
      </c>
      <c r="AJ376" s="14" t="str">
        <f aca="false">IF(OR($AE376="",$U376&lt;&gt;"Crédito",N($K376)=0),"",(N($K376)-IF(OR($M376="Cerrada",$M376="Rolada"),N($O376),0))/$K376)</f>
        <v/>
      </c>
      <c r="AK376" s="15" t="str">
        <f aca="false">IF(OR($C376="",$N376=""),"",DATE(YEAR($N376),MONTH($N376),1))</f>
        <v/>
      </c>
      <c r="AL376" s="11" t="str">
        <f aca="false">IF($C376="","",IF($M376="Abierta",0,1))</f>
        <v/>
      </c>
      <c r="AM376" s="16" t="str">
        <f aca="false">IF(OR($AE376="",$AD376=""),"",$AD376*MAX(N($X376),1))</f>
        <v/>
      </c>
      <c r="AN376" s="10" t="str">
        <f aca="false">IF($C376="","",IF(OR($B376="",$D376="",$H376="",$K376="",$M376=""),"Faltan datos obligatorios",IF($T376="","Estrategia no reconocida",IF(AND($M376&lt;&gt;"Abierta",$N376=""),"Falta fecha cierre",IF(AND(OR($M376="Cerrada",$M376="Rolada"),$O376=""),"Falta prima cierre",IF(AND($N376&lt;&gt;"",$N376&lt;$B376),"Cierre anterior a apertura",IF(AND($M376="Asignada",$R376=""),"Asignada: falta ID lote acciones",IF(AND($R376&lt;&gt;"",ISNA(MATCH($R376,Acciones!$A$2:$A$201,0))),"El ID lote no existe en Acciones",IF($AD376="","Revisa capital en riesgo","OK")))))))))</f>
        <v/>
      </c>
    </row>
    <row r="377" customFormat="false" ht="15" hidden="false" customHeight="true" outlineLevel="0" collapsed="false">
      <c r="A377" s="5"/>
      <c r="B377" s="6"/>
      <c r="C377" s="7"/>
      <c r="D377" s="7"/>
      <c r="E377" s="8"/>
      <c r="F377" s="8"/>
      <c r="G377" s="6"/>
      <c r="H377" s="5"/>
      <c r="I377" s="5" t="n">
        <v>100</v>
      </c>
      <c r="J377" s="8"/>
      <c r="K377" s="8"/>
      <c r="L377" s="9"/>
      <c r="M377" s="7"/>
      <c r="N377" s="6"/>
      <c r="O377" s="8"/>
      <c r="P377" s="9"/>
      <c r="Q377" s="9"/>
      <c r="R377" s="7"/>
      <c r="S377" s="7"/>
      <c r="T377" s="10" t="str">
        <f aca="false">IF($C377="","",IFERROR(INDEX(Listas!$B$2:$B$20,MATCH($D377,Listas!$A$2:$A$20,0)),""))</f>
        <v/>
      </c>
      <c r="U377" s="10" t="str">
        <f aca="false">IF($C377="","",IFERROR(INDEX(Listas!$C$2:$C$20,MATCH($D377,Listas!$A$2:$A$20,0)),""))</f>
        <v/>
      </c>
      <c r="V377" s="10" t="str">
        <f aca="false">IF($C377="","",IFERROR(INDEX(Listas!$D$2:$D$20,MATCH($D377,Listas!$A$2:$A$20,0)),""))</f>
        <v/>
      </c>
      <c r="W377" s="11" t="str">
        <f aca="false">IF(OR($C377="",$B377="",$G377=""),"",$G377-$B377)</f>
        <v/>
      </c>
      <c r="X377" s="11" t="str">
        <f aca="true">IF(OR($C377="",$B377=""),"",IF($N377&lt;&gt;"",$N377,TODAY())-$B377)</f>
        <v/>
      </c>
      <c r="Y377" s="11" t="str">
        <f aca="true">IF(OR($C377="",$M377&lt;&gt;"Abierta",$G377=""),"",MAX($G377-TODAY(),0))</f>
        <v/>
      </c>
      <c r="Z377" s="12" t="str">
        <f aca="false">IF($C377="","",N($K377)*N($H377)*N($I377)*IF($U377="Débito",-1,1))</f>
        <v/>
      </c>
      <c r="AA377" s="13" t="str">
        <f aca="false">IF($C377="","",IF(AND($U377="Débito",$F377&lt;&gt;""),$F377,$E377))</f>
        <v/>
      </c>
      <c r="AB377" s="13" t="str">
        <f aca="false">IF(OR($C377="",$T377="Mixta",$AA377=""),"",IF($V377="Subyacente",IF($J377="","",$J377-$K377),IF($T377="Put",$AA377-$K377,$AA377+$K377)))</f>
        <v/>
      </c>
      <c r="AC377" s="14" t="str">
        <f aca="false">IF(OR($C377="",$T377="Mixta",$J377="",$AA377=""),"",IF($T377="Put",($J377-$AA377)/$J377,($AA377-$J377)/$J377))</f>
        <v/>
      </c>
      <c r="AD377" s="12" t="str">
        <f aca="false">IF($C377="","",IF($Q377&lt;&gt;"",$Q377,IF($V377="Strike",N($E377)*$H377*$I377,IF($V377="Subyacente",IF($J377="","",$J377*$H377*$I377),IF($V377="Ancho",IF($F377="","",ABS($E377-$F377)*$H377*$I377-$K377*$H377*$I377),IF($V377="Prima",$K377*$H377*$I377,""))))))</f>
        <v/>
      </c>
      <c r="AE377" s="12" t="str">
        <f aca="false">IF(OR($C377="",$M377="Abierta",$M377=""),"",(N($K377)-IF(OR($M377="Cerrada",$M377="Rolada"),N($O377),0))*$H377*$I377*IF($U377="Débito",-1,1)-N($L377)-N($P377))</f>
        <v/>
      </c>
      <c r="AF377" s="14" t="str">
        <f aca="false">IF(OR($AE377="",$AD377=""),"",IF($AD377&lt;=0,"",$AE377/$AD377))</f>
        <v/>
      </c>
      <c r="AG377" s="14" t="str">
        <f aca="false">IF($AF377="","",$AF377*365/MAX(N($X377),1))</f>
        <v/>
      </c>
      <c r="AH377" s="14" t="str">
        <f aca="false">IF(OR($C377="",$U377&lt;&gt;"Crédito",$AD377=""),"",IF($AD377&lt;=0,"",($Z377-N($L377))/$AD377))</f>
        <v/>
      </c>
      <c r="AI377" s="14" t="str">
        <f aca="false">IF(OR($AH377="",$W377=""),"",$AH377*365/MAX($W377,1))</f>
        <v/>
      </c>
      <c r="AJ377" s="14" t="str">
        <f aca="false">IF(OR($AE377="",$U377&lt;&gt;"Crédito",N($K377)=0),"",(N($K377)-IF(OR($M377="Cerrada",$M377="Rolada"),N($O377),0))/$K377)</f>
        <v/>
      </c>
      <c r="AK377" s="15" t="str">
        <f aca="false">IF(OR($C377="",$N377=""),"",DATE(YEAR($N377),MONTH($N377),1))</f>
        <v/>
      </c>
      <c r="AL377" s="11" t="str">
        <f aca="false">IF($C377="","",IF($M377="Abierta",0,1))</f>
        <v/>
      </c>
      <c r="AM377" s="16" t="str">
        <f aca="false">IF(OR($AE377="",$AD377=""),"",$AD377*MAX(N($X377),1))</f>
        <v/>
      </c>
      <c r="AN377" s="10" t="str">
        <f aca="false">IF($C377="","",IF(OR($B377="",$D377="",$H377="",$K377="",$M377=""),"Faltan datos obligatorios",IF($T377="","Estrategia no reconocida",IF(AND($M377&lt;&gt;"Abierta",$N377=""),"Falta fecha cierre",IF(AND(OR($M377="Cerrada",$M377="Rolada"),$O377=""),"Falta prima cierre",IF(AND($N377&lt;&gt;"",$N377&lt;$B377),"Cierre anterior a apertura",IF(AND($M377="Asignada",$R377=""),"Asignada: falta ID lote acciones",IF(AND($R377&lt;&gt;"",ISNA(MATCH($R377,Acciones!$A$2:$A$201,0))),"El ID lote no existe en Acciones",IF($AD377="","Revisa capital en riesgo","OK")))))))))</f>
        <v/>
      </c>
    </row>
    <row r="378" customFormat="false" ht="15" hidden="false" customHeight="true" outlineLevel="0" collapsed="false">
      <c r="A378" s="5"/>
      <c r="B378" s="6"/>
      <c r="C378" s="7"/>
      <c r="D378" s="7"/>
      <c r="E378" s="8"/>
      <c r="F378" s="8"/>
      <c r="G378" s="6"/>
      <c r="H378" s="5"/>
      <c r="I378" s="5" t="n">
        <v>100</v>
      </c>
      <c r="J378" s="8"/>
      <c r="K378" s="8"/>
      <c r="L378" s="9"/>
      <c r="M378" s="7"/>
      <c r="N378" s="6"/>
      <c r="O378" s="8"/>
      <c r="P378" s="9"/>
      <c r="Q378" s="9"/>
      <c r="R378" s="7"/>
      <c r="S378" s="7"/>
      <c r="T378" s="10" t="str">
        <f aca="false">IF($C378="","",IFERROR(INDEX(Listas!$B$2:$B$20,MATCH($D378,Listas!$A$2:$A$20,0)),""))</f>
        <v/>
      </c>
      <c r="U378" s="10" t="str">
        <f aca="false">IF($C378="","",IFERROR(INDEX(Listas!$C$2:$C$20,MATCH($D378,Listas!$A$2:$A$20,0)),""))</f>
        <v/>
      </c>
      <c r="V378" s="10" t="str">
        <f aca="false">IF($C378="","",IFERROR(INDEX(Listas!$D$2:$D$20,MATCH($D378,Listas!$A$2:$A$20,0)),""))</f>
        <v/>
      </c>
      <c r="W378" s="11" t="str">
        <f aca="false">IF(OR($C378="",$B378="",$G378=""),"",$G378-$B378)</f>
        <v/>
      </c>
      <c r="X378" s="11" t="str">
        <f aca="true">IF(OR($C378="",$B378=""),"",IF($N378&lt;&gt;"",$N378,TODAY())-$B378)</f>
        <v/>
      </c>
      <c r="Y378" s="11" t="str">
        <f aca="true">IF(OR($C378="",$M378&lt;&gt;"Abierta",$G378=""),"",MAX($G378-TODAY(),0))</f>
        <v/>
      </c>
      <c r="Z378" s="12" t="str">
        <f aca="false">IF($C378="","",N($K378)*N($H378)*N($I378)*IF($U378="Débito",-1,1))</f>
        <v/>
      </c>
      <c r="AA378" s="13" t="str">
        <f aca="false">IF($C378="","",IF(AND($U378="Débito",$F378&lt;&gt;""),$F378,$E378))</f>
        <v/>
      </c>
      <c r="AB378" s="13" t="str">
        <f aca="false">IF(OR($C378="",$T378="Mixta",$AA378=""),"",IF($V378="Subyacente",IF($J378="","",$J378-$K378),IF($T378="Put",$AA378-$K378,$AA378+$K378)))</f>
        <v/>
      </c>
      <c r="AC378" s="14" t="str">
        <f aca="false">IF(OR($C378="",$T378="Mixta",$J378="",$AA378=""),"",IF($T378="Put",($J378-$AA378)/$J378,($AA378-$J378)/$J378))</f>
        <v/>
      </c>
      <c r="AD378" s="12" t="str">
        <f aca="false">IF($C378="","",IF($Q378&lt;&gt;"",$Q378,IF($V378="Strike",N($E378)*$H378*$I378,IF($V378="Subyacente",IF($J378="","",$J378*$H378*$I378),IF($V378="Ancho",IF($F378="","",ABS($E378-$F378)*$H378*$I378-$K378*$H378*$I378),IF($V378="Prima",$K378*$H378*$I378,""))))))</f>
        <v/>
      </c>
      <c r="AE378" s="12" t="str">
        <f aca="false">IF(OR($C378="",$M378="Abierta",$M378=""),"",(N($K378)-IF(OR($M378="Cerrada",$M378="Rolada"),N($O378),0))*$H378*$I378*IF($U378="Débito",-1,1)-N($L378)-N($P378))</f>
        <v/>
      </c>
      <c r="AF378" s="14" t="str">
        <f aca="false">IF(OR($AE378="",$AD378=""),"",IF($AD378&lt;=0,"",$AE378/$AD378))</f>
        <v/>
      </c>
      <c r="AG378" s="14" t="str">
        <f aca="false">IF($AF378="","",$AF378*365/MAX(N($X378),1))</f>
        <v/>
      </c>
      <c r="AH378" s="14" t="str">
        <f aca="false">IF(OR($C378="",$U378&lt;&gt;"Crédito",$AD378=""),"",IF($AD378&lt;=0,"",($Z378-N($L378))/$AD378))</f>
        <v/>
      </c>
      <c r="AI378" s="14" t="str">
        <f aca="false">IF(OR($AH378="",$W378=""),"",$AH378*365/MAX($W378,1))</f>
        <v/>
      </c>
      <c r="AJ378" s="14" t="str">
        <f aca="false">IF(OR($AE378="",$U378&lt;&gt;"Crédito",N($K378)=0),"",(N($K378)-IF(OR($M378="Cerrada",$M378="Rolada"),N($O378),0))/$K378)</f>
        <v/>
      </c>
      <c r="AK378" s="15" t="str">
        <f aca="false">IF(OR($C378="",$N378=""),"",DATE(YEAR($N378),MONTH($N378),1))</f>
        <v/>
      </c>
      <c r="AL378" s="11" t="str">
        <f aca="false">IF($C378="","",IF($M378="Abierta",0,1))</f>
        <v/>
      </c>
      <c r="AM378" s="16" t="str">
        <f aca="false">IF(OR($AE378="",$AD378=""),"",$AD378*MAX(N($X378),1))</f>
        <v/>
      </c>
      <c r="AN378" s="10" t="str">
        <f aca="false">IF($C378="","",IF(OR($B378="",$D378="",$H378="",$K378="",$M378=""),"Faltan datos obligatorios",IF($T378="","Estrategia no reconocida",IF(AND($M378&lt;&gt;"Abierta",$N378=""),"Falta fecha cierre",IF(AND(OR($M378="Cerrada",$M378="Rolada"),$O378=""),"Falta prima cierre",IF(AND($N378&lt;&gt;"",$N378&lt;$B378),"Cierre anterior a apertura",IF(AND($M378="Asignada",$R378=""),"Asignada: falta ID lote acciones",IF(AND($R378&lt;&gt;"",ISNA(MATCH($R378,Acciones!$A$2:$A$201,0))),"El ID lote no existe en Acciones",IF($AD378="","Revisa capital en riesgo","OK")))))))))</f>
        <v/>
      </c>
    </row>
    <row r="379" customFormat="false" ht="15" hidden="false" customHeight="true" outlineLevel="0" collapsed="false">
      <c r="A379" s="5"/>
      <c r="B379" s="6"/>
      <c r="C379" s="7"/>
      <c r="D379" s="7"/>
      <c r="E379" s="8"/>
      <c r="F379" s="8"/>
      <c r="G379" s="6"/>
      <c r="H379" s="5"/>
      <c r="I379" s="5" t="n">
        <v>100</v>
      </c>
      <c r="J379" s="8"/>
      <c r="K379" s="8"/>
      <c r="L379" s="9"/>
      <c r="M379" s="7"/>
      <c r="N379" s="6"/>
      <c r="O379" s="8"/>
      <c r="P379" s="9"/>
      <c r="Q379" s="9"/>
      <c r="R379" s="7"/>
      <c r="S379" s="7"/>
      <c r="T379" s="10" t="str">
        <f aca="false">IF($C379="","",IFERROR(INDEX(Listas!$B$2:$B$20,MATCH($D379,Listas!$A$2:$A$20,0)),""))</f>
        <v/>
      </c>
      <c r="U379" s="10" t="str">
        <f aca="false">IF($C379="","",IFERROR(INDEX(Listas!$C$2:$C$20,MATCH($D379,Listas!$A$2:$A$20,0)),""))</f>
        <v/>
      </c>
      <c r="V379" s="10" t="str">
        <f aca="false">IF($C379="","",IFERROR(INDEX(Listas!$D$2:$D$20,MATCH($D379,Listas!$A$2:$A$20,0)),""))</f>
        <v/>
      </c>
      <c r="W379" s="11" t="str">
        <f aca="false">IF(OR($C379="",$B379="",$G379=""),"",$G379-$B379)</f>
        <v/>
      </c>
      <c r="X379" s="11" t="str">
        <f aca="true">IF(OR($C379="",$B379=""),"",IF($N379&lt;&gt;"",$N379,TODAY())-$B379)</f>
        <v/>
      </c>
      <c r="Y379" s="11" t="str">
        <f aca="true">IF(OR($C379="",$M379&lt;&gt;"Abierta",$G379=""),"",MAX($G379-TODAY(),0))</f>
        <v/>
      </c>
      <c r="Z379" s="12" t="str">
        <f aca="false">IF($C379="","",N($K379)*N($H379)*N($I379)*IF($U379="Débito",-1,1))</f>
        <v/>
      </c>
      <c r="AA379" s="13" t="str">
        <f aca="false">IF($C379="","",IF(AND($U379="Débito",$F379&lt;&gt;""),$F379,$E379))</f>
        <v/>
      </c>
      <c r="AB379" s="13" t="str">
        <f aca="false">IF(OR($C379="",$T379="Mixta",$AA379=""),"",IF($V379="Subyacente",IF($J379="","",$J379-$K379),IF($T379="Put",$AA379-$K379,$AA379+$K379)))</f>
        <v/>
      </c>
      <c r="AC379" s="14" t="str">
        <f aca="false">IF(OR($C379="",$T379="Mixta",$J379="",$AA379=""),"",IF($T379="Put",($J379-$AA379)/$J379,($AA379-$J379)/$J379))</f>
        <v/>
      </c>
      <c r="AD379" s="12" t="str">
        <f aca="false">IF($C379="","",IF($Q379&lt;&gt;"",$Q379,IF($V379="Strike",N($E379)*$H379*$I379,IF($V379="Subyacente",IF($J379="","",$J379*$H379*$I379),IF($V379="Ancho",IF($F379="","",ABS($E379-$F379)*$H379*$I379-$K379*$H379*$I379),IF($V379="Prima",$K379*$H379*$I379,""))))))</f>
        <v/>
      </c>
      <c r="AE379" s="12" t="str">
        <f aca="false">IF(OR($C379="",$M379="Abierta",$M379=""),"",(N($K379)-IF(OR($M379="Cerrada",$M379="Rolada"),N($O379),0))*$H379*$I379*IF($U379="Débito",-1,1)-N($L379)-N($P379))</f>
        <v/>
      </c>
      <c r="AF379" s="14" t="str">
        <f aca="false">IF(OR($AE379="",$AD379=""),"",IF($AD379&lt;=0,"",$AE379/$AD379))</f>
        <v/>
      </c>
      <c r="AG379" s="14" t="str">
        <f aca="false">IF($AF379="","",$AF379*365/MAX(N($X379),1))</f>
        <v/>
      </c>
      <c r="AH379" s="14" t="str">
        <f aca="false">IF(OR($C379="",$U379&lt;&gt;"Crédito",$AD379=""),"",IF($AD379&lt;=0,"",($Z379-N($L379))/$AD379))</f>
        <v/>
      </c>
      <c r="AI379" s="14" t="str">
        <f aca="false">IF(OR($AH379="",$W379=""),"",$AH379*365/MAX($W379,1))</f>
        <v/>
      </c>
      <c r="AJ379" s="14" t="str">
        <f aca="false">IF(OR($AE379="",$U379&lt;&gt;"Crédito",N($K379)=0),"",(N($K379)-IF(OR($M379="Cerrada",$M379="Rolada"),N($O379),0))/$K379)</f>
        <v/>
      </c>
      <c r="AK379" s="15" t="str">
        <f aca="false">IF(OR($C379="",$N379=""),"",DATE(YEAR($N379),MONTH($N379),1))</f>
        <v/>
      </c>
      <c r="AL379" s="11" t="str">
        <f aca="false">IF($C379="","",IF($M379="Abierta",0,1))</f>
        <v/>
      </c>
      <c r="AM379" s="16" t="str">
        <f aca="false">IF(OR($AE379="",$AD379=""),"",$AD379*MAX(N($X379),1))</f>
        <v/>
      </c>
      <c r="AN379" s="10" t="str">
        <f aca="false">IF($C379="","",IF(OR($B379="",$D379="",$H379="",$K379="",$M379=""),"Faltan datos obligatorios",IF($T379="","Estrategia no reconocida",IF(AND($M379&lt;&gt;"Abierta",$N379=""),"Falta fecha cierre",IF(AND(OR($M379="Cerrada",$M379="Rolada"),$O379=""),"Falta prima cierre",IF(AND($N379&lt;&gt;"",$N379&lt;$B379),"Cierre anterior a apertura",IF(AND($M379="Asignada",$R379=""),"Asignada: falta ID lote acciones",IF(AND($R379&lt;&gt;"",ISNA(MATCH($R379,Acciones!$A$2:$A$201,0))),"El ID lote no existe en Acciones",IF($AD379="","Revisa capital en riesgo","OK")))))))))</f>
        <v/>
      </c>
    </row>
    <row r="380" customFormat="false" ht="15" hidden="false" customHeight="true" outlineLevel="0" collapsed="false">
      <c r="A380" s="5"/>
      <c r="B380" s="6"/>
      <c r="C380" s="7"/>
      <c r="D380" s="7"/>
      <c r="E380" s="8"/>
      <c r="F380" s="8"/>
      <c r="G380" s="6"/>
      <c r="H380" s="5"/>
      <c r="I380" s="5" t="n">
        <v>100</v>
      </c>
      <c r="J380" s="8"/>
      <c r="K380" s="8"/>
      <c r="L380" s="9"/>
      <c r="M380" s="7"/>
      <c r="N380" s="6"/>
      <c r="O380" s="8"/>
      <c r="P380" s="9"/>
      <c r="Q380" s="9"/>
      <c r="R380" s="7"/>
      <c r="S380" s="7"/>
      <c r="T380" s="10" t="str">
        <f aca="false">IF($C380="","",IFERROR(INDEX(Listas!$B$2:$B$20,MATCH($D380,Listas!$A$2:$A$20,0)),""))</f>
        <v/>
      </c>
      <c r="U380" s="10" t="str">
        <f aca="false">IF($C380="","",IFERROR(INDEX(Listas!$C$2:$C$20,MATCH($D380,Listas!$A$2:$A$20,0)),""))</f>
        <v/>
      </c>
      <c r="V380" s="10" t="str">
        <f aca="false">IF($C380="","",IFERROR(INDEX(Listas!$D$2:$D$20,MATCH($D380,Listas!$A$2:$A$20,0)),""))</f>
        <v/>
      </c>
      <c r="W380" s="11" t="str">
        <f aca="false">IF(OR($C380="",$B380="",$G380=""),"",$G380-$B380)</f>
        <v/>
      </c>
      <c r="X380" s="11" t="str">
        <f aca="true">IF(OR($C380="",$B380=""),"",IF($N380&lt;&gt;"",$N380,TODAY())-$B380)</f>
        <v/>
      </c>
      <c r="Y380" s="11" t="str">
        <f aca="true">IF(OR($C380="",$M380&lt;&gt;"Abierta",$G380=""),"",MAX($G380-TODAY(),0))</f>
        <v/>
      </c>
      <c r="Z380" s="12" t="str">
        <f aca="false">IF($C380="","",N($K380)*N($H380)*N($I380)*IF($U380="Débito",-1,1))</f>
        <v/>
      </c>
      <c r="AA380" s="13" t="str">
        <f aca="false">IF($C380="","",IF(AND($U380="Débito",$F380&lt;&gt;""),$F380,$E380))</f>
        <v/>
      </c>
      <c r="AB380" s="13" t="str">
        <f aca="false">IF(OR($C380="",$T380="Mixta",$AA380=""),"",IF($V380="Subyacente",IF($J380="","",$J380-$K380),IF($T380="Put",$AA380-$K380,$AA380+$K380)))</f>
        <v/>
      </c>
      <c r="AC380" s="14" t="str">
        <f aca="false">IF(OR($C380="",$T380="Mixta",$J380="",$AA380=""),"",IF($T380="Put",($J380-$AA380)/$J380,($AA380-$J380)/$J380))</f>
        <v/>
      </c>
      <c r="AD380" s="12" t="str">
        <f aca="false">IF($C380="","",IF($Q380&lt;&gt;"",$Q380,IF($V380="Strike",N($E380)*$H380*$I380,IF($V380="Subyacente",IF($J380="","",$J380*$H380*$I380),IF($V380="Ancho",IF($F380="","",ABS($E380-$F380)*$H380*$I380-$K380*$H380*$I380),IF($V380="Prima",$K380*$H380*$I380,""))))))</f>
        <v/>
      </c>
      <c r="AE380" s="12" t="str">
        <f aca="false">IF(OR($C380="",$M380="Abierta",$M380=""),"",(N($K380)-IF(OR($M380="Cerrada",$M380="Rolada"),N($O380),0))*$H380*$I380*IF($U380="Débito",-1,1)-N($L380)-N($P380))</f>
        <v/>
      </c>
      <c r="AF380" s="14" t="str">
        <f aca="false">IF(OR($AE380="",$AD380=""),"",IF($AD380&lt;=0,"",$AE380/$AD380))</f>
        <v/>
      </c>
      <c r="AG380" s="14" t="str">
        <f aca="false">IF($AF380="","",$AF380*365/MAX(N($X380),1))</f>
        <v/>
      </c>
      <c r="AH380" s="14" t="str">
        <f aca="false">IF(OR($C380="",$U380&lt;&gt;"Crédito",$AD380=""),"",IF($AD380&lt;=0,"",($Z380-N($L380))/$AD380))</f>
        <v/>
      </c>
      <c r="AI380" s="14" t="str">
        <f aca="false">IF(OR($AH380="",$W380=""),"",$AH380*365/MAX($W380,1))</f>
        <v/>
      </c>
      <c r="AJ380" s="14" t="str">
        <f aca="false">IF(OR($AE380="",$U380&lt;&gt;"Crédito",N($K380)=0),"",(N($K380)-IF(OR($M380="Cerrada",$M380="Rolada"),N($O380),0))/$K380)</f>
        <v/>
      </c>
      <c r="AK380" s="15" t="str">
        <f aca="false">IF(OR($C380="",$N380=""),"",DATE(YEAR($N380),MONTH($N380),1))</f>
        <v/>
      </c>
      <c r="AL380" s="11" t="str">
        <f aca="false">IF($C380="","",IF($M380="Abierta",0,1))</f>
        <v/>
      </c>
      <c r="AM380" s="16" t="str">
        <f aca="false">IF(OR($AE380="",$AD380=""),"",$AD380*MAX(N($X380),1))</f>
        <v/>
      </c>
      <c r="AN380" s="10" t="str">
        <f aca="false">IF($C380="","",IF(OR($B380="",$D380="",$H380="",$K380="",$M380=""),"Faltan datos obligatorios",IF($T380="","Estrategia no reconocida",IF(AND($M380&lt;&gt;"Abierta",$N380=""),"Falta fecha cierre",IF(AND(OR($M380="Cerrada",$M380="Rolada"),$O380=""),"Falta prima cierre",IF(AND($N380&lt;&gt;"",$N380&lt;$B380),"Cierre anterior a apertura",IF(AND($M380="Asignada",$R380=""),"Asignada: falta ID lote acciones",IF(AND($R380&lt;&gt;"",ISNA(MATCH($R380,Acciones!$A$2:$A$201,0))),"El ID lote no existe en Acciones",IF($AD380="","Revisa capital en riesgo","OK")))))))))</f>
        <v/>
      </c>
    </row>
    <row r="381" customFormat="false" ht="15" hidden="false" customHeight="true" outlineLevel="0" collapsed="false">
      <c r="A381" s="5"/>
      <c r="B381" s="6"/>
      <c r="C381" s="7"/>
      <c r="D381" s="7"/>
      <c r="E381" s="8"/>
      <c r="F381" s="8"/>
      <c r="G381" s="6"/>
      <c r="H381" s="5"/>
      <c r="I381" s="5" t="n">
        <v>100</v>
      </c>
      <c r="J381" s="8"/>
      <c r="K381" s="8"/>
      <c r="L381" s="9"/>
      <c r="M381" s="7"/>
      <c r="N381" s="6"/>
      <c r="O381" s="8"/>
      <c r="P381" s="9"/>
      <c r="Q381" s="9"/>
      <c r="R381" s="7"/>
      <c r="S381" s="7"/>
      <c r="T381" s="10" t="str">
        <f aca="false">IF($C381="","",IFERROR(INDEX(Listas!$B$2:$B$20,MATCH($D381,Listas!$A$2:$A$20,0)),""))</f>
        <v/>
      </c>
      <c r="U381" s="10" t="str">
        <f aca="false">IF($C381="","",IFERROR(INDEX(Listas!$C$2:$C$20,MATCH($D381,Listas!$A$2:$A$20,0)),""))</f>
        <v/>
      </c>
      <c r="V381" s="10" t="str">
        <f aca="false">IF($C381="","",IFERROR(INDEX(Listas!$D$2:$D$20,MATCH($D381,Listas!$A$2:$A$20,0)),""))</f>
        <v/>
      </c>
      <c r="W381" s="11" t="str">
        <f aca="false">IF(OR($C381="",$B381="",$G381=""),"",$G381-$B381)</f>
        <v/>
      </c>
      <c r="X381" s="11" t="str">
        <f aca="true">IF(OR($C381="",$B381=""),"",IF($N381&lt;&gt;"",$N381,TODAY())-$B381)</f>
        <v/>
      </c>
      <c r="Y381" s="11" t="str">
        <f aca="true">IF(OR($C381="",$M381&lt;&gt;"Abierta",$G381=""),"",MAX($G381-TODAY(),0))</f>
        <v/>
      </c>
      <c r="Z381" s="12" t="str">
        <f aca="false">IF($C381="","",N($K381)*N($H381)*N($I381)*IF($U381="Débito",-1,1))</f>
        <v/>
      </c>
      <c r="AA381" s="13" t="str">
        <f aca="false">IF($C381="","",IF(AND($U381="Débito",$F381&lt;&gt;""),$F381,$E381))</f>
        <v/>
      </c>
      <c r="AB381" s="13" t="str">
        <f aca="false">IF(OR($C381="",$T381="Mixta",$AA381=""),"",IF($V381="Subyacente",IF($J381="","",$J381-$K381),IF($T381="Put",$AA381-$K381,$AA381+$K381)))</f>
        <v/>
      </c>
      <c r="AC381" s="14" t="str">
        <f aca="false">IF(OR($C381="",$T381="Mixta",$J381="",$AA381=""),"",IF($T381="Put",($J381-$AA381)/$J381,($AA381-$J381)/$J381))</f>
        <v/>
      </c>
      <c r="AD381" s="12" t="str">
        <f aca="false">IF($C381="","",IF($Q381&lt;&gt;"",$Q381,IF($V381="Strike",N($E381)*$H381*$I381,IF($V381="Subyacente",IF($J381="","",$J381*$H381*$I381),IF($V381="Ancho",IF($F381="","",ABS($E381-$F381)*$H381*$I381-$K381*$H381*$I381),IF($V381="Prima",$K381*$H381*$I381,""))))))</f>
        <v/>
      </c>
      <c r="AE381" s="12" t="str">
        <f aca="false">IF(OR($C381="",$M381="Abierta",$M381=""),"",(N($K381)-IF(OR($M381="Cerrada",$M381="Rolada"),N($O381),0))*$H381*$I381*IF($U381="Débito",-1,1)-N($L381)-N($P381))</f>
        <v/>
      </c>
      <c r="AF381" s="14" t="str">
        <f aca="false">IF(OR($AE381="",$AD381=""),"",IF($AD381&lt;=0,"",$AE381/$AD381))</f>
        <v/>
      </c>
      <c r="AG381" s="14" t="str">
        <f aca="false">IF($AF381="","",$AF381*365/MAX(N($X381),1))</f>
        <v/>
      </c>
      <c r="AH381" s="14" t="str">
        <f aca="false">IF(OR($C381="",$U381&lt;&gt;"Crédito",$AD381=""),"",IF($AD381&lt;=0,"",($Z381-N($L381))/$AD381))</f>
        <v/>
      </c>
      <c r="AI381" s="14" t="str">
        <f aca="false">IF(OR($AH381="",$W381=""),"",$AH381*365/MAX($W381,1))</f>
        <v/>
      </c>
      <c r="AJ381" s="14" t="str">
        <f aca="false">IF(OR($AE381="",$U381&lt;&gt;"Crédito",N($K381)=0),"",(N($K381)-IF(OR($M381="Cerrada",$M381="Rolada"),N($O381),0))/$K381)</f>
        <v/>
      </c>
      <c r="AK381" s="15" t="str">
        <f aca="false">IF(OR($C381="",$N381=""),"",DATE(YEAR($N381),MONTH($N381),1))</f>
        <v/>
      </c>
      <c r="AL381" s="11" t="str">
        <f aca="false">IF($C381="","",IF($M381="Abierta",0,1))</f>
        <v/>
      </c>
      <c r="AM381" s="16" t="str">
        <f aca="false">IF(OR($AE381="",$AD381=""),"",$AD381*MAX(N($X381),1))</f>
        <v/>
      </c>
      <c r="AN381" s="10" t="str">
        <f aca="false">IF($C381="","",IF(OR($B381="",$D381="",$H381="",$K381="",$M381=""),"Faltan datos obligatorios",IF($T381="","Estrategia no reconocida",IF(AND($M381&lt;&gt;"Abierta",$N381=""),"Falta fecha cierre",IF(AND(OR($M381="Cerrada",$M381="Rolada"),$O381=""),"Falta prima cierre",IF(AND($N381&lt;&gt;"",$N381&lt;$B381),"Cierre anterior a apertura",IF(AND($M381="Asignada",$R381=""),"Asignada: falta ID lote acciones",IF(AND($R381&lt;&gt;"",ISNA(MATCH($R381,Acciones!$A$2:$A$201,0))),"El ID lote no existe en Acciones",IF($AD381="","Revisa capital en riesgo","OK")))))))))</f>
        <v/>
      </c>
    </row>
    <row r="382" customFormat="false" ht="15" hidden="false" customHeight="true" outlineLevel="0" collapsed="false">
      <c r="A382" s="5"/>
      <c r="B382" s="6"/>
      <c r="C382" s="7"/>
      <c r="D382" s="7"/>
      <c r="E382" s="8"/>
      <c r="F382" s="8"/>
      <c r="G382" s="6"/>
      <c r="H382" s="5"/>
      <c r="I382" s="5" t="n">
        <v>100</v>
      </c>
      <c r="J382" s="8"/>
      <c r="K382" s="8"/>
      <c r="L382" s="9"/>
      <c r="M382" s="7"/>
      <c r="N382" s="6"/>
      <c r="O382" s="8"/>
      <c r="P382" s="9"/>
      <c r="Q382" s="9"/>
      <c r="R382" s="7"/>
      <c r="S382" s="7"/>
      <c r="T382" s="10" t="str">
        <f aca="false">IF($C382="","",IFERROR(INDEX(Listas!$B$2:$B$20,MATCH($D382,Listas!$A$2:$A$20,0)),""))</f>
        <v/>
      </c>
      <c r="U382" s="10" t="str">
        <f aca="false">IF($C382="","",IFERROR(INDEX(Listas!$C$2:$C$20,MATCH($D382,Listas!$A$2:$A$20,0)),""))</f>
        <v/>
      </c>
      <c r="V382" s="10" t="str">
        <f aca="false">IF($C382="","",IFERROR(INDEX(Listas!$D$2:$D$20,MATCH($D382,Listas!$A$2:$A$20,0)),""))</f>
        <v/>
      </c>
      <c r="W382" s="11" t="str">
        <f aca="false">IF(OR($C382="",$B382="",$G382=""),"",$G382-$B382)</f>
        <v/>
      </c>
      <c r="X382" s="11" t="str">
        <f aca="true">IF(OR($C382="",$B382=""),"",IF($N382&lt;&gt;"",$N382,TODAY())-$B382)</f>
        <v/>
      </c>
      <c r="Y382" s="11" t="str">
        <f aca="true">IF(OR($C382="",$M382&lt;&gt;"Abierta",$G382=""),"",MAX($G382-TODAY(),0))</f>
        <v/>
      </c>
      <c r="Z382" s="12" t="str">
        <f aca="false">IF($C382="","",N($K382)*N($H382)*N($I382)*IF($U382="Débito",-1,1))</f>
        <v/>
      </c>
      <c r="AA382" s="13" t="str">
        <f aca="false">IF($C382="","",IF(AND($U382="Débito",$F382&lt;&gt;""),$F382,$E382))</f>
        <v/>
      </c>
      <c r="AB382" s="13" t="str">
        <f aca="false">IF(OR($C382="",$T382="Mixta",$AA382=""),"",IF($V382="Subyacente",IF($J382="","",$J382-$K382),IF($T382="Put",$AA382-$K382,$AA382+$K382)))</f>
        <v/>
      </c>
      <c r="AC382" s="14" t="str">
        <f aca="false">IF(OR($C382="",$T382="Mixta",$J382="",$AA382=""),"",IF($T382="Put",($J382-$AA382)/$J382,($AA382-$J382)/$J382))</f>
        <v/>
      </c>
      <c r="AD382" s="12" t="str">
        <f aca="false">IF($C382="","",IF($Q382&lt;&gt;"",$Q382,IF($V382="Strike",N($E382)*$H382*$I382,IF($V382="Subyacente",IF($J382="","",$J382*$H382*$I382),IF($V382="Ancho",IF($F382="","",ABS($E382-$F382)*$H382*$I382-$K382*$H382*$I382),IF($V382="Prima",$K382*$H382*$I382,""))))))</f>
        <v/>
      </c>
      <c r="AE382" s="12" t="str">
        <f aca="false">IF(OR($C382="",$M382="Abierta",$M382=""),"",(N($K382)-IF(OR($M382="Cerrada",$M382="Rolada"),N($O382),0))*$H382*$I382*IF($U382="Débito",-1,1)-N($L382)-N($P382))</f>
        <v/>
      </c>
      <c r="AF382" s="14" t="str">
        <f aca="false">IF(OR($AE382="",$AD382=""),"",IF($AD382&lt;=0,"",$AE382/$AD382))</f>
        <v/>
      </c>
      <c r="AG382" s="14" t="str">
        <f aca="false">IF($AF382="","",$AF382*365/MAX(N($X382),1))</f>
        <v/>
      </c>
      <c r="AH382" s="14" t="str">
        <f aca="false">IF(OR($C382="",$U382&lt;&gt;"Crédito",$AD382=""),"",IF($AD382&lt;=0,"",($Z382-N($L382))/$AD382))</f>
        <v/>
      </c>
      <c r="AI382" s="14" t="str">
        <f aca="false">IF(OR($AH382="",$W382=""),"",$AH382*365/MAX($W382,1))</f>
        <v/>
      </c>
      <c r="AJ382" s="14" t="str">
        <f aca="false">IF(OR($AE382="",$U382&lt;&gt;"Crédito",N($K382)=0),"",(N($K382)-IF(OR($M382="Cerrada",$M382="Rolada"),N($O382),0))/$K382)</f>
        <v/>
      </c>
      <c r="AK382" s="15" t="str">
        <f aca="false">IF(OR($C382="",$N382=""),"",DATE(YEAR($N382),MONTH($N382),1))</f>
        <v/>
      </c>
      <c r="AL382" s="11" t="str">
        <f aca="false">IF($C382="","",IF($M382="Abierta",0,1))</f>
        <v/>
      </c>
      <c r="AM382" s="16" t="str">
        <f aca="false">IF(OR($AE382="",$AD382=""),"",$AD382*MAX(N($X382),1))</f>
        <v/>
      </c>
      <c r="AN382" s="10" t="str">
        <f aca="false">IF($C382="","",IF(OR($B382="",$D382="",$H382="",$K382="",$M382=""),"Faltan datos obligatorios",IF($T382="","Estrategia no reconocida",IF(AND($M382&lt;&gt;"Abierta",$N382=""),"Falta fecha cierre",IF(AND(OR($M382="Cerrada",$M382="Rolada"),$O382=""),"Falta prima cierre",IF(AND($N382&lt;&gt;"",$N382&lt;$B382),"Cierre anterior a apertura",IF(AND($M382="Asignada",$R382=""),"Asignada: falta ID lote acciones",IF(AND($R382&lt;&gt;"",ISNA(MATCH($R382,Acciones!$A$2:$A$201,0))),"El ID lote no existe en Acciones",IF($AD382="","Revisa capital en riesgo","OK")))))))))</f>
        <v/>
      </c>
    </row>
    <row r="383" customFormat="false" ht="15" hidden="false" customHeight="true" outlineLevel="0" collapsed="false">
      <c r="A383" s="5"/>
      <c r="B383" s="6"/>
      <c r="C383" s="7"/>
      <c r="D383" s="7"/>
      <c r="E383" s="8"/>
      <c r="F383" s="8"/>
      <c r="G383" s="6"/>
      <c r="H383" s="5"/>
      <c r="I383" s="5" t="n">
        <v>100</v>
      </c>
      <c r="J383" s="8"/>
      <c r="K383" s="8"/>
      <c r="L383" s="9"/>
      <c r="M383" s="7"/>
      <c r="N383" s="6"/>
      <c r="O383" s="8"/>
      <c r="P383" s="9"/>
      <c r="Q383" s="9"/>
      <c r="R383" s="7"/>
      <c r="S383" s="7"/>
      <c r="T383" s="10" t="str">
        <f aca="false">IF($C383="","",IFERROR(INDEX(Listas!$B$2:$B$20,MATCH($D383,Listas!$A$2:$A$20,0)),""))</f>
        <v/>
      </c>
      <c r="U383" s="10" t="str">
        <f aca="false">IF($C383="","",IFERROR(INDEX(Listas!$C$2:$C$20,MATCH($D383,Listas!$A$2:$A$20,0)),""))</f>
        <v/>
      </c>
      <c r="V383" s="10" t="str">
        <f aca="false">IF($C383="","",IFERROR(INDEX(Listas!$D$2:$D$20,MATCH($D383,Listas!$A$2:$A$20,0)),""))</f>
        <v/>
      </c>
      <c r="W383" s="11" t="str">
        <f aca="false">IF(OR($C383="",$B383="",$G383=""),"",$G383-$B383)</f>
        <v/>
      </c>
      <c r="X383" s="11" t="str">
        <f aca="true">IF(OR($C383="",$B383=""),"",IF($N383&lt;&gt;"",$N383,TODAY())-$B383)</f>
        <v/>
      </c>
      <c r="Y383" s="11" t="str">
        <f aca="true">IF(OR($C383="",$M383&lt;&gt;"Abierta",$G383=""),"",MAX($G383-TODAY(),0))</f>
        <v/>
      </c>
      <c r="Z383" s="12" t="str">
        <f aca="false">IF($C383="","",N($K383)*N($H383)*N($I383)*IF($U383="Débito",-1,1))</f>
        <v/>
      </c>
      <c r="AA383" s="13" t="str">
        <f aca="false">IF($C383="","",IF(AND($U383="Débito",$F383&lt;&gt;""),$F383,$E383))</f>
        <v/>
      </c>
      <c r="AB383" s="13" t="str">
        <f aca="false">IF(OR($C383="",$T383="Mixta",$AA383=""),"",IF($V383="Subyacente",IF($J383="","",$J383-$K383),IF($T383="Put",$AA383-$K383,$AA383+$K383)))</f>
        <v/>
      </c>
      <c r="AC383" s="14" t="str">
        <f aca="false">IF(OR($C383="",$T383="Mixta",$J383="",$AA383=""),"",IF($T383="Put",($J383-$AA383)/$J383,($AA383-$J383)/$J383))</f>
        <v/>
      </c>
      <c r="AD383" s="12" t="str">
        <f aca="false">IF($C383="","",IF($Q383&lt;&gt;"",$Q383,IF($V383="Strike",N($E383)*$H383*$I383,IF($V383="Subyacente",IF($J383="","",$J383*$H383*$I383),IF($V383="Ancho",IF($F383="","",ABS($E383-$F383)*$H383*$I383-$K383*$H383*$I383),IF($V383="Prima",$K383*$H383*$I383,""))))))</f>
        <v/>
      </c>
      <c r="AE383" s="12" t="str">
        <f aca="false">IF(OR($C383="",$M383="Abierta",$M383=""),"",(N($K383)-IF(OR($M383="Cerrada",$M383="Rolada"),N($O383),0))*$H383*$I383*IF($U383="Débito",-1,1)-N($L383)-N($P383))</f>
        <v/>
      </c>
      <c r="AF383" s="14" t="str">
        <f aca="false">IF(OR($AE383="",$AD383=""),"",IF($AD383&lt;=0,"",$AE383/$AD383))</f>
        <v/>
      </c>
      <c r="AG383" s="14" t="str">
        <f aca="false">IF($AF383="","",$AF383*365/MAX(N($X383),1))</f>
        <v/>
      </c>
      <c r="AH383" s="14" t="str">
        <f aca="false">IF(OR($C383="",$U383&lt;&gt;"Crédito",$AD383=""),"",IF($AD383&lt;=0,"",($Z383-N($L383))/$AD383))</f>
        <v/>
      </c>
      <c r="AI383" s="14" t="str">
        <f aca="false">IF(OR($AH383="",$W383=""),"",$AH383*365/MAX($W383,1))</f>
        <v/>
      </c>
      <c r="AJ383" s="14" t="str">
        <f aca="false">IF(OR($AE383="",$U383&lt;&gt;"Crédito",N($K383)=0),"",(N($K383)-IF(OR($M383="Cerrada",$M383="Rolada"),N($O383),0))/$K383)</f>
        <v/>
      </c>
      <c r="AK383" s="15" t="str">
        <f aca="false">IF(OR($C383="",$N383=""),"",DATE(YEAR($N383),MONTH($N383),1))</f>
        <v/>
      </c>
      <c r="AL383" s="11" t="str">
        <f aca="false">IF($C383="","",IF($M383="Abierta",0,1))</f>
        <v/>
      </c>
      <c r="AM383" s="16" t="str">
        <f aca="false">IF(OR($AE383="",$AD383=""),"",$AD383*MAX(N($X383),1))</f>
        <v/>
      </c>
      <c r="AN383" s="10" t="str">
        <f aca="false">IF($C383="","",IF(OR($B383="",$D383="",$H383="",$K383="",$M383=""),"Faltan datos obligatorios",IF($T383="","Estrategia no reconocida",IF(AND($M383&lt;&gt;"Abierta",$N383=""),"Falta fecha cierre",IF(AND(OR($M383="Cerrada",$M383="Rolada"),$O383=""),"Falta prima cierre",IF(AND($N383&lt;&gt;"",$N383&lt;$B383),"Cierre anterior a apertura",IF(AND($M383="Asignada",$R383=""),"Asignada: falta ID lote acciones",IF(AND($R383&lt;&gt;"",ISNA(MATCH($R383,Acciones!$A$2:$A$201,0))),"El ID lote no existe en Acciones",IF($AD383="","Revisa capital en riesgo","OK")))))))))</f>
        <v/>
      </c>
    </row>
    <row r="384" customFormat="false" ht="15" hidden="false" customHeight="true" outlineLevel="0" collapsed="false">
      <c r="A384" s="5"/>
      <c r="B384" s="6"/>
      <c r="C384" s="7"/>
      <c r="D384" s="7"/>
      <c r="E384" s="8"/>
      <c r="F384" s="8"/>
      <c r="G384" s="6"/>
      <c r="H384" s="5"/>
      <c r="I384" s="5" t="n">
        <v>100</v>
      </c>
      <c r="J384" s="8"/>
      <c r="K384" s="8"/>
      <c r="L384" s="9"/>
      <c r="M384" s="7"/>
      <c r="N384" s="6"/>
      <c r="O384" s="8"/>
      <c r="P384" s="9"/>
      <c r="Q384" s="9"/>
      <c r="R384" s="7"/>
      <c r="S384" s="7"/>
      <c r="T384" s="10" t="str">
        <f aca="false">IF($C384="","",IFERROR(INDEX(Listas!$B$2:$B$20,MATCH($D384,Listas!$A$2:$A$20,0)),""))</f>
        <v/>
      </c>
      <c r="U384" s="10" t="str">
        <f aca="false">IF($C384="","",IFERROR(INDEX(Listas!$C$2:$C$20,MATCH($D384,Listas!$A$2:$A$20,0)),""))</f>
        <v/>
      </c>
      <c r="V384" s="10" t="str">
        <f aca="false">IF($C384="","",IFERROR(INDEX(Listas!$D$2:$D$20,MATCH($D384,Listas!$A$2:$A$20,0)),""))</f>
        <v/>
      </c>
      <c r="W384" s="11" t="str">
        <f aca="false">IF(OR($C384="",$B384="",$G384=""),"",$G384-$B384)</f>
        <v/>
      </c>
      <c r="X384" s="11" t="str">
        <f aca="true">IF(OR($C384="",$B384=""),"",IF($N384&lt;&gt;"",$N384,TODAY())-$B384)</f>
        <v/>
      </c>
      <c r="Y384" s="11" t="str">
        <f aca="true">IF(OR($C384="",$M384&lt;&gt;"Abierta",$G384=""),"",MAX($G384-TODAY(),0))</f>
        <v/>
      </c>
      <c r="Z384" s="12" t="str">
        <f aca="false">IF($C384="","",N($K384)*N($H384)*N($I384)*IF($U384="Débito",-1,1))</f>
        <v/>
      </c>
      <c r="AA384" s="13" t="str">
        <f aca="false">IF($C384="","",IF(AND($U384="Débito",$F384&lt;&gt;""),$F384,$E384))</f>
        <v/>
      </c>
      <c r="AB384" s="13" t="str">
        <f aca="false">IF(OR($C384="",$T384="Mixta",$AA384=""),"",IF($V384="Subyacente",IF($J384="","",$J384-$K384),IF($T384="Put",$AA384-$K384,$AA384+$K384)))</f>
        <v/>
      </c>
      <c r="AC384" s="14" t="str">
        <f aca="false">IF(OR($C384="",$T384="Mixta",$J384="",$AA384=""),"",IF($T384="Put",($J384-$AA384)/$J384,($AA384-$J384)/$J384))</f>
        <v/>
      </c>
      <c r="AD384" s="12" t="str">
        <f aca="false">IF($C384="","",IF($Q384&lt;&gt;"",$Q384,IF($V384="Strike",N($E384)*$H384*$I384,IF($V384="Subyacente",IF($J384="","",$J384*$H384*$I384),IF($V384="Ancho",IF($F384="","",ABS($E384-$F384)*$H384*$I384-$K384*$H384*$I384),IF($V384="Prima",$K384*$H384*$I384,""))))))</f>
        <v/>
      </c>
      <c r="AE384" s="12" t="str">
        <f aca="false">IF(OR($C384="",$M384="Abierta",$M384=""),"",(N($K384)-IF(OR($M384="Cerrada",$M384="Rolada"),N($O384),0))*$H384*$I384*IF($U384="Débito",-1,1)-N($L384)-N($P384))</f>
        <v/>
      </c>
      <c r="AF384" s="14" t="str">
        <f aca="false">IF(OR($AE384="",$AD384=""),"",IF($AD384&lt;=0,"",$AE384/$AD384))</f>
        <v/>
      </c>
      <c r="AG384" s="14" t="str">
        <f aca="false">IF($AF384="","",$AF384*365/MAX(N($X384),1))</f>
        <v/>
      </c>
      <c r="AH384" s="14" t="str">
        <f aca="false">IF(OR($C384="",$U384&lt;&gt;"Crédito",$AD384=""),"",IF($AD384&lt;=0,"",($Z384-N($L384))/$AD384))</f>
        <v/>
      </c>
      <c r="AI384" s="14" t="str">
        <f aca="false">IF(OR($AH384="",$W384=""),"",$AH384*365/MAX($W384,1))</f>
        <v/>
      </c>
      <c r="AJ384" s="14" t="str">
        <f aca="false">IF(OR($AE384="",$U384&lt;&gt;"Crédito",N($K384)=0),"",(N($K384)-IF(OR($M384="Cerrada",$M384="Rolada"),N($O384),0))/$K384)</f>
        <v/>
      </c>
      <c r="AK384" s="15" t="str">
        <f aca="false">IF(OR($C384="",$N384=""),"",DATE(YEAR($N384),MONTH($N384),1))</f>
        <v/>
      </c>
      <c r="AL384" s="11" t="str">
        <f aca="false">IF($C384="","",IF($M384="Abierta",0,1))</f>
        <v/>
      </c>
      <c r="AM384" s="16" t="str">
        <f aca="false">IF(OR($AE384="",$AD384=""),"",$AD384*MAX(N($X384),1))</f>
        <v/>
      </c>
      <c r="AN384" s="10" t="str">
        <f aca="false">IF($C384="","",IF(OR($B384="",$D384="",$H384="",$K384="",$M384=""),"Faltan datos obligatorios",IF($T384="","Estrategia no reconocida",IF(AND($M384&lt;&gt;"Abierta",$N384=""),"Falta fecha cierre",IF(AND(OR($M384="Cerrada",$M384="Rolada"),$O384=""),"Falta prima cierre",IF(AND($N384&lt;&gt;"",$N384&lt;$B384),"Cierre anterior a apertura",IF(AND($M384="Asignada",$R384=""),"Asignada: falta ID lote acciones",IF(AND($R384&lt;&gt;"",ISNA(MATCH($R384,Acciones!$A$2:$A$201,0))),"El ID lote no existe en Acciones",IF($AD384="","Revisa capital en riesgo","OK")))))))))</f>
        <v/>
      </c>
    </row>
    <row r="385" customFormat="false" ht="15" hidden="false" customHeight="true" outlineLevel="0" collapsed="false">
      <c r="A385" s="5"/>
      <c r="B385" s="6"/>
      <c r="C385" s="7"/>
      <c r="D385" s="7"/>
      <c r="E385" s="8"/>
      <c r="F385" s="8"/>
      <c r="G385" s="6"/>
      <c r="H385" s="5"/>
      <c r="I385" s="5" t="n">
        <v>100</v>
      </c>
      <c r="J385" s="8"/>
      <c r="K385" s="8"/>
      <c r="L385" s="9"/>
      <c r="M385" s="7"/>
      <c r="N385" s="6"/>
      <c r="O385" s="8"/>
      <c r="P385" s="9"/>
      <c r="Q385" s="9"/>
      <c r="R385" s="7"/>
      <c r="S385" s="7"/>
      <c r="T385" s="10" t="str">
        <f aca="false">IF($C385="","",IFERROR(INDEX(Listas!$B$2:$B$20,MATCH($D385,Listas!$A$2:$A$20,0)),""))</f>
        <v/>
      </c>
      <c r="U385" s="10" t="str">
        <f aca="false">IF($C385="","",IFERROR(INDEX(Listas!$C$2:$C$20,MATCH($D385,Listas!$A$2:$A$20,0)),""))</f>
        <v/>
      </c>
      <c r="V385" s="10" t="str">
        <f aca="false">IF($C385="","",IFERROR(INDEX(Listas!$D$2:$D$20,MATCH($D385,Listas!$A$2:$A$20,0)),""))</f>
        <v/>
      </c>
      <c r="W385" s="11" t="str">
        <f aca="false">IF(OR($C385="",$B385="",$G385=""),"",$G385-$B385)</f>
        <v/>
      </c>
      <c r="X385" s="11" t="str">
        <f aca="true">IF(OR($C385="",$B385=""),"",IF($N385&lt;&gt;"",$N385,TODAY())-$B385)</f>
        <v/>
      </c>
      <c r="Y385" s="11" t="str">
        <f aca="true">IF(OR($C385="",$M385&lt;&gt;"Abierta",$G385=""),"",MAX($G385-TODAY(),0))</f>
        <v/>
      </c>
      <c r="Z385" s="12" t="str">
        <f aca="false">IF($C385="","",N($K385)*N($H385)*N($I385)*IF($U385="Débito",-1,1))</f>
        <v/>
      </c>
      <c r="AA385" s="13" t="str">
        <f aca="false">IF($C385="","",IF(AND($U385="Débito",$F385&lt;&gt;""),$F385,$E385))</f>
        <v/>
      </c>
      <c r="AB385" s="13" t="str">
        <f aca="false">IF(OR($C385="",$T385="Mixta",$AA385=""),"",IF($V385="Subyacente",IF($J385="","",$J385-$K385),IF($T385="Put",$AA385-$K385,$AA385+$K385)))</f>
        <v/>
      </c>
      <c r="AC385" s="14" t="str">
        <f aca="false">IF(OR($C385="",$T385="Mixta",$J385="",$AA385=""),"",IF($T385="Put",($J385-$AA385)/$J385,($AA385-$J385)/$J385))</f>
        <v/>
      </c>
      <c r="AD385" s="12" t="str">
        <f aca="false">IF($C385="","",IF($Q385&lt;&gt;"",$Q385,IF($V385="Strike",N($E385)*$H385*$I385,IF($V385="Subyacente",IF($J385="","",$J385*$H385*$I385),IF($V385="Ancho",IF($F385="","",ABS($E385-$F385)*$H385*$I385-$K385*$H385*$I385),IF($V385="Prima",$K385*$H385*$I385,""))))))</f>
        <v/>
      </c>
      <c r="AE385" s="12" t="str">
        <f aca="false">IF(OR($C385="",$M385="Abierta",$M385=""),"",(N($K385)-IF(OR($M385="Cerrada",$M385="Rolada"),N($O385),0))*$H385*$I385*IF($U385="Débito",-1,1)-N($L385)-N($P385))</f>
        <v/>
      </c>
      <c r="AF385" s="14" t="str">
        <f aca="false">IF(OR($AE385="",$AD385=""),"",IF($AD385&lt;=0,"",$AE385/$AD385))</f>
        <v/>
      </c>
      <c r="AG385" s="14" t="str">
        <f aca="false">IF($AF385="","",$AF385*365/MAX(N($X385),1))</f>
        <v/>
      </c>
      <c r="AH385" s="14" t="str">
        <f aca="false">IF(OR($C385="",$U385&lt;&gt;"Crédito",$AD385=""),"",IF($AD385&lt;=0,"",($Z385-N($L385))/$AD385))</f>
        <v/>
      </c>
      <c r="AI385" s="14" t="str">
        <f aca="false">IF(OR($AH385="",$W385=""),"",$AH385*365/MAX($W385,1))</f>
        <v/>
      </c>
      <c r="AJ385" s="14" t="str">
        <f aca="false">IF(OR($AE385="",$U385&lt;&gt;"Crédito",N($K385)=0),"",(N($K385)-IF(OR($M385="Cerrada",$M385="Rolada"),N($O385),0))/$K385)</f>
        <v/>
      </c>
      <c r="AK385" s="15" t="str">
        <f aca="false">IF(OR($C385="",$N385=""),"",DATE(YEAR($N385),MONTH($N385),1))</f>
        <v/>
      </c>
      <c r="AL385" s="11" t="str">
        <f aca="false">IF($C385="","",IF($M385="Abierta",0,1))</f>
        <v/>
      </c>
      <c r="AM385" s="16" t="str">
        <f aca="false">IF(OR($AE385="",$AD385=""),"",$AD385*MAX(N($X385),1))</f>
        <v/>
      </c>
      <c r="AN385" s="10" t="str">
        <f aca="false">IF($C385="","",IF(OR($B385="",$D385="",$H385="",$K385="",$M385=""),"Faltan datos obligatorios",IF($T385="","Estrategia no reconocida",IF(AND($M385&lt;&gt;"Abierta",$N385=""),"Falta fecha cierre",IF(AND(OR($M385="Cerrada",$M385="Rolada"),$O385=""),"Falta prima cierre",IF(AND($N385&lt;&gt;"",$N385&lt;$B385),"Cierre anterior a apertura",IF(AND($M385="Asignada",$R385=""),"Asignada: falta ID lote acciones",IF(AND($R385&lt;&gt;"",ISNA(MATCH($R385,Acciones!$A$2:$A$201,0))),"El ID lote no existe en Acciones",IF($AD385="","Revisa capital en riesgo","OK")))))))))</f>
        <v/>
      </c>
    </row>
    <row r="386" customFormat="false" ht="15" hidden="false" customHeight="true" outlineLevel="0" collapsed="false">
      <c r="A386" s="5"/>
      <c r="B386" s="6"/>
      <c r="C386" s="7"/>
      <c r="D386" s="7"/>
      <c r="E386" s="8"/>
      <c r="F386" s="8"/>
      <c r="G386" s="6"/>
      <c r="H386" s="5"/>
      <c r="I386" s="5" t="n">
        <v>100</v>
      </c>
      <c r="J386" s="8"/>
      <c r="K386" s="8"/>
      <c r="L386" s="9"/>
      <c r="M386" s="7"/>
      <c r="N386" s="6"/>
      <c r="O386" s="8"/>
      <c r="P386" s="9"/>
      <c r="Q386" s="9"/>
      <c r="R386" s="7"/>
      <c r="S386" s="7"/>
      <c r="T386" s="10" t="str">
        <f aca="false">IF($C386="","",IFERROR(INDEX(Listas!$B$2:$B$20,MATCH($D386,Listas!$A$2:$A$20,0)),""))</f>
        <v/>
      </c>
      <c r="U386" s="10" t="str">
        <f aca="false">IF($C386="","",IFERROR(INDEX(Listas!$C$2:$C$20,MATCH($D386,Listas!$A$2:$A$20,0)),""))</f>
        <v/>
      </c>
      <c r="V386" s="10" t="str">
        <f aca="false">IF($C386="","",IFERROR(INDEX(Listas!$D$2:$D$20,MATCH($D386,Listas!$A$2:$A$20,0)),""))</f>
        <v/>
      </c>
      <c r="W386" s="11" t="str">
        <f aca="false">IF(OR($C386="",$B386="",$G386=""),"",$G386-$B386)</f>
        <v/>
      </c>
      <c r="X386" s="11" t="str">
        <f aca="true">IF(OR($C386="",$B386=""),"",IF($N386&lt;&gt;"",$N386,TODAY())-$B386)</f>
        <v/>
      </c>
      <c r="Y386" s="11" t="str">
        <f aca="true">IF(OR($C386="",$M386&lt;&gt;"Abierta",$G386=""),"",MAX($G386-TODAY(),0))</f>
        <v/>
      </c>
      <c r="Z386" s="12" t="str">
        <f aca="false">IF($C386="","",N($K386)*N($H386)*N($I386)*IF($U386="Débito",-1,1))</f>
        <v/>
      </c>
      <c r="AA386" s="13" t="str">
        <f aca="false">IF($C386="","",IF(AND($U386="Débito",$F386&lt;&gt;""),$F386,$E386))</f>
        <v/>
      </c>
      <c r="AB386" s="13" t="str">
        <f aca="false">IF(OR($C386="",$T386="Mixta",$AA386=""),"",IF($V386="Subyacente",IF($J386="","",$J386-$K386),IF($T386="Put",$AA386-$K386,$AA386+$K386)))</f>
        <v/>
      </c>
      <c r="AC386" s="14" t="str">
        <f aca="false">IF(OR($C386="",$T386="Mixta",$J386="",$AA386=""),"",IF($T386="Put",($J386-$AA386)/$J386,($AA386-$J386)/$J386))</f>
        <v/>
      </c>
      <c r="AD386" s="12" t="str">
        <f aca="false">IF($C386="","",IF($Q386&lt;&gt;"",$Q386,IF($V386="Strike",N($E386)*$H386*$I386,IF($V386="Subyacente",IF($J386="","",$J386*$H386*$I386),IF($V386="Ancho",IF($F386="","",ABS($E386-$F386)*$H386*$I386-$K386*$H386*$I386),IF($V386="Prima",$K386*$H386*$I386,""))))))</f>
        <v/>
      </c>
      <c r="AE386" s="12" t="str">
        <f aca="false">IF(OR($C386="",$M386="Abierta",$M386=""),"",(N($K386)-IF(OR($M386="Cerrada",$M386="Rolada"),N($O386),0))*$H386*$I386*IF($U386="Débito",-1,1)-N($L386)-N($P386))</f>
        <v/>
      </c>
      <c r="AF386" s="14" t="str">
        <f aca="false">IF(OR($AE386="",$AD386=""),"",IF($AD386&lt;=0,"",$AE386/$AD386))</f>
        <v/>
      </c>
      <c r="AG386" s="14" t="str">
        <f aca="false">IF($AF386="","",$AF386*365/MAX(N($X386),1))</f>
        <v/>
      </c>
      <c r="AH386" s="14" t="str">
        <f aca="false">IF(OR($C386="",$U386&lt;&gt;"Crédito",$AD386=""),"",IF($AD386&lt;=0,"",($Z386-N($L386))/$AD386))</f>
        <v/>
      </c>
      <c r="AI386" s="14" t="str">
        <f aca="false">IF(OR($AH386="",$W386=""),"",$AH386*365/MAX($W386,1))</f>
        <v/>
      </c>
      <c r="AJ386" s="14" t="str">
        <f aca="false">IF(OR($AE386="",$U386&lt;&gt;"Crédito",N($K386)=0),"",(N($K386)-IF(OR($M386="Cerrada",$M386="Rolada"),N($O386),0))/$K386)</f>
        <v/>
      </c>
      <c r="AK386" s="15" t="str">
        <f aca="false">IF(OR($C386="",$N386=""),"",DATE(YEAR($N386),MONTH($N386),1))</f>
        <v/>
      </c>
      <c r="AL386" s="11" t="str">
        <f aca="false">IF($C386="","",IF($M386="Abierta",0,1))</f>
        <v/>
      </c>
      <c r="AM386" s="16" t="str">
        <f aca="false">IF(OR($AE386="",$AD386=""),"",$AD386*MAX(N($X386),1))</f>
        <v/>
      </c>
      <c r="AN386" s="10" t="str">
        <f aca="false">IF($C386="","",IF(OR($B386="",$D386="",$H386="",$K386="",$M386=""),"Faltan datos obligatorios",IF($T386="","Estrategia no reconocida",IF(AND($M386&lt;&gt;"Abierta",$N386=""),"Falta fecha cierre",IF(AND(OR($M386="Cerrada",$M386="Rolada"),$O386=""),"Falta prima cierre",IF(AND($N386&lt;&gt;"",$N386&lt;$B386),"Cierre anterior a apertura",IF(AND($M386="Asignada",$R386=""),"Asignada: falta ID lote acciones",IF(AND($R386&lt;&gt;"",ISNA(MATCH($R386,Acciones!$A$2:$A$201,0))),"El ID lote no existe en Acciones",IF($AD386="","Revisa capital en riesgo","OK")))))))))</f>
        <v/>
      </c>
    </row>
    <row r="387" customFormat="false" ht="15" hidden="false" customHeight="true" outlineLevel="0" collapsed="false">
      <c r="A387" s="5"/>
      <c r="B387" s="6"/>
      <c r="C387" s="7"/>
      <c r="D387" s="7"/>
      <c r="E387" s="8"/>
      <c r="F387" s="8"/>
      <c r="G387" s="6"/>
      <c r="H387" s="5"/>
      <c r="I387" s="5" t="n">
        <v>100</v>
      </c>
      <c r="J387" s="8"/>
      <c r="K387" s="8"/>
      <c r="L387" s="9"/>
      <c r="M387" s="7"/>
      <c r="N387" s="6"/>
      <c r="O387" s="8"/>
      <c r="P387" s="9"/>
      <c r="Q387" s="9"/>
      <c r="R387" s="7"/>
      <c r="S387" s="7"/>
      <c r="T387" s="10" t="str">
        <f aca="false">IF($C387="","",IFERROR(INDEX(Listas!$B$2:$B$20,MATCH($D387,Listas!$A$2:$A$20,0)),""))</f>
        <v/>
      </c>
      <c r="U387" s="10" t="str">
        <f aca="false">IF($C387="","",IFERROR(INDEX(Listas!$C$2:$C$20,MATCH($D387,Listas!$A$2:$A$20,0)),""))</f>
        <v/>
      </c>
      <c r="V387" s="10" t="str">
        <f aca="false">IF($C387="","",IFERROR(INDEX(Listas!$D$2:$D$20,MATCH($D387,Listas!$A$2:$A$20,0)),""))</f>
        <v/>
      </c>
      <c r="W387" s="11" t="str">
        <f aca="false">IF(OR($C387="",$B387="",$G387=""),"",$G387-$B387)</f>
        <v/>
      </c>
      <c r="X387" s="11" t="str">
        <f aca="true">IF(OR($C387="",$B387=""),"",IF($N387&lt;&gt;"",$N387,TODAY())-$B387)</f>
        <v/>
      </c>
      <c r="Y387" s="11" t="str">
        <f aca="true">IF(OR($C387="",$M387&lt;&gt;"Abierta",$G387=""),"",MAX($G387-TODAY(),0))</f>
        <v/>
      </c>
      <c r="Z387" s="12" t="str">
        <f aca="false">IF($C387="","",N($K387)*N($H387)*N($I387)*IF($U387="Débito",-1,1))</f>
        <v/>
      </c>
      <c r="AA387" s="13" t="str">
        <f aca="false">IF($C387="","",IF(AND($U387="Débito",$F387&lt;&gt;""),$F387,$E387))</f>
        <v/>
      </c>
      <c r="AB387" s="13" t="str">
        <f aca="false">IF(OR($C387="",$T387="Mixta",$AA387=""),"",IF($V387="Subyacente",IF($J387="","",$J387-$K387),IF($T387="Put",$AA387-$K387,$AA387+$K387)))</f>
        <v/>
      </c>
      <c r="AC387" s="14" t="str">
        <f aca="false">IF(OR($C387="",$T387="Mixta",$J387="",$AA387=""),"",IF($T387="Put",($J387-$AA387)/$J387,($AA387-$J387)/$J387))</f>
        <v/>
      </c>
      <c r="AD387" s="12" t="str">
        <f aca="false">IF($C387="","",IF($Q387&lt;&gt;"",$Q387,IF($V387="Strike",N($E387)*$H387*$I387,IF($V387="Subyacente",IF($J387="","",$J387*$H387*$I387),IF($V387="Ancho",IF($F387="","",ABS($E387-$F387)*$H387*$I387-$K387*$H387*$I387),IF($V387="Prima",$K387*$H387*$I387,""))))))</f>
        <v/>
      </c>
      <c r="AE387" s="12" t="str">
        <f aca="false">IF(OR($C387="",$M387="Abierta",$M387=""),"",(N($K387)-IF(OR($M387="Cerrada",$M387="Rolada"),N($O387),0))*$H387*$I387*IF($U387="Débito",-1,1)-N($L387)-N($P387))</f>
        <v/>
      </c>
      <c r="AF387" s="14" t="str">
        <f aca="false">IF(OR($AE387="",$AD387=""),"",IF($AD387&lt;=0,"",$AE387/$AD387))</f>
        <v/>
      </c>
      <c r="AG387" s="14" t="str">
        <f aca="false">IF($AF387="","",$AF387*365/MAX(N($X387),1))</f>
        <v/>
      </c>
      <c r="AH387" s="14" t="str">
        <f aca="false">IF(OR($C387="",$U387&lt;&gt;"Crédito",$AD387=""),"",IF($AD387&lt;=0,"",($Z387-N($L387))/$AD387))</f>
        <v/>
      </c>
      <c r="AI387" s="14" t="str">
        <f aca="false">IF(OR($AH387="",$W387=""),"",$AH387*365/MAX($W387,1))</f>
        <v/>
      </c>
      <c r="AJ387" s="14" t="str">
        <f aca="false">IF(OR($AE387="",$U387&lt;&gt;"Crédito",N($K387)=0),"",(N($K387)-IF(OR($M387="Cerrada",$M387="Rolada"),N($O387),0))/$K387)</f>
        <v/>
      </c>
      <c r="AK387" s="15" t="str">
        <f aca="false">IF(OR($C387="",$N387=""),"",DATE(YEAR($N387),MONTH($N387),1))</f>
        <v/>
      </c>
      <c r="AL387" s="11" t="str">
        <f aca="false">IF($C387="","",IF($M387="Abierta",0,1))</f>
        <v/>
      </c>
      <c r="AM387" s="16" t="str">
        <f aca="false">IF(OR($AE387="",$AD387=""),"",$AD387*MAX(N($X387),1))</f>
        <v/>
      </c>
      <c r="AN387" s="10" t="str">
        <f aca="false">IF($C387="","",IF(OR($B387="",$D387="",$H387="",$K387="",$M387=""),"Faltan datos obligatorios",IF($T387="","Estrategia no reconocida",IF(AND($M387&lt;&gt;"Abierta",$N387=""),"Falta fecha cierre",IF(AND(OR($M387="Cerrada",$M387="Rolada"),$O387=""),"Falta prima cierre",IF(AND($N387&lt;&gt;"",$N387&lt;$B387),"Cierre anterior a apertura",IF(AND($M387="Asignada",$R387=""),"Asignada: falta ID lote acciones",IF(AND($R387&lt;&gt;"",ISNA(MATCH($R387,Acciones!$A$2:$A$201,0))),"El ID lote no existe en Acciones",IF($AD387="","Revisa capital en riesgo","OK")))))))))</f>
        <v/>
      </c>
    </row>
    <row r="388" customFormat="false" ht="15" hidden="false" customHeight="true" outlineLevel="0" collapsed="false">
      <c r="A388" s="5"/>
      <c r="B388" s="6"/>
      <c r="C388" s="7"/>
      <c r="D388" s="7"/>
      <c r="E388" s="8"/>
      <c r="F388" s="8"/>
      <c r="G388" s="6"/>
      <c r="H388" s="5"/>
      <c r="I388" s="5" t="n">
        <v>100</v>
      </c>
      <c r="J388" s="8"/>
      <c r="K388" s="8"/>
      <c r="L388" s="9"/>
      <c r="M388" s="7"/>
      <c r="N388" s="6"/>
      <c r="O388" s="8"/>
      <c r="P388" s="9"/>
      <c r="Q388" s="9"/>
      <c r="R388" s="7"/>
      <c r="S388" s="7"/>
      <c r="T388" s="10" t="str">
        <f aca="false">IF($C388="","",IFERROR(INDEX(Listas!$B$2:$B$20,MATCH($D388,Listas!$A$2:$A$20,0)),""))</f>
        <v/>
      </c>
      <c r="U388" s="10" t="str">
        <f aca="false">IF($C388="","",IFERROR(INDEX(Listas!$C$2:$C$20,MATCH($D388,Listas!$A$2:$A$20,0)),""))</f>
        <v/>
      </c>
      <c r="V388" s="10" t="str">
        <f aca="false">IF($C388="","",IFERROR(INDEX(Listas!$D$2:$D$20,MATCH($D388,Listas!$A$2:$A$20,0)),""))</f>
        <v/>
      </c>
      <c r="W388" s="11" t="str">
        <f aca="false">IF(OR($C388="",$B388="",$G388=""),"",$G388-$B388)</f>
        <v/>
      </c>
      <c r="X388" s="11" t="str">
        <f aca="true">IF(OR($C388="",$B388=""),"",IF($N388&lt;&gt;"",$N388,TODAY())-$B388)</f>
        <v/>
      </c>
      <c r="Y388" s="11" t="str">
        <f aca="true">IF(OR($C388="",$M388&lt;&gt;"Abierta",$G388=""),"",MAX($G388-TODAY(),0))</f>
        <v/>
      </c>
      <c r="Z388" s="12" t="str">
        <f aca="false">IF($C388="","",N($K388)*N($H388)*N($I388)*IF($U388="Débito",-1,1))</f>
        <v/>
      </c>
      <c r="AA388" s="13" t="str">
        <f aca="false">IF($C388="","",IF(AND($U388="Débito",$F388&lt;&gt;""),$F388,$E388))</f>
        <v/>
      </c>
      <c r="AB388" s="13" t="str">
        <f aca="false">IF(OR($C388="",$T388="Mixta",$AA388=""),"",IF($V388="Subyacente",IF($J388="","",$J388-$K388),IF($T388="Put",$AA388-$K388,$AA388+$K388)))</f>
        <v/>
      </c>
      <c r="AC388" s="14" t="str">
        <f aca="false">IF(OR($C388="",$T388="Mixta",$J388="",$AA388=""),"",IF($T388="Put",($J388-$AA388)/$J388,($AA388-$J388)/$J388))</f>
        <v/>
      </c>
      <c r="AD388" s="12" t="str">
        <f aca="false">IF($C388="","",IF($Q388&lt;&gt;"",$Q388,IF($V388="Strike",N($E388)*$H388*$I388,IF($V388="Subyacente",IF($J388="","",$J388*$H388*$I388),IF($V388="Ancho",IF($F388="","",ABS($E388-$F388)*$H388*$I388-$K388*$H388*$I388),IF($V388="Prima",$K388*$H388*$I388,""))))))</f>
        <v/>
      </c>
      <c r="AE388" s="12" t="str">
        <f aca="false">IF(OR($C388="",$M388="Abierta",$M388=""),"",(N($K388)-IF(OR($M388="Cerrada",$M388="Rolada"),N($O388),0))*$H388*$I388*IF($U388="Débito",-1,1)-N($L388)-N($P388))</f>
        <v/>
      </c>
      <c r="AF388" s="14" t="str">
        <f aca="false">IF(OR($AE388="",$AD388=""),"",IF($AD388&lt;=0,"",$AE388/$AD388))</f>
        <v/>
      </c>
      <c r="AG388" s="14" t="str">
        <f aca="false">IF($AF388="","",$AF388*365/MAX(N($X388),1))</f>
        <v/>
      </c>
      <c r="AH388" s="14" t="str">
        <f aca="false">IF(OR($C388="",$U388&lt;&gt;"Crédito",$AD388=""),"",IF($AD388&lt;=0,"",($Z388-N($L388))/$AD388))</f>
        <v/>
      </c>
      <c r="AI388" s="14" t="str">
        <f aca="false">IF(OR($AH388="",$W388=""),"",$AH388*365/MAX($W388,1))</f>
        <v/>
      </c>
      <c r="AJ388" s="14" t="str">
        <f aca="false">IF(OR($AE388="",$U388&lt;&gt;"Crédito",N($K388)=0),"",(N($K388)-IF(OR($M388="Cerrada",$M388="Rolada"),N($O388),0))/$K388)</f>
        <v/>
      </c>
      <c r="AK388" s="15" t="str">
        <f aca="false">IF(OR($C388="",$N388=""),"",DATE(YEAR($N388),MONTH($N388),1))</f>
        <v/>
      </c>
      <c r="AL388" s="11" t="str">
        <f aca="false">IF($C388="","",IF($M388="Abierta",0,1))</f>
        <v/>
      </c>
      <c r="AM388" s="16" t="str">
        <f aca="false">IF(OR($AE388="",$AD388=""),"",$AD388*MAX(N($X388),1))</f>
        <v/>
      </c>
      <c r="AN388" s="10" t="str">
        <f aca="false">IF($C388="","",IF(OR($B388="",$D388="",$H388="",$K388="",$M388=""),"Faltan datos obligatorios",IF($T388="","Estrategia no reconocida",IF(AND($M388&lt;&gt;"Abierta",$N388=""),"Falta fecha cierre",IF(AND(OR($M388="Cerrada",$M388="Rolada"),$O388=""),"Falta prima cierre",IF(AND($N388&lt;&gt;"",$N388&lt;$B388),"Cierre anterior a apertura",IF(AND($M388="Asignada",$R388=""),"Asignada: falta ID lote acciones",IF(AND($R388&lt;&gt;"",ISNA(MATCH($R388,Acciones!$A$2:$A$201,0))),"El ID lote no existe en Acciones",IF($AD388="","Revisa capital en riesgo","OK")))))))))</f>
        <v/>
      </c>
    </row>
    <row r="389" customFormat="false" ht="15" hidden="false" customHeight="true" outlineLevel="0" collapsed="false">
      <c r="A389" s="5"/>
      <c r="B389" s="6"/>
      <c r="C389" s="7"/>
      <c r="D389" s="7"/>
      <c r="E389" s="8"/>
      <c r="F389" s="8"/>
      <c r="G389" s="6"/>
      <c r="H389" s="5"/>
      <c r="I389" s="5" t="n">
        <v>100</v>
      </c>
      <c r="J389" s="8"/>
      <c r="K389" s="8"/>
      <c r="L389" s="9"/>
      <c r="M389" s="7"/>
      <c r="N389" s="6"/>
      <c r="O389" s="8"/>
      <c r="P389" s="9"/>
      <c r="Q389" s="9"/>
      <c r="R389" s="7"/>
      <c r="S389" s="7"/>
      <c r="T389" s="10" t="str">
        <f aca="false">IF($C389="","",IFERROR(INDEX(Listas!$B$2:$B$20,MATCH($D389,Listas!$A$2:$A$20,0)),""))</f>
        <v/>
      </c>
      <c r="U389" s="10" t="str">
        <f aca="false">IF($C389="","",IFERROR(INDEX(Listas!$C$2:$C$20,MATCH($D389,Listas!$A$2:$A$20,0)),""))</f>
        <v/>
      </c>
      <c r="V389" s="10" t="str">
        <f aca="false">IF($C389="","",IFERROR(INDEX(Listas!$D$2:$D$20,MATCH($D389,Listas!$A$2:$A$20,0)),""))</f>
        <v/>
      </c>
      <c r="W389" s="11" t="str">
        <f aca="false">IF(OR($C389="",$B389="",$G389=""),"",$G389-$B389)</f>
        <v/>
      </c>
      <c r="X389" s="11" t="str">
        <f aca="true">IF(OR($C389="",$B389=""),"",IF($N389&lt;&gt;"",$N389,TODAY())-$B389)</f>
        <v/>
      </c>
      <c r="Y389" s="11" t="str">
        <f aca="true">IF(OR($C389="",$M389&lt;&gt;"Abierta",$G389=""),"",MAX($G389-TODAY(),0))</f>
        <v/>
      </c>
      <c r="Z389" s="12" t="str">
        <f aca="false">IF($C389="","",N($K389)*N($H389)*N($I389)*IF($U389="Débito",-1,1))</f>
        <v/>
      </c>
      <c r="AA389" s="13" t="str">
        <f aca="false">IF($C389="","",IF(AND($U389="Débito",$F389&lt;&gt;""),$F389,$E389))</f>
        <v/>
      </c>
      <c r="AB389" s="13" t="str">
        <f aca="false">IF(OR($C389="",$T389="Mixta",$AA389=""),"",IF($V389="Subyacente",IF($J389="","",$J389-$K389),IF($T389="Put",$AA389-$K389,$AA389+$K389)))</f>
        <v/>
      </c>
      <c r="AC389" s="14" t="str">
        <f aca="false">IF(OR($C389="",$T389="Mixta",$J389="",$AA389=""),"",IF($T389="Put",($J389-$AA389)/$J389,($AA389-$J389)/$J389))</f>
        <v/>
      </c>
      <c r="AD389" s="12" t="str">
        <f aca="false">IF($C389="","",IF($Q389&lt;&gt;"",$Q389,IF($V389="Strike",N($E389)*$H389*$I389,IF($V389="Subyacente",IF($J389="","",$J389*$H389*$I389),IF($V389="Ancho",IF($F389="","",ABS($E389-$F389)*$H389*$I389-$K389*$H389*$I389),IF($V389="Prima",$K389*$H389*$I389,""))))))</f>
        <v/>
      </c>
      <c r="AE389" s="12" t="str">
        <f aca="false">IF(OR($C389="",$M389="Abierta",$M389=""),"",(N($K389)-IF(OR($M389="Cerrada",$M389="Rolada"),N($O389),0))*$H389*$I389*IF($U389="Débito",-1,1)-N($L389)-N($P389))</f>
        <v/>
      </c>
      <c r="AF389" s="14" t="str">
        <f aca="false">IF(OR($AE389="",$AD389=""),"",IF($AD389&lt;=0,"",$AE389/$AD389))</f>
        <v/>
      </c>
      <c r="AG389" s="14" t="str">
        <f aca="false">IF($AF389="","",$AF389*365/MAX(N($X389),1))</f>
        <v/>
      </c>
      <c r="AH389" s="14" t="str">
        <f aca="false">IF(OR($C389="",$U389&lt;&gt;"Crédito",$AD389=""),"",IF($AD389&lt;=0,"",($Z389-N($L389))/$AD389))</f>
        <v/>
      </c>
      <c r="AI389" s="14" t="str">
        <f aca="false">IF(OR($AH389="",$W389=""),"",$AH389*365/MAX($W389,1))</f>
        <v/>
      </c>
      <c r="AJ389" s="14" t="str">
        <f aca="false">IF(OR($AE389="",$U389&lt;&gt;"Crédito",N($K389)=0),"",(N($K389)-IF(OR($M389="Cerrada",$M389="Rolada"),N($O389),0))/$K389)</f>
        <v/>
      </c>
      <c r="AK389" s="15" t="str">
        <f aca="false">IF(OR($C389="",$N389=""),"",DATE(YEAR($N389),MONTH($N389),1))</f>
        <v/>
      </c>
      <c r="AL389" s="11" t="str">
        <f aca="false">IF($C389="","",IF($M389="Abierta",0,1))</f>
        <v/>
      </c>
      <c r="AM389" s="16" t="str">
        <f aca="false">IF(OR($AE389="",$AD389=""),"",$AD389*MAX(N($X389),1))</f>
        <v/>
      </c>
      <c r="AN389" s="10" t="str">
        <f aca="false">IF($C389="","",IF(OR($B389="",$D389="",$H389="",$K389="",$M389=""),"Faltan datos obligatorios",IF($T389="","Estrategia no reconocida",IF(AND($M389&lt;&gt;"Abierta",$N389=""),"Falta fecha cierre",IF(AND(OR($M389="Cerrada",$M389="Rolada"),$O389=""),"Falta prima cierre",IF(AND($N389&lt;&gt;"",$N389&lt;$B389),"Cierre anterior a apertura",IF(AND($M389="Asignada",$R389=""),"Asignada: falta ID lote acciones",IF(AND($R389&lt;&gt;"",ISNA(MATCH($R389,Acciones!$A$2:$A$201,0))),"El ID lote no existe en Acciones",IF($AD389="","Revisa capital en riesgo","OK")))))))))</f>
        <v/>
      </c>
    </row>
    <row r="390" customFormat="false" ht="15" hidden="false" customHeight="true" outlineLevel="0" collapsed="false">
      <c r="A390" s="5"/>
      <c r="B390" s="6"/>
      <c r="C390" s="7"/>
      <c r="D390" s="7"/>
      <c r="E390" s="8"/>
      <c r="F390" s="8"/>
      <c r="G390" s="6"/>
      <c r="H390" s="5"/>
      <c r="I390" s="5" t="n">
        <v>100</v>
      </c>
      <c r="J390" s="8"/>
      <c r="K390" s="8"/>
      <c r="L390" s="9"/>
      <c r="M390" s="7"/>
      <c r="N390" s="6"/>
      <c r="O390" s="8"/>
      <c r="P390" s="9"/>
      <c r="Q390" s="9"/>
      <c r="R390" s="7"/>
      <c r="S390" s="7"/>
      <c r="T390" s="10" t="str">
        <f aca="false">IF($C390="","",IFERROR(INDEX(Listas!$B$2:$B$20,MATCH($D390,Listas!$A$2:$A$20,0)),""))</f>
        <v/>
      </c>
      <c r="U390" s="10" t="str">
        <f aca="false">IF($C390="","",IFERROR(INDEX(Listas!$C$2:$C$20,MATCH($D390,Listas!$A$2:$A$20,0)),""))</f>
        <v/>
      </c>
      <c r="V390" s="10" t="str">
        <f aca="false">IF($C390="","",IFERROR(INDEX(Listas!$D$2:$D$20,MATCH($D390,Listas!$A$2:$A$20,0)),""))</f>
        <v/>
      </c>
      <c r="W390" s="11" t="str">
        <f aca="false">IF(OR($C390="",$B390="",$G390=""),"",$G390-$B390)</f>
        <v/>
      </c>
      <c r="X390" s="11" t="str">
        <f aca="true">IF(OR($C390="",$B390=""),"",IF($N390&lt;&gt;"",$N390,TODAY())-$B390)</f>
        <v/>
      </c>
      <c r="Y390" s="11" t="str">
        <f aca="true">IF(OR($C390="",$M390&lt;&gt;"Abierta",$G390=""),"",MAX($G390-TODAY(),0))</f>
        <v/>
      </c>
      <c r="Z390" s="12" t="str">
        <f aca="false">IF($C390="","",N($K390)*N($H390)*N($I390)*IF($U390="Débito",-1,1))</f>
        <v/>
      </c>
      <c r="AA390" s="13" t="str">
        <f aca="false">IF($C390="","",IF(AND($U390="Débito",$F390&lt;&gt;""),$F390,$E390))</f>
        <v/>
      </c>
      <c r="AB390" s="13" t="str">
        <f aca="false">IF(OR($C390="",$T390="Mixta",$AA390=""),"",IF($V390="Subyacente",IF($J390="","",$J390-$K390),IF($T390="Put",$AA390-$K390,$AA390+$K390)))</f>
        <v/>
      </c>
      <c r="AC390" s="14" t="str">
        <f aca="false">IF(OR($C390="",$T390="Mixta",$J390="",$AA390=""),"",IF($T390="Put",($J390-$AA390)/$J390,($AA390-$J390)/$J390))</f>
        <v/>
      </c>
      <c r="AD390" s="12" t="str">
        <f aca="false">IF($C390="","",IF($Q390&lt;&gt;"",$Q390,IF($V390="Strike",N($E390)*$H390*$I390,IF($V390="Subyacente",IF($J390="","",$J390*$H390*$I390),IF($V390="Ancho",IF($F390="","",ABS($E390-$F390)*$H390*$I390-$K390*$H390*$I390),IF($V390="Prima",$K390*$H390*$I390,""))))))</f>
        <v/>
      </c>
      <c r="AE390" s="12" t="str">
        <f aca="false">IF(OR($C390="",$M390="Abierta",$M390=""),"",(N($K390)-IF(OR($M390="Cerrada",$M390="Rolada"),N($O390),0))*$H390*$I390*IF($U390="Débito",-1,1)-N($L390)-N($P390))</f>
        <v/>
      </c>
      <c r="AF390" s="14" t="str">
        <f aca="false">IF(OR($AE390="",$AD390=""),"",IF($AD390&lt;=0,"",$AE390/$AD390))</f>
        <v/>
      </c>
      <c r="AG390" s="14" t="str">
        <f aca="false">IF($AF390="","",$AF390*365/MAX(N($X390),1))</f>
        <v/>
      </c>
      <c r="AH390" s="14" t="str">
        <f aca="false">IF(OR($C390="",$U390&lt;&gt;"Crédito",$AD390=""),"",IF($AD390&lt;=0,"",($Z390-N($L390))/$AD390))</f>
        <v/>
      </c>
      <c r="AI390" s="14" t="str">
        <f aca="false">IF(OR($AH390="",$W390=""),"",$AH390*365/MAX($W390,1))</f>
        <v/>
      </c>
      <c r="AJ390" s="14" t="str">
        <f aca="false">IF(OR($AE390="",$U390&lt;&gt;"Crédito",N($K390)=0),"",(N($K390)-IF(OR($M390="Cerrada",$M390="Rolada"),N($O390),0))/$K390)</f>
        <v/>
      </c>
      <c r="AK390" s="15" t="str">
        <f aca="false">IF(OR($C390="",$N390=""),"",DATE(YEAR($N390),MONTH($N390),1))</f>
        <v/>
      </c>
      <c r="AL390" s="11" t="str">
        <f aca="false">IF($C390="","",IF($M390="Abierta",0,1))</f>
        <v/>
      </c>
      <c r="AM390" s="16" t="str">
        <f aca="false">IF(OR($AE390="",$AD390=""),"",$AD390*MAX(N($X390),1))</f>
        <v/>
      </c>
      <c r="AN390" s="10" t="str">
        <f aca="false">IF($C390="","",IF(OR($B390="",$D390="",$H390="",$K390="",$M390=""),"Faltan datos obligatorios",IF($T390="","Estrategia no reconocida",IF(AND($M390&lt;&gt;"Abierta",$N390=""),"Falta fecha cierre",IF(AND(OR($M390="Cerrada",$M390="Rolada"),$O390=""),"Falta prima cierre",IF(AND($N390&lt;&gt;"",$N390&lt;$B390),"Cierre anterior a apertura",IF(AND($M390="Asignada",$R390=""),"Asignada: falta ID lote acciones",IF(AND($R390&lt;&gt;"",ISNA(MATCH($R390,Acciones!$A$2:$A$201,0))),"El ID lote no existe en Acciones",IF($AD390="","Revisa capital en riesgo","OK")))))))))</f>
        <v/>
      </c>
    </row>
    <row r="391" customFormat="false" ht="15" hidden="false" customHeight="true" outlineLevel="0" collapsed="false">
      <c r="A391" s="5"/>
      <c r="B391" s="6"/>
      <c r="C391" s="7"/>
      <c r="D391" s="7"/>
      <c r="E391" s="8"/>
      <c r="F391" s="8"/>
      <c r="G391" s="6"/>
      <c r="H391" s="5"/>
      <c r="I391" s="5" t="n">
        <v>100</v>
      </c>
      <c r="J391" s="8"/>
      <c r="K391" s="8"/>
      <c r="L391" s="9"/>
      <c r="M391" s="7"/>
      <c r="N391" s="6"/>
      <c r="O391" s="8"/>
      <c r="P391" s="9"/>
      <c r="Q391" s="9"/>
      <c r="R391" s="7"/>
      <c r="S391" s="7"/>
      <c r="T391" s="10" t="str">
        <f aca="false">IF($C391="","",IFERROR(INDEX(Listas!$B$2:$B$20,MATCH($D391,Listas!$A$2:$A$20,0)),""))</f>
        <v/>
      </c>
      <c r="U391" s="10" t="str">
        <f aca="false">IF($C391="","",IFERROR(INDEX(Listas!$C$2:$C$20,MATCH($D391,Listas!$A$2:$A$20,0)),""))</f>
        <v/>
      </c>
      <c r="V391" s="10" t="str">
        <f aca="false">IF($C391="","",IFERROR(INDEX(Listas!$D$2:$D$20,MATCH($D391,Listas!$A$2:$A$20,0)),""))</f>
        <v/>
      </c>
      <c r="W391" s="11" t="str">
        <f aca="false">IF(OR($C391="",$B391="",$G391=""),"",$G391-$B391)</f>
        <v/>
      </c>
      <c r="X391" s="11" t="str">
        <f aca="true">IF(OR($C391="",$B391=""),"",IF($N391&lt;&gt;"",$N391,TODAY())-$B391)</f>
        <v/>
      </c>
      <c r="Y391" s="11" t="str">
        <f aca="true">IF(OR($C391="",$M391&lt;&gt;"Abierta",$G391=""),"",MAX($G391-TODAY(),0))</f>
        <v/>
      </c>
      <c r="Z391" s="12" t="str">
        <f aca="false">IF($C391="","",N($K391)*N($H391)*N($I391)*IF($U391="Débito",-1,1))</f>
        <v/>
      </c>
      <c r="AA391" s="13" t="str">
        <f aca="false">IF($C391="","",IF(AND($U391="Débito",$F391&lt;&gt;""),$F391,$E391))</f>
        <v/>
      </c>
      <c r="AB391" s="13" t="str">
        <f aca="false">IF(OR($C391="",$T391="Mixta",$AA391=""),"",IF($V391="Subyacente",IF($J391="","",$J391-$K391),IF($T391="Put",$AA391-$K391,$AA391+$K391)))</f>
        <v/>
      </c>
      <c r="AC391" s="14" t="str">
        <f aca="false">IF(OR($C391="",$T391="Mixta",$J391="",$AA391=""),"",IF($T391="Put",($J391-$AA391)/$J391,($AA391-$J391)/$J391))</f>
        <v/>
      </c>
      <c r="AD391" s="12" t="str">
        <f aca="false">IF($C391="","",IF($Q391&lt;&gt;"",$Q391,IF($V391="Strike",N($E391)*$H391*$I391,IF($V391="Subyacente",IF($J391="","",$J391*$H391*$I391),IF($V391="Ancho",IF($F391="","",ABS($E391-$F391)*$H391*$I391-$K391*$H391*$I391),IF($V391="Prima",$K391*$H391*$I391,""))))))</f>
        <v/>
      </c>
      <c r="AE391" s="12" t="str">
        <f aca="false">IF(OR($C391="",$M391="Abierta",$M391=""),"",(N($K391)-IF(OR($M391="Cerrada",$M391="Rolada"),N($O391),0))*$H391*$I391*IF($U391="Débito",-1,1)-N($L391)-N($P391))</f>
        <v/>
      </c>
      <c r="AF391" s="14" t="str">
        <f aca="false">IF(OR($AE391="",$AD391=""),"",IF($AD391&lt;=0,"",$AE391/$AD391))</f>
        <v/>
      </c>
      <c r="AG391" s="14" t="str">
        <f aca="false">IF($AF391="","",$AF391*365/MAX(N($X391),1))</f>
        <v/>
      </c>
      <c r="AH391" s="14" t="str">
        <f aca="false">IF(OR($C391="",$U391&lt;&gt;"Crédito",$AD391=""),"",IF($AD391&lt;=0,"",($Z391-N($L391))/$AD391))</f>
        <v/>
      </c>
      <c r="AI391" s="14" t="str">
        <f aca="false">IF(OR($AH391="",$W391=""),"",$AH391*365/MAX($W391,1))</f>
        <v/>
      </c>
      <c r="AJ391" s="14" t="str">
        <f aca="false">IF(OR($AE391="",$U391&lt;&gt;"Crédito",N($K391)=0),"",(N($K391)-IF(OR($M391="Cerrada",$M391="Rolada"),N($O391),0))/$K391)</f>
        <v/>
      </c>
      <c r="AK391" s="15" t="str">
        <f aca="false">IF(OR($C391="",$N391=""),"",DATE(YEAR($N391),MONTH($N391),1))</f>
        <v/>
      </c>
      <c r="AL391" s="11" t="str">
        <f aca="false">IF($C391="","",IF($M391="Abierta",0,1))</f>
        <v/>
      </c>
      <c r="AM391" s="16" t="str">
        <f aca="false">IF(OR($AE391="",$AD391=""),"",$AD391*MAX(N($X391),1))</f>
        <v/>
      </c>
      <c r="AN391" s="10" t="str">
        <f aca="false">IF($C391="","",IF(OR($B391="",$D391="",$H391="",$K391="",$M391=""),"Faltan datos obligatorios",IF($T391="","Estrategia no reconocida",IF(AND($M391&lt;&gt;"Abierta",$N391=""),"Falta fecha cierre",IF(AND(OR($M391="Cerrada",$M391="Rolada"),$O391=""),"Falta prima cierre",IF(AND($N391&lt;&gt;"",$N391&lt;$B391),"Cierre anterior a apertura",IF(AND($M391="Asignada",$R391=""),"Asignada: falta ID lote acciones",IF(AND($R391&lt;&gt;"",ISNA(MATCH($R391,Acciones!$A$2:$A$201,0))),"El ID lote no existe en Acciones",IF($AD391="","Revisa capital en riesgo","OK")))))))))</f>
        <v/>
      </c>
    </row>
    <row r="392" customFormat="false" ht="15" hidden="false" customHeight="true" outlineLevel="0" collapsed="false">
      <c r="A392" s="5"/>
      <c r="B392" s="6"/>
      <c r="C392" s="7"/>
      <c r="D392" s="7"/>
      <c r="E392" s="8"/>
      <c r="F392" s="8"/>
      <c r="G392" s="6"/>
      <c r="H392" s="5"/>
      <c r="I392" s="5" t="n">
        <v>100</v>
      </c>
      <c r="J392" s="8"/>
      <c r="K392" s="8"/>
      <c r="L392" s="9"/>
      <c r="M392" s="7"/>
      <c r="N392" s="6"/>
      <c r="O392" s="8"/>
      <c r="P392" s="9"/>
      <c r="Q392" s="9"/>
      <c r="R392" s="7"/>
      <c r="S392" s="7"/>
      <c r="T392" s="10" t="str">
        <f aca="false">IF($C392="","",IFERROR(INDEX(Listas!$B$2:$B$20,MATCH($D392,Listas!$A$2:$A$20,0)),""))</f>
        <v/>
      </c>
      <c r="U392" s="10" t="str">
        <f aca="false">IF($C392="","",IFERROR(INDEX(Listas!$C$2:$C$20,MATCH($D392,Listas!$A$2:$A$20,0)),""))</f>
        <v/>
      </c>
      <c r="V392" s="10" t="str">
        <f aca="false">IF($C392="","",IFERROR(INDEX(Listas!$D$2:$D$20,MATCH($D392,Listas!$A$2:$A$20,0)),""))</f>
        <v/>
      </c>
      <c r="W392" s="11" t="str">
        <f aca="false">IF(OR($C392="",$B392="",$G392=""),"",$G392-$B392)</f>
        <v/>
      </c>
      <c r="X392" s="11" t="str">
        <f aca="true">IF(OR($C392="",$B392=""),"",IF($N392&lt;&gt;"",$N392,TODAY())-$B392)</f>
        <v/>
      </c>
      <c r="Y392" s="11" t="str">
        <f aca="true">IF(OR($C392="",$M392&lt;&gt;"Abierta",$G392=""),"",MAX($G392-TODAY(),0))</f>
        <v/>
      </c>
      <c r="Z392" s="12" t="str">
        <f aca="false">IF($C392="","",N($K392)*N($H392)*N($I392)*IF($U392="Débito",-1,1))</f>
        <v/>
      </c>
      <c r="AA392" s="13" t="str">
        <f aca="false">IF($C392="","",IF(AND($U392="Débito",$F392&lt;&gt;""),$F392,$E392))</f>
        <v/>
      </c>
      <c r="AB392" s="13" t="str">
        <f aca="false">IF(OR($C392="",$T392="Mixta",$AA392=""),"",IF($V392="Subyacente",IF($J392="","",$J392-$K392),IF($T392="Put",$AA392-$K392,$AA392+$K392)))</f>
        <v/>
      </c>
      <c r="AC392" s="14" t="str">
        <f aca="false">IF(OR($C392="",$T392="Mixta",$J392="",$AA392=""),"",IF($T392="Put",($J392-$AA392)/$J392,($AA392-$J392)/$J392))</f>
        <v/>
      </c>
      <c r="AD392" s="12" t="str">
        <f aca="false">IF($C392="","",IF($Q392&lt;&gt;"",$Q392,IF($V392="Strike",N($E392)*$H392*$I392,IF($V392="Subyacente",IF($J392="","",$J392*$H392*$I392),IF($V392="Ancho",IF($F392="","",ABS($E392-$F392)*$H392*$I392-$K392*$H392*$I392),IF($V392="Prima",$K392*$H392*$I392,""))))))</f>
        <v/>
      </c>
      <c r="AE392" s="12" t="str">
        <f aca="false">IF(OR($C392="",$M392="Abierta",$M392=""),"",(N($K392)-IF(OR($M392="Cerrada",$M392="Rolada"),N($O392),0))*$H392*$I392*IF($U392="Débito",-1,1)-N($L392)-N($P392))</f>
        <v/>
      </c>
      <c r="AF392" s="14" t="str">
        <f aca="false">IF(OR($AE392="",$AD392=""),"",IF($AD392&lt;=0,"",$AE392/$AD392))</f>
        <v/>
      </c>
      <c r="AG392" s="14" t="str">
        <f aca="false">IF($AF392="","",$AF392*365/MAX(N($X392),1))</f>
        <v/>
      </c>
      <c r="AH392" s="14" t="str">
        <f aca="false">IF(OR($C392="",$U392&lt;&gt;"Crédito",$AD392=""),"",IF($AD392&lt;=0,"",($Z392-N($L392))/$AD392))</f>
        <v/>
      </c>
      <c r="AI392" s="14" t="str">
        <f aca="false">IF(OR($AH392="",$W392=""),"",$AH392*365/MAX($W392,1))</f>
        <v/>
      </c>
      <c r="AJ392" s="14" t="str">
        <f aca="false">IF(OR($AE392="",$U392&lt;&gt;"Crédito",N($K392)=0),"",(N($K392)-IF(OR($M392="Cerrada",$M392="Rolada"),N($O392),0))/$K392)</f>
        <v/>
      </c>
      <c r="AK392" s="15" t="str">
        <f aca="false">IF(OR($C392="",$N392=""),"",DATE(YEAR($N392),MONTH($N392),1))</f>
        <v/>
      </c>
      <c r="AL392" s="11" t="str">
        <f aca="false">IF($C392="","",IF($M392="Abierta",0,1))</f>
        <v/>
      </c>
      <c r="AM392" s="16" t="str">
        <f aca="false">IF(OR($AE392="",$AD392=""),"",$AD392*MAX(N($X392),1))</f>
        <v/>
      </c>
      <c r="AN392" s="10" t="str">
        <f aca="false">IF($C392="","",IF(OR($B392="",$D392="",$H392="",$K392="",$M392=""),"Faltan datos obligatorios",IF($T392="","Estrategia no reconocida",IF(AND($M392&lt;&gt;"Abierta",$N392=""),"Falta fecha cierre",IF(AND(OR($M392="Cerrada",$M392="Rolada"),$O392=""),"Falta prima cierre",IF(AND($N392&lt;&gt;"",$N392&lt;$B392),"Cierre anterior a apertura",IF(AND($M392="Asignada",$R392=""),"Asignada: falta ID lote acciones",IF(AND($R392&lt;&gt;"",ISNA(MATCH($R392,Acciones!$A$2:$A$201,0))),"El ID lote no existe en Acciones",IF($AD392="","Revisa capital en riesgo","OK")))))))))</f>
        <v/>
      </c>
    </row>
    <row r="393" customFormat="false" ht="15" hidden="false" customHeight="true" outlineLevel="0" collapsed="false">
      <c r="A393" s="5"/>
      <c r="B393" s="6"/>
      <c r="C393" s="7"/>
      <c r="D393" s="7"/>
      <c r="E393" s="8"/>
      <c r="F393" s="8"/>
      <c r="G393" s="6"/>
      <c r="H393" s="5"/>
      <c r="I393" s="5" t="n">
        <v>100</v>
      </c>
      <c r="J393" s="8"/>
      <c r="K393" s="8"/>
      <c r="L393" s="9"/>
      <c r="M393" s="7"/>
      <c r="N393" s="6"/>
      <c r="O393" s="8"/>
      <c r="P393" s="9"/>
      <c r="Q393" s="9"/>
      <c r="R393" s="7"/>
      <c r="S393" s="7"/>
      <c r="T393" s="10" t="str">
        <f aca="false">IF($C393="","",IFERROR(INDEX(Listas!$B$2:$B$20,MATCH($D393,Listas!$A$2:$A$20,0)),""))</f>
        <v/>
      </c>
      <c r="U393" s="10" t="str">
        <f aca="false">IF($C393="","",IFERROR(INDEX(Listas!$C$2:$C$20,MATCH($D393,Listas!$A$2:$A$20,0)),""))</f>
        <v/>
      </c>
      <c r="V393" s="10" t="str">
        <f aca="false">IF($C393="","",IFERROR(INDEX(Listas!$D$2:$D$20,MATCH($D393,Listas!$A$2:$A$20,0)),""))</f>
        <v/>
      </c>
      <c r="W393" s="11" t="str">
        <f aca="false">IF(OR($C393="",$B393="",$G393=""),"",$G393-$B393)</f>
        <v/>
      </c>
      <c r="X393" s="11" t="str">
        <f aca="true">IF(OR($C393="",$B393=""),"",IF($N393&lt;&gt;"",$N393,TODAY())-$B393)</f>
        <v/>
      </c>
      <c r="Y393" s="11" t="str">
        <f aca="true">IF(OR($C393="",$M393&lt;&gt;"Abierta",$G393=""),"",MAX($G393-TODAY(),0))</f>
        <v/>
      </c>
      <c r="Z393" s="12" t="str">
        <f aca="false">IF($C393="","",N($K393)*N($H393)*N($I393)*IF($U393="Débito",-1,1))</f>
        <v/>
      </c>
      <c r="AA393" s="13" t="str">
        <f aca="false">IF($C393="","",IF(AND($U393="Débito",$F393&lt;&gt;""),$F393,$E393))</f>
        <v/>
      </c>
      <c r="AB393" s="13" t="str">
        <f aca="false">IF(OR($C393="",$T393="Mixta",$AA393=""),"",IF($V393="Subyacente",IF($J393="","",$J393-$K393),IF($T393="Put",$AA393-$K393,$AA393+$K393)))</f>
        <v/>
      </c>
      <c r="AC393" s="14" t="str">
        <f aca="false">IF(OR($C393="",$T393="Mixta",$J393="",$AA393=""),"",IF($T393="Put",($J393-$AA393)/$J393,($AA393-$J393)/$J393))</f>
        <v/>
      </c>
      <c r="AD393" s="12" t="str">
        <f aca="false">IF($C393="","",IF($Q393&lt;&gt;"",$Q393,IF($V393="Strike",N($E393)*$H393*$I393,IF($V393="Subyacente",IF($J393="","",$J393*$H393*$I393),IF($V393="Ancho",IF($F393="","",ABS($E393-$F393)*$H393*$I393-$K393*$H393*$I393),IF($V393="Prima",$K393*$H393*$I393,""))))))</f>
        <v/>
      </c>
      <c r="AE393" s="12" t="str">
        <f aca="false">IF(OR($C393="",$M393="Abierta",$M393=""),"",(N($K393)-IF(OR($M393="Cerrada",$M393="Rolada"),N($O393),0))*$H393*$I393*IF($U393="Débito",-1,1)-N($L393)-N($P393))</f>
        <v/>
      </c>
      <c r="AF393" s="14" t="str">
        <f aca="false">IF(OR($AE393="",$AD393=""),"",IF($AD393&lt;=0,"",$AE393/$AD393))</f>
        <v/>
      </c>
      <c r="AG393" s="14" t="str">
        <f aca="false">IF($AF393="","",$AF393*365/MAX(N($X393),1))</f>
        <v/>
      </c>
      <c r="AH393" s="14" t="str">
        <f aca="false">IF(OR($C393="",$U393&lt;&gt;"Crédito",$AD393=""),"",IF($AD393&lt;=0,"",($Z393-N($L393))/$AD393))</f>
        <v/>
      </c>
      <c r="AI393" s="14" t="str">
        <f aca="false">IF(OR($AH393="",$W393=""),"",$AH393*365/MAX($W393,1))</f>
        <v/>
      </c>
      <c r="AJ393" s="14" t="str">
        <f aca="false">IF(OR($AE393="",$U393&lt;&gt;"Crédito",N($K393)=0),"",(N($K393)-IF(OR($M393="Cerrada",$M393="Rolada"),N($O393),0))/$K393)</f>
        <v/>
      </c>
      <c r="AK393" s="15" t="str">
        <f aca="false">IF(OR($C393="",$N393=""),"",DATE(YEAR($N393),MONTH($N393),1))</f>
        <v/>
      </c>
      <c r="AL393" s="11" t="str">
        <f aca="false">IF($C393="","",IF($M393="Abierta",0,1))</f>
        <v/>
      </c>
      <c r="AM393" s="16" t="str">
        <f aca="false">IF(OR($AE393="",$AD393=""),"",$AD393*MAX(N($X393),1))</f>
        <v/>
      </c>
      <c r="AN393" s="10" t="str">
        <f aca="false">IF($C393="","",IF(OR($B393="",$D393="",$H393="",$K393="",$M393=""),"Faltan datos obligatorios",IF($T393="","Estrategia no reconocida",IF(AND($M393&lt;&gt;"Abierta",$N393=""),"Falta fecha cierre",IF(AND(OR($M393="Cerrada",$M393="Rolada"),$O393=""),"Falta prima cierre",IF(AND($N393&lt;&gt;"",$N393&lt;$B393),"Cierre anterior a apertura",IF(AND($M393="Asignada",$R393=""),"Asignada: falta ID lote acciones",IF(AND($R393&lt;&gt;"",ISNA(MATCH($R393,Acciones!$A$2:$A$201,0))),"El ID lote no existe en Acciones",IF($AD393="","Revisa capital en riesgo","OK")))))))))</f>
        <v/>
      </c>
    </row>
    <row r="394" customFormat="false" ht="15" hidden="false" customHeight="true" outlineLevel="0" collapsed="false">
      <c r="A394" s="5"/>
      <c r="B394" s="6"/>
      <c r="C394" s="7"/>
      <c r="D394" s="7"/>
      <c r="E394" s="8"/>
      <c r="F394" s="8"/>
      <c r="G394" s="6"/>
      <c r="H394" s="5"/>
      <c r="I394" s="5" t="n">
        <v>100</v>
      </c>
      <c r="J394" s="8"/>
      <c r="K394" s="8"/>
      <c r="L394" s="9"/>
      <c r="M394" s="7"/>
      <c r="N394" s="6"/>
      <c r="O394" s="8"/>
      <c r="P394" s="9"/>
      <c r="Q394" s="9"/>
      <c r="R394" s="7"/>
      <c r="S394" s="7"/>
      <c r="T394" s="10" t="str">
        <f aca="false">IF($C394="","",IFERROR(INDEX(Listas!$B$2:$B$20,MATCH($D394,Listas!$A$2:$A$20,0)),""))</f>
        <v/>
      </c>
      <c r="U394" s="10" t="str">
        <f aca="false">IF($C394="","",IFERROR(INDEX(Listas!$C$2:$C$20,MATCH($D394,Listas!$A$2:$A$20,0)),""))</f>
        <v/>
      </c>
      <c r="V394" s="10" t="str">
        <f aca="false">IF($C394="","",IFERROR(INDEX(Listas!$D$2:$D$20,MATCH($D394,Listas!$A$2:$A$20,0)),""))</f>
        <v/>
      </c>
      <c r="W394" s="11" t="str">
        <f aca="false">IF(OR($C394="",$B394="",$G394=""),"",$G394-$B394)</f>
        <v/>
      </c>
      <c r="X394" s="11" t="str">
        <f aca="true">IF(OR($C394="",$B394=""),"",IF($N394&lt;&gt;"",$N394,TODAY())-$B394)</f>
        <v/>
      </c>
      <c r="Y394" s="11" t="str">
        <f aca="true">IF(OR($C394="",$M394&lt;&gt;"Abierta",$G394=""),"",MAX($G394-TODAY(),0))</f>
        <v/>
      </c>
      <c r="Z394" s="12" t="str">
        <f aca="false">IF($C394="","",N($K394)*N($H394)*N($I394)*IF($U394="Débito",-1,1))</f>
        <v/>
      </c>
      <c r="AA394" s="13" t="str">
        <f aca="false">IF($C394="","",IF(AND($U394="Débito",$F394&lt;&gt;""),$F394,$E394))</f>
        <v/>
      </c>
      <c r="AB394" s="13" t="str">
        <f aca="false">IF(OR($C394="",$T394="Mixta",$AA394=""),"",IF($V394="Subyacente",IF($J394="","",$J394-$K394),IF($T394="Put",$AA394-$K394,$AA394+$K394)))</f>
        <v/>
      </c>
      <c r="AC394" s="14" t="str">
        <f aca="false">IF(OR($C394="",$T394="Mixta",$J394="",$AA394=""),"",IF($T394="Put",($J394-$AA394)/$J394,($AA394-$J394)/$J394))</f>
        <v/>
      </c>
      <c r="AD394" s="12" t="str">
        <f aca="false">IF($C394="","",IF($Q394&lt;&gt;"",$Q394,IF($V394="Strike",N($E394)*$H394*$I394,IF($V394="Subyacente",IF($J394="","",$J394*$H394*$I394),IF($V394="Ancho",IF($F394="","",ABS($E394-$F394)*$H394*$I394-$K394*$H394*$I394),IF($V394="Prima",$K394*$H394*$I394,""))))))</f>
        <v/>
      </c>
      <c r="AE394" s="12" t="str">
        <f aca="false">IF(OR($C394="",$M394="Abierta",$M394=""),"",(N($K394)-IF(OR($M394="Cerrada",$M394="Rolada"),N($O394),0))*$H394*$I394*IF($U394="Débito",-1,1)-N($L394)-N($P394))</f>
        <v/>
      </c>
      <c r="AF394" s="14" t="str">
        <f aca="false">IF(OR($AE394="",$AD394=""),"",IF($AD394&lt;=0,"",$AE394/$AD394))</f>
        <v/>
      </c>
      <c r="AG394" s="14" t="str">
        <f aca="false">IF($AF394="","",$AF394*365/MAX(N($X394),1))</f>
        <v/>
      </c>
      <c r="AH394" s="14" t="str">
        <f aca="false">IF(OR($C394="",$U394&lt;&gt;"Crédito",$AD394=""),"",IF($AD394&lt;=0,"",($Z394-N($L394))/$AD394))</f>
        <v/>
      </c>
      <c r="AI394" s="14" t="str">
        <f aca="false">IF(OR($AH394="",$W394=""),"",$AH394*365/MAX($W394,1))</f>
        <v/>
      </c>
      <c r="AJ394" s="14" t="str">
        <f aca="false">IF(OR($AE394="",$U394&lt;&gt;"Crédito",N($K394)=0),"",(N($K394)-IF(OR($M394="Cerrada",$M394="Rolada"),N($O394),0))/$K394)</f>
        <v/>
      </c>
      <c r="AK394" s="15" t="str">
        <f aca="false">IF(OR($C394="",$N394=""),"",DATE(YEAR($N394),MONTH($N394),1))</f>
        <v/>
      </c>
      <c r="AL394" s="11" t="str">
        <f aca="false">IF($C394="","",IF($M394="Abierta",0,1))</f>
        <v/>
      </c>
      <c r="AM394" s="16" t="str">
        <f aca="false">IF(OR($AE394="",$AD394=""),"",$AD394*MAX(N($X394),1))</f>
        <v/>
      </c>
      <c r="AN394" s="10" t="str">
        <f aca="false">IF($C394="","",IF(OR($B394="",$D394="",$H394="",$K394="",$M394=""),"Faltan datos obligatorios",IF($T394="","Estrategia no reconocida",IF(AND($M394&lt;&gt;"Abierta",$N394=""),"Falta fecha cierre",IF(AND(OR($M394="Cerrada",$M394="Rolada"),$O394=""),"Falta prima cierre",IF(AND($N394&lt;&gt;"",$N394&lt;$B394),"Cierre anterior a apertura",IF(AND($M394="Asignada",$R394=""),"Asignada: falta ID lote acciones",IF(AND($R394&lt;&gt;"",ISNA(MATCH($R394,Acciones!$A$2:$A$201,0))),"El ID lote no existe en Acciones",IF($AD394="","Revisa capital en riesgo","OK")))))))))</f>
        <v/>
      </c>
    </row>
    <row r="395" customFormat="false" ht="15" hidden="false" customHeight="true" outlineLevel="0" collapsed="false">
      <c r="A395" s="5"/>
      <c r="B395" s="6"/>
      <c r="C395" s="7"/>
      <c r="D395" s="7"/>
      <c r="E395" s="8"/>
      <c r="F395" s="8"/>
      <c r="G395" s="6"/>
      <c r="H395" s="5"/>
      <c r="I395" s="5" t="n">
        <v>100</v>
      </c>
      <c r="J395" s="8"/>
      <c r="K395" s="8"/>
      <c r="L395" s="9"/>
      <c r="M395" s="7"/>
      <c r="N395" s="6"/>
      <c r="O395" s="8"/>
      <c r="P395" s="9"/>
      <c r="Q395" s="9"/>
      <c r="R395" s="7"/>
      <c r="S395" s="7"/>
      <c r="T395" s="10" t="str">
        <f aca="false">IF($C395="","",IFERROR(INDEX(Listas!$B$2:$B$20,MATCH($D395,Listas!$A$2:$A$20,0)),""))</f>
        <v/>
      </c>
      <c r="U395" s="10" t="str">
        <f aca="false">IF($C395="","",IFERROR(INDEX(Listas!$C$2:$C$20,MATCH($D395,Listas!$A$2:$A$20,0)),""))</f>
        <v/>
      </c>
      <c r="V395" s="10" t="str">
        <f aca="false">IF($C395="","",IFERROR(INDEX(Listas!$D$2:$D$20,MATCH($D395,Listas!$A$2:$A$20,0)),""))</f>
        <v/>
      </c>
      <c r="W395" s="11" t="str">
        <f aca="false">IF(OR($C395="",$B395="",$G395=""),"",$G395-$B395)</f>
        <v/>
      </c>
      <c r="X395" s="11" t="str">
        <f aca="true">IF(OR($C395="",$B395=""),"",IF($N395&lt;&gt;"",$N395,TODAY())-$B395)</f>
        <v/>
      </c>
      <c r="Y395" s="11" t="str">
        <f aca="true">IF(OR($C395="",$M395&lt;&gt;"Abierta",$G395=""),"",MAX($G395-TODAY(),0))</f>
        <v/>
      </c>
      <c r="Z395" s="12" t="str">
        <f aca="false">IF($C395="","",N($K395)*N($H395)*N($I395)*IF($U395="Débito",-1,1))</f>
        <v/>
      </c>
      <c r="AA395" s="13" t="str">
        <f aca="false">IF($C395="","",IF(AND($U395="Débito",$F395&lt;&gt;""),$F395,$E395))</f>
        <v/>
      </c>
      <c r="AB395" s="13" t="str">
        <f aca="false">IF(OR($C395="",$T395="Mixta",$AA395=""),"",IF($V395="Subyacente",IF($J395="","",$J395-$K395),IF($T395="Put",$AA395-$K395,$AA395+$K395)))</f>
        <v/>
      </c>
      <c r="AC395" s="14" t="str">
        <f aca="false">IF(OR($C395="",$T395="Mixta",$J395="",$AA395=""),"",IF($T395="Put",($J395-$AA395)/$J395,($AA395-$J395)/$J395))</f>
        <v/>
      </c>
      <c r="AD395" s="12" t="str">
        <f aca="false">IF($C395="","",IF($Q395&lt;&gt;"",$Q395,IF($V395="Strike",N($E395)*$H395*$I395,IF($V395="Subyacente",IF($J395="","",$J395*$H395*$I395),IF($V395="Ancho",IF($F395="","",ABS($E395-$F395)*$H395*$I395-$K395*$H395*$I395),IF($V395="Prima",$K395*$H395*$I395,""))))))</f>
        <v/>
      </c>
      <c r="AE395" s="12" t="str">
        <f aca="false">IF(OR($C395="",$M395="Abierta",$M395=""),"",(N($K395)-IF(OR($M395="Cerrada",$M395="Rolada"),N($O395),0))*$H395*$I395*IF($U395="Débito",-1,1)-N($L395)-N($P395))</f>
        <v/>
      </c>
      <c r="AF395" s="14" t="str">
        <f aca="false">IF(OR($AE395="",$AD395=""),"",IF($AD395&lt;=0,"",$AE395/$AD395))</f>
        <v/>
      </c>
      <c r="AG395" s="14" t="str">
        <f aca="false">IF($AF395="","",$AF395*365/MAX(N($X395),1))</f>
        <v/>
      </c>
      <c r="AH395" s="14" t="str">
        <f aca="false">IF(OR($C395="",$U395&lt;&gt;"Crédito",$AD395=""),"",IF($AD395&lt;=0,"",($Z395-N($L395))/$AD395))</f>
        <v/>
      </c>
      <c r="AI395" s="14" t="str">
        <f aca="false">IF(OR($AH395="",$W395=""),"",$AH395*365/MAX($W395,1))</f>
        <v/>
      </c>
      <c r="AJ395" s="14" t="str">
        <f aca="false">IF(OR($AE395="",$U395&lt;&gt;"Crédito",N($K395)=0),"",(N($K395)-IF(OR($M395="Cerrada",$M395="Rolada"),N($O395),0))/$K395)</f>
        <v/>
      </c>
      <c r="AK395" s="15" t="str">
        <f aca="false">IF(OR($C395="",$N395=""),"",DATE(YEAR($N395),MONTH($N395),1))</f>
        <v/>
      </c>
      <c r="AL395" s="11" t="str">
        <f aca="false">IF($C395="","",IF($M395="Abierta",0,1))</f>
        <v/>
      </c>
      <c r="AM395" s="16" t="str">
        <f aca="false">IF(OR($AE395="",$AD395=""),"",$AD395*MAX(N($X395),1))</f>
        <v/>
      </c>
      <c r="AN395" s="10" t="str">
        <f aca="false">IF($C395="","",IF(OR($B395="",$D395="",$H395="",$K395="",$M395=""),"Faltan datos obligatorios",IF($T395="","Estrategia no reconocida",IF(AND($M395&lt;&gt;"Abierta",$N395=""),"Falta fecha cierre",IF(AND(OR($M395="Cerrada",$M395="Rolada"),$O395=""),"Falta prima cierre",IF(AND($N395&lt;&gt;"",$N395&lt;$B395),"Cierre anterior a apertura",IF(AND($M395="Asignada",$R395=""),"Asignada: falta ID lote acciones",IF(AND($R395&lt;&gt;"",ISNA(MATCH($R395,Acciones!$A$2:$A$201,0))),"El ID lote no existe en Acciones",IF($AD395="","Revisa capital en riesgo","OK")))))))))</f>
        <v/>
      </c>
    </row>
    <row r="396" customFormat="false" ht="15" hidden="false" customHeight="true" outlineLevel="0" collapsed="false">
      <c r="A396" s="5"/>
      <c r="B396" s="6"/>
      <c r="C396" s="7"/>
      <c r="D396" s="7"/>
      <c r="E396" s="8"/>
      <c r="F396" s="8"/>
      <c r="G396" s="6"/>
      <c r="H396" s="5"/>
      <c r="I396" s="5" t="n">
        <v>100</v>
      </c>
      <c r="J396" s="8"/>
      <c r="K396" s="8"/>
      <c r="L396" s="9"/>
      <c r="M396" s="7"/>
      <c r="N396" s="6"/>
      <c r="O396" s="8"/>
      <c r="P396" s="9"/>
      <c r="Q396" s="9"/>
      <c r="R396" s="7"/>
      <c r="S396" s="7"/>
      <c r="T396" s="10" t="str">
        <f aca="false">IF($C396="","",IFERROR(INDEX(Listas!$B$2:$B$20,MATCH($D396,Listas!$A$2:$A$20,0)),""))</f>
        <v/>
      </c>
      <c r="U396" s="10" t="str">
        <f aca="false">IF($C396="","",IFERROR(INDEX(Listas!$C$2:$C$20,MATCH($D396,Listas!$A$2:$A$20,0)),""))</f>
        <v/>
      </c>
      <c r="V396" s="10" t="str">
        <f aca="false">IF($C396="","",IFERROR(INDEX(Listas!$D$2:$D$20,MATCH($D396,Listas!$A$2:$A$20,0)),""))</f>
        <v/>
      </c>
      <c r="W396" s="11" t="str">
        <f aca="false">IF(OR($C396="",$B396="",$G396=""),"",$G396-$B396)</f>
        <v/>
      </c>
      <c r="X396" s="11" t="str">
        <f aca="true">IF(OR($C396="",$B396=""),"",IF($N396&lt;&gt;"",$N396,TODAY())-$B396)</f>
        <v/>
      </c>
      <c r="Y396" s="11" t="str">
        <f aca="true">IF(OR($C396="",$M396&lt;&gt;"Abierta",$G396=""),"",MAX($G396-TODAY(),0))</f>
        <v/>
      </c>
      <c r="Z396" s="12" t="str">
        <f aca="false">IF($C396="","",N($K396)*N($H396)*N($I396)*IF($U396="Débito",-1,1))</f>
        <v/>
      </c>
      <c r="AA396" s="13" t="str">
        <f aca="false">IF($C396="","",IF(AND($U396="Débito",$F396&lt;&gt;""),$F396,$E396))</f>
        <v/>
      </c>
      <c r="AB396" s="13" t="str">
        <f aca="false">IF(OR($C396="",$T396="Mixta",$AA396=""),"",IF($V396="Subyacente",IF($J396="","",$J396-$K396),IF($T396="Put",$AA396-$K396,$AA396+$K396)))</f>
        <v/>
      </c>
      <c r="AC396" s="14" t="str">
        <f aca="false">IF(OR($C396="",$T396="Mixta",$J396="",$AA396=""),"",IF($T396="Put",($J396-$AA396)/$J396,($AA396-$J396)/$J396))</f>
        <v/>
      </c>
      <c r="AD396" s="12" t="str">
        <f aca="false">IF($C396="","",IF($Q396&lt;&gt;"",$Q396,IF($V396="Strike",N($E396)*$H396*$I396,IF($V396="Subyacente",IF($J396="","",$J396*$H396*$I396),IF($V396="Ancho",IF($F396="","",ABS($E396-$F396)*$H396*$I396-$K396*$H396*$I396),IF($V396="Prima",$K396*$H396*$I396,""))))))</f>
        <v/>
      </c>
      <c r="AE396" s="12" t="str">
        <f aca="false">IF(OR($C396="",$M396="Abierta",$M396=""),"",(N($K396)-IF(OR($M396="Cerrada",$M396="Rolada"),N($O396),0))*$H396*$I396*IF($U396="Débito",-1,1)-N($L396)-N($P396))</f>
        <v/>
      </c>
      <c r="AF396" s="14" t="str">
        <f aca="false">IF(OR($AE396="",$AD396=""),"",IF($AD396&lt;=0,"",$AE396/$AD396))</f>
        <v/>
      </c>
      <c r="AG396" s="14" t="str">
        <f aca="false">IF($AF396="","",$AF396*365/MAX(N($X396),1))</f>
        <v/>
      </c>
      <c r="AH396" s="14" t="str">
        <f aca="false">IF(OR($C396="",$U396&lt;&gt;"Crédito",$AD396=""),"",IF($AD396&lt;=0,"",($Z396-N($L396))/$AD396))</f>
        <v/>
      </c>
      <c r="AI396" s="14" t="str">
        <f aca="false">IF(OR($AH396="",$W396=""),"",$AH396*365/MAX($W396,1))</f>
        <v/>
      </c>
      <c r="AJ396" s="14" t="str">
        <f aca="false">IF(OR($AE396="",$U396&lt;&gt;"Crédito",N($K396)=0),"",(N($K396)-IF(OR($M396="Cerrada",$M396="Rolada"),N($O396),0))/$K396)</f>
        <v/>
      </c>
      <c r="AK396" s="15" t="str">
        <f aca="false">IF(OR($C396="",$N396=""),"",DATE(YEAR($N396),MONTH($N396),1))</f>
        <v/>
      </c>
      <c r="AL396" s="11" t="str">
        <f aca="false">IF($C396="","",IF($M396="Abierta",0,1))</f>
        <v/>
      </c>
      <c r="AM396" s="16" t="str">
        <f aca="false">IF(OR($AE396="",$AD396=""),"",$AD396*MAX(N($X396),1))</f>
        <v/>
      </c>
      <c r="AN396" s="10" t="str">
        <f aca="false">IF($C396="","",IF(OR($B396="",$D396="",$H396="",$K396="",$M396=""),"Faltan datos obligatorios",IF($T396="","Estrategia no reconocida",IF(AND($M396&lt;&gt;"Abierta",$N396=""),"Falta fecha cierre",IF(AND(OR($M396="Cerrada",$M396="Rolada"),$O396=""),"Falta prima cierre",IF(AND($N396&lt;&gt;"",$N396&lt;$B396),"Cierre anterior a apertura",IF(AND($M396="Asignada",$R396=""),"Asignada: falta ID lote acciones",IF(AND($R396&lt;&gt;"",ISNA(MATCH($R396,Acciones!$A$2:$A$201,0))),"El ID lote no existe en Acciones",IF($AD396="","Revisa capital en riesgo","OK")))))))))</f>
        <v/>
      </c>
    </row>
    <row r="397" customFormat="false" ht="15" hidden="false" customHeight="true" outlineLevel="0" collapsed="false">
      <c r="A397" s="5"/>
      <c r="B397" s="6"/>
      <c r="C397" s="7"/>
      <c r="D397" s="7"/>
      <c r="E397" s="8"/>
      <c r="F397" s="8"/>
      <c r="G397" s="6"/>
      <c r="H397" s="5"/>
      <c r="I397" s="5" t="n">
        <v>100</v>
      </c>
      <c r="J397" s="8"/>
      <c r="K397" s="8"/>
      <c r="L397" s="9"/>
      <c r="M397" s="7"/>
      <c r="N397" s="6"/>
      <c r="O397" s="8"/>
      <c r="P397" s="9"/>
      <c r="Q397" s="9"/>
      <c r="R397" s="7"/>
      <c r="S397" s="7"/>
      <c r="T397" s="10" t="str">
        <f aca="false">IF($C397="","",IFERROR(INDEX(Listas!$B$2:$B$20,MATCH($D397,Listas!$A$2:$A$20,0)),""))</f>
        <v/>
      </c>
      <c r="U397" s="10" t="str">
        <f aca="false">IF($C397="","",IFERROR(INDEX(Listas!$C$2:$C$20,MATCH($D397,Listas!$A$2:$A$20,0)),""))</f>
        <v/>
      </c>
      <c r="V397" s="10" t="str">
        <f aca="false">IF($C397="","",IFERROR(INDEX(Listas!$D$2:$D$20,MATCH($D397,Listas!$A$2:$A$20,0)),""))</f>
        <v/>
      </c>
      <c r="W397" s="11" t="str">
        <f aca="false">IF(OR($C397="",$B397="",$G397=""),"",$G397-$B397)</f>
        <v/>
      </c>
      <c r="X397" s="11" t="str">
        <f aca="true">IF(OR($C397="",$B397=""),"",IF($N397&lt;&gt;"",$N397,TODAY())-$B397)</f>
        <v/>
      </c>
      <c r="Y397" s="11" t="str">
        <f aca="true">IF(OR($C397="",$M397&lt;&gt;"Abierta",$G397=""),"",MAX($G397-TODAY(),0))</f>
        <v/>
      </c>
      <c r="Z397" s="12" t="str">
        <f aca="false">IF($C397="","",N($K397)*N($H397)*N($I397)*IF($U397="Débito",-1,1))</f>
        <v/>
      </c>
      <c r="AA397" s="13" t="str">
        <f aca="false">IF($C397="","",IF(AND($U397="Débito",$F397&lt;&gt;""),$F397,$E397))</f>
        <v/>
      </c>
      <c r="AB397" s="13" t="str">
        <f aca="false">IF(OR($C397="",$T397="Mixta",$AA397=""),"",IF($V397="Subyacente",IF($J397="","",$J397-$K397),IF($T397="Put",$AA397-$K397,$AA397+$K397)))</f>
        <v/>
      </c>
      <c r="AC397" s="14" t="str">
        <f aca="false">IF(OR($C397="",$T397="Mixta",$J397="",$AA397=""),"",IF($T397="Put",($J397-$AA397)/$J397,($AA397-$J397)/$J397))</f>
        <v/>
      </c>
      <c r="AD397" s="12" t="str">
        <f aca="false">IF($C397="","",IF($Q397&lt;&gt;"",$Q397,IF($V397="Strike",N($E397)*$H397*$I397,IF($V397="Subyacente",IF($J397="","",$J397*$H397*$I397),IF($V397="Ancho",IF($F397="","",ABS($E397-$F397)*$H397*$I397-$K397*$H397*$I397),IF($V397="Prima",$K397*$H397*$I397,""))))))</f>
        <v/>
      </c>
      <c r="AE397" s="12" t="str">
        <f aca="false">IF(OR($C397="",$M397="Abierta",$M397=""),"",(N($K397)-IF(OR($M397="Cerrada",$M397="Rolada"),N($O397),0))*$H397*$I397*IF($U397="Débito",-1,1)-N($L397)-N($P397))</f>
        <v/>
      </c>
      <c r="AF397" s="14" t="str">
        <f aca="false">IF(OR($AE397="",$AD397=""),"",IF($AD397&lt;=0,"",$AE397/$AD397))</f>
        <v/>
      </c>
      <c r="AG397" s="14" t="str">
        <f aca="false">IF($AF397="","",$AF397*365/MAX(N($X397),1))</f>
        <v/>
      </c>
      <c r="AH397" s="14" t="str">
        <f aca="false">IF(OR($C397="",$U397&lt;&gt;"Crédito",$AD397=""),"",IF($AD397&lt;=0,"",($Z397-N($L397))/$AD397))</f>
        <v/>
      </c>
      <c r="AI397" s="14" t="str">
        <f aca="false">IF(OR($AH397="",$W397=""),"",$AH397*365/MAX($W397,1))</f>
        <v/>
      </c>
      <c r="AJ397" s="14" t="str">
        <f aca="false">IF(OR($AE397="",$U397&lt;&gt;"Crédito",N($K397)=0),"",(N($K397)-IF(OR($M397="Cerrada",$M397="Rolada"),N($O397),0))/$K397)</f>
        <v/>
      </c>
      <c r="AK397" s="15" t="str">
        <f aca="false">IF(OR($C397="",$N397=""),"",DATE(YEAR($N397),MONTH($N397),1))</f>
        <v/>
      </c>
      <c r="AL397" s="11" t="str">
        <f aca="false">IF($C397="","",IF($M397="Abierta",0,1))</f>
        <v/>
      </c>
      <c r="AM397" s="16" t="str">
        <f aca="false">IF(OR($AE397="",$AD397=""),"",$AD397*MAX(N($X397),1))</f>
        <v/>
      </c>
      <c r="AN397" s="10" t="str">
        <f aca="false">IF($C397="","",IF(OR($B397="",$D397="",$H397="",$K397="",$M397=""),"Faltan datos obligatorios",IF($T397="","Estrategia no reconocida",IF(AND($M397&lt;&gt;"Abierta",$N397=""),"Falta fecha cierre",IF(AND(OR($M397="Cerrada",$M397="Rolada"),$O397=""),"Falta prima cierre",IF(AND($N397&lt;&gt;"",$N397&lt;$B397),"Cierre anterior a apertura",IF(AND($M397="Asignada",$R397=""),"Asignada: falta ID lote acciones",IF(AND($R397&lt;&gt;"",ISNA(MATCH($R397,Acciones!$A$2:$A$201,0))),"El ID lote no existe en Acciones",IF($AD397="","Revisa capital en riesgo","OK")))))))))</f>
        <v/>
      </c>
    </row>
    <row r="398" customFormat="false" ht="15" hidden="false" customHeight="true" outlineLevel="0" collapsed="false">
      <c r="A398" s="5"/>
      <c r="B398" s="6"/>
      <c r="C398" s="7"/>
      <c r="D398" s="7"/>
      <c r="E398" s="8"/>
      <c r="F398" s="8"/>
      <c r="G398" s="6"/>
      <c r="H398" s="5"/>
      <c r="I398" s="5" t="n">
        <v>100</v>
      </c>
      <c r="J398" s="8"/>
      <c r="K398" s="8"/>
      <c r="L398" s="9"/>
      <c r="M398" s="7"/>
      <c r="N398" s="6"/>
      <c r="O398" s="8"/>
      <c r="P398" s="9"/>
      <c r="Q398" s="9"/>
      <c r="R398" s="7"/>
      <c r="S398" s="7"/>
      <c r="T398" s="10" t="str">
        <f aca="false">IF($C398="","",IFERROR(INDEX(Listas!$B$2:$B$20,MATCH($D398,Listas!$A$2:$A$20,0)),""))</f>
        <v/>
      </c>
      <c r="U398" s="10" t="str">
        <f aca="false">IF($C398="","",IFERROR(INDEX(Listas!$C$2:$C$20,MATCH($D398,Listas!$A$2:$A$20,0)),""))</f>
        <v/>
      </c>
      <c r="V398" s="10" t="str">
        <f aca="false">IF($C398="","",IFERROR(INDEX(Listas!$D$2:$D$20,MATCH($D398,Listas!$A$2:$A$20,0)),""))</f>
        <v/>
      </c>
      <c r="W398" s="11" t="str">
        <f aca="false">IF(OR($C398="",$B398="",$G398=""),"",$G398-$B398)</f>
        <v/>
      </c>
      <c r="X398" s="11" t="str">
        <f aca="true">IF(OR($C398="",$B398=""),"",IF($N398&lt;&gt;"",$N398,TODAY())-$B398)</f>
        <v/>
      </c>
      <c r="Y398" s="11" t="str">
        <f aca="true">IF(OR($C398="",$M398&lt;&gt;"Abierta",$G398=""),"",MAX($G398-TODAY(),0))</f>
        <v/>
      </c>
      <c r="Z398" s="12" t="str">
        <f aca="false">IF($C398="","",N($K398)*N($H398)*N($I398)*IF($U398="Débito",-1,1))</f>
        <v/>
      </c>
      <c r="AA398" s="13" t="str">
        <f aca="false">IF($C398="","",IF(AND($U398="Débito",$F398&lt;&gt;""),$F398,$E398))</f>
        <v/>
      </c>
      <c r="AB398" s="13" t="str">
        <f aca="false">IF(OR($C398="",$T398="Mixta",$AA398=""),"",IF($V398="Subyacente",IF($J398="","",$J398-$K398),IF($T398="Put",$AA398-$K398,$AA398+$K398)))</f>
        <v/>
      </c>
      <c r="AC398" s="14" t="str">
        <f aca="false">IF(OR($C398="",$T398="Mixta",$J398="",$AA398=""),"",IF($T398="Put",($J398-$AA398)/$J398,($AA398-$J398)/$J398))</f>
        <v/>
      </c>
      <c r="AD398" s="12" t="str">
        <f aca="false">IF($C398="","",IF($Q398&lt;&gt;"",$Q398,IF($V398="Strike",N($E398)*$H398*$I398,IF($V398="Subyacente",IF($J398="","",$J398*$H398*$I398),IF($V398="Ancho",IF($F398="","",ABS($E398-$F398)*$H398*$I398-$K398*$H398*$I398),IF($V398="Prima",$K398*$H398*$I398,""))))))</f>
        <v/>
      </c>
      <c r="AE398" s="12" t="str">
        <f aca="false">IF(OR($C398="",$M398="Abierta",$M398=""),"",(N($K398)-IF(OR($M398="Cerrada",$M398="Rolada"),N($O398),0))*$H398*$I398*IF($U398="Débito",-1,1)-N($L398)-N($P398))</f>
        <v/>
      </c>
      <c r="AF398" s="14" t="str">
        <f aca="false">IF(OR($AE398="",$AD398=""),"",IF($AD398&lt;=0,"",$AE398/$AD398))</f>
        <v/>
      </c>
      <c r="AG398" s="14" t="str">
        <f aca="false">IF($AF398="","",$AF398*365/MAX(N($X398),1))</f>
        <v/>
      </c>
      <c r="AH398" s="14" t="str">
        <f aca="false">IF(OR($C398="",$U398&lt;&gt;"Crédito",$AD398=""),"",IF($AD398&lt;=0,"",($Z398-N($L398))/$AD398))</f>
        <v/>
      </c>
      <c r="AI398" s="14" t="str">
        <f aca="false">IF(OR($AH398="",$W398=""),"",$AH398*365/MAX($W398,1))</f>
        <v/>
      </c>
      <c r="AJ398" s="14" t="str">
        <f aca="false">IF(OR($AE398="",$U398&lt;&gt;"Crédito",N($K398)=0),"",(N($K398)-IF(OR($M398="Cerrada",$M398="Rolada"),N($O398),0))/$K398)</f>
        <v/>
      </c>
      <c r="AK398" s="15" t="str">
        <f aca="false">IF(OR($C398="",$N398=""),"",DATE(YEAR($N398),MONTH($N398),1))</f>
        <v/>
      </c>
      <c r="AL398" s="11" t="str">
        <f aca="false">IF($C398="","",IF($M398="Abierta",0,1))</f>
        <v/>
      </c>
      <c r="AM398" s="16" t="str">
        <f aca="false">IF(OR($AE398="",$AD398=""),"",$AD398*MAX(N($X398),1))</f>
        <v/>
      </c>
      <c r="AN398" s="10" t="str">
        <f aca="false">IF($C398="","",IF(OR($B398="",$D398="",$H398="",$K398="",$M398=""),"Faltan datos obligatorios",IF($T398="","Estrategia no reconocida",IF(AND($M398&lt;&gt;"Abierta",$N398=""),"Falta fecha cierre",IF(AND(OR($M398="Cerrada",$M398="Rolada"),$O398=""),"Falta prima cierre",IF(AND($N398&lt;&gt;"",$N398&lt;$B398),"Cierre anterior a apertura",IF(AND($M398="Asignada",$R398=""),"Asignada: falta ID lote acciones",IF(AND($R398&lt;&gt;"",ISNA(MATCH($R398,Acciones!$A$2:$A$201,0))),"El ID lote no existe en Acciones",IF($AD398="","Revisa capital en riesgo","OK")))))))))</f>
        <v/>
      </c>
    </row>
    <row r="399" customFormat="false" ht="15" hidden="false" customHeight="true" outlineLevel="0" collapsed="false">
      <c r="A399" s="5"/>
      <c r="B399" s="6"/>
      <c r="C399" s="7"/>
      <c r="D399" s="7"/>
      <c r="E399" s="8"/>
      <c r="F399" s="8"/>
      <c r="G399" s="6"/>
      <c r="H399" s="5"/>
      <c r="I399" s="5" t="n">
        <v>100</v>
      </c>
      <c r="J399" s="8"/>
      <c r="K399" s="8"/>
      <c r="L399" s="9"/>
      <c r="M399" s="7"/>
      <c r="N399" s="6"/>
      <c r="O399" s="8"/>
      <c r="P399" s="9"/>
      <c r="Q399" s="9"/>
      <c r="R399" s="7"/>
      <c r="S399" s="7"/>
      <c r="T399" s="10" t="str">
        <f aca="false">IF($C399="","",IFERROR(INDEX(Listas!$B$2:$B$20,MATCH($D399,Listas!$A$2:$A$20,0)),""))</f>
        <v/>
      </c>
      <c r="U399" s="10" t="str">
        <f aca="false">IF($C399="","",IFERROR(INDEX(Listas!$C$2:$C$20,MATCH($D399,Listas!$A$2:$A$20,0)),""))</f>
        <v/>
      </c>
      <c r="V399" s="10" t="str">
        <f aca="false">IF($C399="","",IFERROR(INDEX(Listas!$D$2:$D$20,MATCH($D399,Listas!$A$2:$A$20,0)),""))</f>
        <v/>
      </c>
      <c r="W399" s="11" t="str">
        <f aca="false">IF(OR($C399="",$B399="",$G399=""),"",$G399-$B399)</f>
        <v/>
      </c>
      <c r="X399" s="11" t="str">
        <f aca="true">IF(OR($C399="",$B399=""),"",IF($N399&lt;&gt;"",$N399,TODAY())-$B399)</f>
        <v/>
      </c>
      <c r="Y399" s="11" t="str">
        <f aca="true">IF(OR($C399="",$M399&lt;&gt;"Abierta",$G399=""),"",MAX($G399-TODAY(),0))</f>
        <v/>
      </c>
      <c r="Z399" s="12" t="str">
        <f aca="false">IF($C399="","",N($K399)*N($H399)*N($I399)*IF($U399="Débito",-1,1))</f>
        <v/>
      </c>
      <c r="AA399" s="13" t="str">
        <f aca="false">IF($C399="","",IF(AND($U399="Débito",$F399&lt;&gt;""),$F399,$E399))</f>
        <v/>
      </c>
      <c r="AB399" s="13" t="str">
        <f aca="false">IF(OR($C399="",$T399="Mixta",$AA399=""),"",IF($V399="Subyacente",IF($J399="","",$J399-$K399),IF($T399="Put",$AA399-$K399,$AA399+$K399)))</f>
        <v/>
      </c>
      <c r="AC399" s="14" t="str">
        <f aca="false">IF(OR($C399="",$T399="Mixta",$J399="",$AA399=""),"",IF($T399="Put",($J399-$AA399)/$J399,($AA399-$J399)/$J399))</f>
        <v/>
      </c>
      <c r="AD399" s="12" t="str">
        <f aca="false">IF($C399="","",IF($Q399&lt;&gt;"",$Q399,IF($V399="Strike",N($E399)*$H399*$I399,IF($V399="Subyacente",IF($J399="","",$J399*$H399*$I399),IF($V399="Ancho",IF($F399="","",ABS($E399-$F399)*$H399*$I399-$K399*$H399*$I399),IF($V399="Prima",$K399*$H399*$I399,""))))))</f>
        <v/>
      </c>
      <c r="AE399" s="12" t="str">
        <f aca="false">IF(OR($C399="",$M399="Abierta",$M399=""),"",(N($K399)-IF(OR($M399="Cerrada",$M399="Rolada"),N($O399),0))*$H399*$I399*IF($U399="Débito",-1,1)-N($L399)-N($P399))</f>
        <v/>
      </c>
      <c r="AF399" s="14" t="str">
        <f aca="false">IF(OR($AE399="",$AD399=""),"",IF($AD399&lt;=0,"",$AE399/$AD399))</f>
        <v/>
      </c>
      <c r="AG399" s="14" t="str">
        <f aca="false">IF($AF399="","",$AF399*365/MAX(N($X399),1))</f>
        <v/>
      </c>
      <c r="AH399" s="14" t="str">
        <f aca="false">IF(OR($C399="",$U399&lt;&gt;"Crédito",$AD399=""),"",IF($AD399&lt;=0,"",($Z399-N($L399))/$AD399))</f>
        <v/>
      </c>
      <c r="AI399" s="14" t="str">
        <f aca="false">IF(OR($AH399="",$W399=""),"",$AH399*365/MAX($W399,1))</f>
        <v/>
      </c>
      <c r="AJ399" s="14" t="str">
        <f aca="false">IF(OR($AE399="",$U399&lt;&gt;"Crédito",N($K399)=0),"",(N($K399)-IF(OR($M399="Cerrada",$M399="Rolada"),N($O399),0))/$K399)</f>
        <v/>
      </c>
      <c r="AK399" s="15" t="str">
        <f aca="false">IF(OR($C399="",$N399=""),"",DATE(YEAR($N399),MONTH($N399),1))</f>
        <v/>
      </c>
      <c r="AL399" s="11" t="str">
        <f aca="false">IF($C399="","",IF($M399="Abierta",0,1))</f>
        <v/>
      </c>
      <c r="AM399" s="16" t="str">
        <f aca="false">IF(OR($AE399="",$AD399=""),"",$AD399*MAX(N($X399),1))</f>
        <v/>
      </c>
      <c r="AN399" s="10" t="str">
        <f aca="false">IF($C399="","",IF(OR($B399="",$D399="",$H399="",$K399="",$M399=""),"Faltan datos obligatorios",IF($T399="","Estrategia no reconocida",IF(AND($M399&lt;&gt;"Abierta",$N399=""),"Falta fecha cierre",IF(AND(OR($M399="Cerrada",$M399="Rolada"),$O399=""),"Falta prima cierre",IF(AND($N399&lt;&gt;"",$N399&lt;$B399),"Cierre anterior a apertura",IF(AND($M399="Asignada",$R399=""),"Asignada: falta ID lote acciones",IF(AND($R399&lt;&gt;"",ISNA(MATCH($R399,Acciones!$A$2:$A$201,0))),"El ID lote no existe en Acciones",IF($AD399="","Revisa capital en riesgo","OK")))))))))</f>
        <v/>
      </c>
    </row>
    <row r="400" customFormat="false" ht="15" hidden="false" customHeight="true" outlineLevel="0" collapsed="false">
      <c r="A400" s="5"/>
      <c r="B400" s="6"/>
      <c r="C400" s="7"/>
      <c r="D400" s="7"/>
      <c r="E400" s="8"/>
      <c r="F400" s="8"/>
      <c r="G400" s="6"/>
      <c r="H400" s="5"/>
      <c r="I400" s="5" t="n">
        <v>100</v>
      </c>
      <c r="J400" s="8"/>
      <c r="K400" s="8"/>
      <c r="L400" s="9"/>
      <c r="M400" s="7"/>
      <c r="N400" s="6"/>
      <c r="O400" s="8"/>
      <c r="P400" s="9"/>
      <c r="Q400" s="9"/>
      <c r="R400" s="7"/>
      <c r="S400" s="7"/>
      <c r="T400" s="10" t="str">
        <f aca="false">IF($C400="","",IFERROR(INDEX(Listas!$B$2:$B$20,MATCH($D400,Listas!$A$2:$A$20,0)),""))</f>
        <v/>
      </c>
      <c r="U400" s="10" t="str">
        <f aca="false">IF($C400="","",IFERROR(INDEX(Listas!$C$2:$C$20,MATCH($D400,Listas!$A$2:$A$20,0)),""))</f>
        <v/>
      </c>
      <c r="V400" s="10" t="str">
        <f aca="false">IF($C400="","",IFERROR(INDEX(Listas!$D$2:$D$20,MATCH($D400,Listas!$A$2:$A$20,0)),""))</f>
        <v/>
      </c>
      <c r="W400" s="11" t="str">
        <f aca="false">IF(OR($C400="",$B400="",$G400=""),"",$G400-$B400)</f>
        <v/>
      </c>
      <c r="X400" s="11" t="str">
        <f aca="true">IF(OR($C400="",$B400=""),"",IF($N400&lt;&gt;"",$N400,TODAY())-$B400)</f>
        <v/>
      </c>
      <c r="Y400" s="11" t="str">
        <f aca="true">IF(OR($C400="",$M400&lt;&gt;"Abierta",$G400=""),"",MAX($G400-TODAY(),0))</f>
        <v/>
      </c>
      <c r="Z400" s="12" t="str">
        <f aca="false">IF($C400="","",N($K400)*N($H400)*N($I400)*IF($U400="Débito",-1,1))</f>
        <v/>
      </c>
      <c r="AA400" s="13" t="str">
        <f aca="false">IF($C400="","",IF(AND($U400="Débito",$F400&lt;&gt;""),$F400,$E400))</f>
        <v/>
      </c>
      <c r="AB400" s="13" t="str">
        <f aca="false">IF(OR($C400="",$T400="Mixta",$AA400=""),"",IF($V400="Subyacente",IF($J400="","",$J400-$K400),IF($T400="Put",$AA400-$K400,$AA400+$K400)))</f>
        <v/>
      </c>
      <c r="AC400" s="14" t="str">
        <f aca="false">IF(OR($C400="",$T400="Mixta",$J400="",$AA400=""),"",IF($T400="Put",($J400-$AA400)/$J400,($AA400-$J400)/$J400))</f>
        <v/>
      </c>
      <c r="AD400" s="12" t="str">
        <f aca="false">IF($C400="","",IF($Q400&lt;&gt;"",$Q400,IF($V400="Strike",N($E400)*$H400*$I400,IF($V400="Subyacente",IF($J400="","",$J400*$H400*$I400),IF($V400="Ancho",IF($F400="","",ABS($E400-$F400)*$H400*$I400-$K400*$H400*$I400),IF($V400="Prima",$K400*$H400*$I400,""))))))</f>
        <v/>
      </c>
      <c r="AE400" s="12" t="str">
        <f aca="false">IF(OR($C400="",$M400="Abierta",$M400=""),"",(N($K400)-IF(OR($M400="Cerrada",$M400="Rolada"),N($O400),0))*$H400*$I400*IF($U400="Débito",-1,1)-N($L400)-N($P400))</f>
        <v/>
      </c>
      <c r="AF400" s="14" t="str">
        <f aca="false">IF(OR($AE400="",$AD400=""),"",IF($AD400&lt;=0,"",$AE400/$AD400))</f>
        <v/>
      </c>
      <c r="AG400" s="14" t="str">
        <f aca="false">IF($AF400="","",$AF400*365/MAX(N($X400),1))</f>
        <v/>
      </c>
      <c r="AH400" s="14" t="str">
        <f aca="false">IF(OR($C400="",$U400&lt;&gt;"Crédito",$AD400=""),"",IF($AD400&lt;=0,"",($Z400-N($L400))/$AD400))</f>
        <v/>
      </c>
      <c r="AI400" s="14" t="str">
        <f aca="false">IF(OR($AH400="",$W400=""),"",$AH400*365/MAX($W400,1))</f>
        <v/>
      </c>
      <c r="AJ400" s="14" t="str">
        <f aca="false">IF(OR($AE400="",$U400&lt;&gt;"Crédito",N($K400)=0),"",(N($K400)-IF(OR($M400="Cerrada",$M400="Rolada"),N($O400),0))/$K400)</f>
        <v/>
      </c>
      <c r="AK400" s="15" t="str">
        <f aca="false">IF(OR($C400="",$N400=""),"",DATE(YEAR($N400),MONTH($N400),1))</f>
        <v/>
      </c>
      <c r="AL400" s="11" t="str">
        <f aca="false">IF($C400="","",IF($M400="Abierta",0,1))</f>
        <v/>
      </c>
      <c r="AM400" s="16" t="str">
        <f aca="false">IF(OR($AE400="",$AD400=""),"",$AD400*MAX(N($X400),1))</f>
        <v/>
      </c>
      <c r="AN400" s="10" t="str">
        <f aca="false">IF($C400="","",IF(OR($B400="",$D400="",$H400="",$K400="",$M400=""),"Faltan datos obligatorios",IF($T400="","Estrategia no reconocida",IF(AND($M400&lt;&gt;"Abierta",$N400=""),"Falta fecha cierre",IF(AND(OR($M400="Cerrada",$M400="Rolada"),$O400=""),"Falta prima cierre",IF(AND($N400&lt;&gt;"",$N400&lt;$B400),"Cierre anterior a apertura",IF(AND($M400="Asignada",$R400=""),"Asignada: falta ID lote acciones",IF(AND($R400&lt;&gt;"",ISNA(MATCH($R400,Acciones!$A$2:$A$201,0))),"El ID lote no existe en Acciones",IF($AD400="","Revisa capital en riesgo","OK")))))))))</f>
        <v/>
      </c>
    </row>
    <row r="401" customFormat="false" ht="15" hidden="false" customHeight="true" outlineLevel="0" collapsed="false">
      <c r="A401" s="5"/>
      <c r="B401" s="6"/>
      <c r="C401" s="7"/>
      <c r="D401" s="7"/>
      <c r="E401" s="8"/>
      <c r="F401" s="8"/>
      <c r="G401" s="6"/>
      <c r="H401" s="5"/>
      <c r="I401" s="5" t="n">
        <v>100</v>
      </c>
      <c r="J401" s="8"/>
      <c r="K401" s="8"/>
      <c r="L401" s="9"/>
      <c r="M401" s="7"/>
      <c r="N401" s="6"/>
      <c r="O401" s="8"/>
      <c r="P401" s="9"/>
      <c r="Q401" s="9"/>
      <c r="R401" s="7"/>
      <c r="S401" s="7"/>
      <c r="T401" s="10" t="str">
        <f aca="false">IF($C401="","",IFERROR(INDEX(Listas!$B$2:$B$20,MATCH($D401,Listas!$A$2:$A$20,0)),""))</f>
        <v/>
      </c>
      <c r="U401" s="10" t="str">
        <f aca="false">IF($C401="","",IFERROR(INDEX(Listas!$C$2:$C$20,MATCH($D401,Listas!$A$2:$A$20,0)),""))</f>
        <v/>
      </c>
      <c r="V401" s="10" t="str">
        <f aca="false">IF($C401="","",IFERROR(INDEX(Listas!$D$2:$D$20,MATCH($D401,Listas!$A$2:$A$20,0)),""))</f>
        <v/>
      </c>
      <c r="W401" s="11" t="str">
        <f aca="false">IF(OR($C401="",$B401="",$G401=""),"",$G401-$B401)</f>
        <v/>
      </c>
      <c r="X401" s="11" t="str">
        <f aca="true">IF(OR($C401="",$B401=""),"",IF($N401&lt;&gt;"",$N401,TODAY())-$B401)</f>
        <v/>
      </c>
      <c r="Y401" s="11" t="str">
        <f aca="true">IF(OR($C401="",$M401&lt;&gt;"Abierta",$G401=""),"",MAX($G401-TODAY(),0))</f>
        <v/>
      </c>
      <c r="Z401" s="12" t="str">
        <f aca="false">IF($C401="","",N($K401)*N($H401)*N($I401)*IF($U401="Débito",-1,1))</f>
        <v/>
      </c>
      <c r="AA401" s="13" t="str">
        <f aca="false">IF($C401="","",IF(AND($U401="Débito",$F401&lt;&gt;""),$F401,$E401))</f>
        <v/>
      </c>
      <c r="AB401" s="13" t="str">
        <f aca="false">IF(OR($C401="",$T401="Mixta",$AA401=""),"",IF($V401="Subyacente",IF($J401="","",$J401-$K401),IF($T401="Put",$AA401-$K401,$AA401+$K401)))</f>
        <v/>
      </c>
      <c r="AC401" s="14" t="str">
        <f aca="false">IF(OR($C401="",$T401="Mixta",$J401="",$AA401=""),"",IF($T401="Put",($J401-$AA401)/$J401,($AA401-$J401)/$J401))</f>
        <v/>
      </c>
      <c r="AD401" s="12" t="str">
        <f aca="false">IF($C401="","",IF($Q401&lt;&gt;"",$Q401,IF($V401="Strike",N($E401)*$H401*$I401,IF($V401="Subyacente",IF($J401="","",$J401*$H401*$I401),IF($V401="Ancho",IF($F401="","",ABS($E401-$F401)*$H401*$I401-$K401*$H401*$I401),IF($V401="Prima",$K401*$H401*$I401,""))))))</f>
        <v/>
      </c>
      <c r="AE401" s="12" t="str">
        <f aca="false">IF(OR($C401="",$M401="Abierta",$M401=""),"",(N($K401)-IF(OR($M401="Cerrada",$M401="Rolada"),N($O401),0))*$H401*$I401*IF($U401="Débito",-1,1)-N($L401)-N($P401))</f>
        <v/>
      </c>
      <c r="AF401" s="14" t="str">
        <f aca="false">IF(OR($AE401="",$AD401=""),"",IF($AD401&lt;=0,"",$AE401/$AD401))</f>
        <v/>
      </c>
      <c r="AG401" s="14" t="str">
        <f aca="false">IF($AF401="","",$AF401*365/MAX(N($X401),1))</f>
        <v/>
      </c>
      <c r="AH401" s="14" t="str">
        <f aca="false">IF(OR($C401="",$U401&lt;&gt;"Crédito",$AD401=""),"",IF($AD401&lt;=0,"",($Z401-N($L401))/$AD401))</f>
        <v/>
      </c>
      <c r="AI401" s="14" t="str">
        <f aca="false">IF(OR($AH401="",$W401=""),"",$AH401*365/MAX($W401,1))</f>
        <v/>
      </c>
      <c r="AJ401" s="14" t="str">
        <f aca="false">IF(OR($AE401="",$U401&lt;&gt;"Crédito",N($K401)=0),"",(N($K401)-IF(OR($M401="Cerrada",$M401="Rolada"),N($O401),0))/$K401)</f>
        <v/>
      </c>
      <c r="AK401" s="15" t="str">
        <f aca="false">IF(OR($C401="",$N401=""),"",DATE(YEAR($N401),MONTH($N401),1))</f>
        <v/>
      </c>
      <c r="AL401" s="11" t="str">
        <f aca="false">IF($C401="","",IF($M401="Abierta",0,1))</f>
        <v/>
      </c>
      <c r="AM401" s="16" t="str">
        <f aca="false">IF(OR($AE401="",$AD401=""),"",$AD401*MAX(N($X401),1))</f>
        <v/>
      </c>
      <c r="AN401" s="10" t="str">
        <f aca="false">IF($C401="","",IF(OR($B401="",$D401="",$H401="",$K401="",$M401=""),"Faltan datos obligatorios",IF($T401="","Estrategia no reconocida",IF(AND($M401&lt;&gt;"Abierta",$N401=""),"Falta fecha cierre",IF(AND(OR($M401="Cerrada",$M401="Rolada"),$O401=""),"Falta prima cierre",IF(AND($N401&lt;&gt;"",$N401&lt;$B401),"Cierre anterior a apertura",IF(AND($M401="Asignada",$R401=""),"Asignada: falta ID lote acciones",IF(AND($R401&lt;&gt;"",ISNA(MATCH($R401,Acciones!$A$2:$A$201,0))),"El ID lote no existe en Acciones",IF($AD401="","Revisa capital en riesgo","OK")))))))))</f>
        <v/>
      </c>
    </row>
    <row r="402" customFormat="false" ht="15" hidden="false" customHeight="true" outlineLevel="0" collapsed="false">
      <c r="A402" s="5"/>
      <c r="B402" s="6"/>
      <c r="C402" s="7"/>
      <c r="D402" s="7"/>
      <c r="E402" s="8"/>
      <c r="F402" s="8"/>
      <c r="G402" s="6"/>
      <c r="H402" s="5"/>
      <c r="I402" s="5" t="n">
        <v>100</v>
      </c>
      <c r="J402" s="8"/>
      <c r="K402" s="8"/>
      <c r="L402" s="9"/>
      <c r="M402" s="7"/>
      <c r="N402" s="6"/>
      <c r="O402" s="8"/>
      <c r="P402" s="9"/>
      <c r="Q402" s="9"/>
      <c r="R402" s="7"/>
      <c r="S402" s="7"/>
      <c r="T402" s="10" t="str">
        <f aca="false">IF($C402="","",IFERROR(INDEX(Listas!$B$2:$B$20,MATCH($D402,Listas!$A$2:$A$20,0)),""))</f>
        <v/>
      </c>
      <c r="U402" s="10" t="str">
        <f aca="false">IF($C402="","",IFERROR(INDEX(Listas!$C$2:$C$20,MATCH($D402,Listas!$A$2:$A$20,0)),""))</f>
        <v/>
      </c>
      <c r="V402" s="10" t="str">
        <f aca="false">IF($C402="","",IFERROR(INDEX(Listas!$D$2:$D$20,MATCH($D402,Listas!$A$2:$A$20,0)),""))</f>
        <v/>
      </c>
      <c r="W402" s="11" t="str">
        <f aca="false">IF(OR($C402="",$B402="",$G402=""),"",$G402-$B402)</f>
        <v/>
      </c>
      <c r="X402" s="11" t="str">
        <f aca="true">IF(OR($C402="",$B402=""),"",IF($N402&lt;&gt;"",$N402,TODAY())-$B402)</f>
        <v/>
      </c>
      <c r="Y402" s="11" t="str">
        <f aca="true">IF(OR($C402="",$M402&lt;&gt;"Abierta",$G402=""),"",MAX($G402-TODAY(),0))</f>
        <v/>
      </c>
      <c r="Z402" s="12" t="str">
        <f aca="false">IF($C402="","",N($K402)*N($H402)*N($I402)*IF($U402="Débito",-1,1))</f>
        <v/>
      </c>
      <c r="AA402" s="13" t="str">
        <f aca="false">IF($C402="","",IF(AND($U402="Débito",$F402&lt;&gt;""),$F402,$E402))</f>
        <v/>
      </c>
      <c r="AB402" s="13" t="str">
        <f aca="false">IF(OR($C402="",$T402="Mixta",$AA402=""),"",IF($V402="Subyacente",IF($J402="","",$J402-$K402),IF($T402="Put",$AA402-$K402,$AA402+$K402)))</f>
        <v/>
      </c>
      <c r="AC402" s="14" t="str">
        <f aca="false">IF(OR($C402="",$T402="Mixta",$J402="",$AA402=""),"",IF($T402="Put",($J402-$AA402)/$J402,($AA402-$J402)/$J402))</f>
        <v/>
      </c>
      <c r="AD402" s="12" t="str">
        <f aca="false">IF($C402="","",IF($Q402&lt;&gt;"",$Q402,IF($V402="Strike",N($E402)*$H402*$I402,IF($V402="Subyacente",IF($J402="","",$J402*$H402*$I402),IF($V402="Ancho",IF($F402="","",ABS($E402-$F402)*$H402*$I402-$K402*$H402*$I402),IF($V402="Prima",$K402*$H402*$I402,""))))))</f>
        <v/>
      </c>
      <c r="AE402" s="12" t="str">
        <f aca="false">IF(OR($C402="",$M402="Abierta",$M402=""),"",(N($K402)-IF(OR($M402="Cerrada",$M402="Rolada"),N($O402),0))*$H402*$I402*IF($U402="Débito",-1,1)-N($L402)-N($P402))</f>
        <v/>
      </c>
      <c r="AF402" s="14" t="str">
        <f aca="false">IF(OR($AE402="",$AD402=""),"",IF($AD402&lt;=0,"",$AE402/$AD402))</f>
        <v/>
      </c>
      <c r="AG402" s="14" t="str">
        <f aca="false">IF($AF402="","",$AF402*365/MAX(N($X402),1))</f>
        <v/>
      </c>
      <c r="AH402" s="14" t="str">
        <f aca="false">IF(OR($C402="",$U402&lt;&gt;"Crédito",$AD402=""),"",IF($AD402&lt;=0,"",($Z402-N($L402))/$AD402))</f>
        <v/>
      </c>
      <c r="AI402" s="14" t="str">
        <f aca="false">IF(OR($AH402="",$W402=""),"",$AH402*365/MAX($W402,1))</f>
        <v/>
      </c>
      <c r="AJ402" s="14" t="str">
        <f aca="false">IF(OR($AE402="",$U402&lt;&gt;"Crédito",N($K402)=0),"",(N($K402)-IF(OR($M402="Cerrada",$M402="Rolada"),N($O402),0))/$K402)</f>
        <v/>
      </c>
      <c r="AK402" s="15" t="str">
        <f aca="false">IF(OR($C402="",$N402=""),"",DATE(YEAR($N402),MONTH($N402),1))</f>
        <v/>
      </c>
      <c r="AL402" s="11" t="str">
        <f aca="false">IF($C402="","",IF($M402="Abierta",0,1))</f>
        <v/>
      </c>
      <c r="AM402" s="16" t="str">
        <f aca="false">IF(OR($AE402="",$AD402=""),"",$AD402*MAX(N($X402),1))</f>
        <v/>
      </c>
      <c r="AN402" s="10" t="str">
        <f aca="false">IF($C402="","",IF(OR($B402="",$D402="",$H402="",$K402="",$M402=""),"Faltan datos obligatorios",IF($T402="","Estrategia no reconocida",IF(AND($M402&lt;&gt;"Abierta",$N402=""),"Falta fecha cierre",IF(AND(OR($M402="Cerrada",$M402="Rolada"),$O402=""),"Falta prima cierre",IF(AND($N402&lt;&gt;"",$N402&lt;$B402),"Cierre anterior a apertura",IF(AND($M402="Asignada",$R402=""),"Asignada: falta ID lote acciones",IF(AND($R402&lt;&gt;"",ISNA(MATCH($R402,Acciones!$A$2:$A$201,0))),"El ID lote no existe en Acciones",IF($AD402="","Revisa capital en riesgo","OK")))))))))</f>
        <v/>
      </c>
    </row>
    <row r="403" customFormat="false" ht="15" hidden="false" customHeight="true" outlineLevel="0" collapsed="false">
      <c r="A403" s="5"/>
      <c r="B403" s="6"/>
      <c r="C403" s="7"/>
      <c r="D403" s="7"/>
      <c r="E403" s="8"/>
      <c r="F403" s="8"/>
      <c r="G403" s="6"/>
      <c r="H403" s="5"/>
      <c r="I403" s="5" t="n">
        <v>100</v>
      </c>
      <c r="J403" s="8"/>
      <c r="K403" s="8"/>
      <c r="L403" s="9"/>
      <c r="M403" s="7"/>
      <c r="N403" s="6"/>
      <c r="O403" s="8"/>
      <c r="P403" s="9"/>
      <c r="Q403" s="9"/>
      <c r="R403" s="7"/>
      <c r="S403" s="7"/>
      <c r="T403" s="10" t="str">
        <f aca="false">IF($C403="","",IFERROR(INDEX(Listas!$B$2:$B$20,MATCH($D403,Listas!$A$2:$A$20,0)),""))</f>
        <v/>
      </c>
      <c r="U403" s="10" t="str">
        <f aca="false">IF($C403="","",IFERROR(INDEX(Listas!$C$2:$C$20,MATCH($D403,Listas!$A$2:$A$20,0)),""))</f>
        <v/>
      </c>
      <c r="V403" s="10" t="str">
        <f aca="false">IF($C403="","",IFERROR(INDEX(Listas!$D$2:$D$20,MATCH($D403,Listas!$A$2:$A$20,0)),""))</f>
        <v/>
      </c>
      <c r="W403" s="11" t="str">
        <f aca="false">IF(OR($C403="",$B403="",$G403=""),"",$G403-$B403)</f>
        <v/>
      </c>
      <c r="X403" s="11" t="str">
        <f aca="true">IF(OR($C403="",$B403=""),"",IF($N403&lt;&gt;"",$N403,TODAY())-$B403)</f>
        <v/>
      </c>
      <c r="Y403" s="11" t="str">
        <f aca="true">IF(OR($C403="",$M403&lt;&gt;"Abierta",$G403=""),"",MAX($G403-TODAY(),0))</f>
        <v/>
      </c>
      <c r="Z403" s="12" t="str">
        <f aca="false">IF($C403="","",N($K403)*N($H403)*N($I403)*IF($U403="Débito",-1,1))</f>
        <v/>
      </c>
      <c r="AA403" s="13" t="str">
        <f aca="false">IF($C403="","",IF(AND($U403="Débito",$F403&lt;&gt;""),$F403,$E403))</f>
        <v/>
      </c>
      <c r="AB403" s="13" t="str">
        <f aca="false">IF(OR($C403="",$T403="Mixta",$AA403=""),"",IF($V403="Subyacente",IF($J403="","",$J403-$K403),IF($T403="Put",$AA403-$K403,$AA403+$K403)))</f>
        <v/>
      </c>
      <c r="AC403" s="14" t="str">
        <f aca="false">IF(OR($C403="",$T403="Mixta",$J403="",$AA403=""),"",IF($T403="Put",($J403-$AA403)/$J403,($AA403-$J403)/$J403))</f>
        <v/>
      </c>
      <c r="AD403" s="12" t="str">
        <f aca="false">IF($C403="","",IF($Q403&lt;&gt;"",$Q403,IF($V403="Strike",N($E403)*$H403*$I403,IF($V403="Subyacente",IF($J403="","",$J403*$H403*$I403),IF($V403="Ancho",IF($F403="","",ABS($E403-$F403)*$H403*$I403-$K403*$H403*$I403),IF($V403="Prima",$K403*$H403*$I403,""))))))</f>
        <v/>
      </c>
      <c r="AE403" s="12" t="str">
        <f aca="false">IF(OR($C403="",$M403="Abierta",$M403=""),"",(N($K403)-IF(OR($M403="Cerrada",$M403="Rolada"),N($O403),0))*$H403*$I403*IF($U403="Débito",-1,1)-N($L403)-N($P403))</f>
        <v/>
      </c>
      <c r="AF403" s="14" t="str">
        <f aca="false">IF(OR($AE403="",$AD403=""),"",IF($AD403&lt;=0,"",$AE403/$AD403))</f>
        <v/>
      </c>
      <c r="AG403" s="14" t="str">
        <f aca="false">IF($AF403="","",$AF403*365/MAX(N($X403),1))</f>
        <v/>
      </c>
      <c r="AH403" s="14" t="str">
        <f aca="false">IF(OR($C403="",$U403&lt;&gt;"Crédito",$AD403=""),"",IF($AD403&lt;=0,"",($Z403-N($L403))/$AD403))</f>
        <v/>
      </c>
      <c r="AI403" s="14" t="str">
        <f aca="false">IF(OR($AH403="",$W403=""),"",$AH403*365/MAX($W403,1))</f>
        <v/>
      </c>
      <c r="AJ403" s="14" t="str">
        <f aca="false">IF(OR($AE403="",$U403&lt;&gt;"Crédito",N($K403)=0),"",(N($K403)-IF(OR($M403="Cerrada",$M403="Rolada"),N($O403),0))/$K403)</f>
        <v/>
      </c>
      <c r="AK403" s="15" t="str">
        <f aca="false">IF(OR($C403="",$N403=""),"",DATE(YEAR($N403),MONTH($N403),1))</f>
        <v/>
      </c>
      <c r="AL403" s="11" t="str">
        <f aca="false">IF($C403="","",IF($M403="Abierta",0,1))</f>
        <v/>
      </c>
      <c r="AM403" s="16" t="str">
        <f aca="false">IF(OR($AE403="",$AD403=""),"",$AD403*MAX(N($X403),1))</f>
        <v/>
      </c>
      <c r="AN403" s="10" t="str">
        <f aca="false">IF($C403="","",IF(OR($B403="",$D403="",$H403="",$K403="",$M403=""),"Faltan datos obligatorios",IF($T403="","Estrategia no reconocida",IF(AND($M403&lt;&gt;"Abierta",$N403=""),"Falta fecha cierre",IF(AND(OR($M403="Cerrada",$M403="Rolada"),$O403=""),"Falta prima cierre",IF(AND($N403&lt;&gt;"",$N403&lt;$B403),"Cierre anterior a apertura",IF(AND($M403="Asignada",$R403=""),"Asignada: falta ID lote acciones",IF(AND($R403&lt;&gt;"",ISNA(MATCH($R403,Acciones!$A$2:$A$201,0))),"El ID lote no existe en Acciones",IF($AD403="","Revisa capital en riesgo","OK")))))))))</f>
        <v/>
      </c>
    </row>
    <row r="404" customFormat="false" ht="15" hidden="false" customHeight="true" outlineLevel="0" collapsed="false">
      <c r="A404" s="5"/>
      <c r="B404" s="6"/>
      <c r="C404" s="7"/>
      <c r="D404" s="7"/>
      <c r="E404" s="8"/>
      <c r="F404" s="8"/>
      <c r="G404" s="6"/>
      <c r="H404" s="5"/>
      <c r="I404" s="5" t="n">
        <v>100</v>
      </c>
      <c r="J404" s="8"/>
      <c r="K404" s="8"/>
      <c r="L404" s="9"/>
      <c r="M404" s="7"/>
      <c r="N404" s="6"/>
      <c r="O404" s="8"/>
      <c r="P404" s="9"/>
      <c r="Q404" s="9"/>
      <c r="R404" s="7"/>
      <c r="S404" s="7"/>
      <c r="T404" s="10" t="str">
        <f aca="false">IF($C404="","",IFERROR(INDEX(Listas!$B$2:$B$20,MATCH($D404,Listas!$A$2:$A$20,0)),""))</f>
        <v/>
      </c>
      <c r="U404" s="10" t="str">
        <f aca="false">IF($C404="","",IFERROR(INDEX(Listas!$C$2:$C$20,MATCH($D404,Listas!$A$2:$A$20,0)),""))</f>
        <v/>
      </c>
      <c r="V404" s="10" t="str">
        <f aca="false">IF($C404="","",IFERROR(INDEX(Listas!$D$2:$D$20,MATCH($D404,Listas!$A$2:$A$20,0)),""))</f>
        <v/>
      </c>
      <c r="W404" s="11" t="str">
        <f aca="false">IF(OR($C404="",$B404="",$G404=""),"",$G404-$B404)</f>
        <v/>
      </c>
      <c r="X404" s="11" t="str">
        <f aca="true">IF(OR($C404="",$B404=""),"",IF($N404&lt;&gt;"",$N404,TODAY())-$B404)</f>
        <v/>
      </c>
      <c r="Y404" s="11" t="str">
        <f aca="true">IF(OR($C404="",$M404&lt;&gt;"Abierta",$G404=""),"",MAX($G404-TODAY(),0))</f>
        <v/>
      </c>
      <c r="Z404" s="12" t="str">
        <f aca="false">IF($C404="","",N($K404)*N($H404)*N($I404)*IF($U404="Débito",-1,1))</f>
        <v/>
      </c>
      <c r="AA404" s="13" t="str">
        <f aca="false">IF($C404="","",IF(AND($U404="Débito",$F404&lt;&gt;""),$F404,$E404))</f>
        <v/>
      </c>
      <c r="AB404" s="13" t="str">
        <f aca="false">IF(OR($C404="",$T404="Mixta",$AA404=""),"",IF($V404="Subyacente",IF($J404="","",$J404-$K404),IF($T404="Put",$AA404-$K404,$AA404+$K404)))</f>
        <v/>
      </c>
      <c r="AC404" s="14" t="str">
        <f aca="false">IF(OR($C404="",$T404="Mixta",$J404="",$AA404=""),"",IF($T404="Put",($J404-$AA404)/$J404,($AA404-$J404)/$J404))</f>
        <v/>
      </c>
      <c r="AD404" s="12" t="str">
        <f aca="false">IF($C404="","",IF($Q404&lt;&gt;"",$Q404,IF($V404="Strike",N($E404)*$H404*$I404,IF($V404="Subyacente",IF($J404="","",$J404*$H404*$I404),IF($V404="Ancho",IF($F404="","",ABS($E404-$F404)*$H404*$I404-$K404*$H404*$I404),IF($V404="Prima",$K404*$H404*$I404,""))))))</f>
        <v/>
      </c>
      <c r="AE404" s="12" t="str">
        <f aca="false">IF(OR($C404="",$M404="Abierta",$M404=""),"",(N($K404)-IF(OR($M404="Cerrada",$M404="Rolada"),N($O404),0))*$H404*$I404*IF($U404="Débito",-1,1)-N($L404)-N($P404))</f>
        <v/>
      </c>
      <c r="AF404" s="14" t="str">
        <f aca="false">IF(OR($AE404="",$AD404=""),"",IF($AD404&lt;=0,"",$AE404/$AD404))</f>
        <v/>
      </c>
      <c r="AG404" s="14" t="str">
        <f aca="false">IF($AF404="","",$AF404*365/MAX(N($X404),1))</f>
        <v/>
      </c>
      <c r="AH404" s="14" t="str">
        <f aca="false">IF(OR($C404="",$U404&lt;&gt;"Crédito",$AD404=""),"",IF($AD404&lt;=0,"",($Z404-N($L404))/$AD404))</f>
        <v/>
      </c>
      <c r="AI404" s="14" t="str">
        <f aca="false">IF(OR($AH404="",$W404=""),"",$AH404*365/MAX($W404,1))</f>
        <v/>
      </c>
      <c r="AJ404" s="14" t="str">
        <f aca="false">IF(OR($AE404="",$U404&lt;&gt;"Crédito",N($K404)=0),"",(N($K404)-IF(OR($M404="Cerrada",$M404="Rolada"),N($O404),0))/$K404)</f>
        <v/>
      </c>
      <c r="AK404" s="15" t="str">
        <f aca="false">IF(OR($C404="",$N404=""),"",DATE(YEAR($N404),MONTH($N404),1))</f>
        <v/>
      </c>
      <c r="AL404" s="11" t="str">
        <f aca="false">IF($C404="","",IF($M404="Abierta",0,1))</f>
        <v/>
      </c>
      <c r="AM404" s="16" t="str">
        <f aca="false">IF(OR($AE404="",$AD404=""),"",$AD404*MAX(N($X404),1))</f>
        <v/>
      </c>
      <c r="AN404" s="10" t="str">
        <f aca="false">IF($C404="","",IF(OR($B404="",$D404="",$H404="",$K404="",$M404=""),"Faltan datos obligatorios",IF($T404="","Estrategia no reconocida",IF(AND($M404&lt;&gt;"Abierta",$N404=""),"Falta fecha cierre",IF(AND(OR($M404="Cerrada",$M404="Rolada"),$O404=""),"Falta prima cierre",IF(AND($N404&lt;&gt;"",$N404&lt;$B404),"Cierre anterior a apertura",IF(AND($M404="Asignada",$R404=""),"Asignada: falta ID lote acciones",IF(AND($R404&lt;&gt;"",ISNA(MATCH($R404,Acciones!$A$2:$A$201,0))),"El ID lote no existe en Acciones",IF($AD404="","Revisa capital en riesgo","OK")))))))))</f>
        <v/>
      </c>
    </row>
    <row r="405" customFormat="false" ht="15" hidden="false" customHeight="true" outlineLevel="0" collapsed="false">
      <c r="A405" s="5"/>
      <c r="B405" s="6"/>
      <c r="C405" s="7"/>
      <c r="D405" s="7"/>
      <c r="E405" s="8"/>
      <c r="F405" s="8"/>
      <c r="G405" s="6"/>
      <c r="H405" s="5"/>
      <c r="I405" s="5" t="n">
        <v>100</v>
      </c>
      <c r="J405" s="8"/>
      <c r="K405" s="8"/>
      <c r="L405" s="9"/>
      <c r="M405" s="7"/>
      <c r="N405" s="6"/>
      <c r="O405" s="8"/>
      <c r="P405" s="9"/>
      <c r="Q405" s="9"/>
      <c r="R405" s="7"/>
      <c r="S405" s="7"/>
      <c r="T405" s="10" t="str">
        <f aca="false">IF($C405="","",IFERROR(INDEX(Listas!$B$2:$B$20,MATCH($D405,Listas!$A$2:$A$20,0)),""))</f>
        <v/>
      </c>
      <c r="U405" s="10" t="str">
        <f aca="false">IF($C405="","",IFERROR(INDEX(Listas!$C$2:$C$20,MATCH($D405,Listas!$A$2:$A$20,0)),""))</f>
        <v/>
      </c>
      <c r="V405" s="10" t="str">
        <f aca="false">IF($C405="","",IFERROR(INDEX(Listas!$D$2:$D$20,MATCH($D405,Listas!$A$2:$A$20,0)),""))</f>
        <v/>
      </c>
      <c r="W405" s="11" t="str">
        <f aca="false">IF(OR($C405="",$B405="",$G405=""),"",$G405-$B405)</f>
        <v/>
      </c>
      <c r="X405" s="11" t="str">
        <f aca="true">IF(OR($C405="",$B405=""),"",IF($N405&lt;&gt;"",$N405,TODAY())-$B405)</f>
        <v/>
      </c>
      <c r="Y405" s="11" t="str">
        <f aca="true">IF(OR($C405="",$M405&lt;&gt;"Abierta",$G405=""),"",MAX($G405-TODAY(),0))</f>
        <v/>
      </c>
      <c r="Z405" s="12" t="str">
        <f aca="false">IF($C405="","",N($K405)*N($H405)*N($I405)*IF($U405="Débito",-1,1))</f>
        <v/>
      </c>
      <c r="AA405" s="13" t="str">
        <f aca="false">IF($C405="","",IF(AND($U405="Débito",$F405&lt;&gt;""),$F405,$E405))</f>
        <v/>
      </c>
      <c r="AB405" s="13" t="str">
        <f aca="false">IF(OR($C405="",$T405="Mixta",$AA405=""),"",IF($V405="Subyacente",IF($J405="","",$J405-$K405),IF($T405="Put",$AA405-$K405,$AA405+$K405)))</f>
        <v/>
      </c>
      <c r="AC405" s="14" t="str">
        <f aca="false">IF(OR($C405="",$T405="Mixta",$J405="",$AA405=""),"",IF($T405="Put",($J405-$AA405)/$J405,($AA405-$J405)/$J405))</f>
        <v/>
      </c>
      <c r="AD405" s="12" t="str">
        <f aca="false">IF($C405="","",IF($Q405&lt;&gt;"",$Q405,IF($V405="Strike",N($E405)*$H405*$I405,IF($V405="Subyacente",IF($J405="","",$J405*$H405*$I405),IF($V405="Ancho",IF($F405="","",ABS($E405-$F405)*$H405*$I405-$K405*$H405*$I405),IF($V405="Prima",$K405*$H405*$I405,""))))))</f>
        <v/>
      </c>
      <c r="AE405" s="12" t="str">
        <f aca="false">IF(OR($C405="",$M405="Abierta",$M405=""),"",(N($K405)-IF(OR($M405="Cerrada",$M405="Rolada"),N($O405),0))*$H405*$I405*IF($U405="Débito",-1,1)-N($L405)-N($P405))</f>
        <v/>
      </c>
      <c r="AF405" s="14" t="str">
        <f aca="false">IF(OR($AE405="",$AD405=""),"",IF($AD405&lt;=0,"",$AE405/$AD405))</f>
        <v/>
      </c>
      <c r="AG405" s="14" t="str">
        <f aca="false">IF($AF405="","",$AF405*365/MAX(N($X405),1))</f>
        <v/>
      </c>
      <c r="AH405" s="14" t="str">
        <f aca="false">IF(OR($C405="",$U405&lt;&gt;"Crédito",$AD405=""),"",IF($AD405&lt;=0,"",($Z405-N($L405))/$AD405))</f>
        <v/>
      </c>
      <c r="AI405" s="14" t="str">
        <f aca="false">IF(OR($AH405="",$W405=""),"",$AH405*365/MAX($W405,1))</f>
        <v/>
      </c>
      <c r="AJ405" s="14" t="str">
        <f aca="false">IF(OR($AE405="",$U405&lt;&gt;"Crédito",N($K405)=0),"",(N($K405)-IF(OR($M405="Cerrada",$M405="Rolada"),N($O405),0))/$K405)</f>
        <v/>
      </c>
      <c r="AK405" s="15" t="str">
        <f aca="false">IF(OR($C405="",$N405=""),"",DATE(YEAR($N405),MONTH($N405),1))</f>
        <v/>
      </c>
      <c r="AL405" s="11" t="str">
        <f aca="false">IF($C405="","",IF($M405="Abierta",0,1))</f>
        <v/>
      </c>
      <c r="AM405" s="16" t="str">
        <f aca="false">IF(OR($AE405="",$AD405=""),"",$AD405*MAX(N($X405),1))</f>
        <v/>
      </c>
      <c r="AN405" s="10" t="str">
        <f aca="false">IF($C405="","",IF(OR($B405="",$D405="",$H405="",$K405="",$M405=""),"Faltan datos obligatorios",IF($T405="","Estrategia no reconocida",IF(AND($M405&lt;&gt;"Abierta",$N405=""),"Falta fecha cierre",IF(AND(OR($M405="Cerrada",$M405="Rolada"),$O405=""),"Falta prima cierre",IF(AND($N405&lt;&gt;"",$N405&lt;$B405),"Cierre anterior a apertura",IF(AND($M405="Asignada",$R405=""),"Asignada: falta ID lote acciones",IF(AND($R405&lt;&gt;"",ISNA(MATCH($R405,Acciones!$A$2:$A$201,0))),"El ID lote no existe en Acciones",IF($AD405="","Revisa capital en riesgo","OK")))))))))</f>
        <v/>
      </c>
    </row>
    <row r="406" customFormat="false" ht="15" hidden="false" customHeight="true" outlineLevel="0" collapsed="false">
      <c r="A406" s="5"/>
      <c r="B406" s="6"/>
      <c r="C406" s="7"/>
      <c r="D406" s="7"/>
      <c r="E406" s="8"/>
      <c r="F406" s="8"/>
      <c r="G406" s="6"/>
      <c r="H406" s="5"/>
      <c r="I406" s="5" t="n">
        <v>100</v>
      </c>
      <c r="J406" s="8"/>
      <c r="K406" s="8"/>
      <c r="L406" s="9"/>
      <c r="M406" s="7"/>
      <c r="N406" s="6"/>
      <c r="O406" s="8"/>
      <c r="P406" s="9"/>
      <c r="Q406" s="9"/>
      <c r="R406" s="7"/>
      <c r="S406" s="7"/>
      <c r="T406" s="10" t="str">
        <f aca="false">IF($C406="","",IFERROR(INDEX(Listas!$B$2:$B$20,MATCH($D406,Listas!$A$2:$A$20,0)),""))</f>
        <v/>
      </c>
      <c r="U406" s="10" t="str">
        <f aca="false">IF($C406="","",IFERROR(INDEX(Listas!$C$2:$C$20,MATCH($D406,Listas!$A$2:$A$20,0)),""))</f>
        <v/>
      </c>
      <c r="V406" s="10" t="str">
        <f aca="false">IF($C406="","",IFERROR(INDEX(Listas!$D$2:$D$20,MATCH($D406,Listas!$A$2:$A$20,0)),""))</f>
        <v/>
      </c>
      <c r="W406" s="11" t="str">
        <f aca="false">IF(OR($C406="",$B406="",$G406=""),"",$G406-$B406)</f>
        <v/>
      </c>
      <c r="X406" s="11" t="str">
        <f aca="true">IF(OR($C406="",$B406=""),"",IF($N406&lt;&gt;"",$N406,TODAY())-$B406)</f>
        <v/>
      </c>
      <c r="Y406" s="11" t="str">
        <f aca="true">IF(OR($C406="",$M406&lt;&gt;"Abierta",$G406=""),"",MAX($G406-TODAY(),0))</f>
        <v/>
      </c>
      <c r="Z406" s="12" t="str">
        <f aca="false">IF($C406="","",N($K406)*N($H406)*N($I406)*IF($U406="Débito",-1,1))</f>
        <v/>
      </c>
      <c r="AA406" s="13" t="str">
        <f aca="false">IF($C406="","",IF(AND($U406="Débito",$F406&lt;&gt;""),$F406,$E406))</f>
        <v/>
      </c>
      <c r="AB406" s="13" t="str">
        <f aca="false">IF(OR($C406="",$T406="Mixta",$AA406=""),"",IF($V406="Subyacente",IF($J406="","",$J406-$K406),IF($T406="Put",$AA406-$K406,$AA406+$K406)))</f>
        <v/>
      </c>
      <c r="AC406" s="14" t="str">
        <f aca="false">IF(OR($C406="",$T406="Mixta",$J406="",$AA406=""),"",IF($T406="Put",($J406-$AA406)/$J406,($AA406-$J406)/$J406))</f>
        <v/>
      </c>
      <c r="AD406" s="12" t="str">
        <f aca="false">IF($C406="","",IF($Q406&lt;&gt;"",$Q406,IF($V406="Strike",N($E406)*$H406*$I406,IF($V406="Subyacente",IF($J406="","",$J406*$H406*$I406),IF($V406="Ancho",IF($F406="","",ABS($E406-$F406)*$H406*$I406-$K406*$H406*$I406),IF($V406="Prima",$K406*$H406*$I406,""))))))</f>
        <v/>
      </c>
      <c r="AE406" s="12" t="str">
        <f aca="false">IF(OR($C406="",$M406="Abierta",$M406=""),"",(N($K406)-IF(OR($M406="Cerrada",$M406="Rolada"),N($O406),0))*$H406*$I406*IF($U406="Débito",-1,1)-N($L406)-N($P406))</f>
        <v/>
      </c>
      <c r="AF406" s="14" t="str">
        <f aca="false">IF(OR($AE406="",$AD406=""),"",IF($AD406&lt;=0,"",$AE406/$AD406))</f>
        <v/>
      </c>
      <c r="AG406" s="14" t="str">
        <f aca="false">IF($AF406="","",$AF406*365/MAX(N($X406),1))</f>
        <v/>
      </c>
      <c r="AH406" s="14" t="str">
        <f aca="false">IF(OR($C406="",$U406&lt;&gt;"Crédito",$AD406=""),"",IF($AD406&lt;=0,"",($Z406-N($L406))/$AD406))</f>
        <v/>
      </c>
      <c r="AI406" s="14" t="str">
        <f aca="false">IF(OR($AH406="",$W406=""),"",$AH406*365/MAX($W406,1))</f>
        <v/>
      </c>
      <c r="AJ406" s="14" t="str">
        <f aca="false">IF(OR($AE406="",$U406&lt;&gt;"Crédito",N($K406)=0),"",(N($K406)-IF(OR($M406="Cerrada",$M406="Rolada"),N($O406),0))/$K406)</f>
        <v/>
      </c>
      <c r="AK406" s="15" t="str">
        <f aca="false">IF(OR($C406="",$N406=""),"",DATE(YEAR($N406),MONTH($N406),1))</f>
        <v/>
      </c>
      <c r="AL406" s="11" t="str">
        <f aca="false">IF($C406="","",IF($M406="Abierta",0,1))</f>
        <v/>
      </c>
      <c r="AM406" s="16" t="str">
        <f aca="false">IF(OR($AE406="",$AD406=""),"",$AD406*MAX(N($X406),1))</f>
        <v/>
      </c>
      <c r="AN406" s="10" t="str">
        <f aca="false">IF($C406="","",IF(OR($B406="",$D406="",$H406="",$K406="",$M406=""),"Faltan datos obligatorios",IF($T406="","Estrategia no reconocida",IF(AND($M406&lt;&gt;"Abierta",$N406=""),"Falta fecha cierre",IF(AND(OR($M406="Cerrada",$M406="Rolada"),$O406=""),"Falta prima cierre",IF(AND($N406&lt;&gt;"",$N406&lt;$B406),"Cierre anterior a apertura",IF(AND($M406="Asignada",$R406=""),"Asignada: falta ID lote acciones",IF(AND($R406&lt;&gt;"",ISNA(MATCH($R406,Acciones!$A$2:$A$201,0))),"El ID lote no existe en Acciones",IF($AD406="","Revisa capital en riesgo","OK")))))))))</f>
        <v/>
      </c>
    </row>
    <row r="407" customFormat="false" ht="15" hidden="false" customHeight="true" outlineLevel="0" collapsed="false">
      <c r="A407" s="5"/>
      <c r="B407" s="6"/>
      <c r="C407" s="7"/>
      <c r="D407" s="7"/>
      <c r="E407" s="8"/>
      <c r="F407" s="8"/>
      <c r="G407" s="6"/>
      <c r="H407" s="5"/>
      <c r="I407" s="5" t="n">
        <v>100</v>
      </c>
      <c r="J407" s="8"/>
      <c r="K407" s="8"/>
      <c r="L407" s="9"/>
      <c r="M407" s="7"/>
      <c r="N407" s="6"/>
      <c r="O407" s="8"/>
      <c r="P407" s="9"/>
      <c r="Q407" s="9"/>
      <c r="R407" s="7"/>
      <c r="S407" s="7"/>
      <c r="T407" s="10" t="str">
        <f aca="false">IF($C407="","",IFERROR(INDEX(Listas!$B$2:$B$20,MATCH($D407,Listas!$A$2:$A$20,0)),""))</f>
        <v/>
      </c>
      <c r="U407" s="10" t="str">
        <f aca="false">IF($C407="","",IFERROR(INDEX(Listas!$C$2:$C$20,MATCH($D407,Listas!$A$2:$A$20,0)),""))</f>
        <v/>
      </c>
      <c r="V407" s="10" t="str">
        <f aca="false">IF($C407="","",IFERROR(INDEX(Listas!$D$2:$D$20,MATCH($D407,Listas!$A$2:$A$20,0)),""))</f>
        <v/>
      </c>
      <c r="W407" s="11" t="str">
        <f aca="false">IF(OR($C407="",$B407="",$G407=""),"",$G407-$B407)</f>
        <v/>
      </c>
      <c r="X407" s="11" t="str">
        <f aca="true">IF(OR($C407="",$B407=""),"",IF($N407&lt;&gt;"",$N407,TODAY())-$B407)</f>
        <v/>
      </c>
      <c r="Y407" s="11" t="str">
        <f aca="true">IF(OR($C407="",$M407&lt;&gt;"Abierta",$G407=""),"",MAX($G407-TODAY(),0))</f>
        <v/>
      </c>
      <c r="Z407" s="12" t="str">
        <f aca="false">IF($C407="","",N($K407)*N($H407)*N($I407)*IF($U407="Débito",-1,1))</f>
        <v/>
      </c>
      <c r="AA407" s="13" t="str">
        <f aca="false">IF($C407="","",IF(AND($U407="Débito",$F407&lt;&gt;""),$F407,$E407))</f>
        <v/>
      </c>
      <c r="AB407" s="13" t="str">
        <f aca="false">IF(OR($C407="",$T407="Mixta",$AA407=""),"",IF($V407="Subyacente",IF($J407="","",$J407-$K407),IF($T407="Put",$AA407-$K407,$AA407+$K407)))</f>
        <v/>
      </c>
      <c r="AC407" s="14" t="str">
        <f aca="false">IF(OR($C407="",$T407="Mixta",$J407="",$AA407=""),"",IF($T407="Put",($J407-$AA407)/$J407,($AA407-$J407)/$J407))</f>
        <v/>
      </c>
      <c r="AD407" s="12" t="str">
        <f aca="false">IF($C407="","",IF($Q407&lt;&gt;"",$Q407,IF($V407="Strike",N($E407)*$H407*$I407,IF($V407="Subyacente",IF($J407="","",$J407*$H407*$I407),IF($V407="Ancho",IF($F407="","",ABS($E407-$F407)*$H407*$I407-$K407*$H407*$I407),IF($V407="Prima",$K407*$H407*$I407,""))))))</f>
        <v/>
      </c>
      <c r="AE407" s="12" t="str">
        <f aca="false">IF(OR($C407="",$M407="Abierta",$M407=""),"",(N($K407)-IF(OR($M407="Cerrada",$M407="Rolada"),N($O407),0))*$H407*$I407*IF($U407="Débito",-1,1)-N($L407)-N($P407))</f>
        <v/>
      </c>
      <c r="AF407" s="14" t="str">
        <f aca="false">IF(OR($AE407="",$AD407=""),"",IF($AD407&lt;=0,"",$AE407/$AD407))</f>
        <v/>
      </c>
      <c r="AG407" s="14" t="str">
        <f aca="false">IF($AF407="","",$AF407*365/MAX(N($X407),1))</f>
        <v/>
      </c>
      <c r="AH407" s="14" t="str">
        <f aca="false">IF(OR($C407="",$U407&lt;&gt;"Crédito",$AD407=""),"",IF($AD407&lt;=0,"",($Z407-N($L407))/$AD407))</f>
        <v/>
      </c>
      <c r="AI407" s="14" t="str">
        <f aca="false">IF(OR($AH407="",$W407=""),"",$AH407*365/MAX($W407,1))</f>
        <v/>
      </c>
      <c r="AJ407" s="14" t="str">
        <f aca="false">IF(OR($AE407="",$U407&lt;&gt;"Crédito",N($K407)=0),"",(N($K407)-IF(OR($M407="Cerrada",$M407="Rolada"),N($O407),0))/$K407)</f>
        <v/>
      </c>
      <c r="AK407" s="15" t="str">
        <f aca="false">IF(OR($C407="",$N407=""),"",DATE(YEAR($N407),MONTH($N407),1))</f>
        <v/>
      </c>
      <c r="AL407" s="11" t="str">
        <f aca="false">IF($C407="","",IF($M407="Abierta",0,1))</f>
        <v/>
      </c>
      <c r="AM407" s="16" t="str">
        <f aca="false">IF(OR($AE407="",$AD407=""),"",$AD407*MAX(N($X407),1))</f>
        <v/>
      </c>
      <c r="AN407" s="10" t="str">
        <f aca="false">IF($C407="","",IF(OR($B407="",$D407="",$H407="",$K407="",$M407=""),"Faltan datos obligatorios",IF($T407="","Estrategia no reconocida",IF(AND($M407&lt;&gt;"Abierta",$N407=""),"Falta fecha cierre",IF(AND(OR($M407="Cerrada",$M407="Rolada"),$O407=""),"Falta prima cierre",IF(AND($N407&lt;&gt;"",$N407&lt;$B407),"Cierre anterior a apertura",IF(AND($M407="Asignada",$R407=""),"Asignada: falta ID lote acciones",IF(AND($R407&lt;&gt;"",ISNA(MATCH($R407,Acciones!$A$2:$A$201,0))),"El ID lote no existe en Acciones",IF($AD407="","Revisa capital en riesgo","OK")))))))))</f>
        <v/>
      </c>
    </row>
    <row r="408" customFormat="false" ht="15" hidden="false" customHeight="true" outlineLevel="0" collapsed="false">
      <c r="A408" s="5"/>
      <c r="B408" s="6"/>
      <c r="C408" s="7"/>
      <c r="D408" s="7"/>
      <c r="E408" s="8"/>
      <c r="F408" s="8"/>
      <c r="G408" s="6"/>
      <c r="H408" s="5"/>
      <c r="I408" s="5" t="n">
        <v>100</v>
      </c>
      <c r="J408" s="8"/>
      <c r="K408" s="8"/>
      <c r="L408" s="9"/>
      <c r="M408" s="7"/>
      <c r="N408" s="6"/>
      <c r="O408" s="8"/>
      <c r="P408" s="9"/>
      <c r="Q408" s="9"/>
      <c r="R408" s="7"/>
      <c r="S408" s="7"/>
      <c r="T408" s="10" t="str">
        <f aca="false">IF($C408="","",IFERROR(INDEX(Listas!$B$2:$B$20,MATCH($D408,Listas!$A$2:$A$20,0)),""))</f>
        <v/>
      </c>
      <c r="U408" s="10" t="str">
        <f aca="false">IF($C408="","",IFERROR(INDEX(Listas!$C$2:$C$20,MATCH($D408,Listas!$A$2:$A$20,0)),""))</f>
        <v/>
      </c>
      <c r="V408" s="10" t="str">
        <f aca="false">IF($C408="","",IFERROR(INDEX(Listas!$D$2:$D$20,MATCH($D408,Listas!$A$2:$A$20,0)),""))</f>
        <v/>
      </c>
      <c r="W408" s="11" t="str">
        <f aca="false">IF(OR($C408="",$B408="",$G408=""),"",$G408-$B408)</f>
        <v/>
      </c>
      <c r="X408" s="11" t="str">
        <f aca="true">IF(OR($C408="",$B408=""),"",IF($N408&lt;&gt;"",$N408,TODAY())-$B408)</f>
        <v/>
      </c>
      <c r="Y408" s="11" t="str">
        <f aca="true">IF(OR($C408="",$M408&lt;&gt;"Abierta",$G408=""),"",MAX($G408-TODAY(),0))</f>
        <v/>
      </c>
      <c r="Z408" s="12" t="str">
        <f aca="false">IF($C408="","",N($K408)*N($H408)*N($I408)*IF($U408="Débito",-1,1))</f>
        <v/>
      </c>
      <c r="AA408" s="13" t="str">
        <f aca="false">IF($C408="","",IF(AND($U408="Débito",$F408&lt;&gt;""),$F408,$E408))</f>
        <v/>
      </c>
      <c r="AB408" s="13" t="str">
        <f aca="false">IF(OR($C408="",$T408="Mixta",$AA408=""),"",IF($V408="Subyacente",IF($J408="","",$J408-$K408),IF($T408="Put",$AA408-$K408,$AA408+$K408)))</f>
        <v/>
      </c>
      <c r="AC408" s="14" t="str">
        <f aca="false">IF(OR($C408="",$T408="Mixta",$J408="",$AA408=""),"",IF($T408="Put",($J408-$AA408)/$J408,($AA408-$J408)/$J408))</f>
        <v/>
      </c>
      <c r="AD408" s="12" t="str">
        <f aca="false">IF($C408="","",IF($Q408&lt;&gt;"",$Q408,IF($V408="Strike",N($E408)*$H408*$I408,IF($V408="Subyacente",IF($J408="","",$J408*$H408*$I408),IF($V408="Ancho",IF($F408="","",ABS($E408-$F408)*$H408*$I408-$K408*$H408*$I408),IF($V408="Prima",$K408*$H408*$I408,""))))))</f>
        <v/>
      </c>
      <c r="AE408" s="12" t="str">
        <f aca="false">IF(OR($C408="",$M408="Abierta",$M408=""),"",(N($K408)-IF(OR($M408="Cerrada",$M408="Rolada"),N($O408),0))*$H408*$I408*IF($U408="Débito",-1,1)-N($L408)-N($P408))</f>
        <v/>
      </c>
      <c r="AF408" s="14" t="str">
        <f aca="false">IF(OR($AE408="",$AD408=""),"",IF($AD408&lt;=0,"",$AE408/$AD408))</f>
        <v/>
      </c>
      <c r="AG408" s="14" t="str">
        <f aca="false">IF($AF408="","",$AF408*365/MAX(N($X408),1))</f>
        <v/>
      </c>
      <c r="AH408" s="14" t="str">
        <f aca="false">IF(OR($C408="",$U408&lt;&gt;"Crédito",$AD408=""),"",IF($AD408&lt;=0,"",($Z408-N($L408))/$AD408))</f>
        <v/>
      </c>
      <c r="AI408" s="14" t="str">
        <f aca="false">IF(OR($AH408="",$W408=""),"",$AH408*365/MAX($W408,1))</f>
        <v/>
      </c>
      <c r="AJ408" s="14" t="str">
        <f aca="false">IF(OR($AE408="",$U408&lt;&gt;"Crédito",N($K408)=0),"",(N($K408)-IF(OR($M408="Cerrada",$M408="Rolada"),N($O408),0))/$K408)</f>
        <v/>
      </c>
      <c r="AK408" s="15" t="str">
        <f aca="false">IF(OR($C408="",$N408=""),"",DATE(YEAR($N408),MONTH($N408),1))</f>
        <v/>
      </c>
      <c r="AL408" s="11" t="str">
        <f aca="false">IF($C408="","",IF($M408="Abierta",0,1))</f>
        <v/>
      </c>
      <c r="AM408" s="16" t="str">
        <f aca="false">IF(OR($AE408="",$AD408=""),"",$AD408*MAX(N($X408),1))</f>
        <v/>
      </c>
      <c r="AN408" s="10" t="str">
        <f aca="false">IF($C408="","",IF(OR($B408="",$D408="",$H408="",$K408="",$M408=""),"Faltan datos obligatorios",IF($T408="","Estrategia no reconocida",IF(AND($M408&lt;&gt;"Abierta",$N408=""),"Falta fecha cierre",IF(AND(OR($M408="Cerrada",$M408="Rolada"),$O408=""),"Falta prima cierre",IF(AND($N408&lt;&gt;"",$N408&lt;$B408),"Cierre anterior a apertura",IF(AND($M408="Asignada",$R408=""),"Asignada: falta ID lote acciones",IF(AND($R408&lt;&gt;"",ISNA(MATCH($R408,Acciones!$A$2:$A$201,0))),"El ID lote no existe en Acciones",IF($AD408="","Revisa capital en riesgo","OK")))))))))</f>
        <v/>
      </c>
    </row>
    <row r="409" customFormat="false" ht="15" hidden="false" customHeight="true" outlineLevel="0" collapsed="false">
      <c r="A409" s="5"/>
      <c r="B409" s="6"/>
      <c r="C409" s="7"/>
      <c r="D409" s="7"/>
      <c r="E409" s="8"/>
      <c r="F409" s="8"/>
      <c r="G409" s="6"/>
      <c r="H409" s="5"/>
      <c r="I409" s="5" t="n">
        <v>100</v>
      </c>
      <c r="J409" s="8"/>
      <c r="K409" s="8"/>
      <c r="L409" s="9"/>
      <c r="M409" s="7"/>
      <c r="N409" s="6"/>
      <c r="O409" s="8"/>
      <c r="P409" s="9"/>
      <c r="Q409" s="9"/>
      <c r="R409" s="7"/>
      <c r="S409" s="7"/>
      <c r="T409" s="10" t="str">
        <f aca="false">IF($C409="","",IFERROR(INDEX(Listas!$B$2:$B$20,MATCH($D409,Listas!$A$2:$A$20,0)),""))</f>
        <v/>
      </c>
      <c r="U409" s="10" t="str">
        <f aca="false">IF($C409="","",IFERROR(INDEX(Listas!$C$2:$C$20,MATCH($D409,Listas!$A$2:$A$20,0)),""))</f>
        <v/>
      </c>
      <c r="V409" s="10" t="str">
        <f aca="false">IF($C409="","",IFERROR(INDEX(Listas!$D$2:$D$20,MATCH($D409,Listas!$A$2:$A$20,0)),""))</f>
        <v/>
      </c>
      <c r="W409" s="11" t="str">
        <f aca="false">IF(OR($C409="",$B409="",$G409=""),"",$G409-$B409)</f>
        <v/>
      </c>
      <c r="X409" s="11" t="str">
        <f aca="true">IF(OR($C409="",$B409=""),"",IF($N409&lt;&gt;"",$N409,TODAY())-$B409)</f>
        <v/>
      </c>
      <c r="Y409" s="11" t="str">
        <f aca="true">IF(OR($C409="",$M409&lt;&gt;"Abierta",$G409=""),"",MAX($G409-TODAY(),0))</f>
        <v/>
      </c>
      <c r="Z409" s="12" t="str">
        <f aca="false">IF($C409="","",N($K409)*N($H409)*N($I409)*IF($U409="Débito",-1,1))</f>
        <v/>
      </c>
      <c r="AA409" s="13" t="str">
        <f aca="false">IF($C409="","",IF(AND($U409="Débito",$F409&lt;&gt;""),$F409,$E409))</f>
        <v/>
      </c>
      <c r="AB409" s="13" t="str">
        <f aca="false">IF(OR($C409="",$T409="Mixta",$AA409=""),"",IF($V409="Subyacente",IF($J409="","",$J409-$K409),IF($T409="Put",$AA409-$K409,$AA409+$K409)))</f>
        <v/>
      </c>
      <c r="AC409" s="14" t="str">
        <f aca="false">IF(OR($C409="",$T409="Mixta",$J409="",$AA409=""),"",IF($T409="Put",($J409-$AA409)/$J409,($AA409-$J409)/$J409))</f>
        <v/>
      </c>
      <c r="AD409" s="12" t="str">
        <f aca="false">IF($C409="","",IF($Q409&lt;&gt;"",$Q409,IF($V409="Strike",N($E409)*$H409*$I409,IF($V409="Subyacente",IF($J409="","",$J409*$H409*$I409),IF($V409="Ancho",IF($F409="","",ABS($E409-$F409)*$H409*$I409-$K409*$H409*$I409),IF($V409="Prima",$K409*$H409*$I409,""))))))</f>
        <v/>
      </c>
      <c r="AE409" s="12" t="str">
        <f aca="false">IF(OR($C409="",$M409="Abierta",$M409=""),"",(N($K409)-IF(OR($M409="Cerrada",$M409="Rolada"),N($O409),0))*$H409*$I409*IF($U409="Débito",-1,1)-N($L409)-N($P409))</f>
        <v/>
      </c>
      <c r="AF409" s="14" t="str">
        <f aca="false">IF(OR($AE409="",$AD409=""),"",IF($AD409&lt;=0,"",$AE409/$AD409))</f>
        <v/>
      </c>
      <c r="AG409" s="14" t="str">
        <f aca="false">IF($AF409="","",$AF409*365/MAX(N($X409),1))</f>
        <v/>
      </c>
      <c r="AH409" s="14" t="str">
        <f aca="false">IF(OR($C409="",$U409&lt;&gt;"Crédito",$AD409=""),"",IF($AD409&lt;=0,"",($Z409-N($L409))/$AD409))</f>
        <v/>
      </c>
      <c r="AI409" s="14" t="str">
        <f aca="false">IF(OR($AH409="",$W409=""),"",$AH409*365/MAX($W409,1))</f>
        <v/>
      </c>
      <c r="AJ409" s="14" t="str">
        <f aca="false">IF(OR($AE409="",$U409&lt;&gt;"Crédito",N($K409)=0),"",(N($K409)-IF(OR($M409="Cerrada",$M409="Rolada"),N($O409),0))/$K409)</f>
        <v/>
      </c>
      <c r="AK409" s="15" t="str">
        <f aca="false">IF(OR($C409="",$N409=""),"",DATE(YEAR($N409),MONTH($N409),1))</f>
        <v/>
      </c>
      <c r="AL409" s="11" t="str">
        <f aca="false">IF($C409="","",IF($M409="Abierta",0,1))</f>
        <v/>
      </c>
      <c r="AM409" s="16" t="str">
        <f aca="false">IF(OR($AE409="",$AD409=""),"",$AD409*MAX(N($X409),1))</f>
        <v/>
      </c>
      <c r="AN409" s="10" t="str">
        <f aca="false">IF($C409="","",IF(OR($B409="",$D409="",$H409="",$K409="",$M409=""),"Faltan datos obligatorios",IF($T409="","Estrategia no reconocida",IF(AND($M409&lt;&gt;"Abierta",$N409=""),"Falta fecha cierre",IF(AND(OR($M409="Cerrada",$M409="Rolada"),$O409=""),"Falta prima cierre",IF(AND($N409&lt;&gt;"",$N409&lt;$B409),"Cierre anterior a apertura",IF(AND($M409="Asignada",$R409=""),"Asignada: falta ID lote acciones",IF(AND($R409&lt;&gt;"",ISNA(MATCH($R409,Acciones!$A$2:$A$201,0))),"El ID lote no existe en Acciones",IF($AD409="","Revisa capital en riesgo","OK")))))))))</f>
        <v/>
      </c>
    </row>
    <row r="410" customFormat="false" ht="15" hidden="false" customHeight="true" outlineLevel="0" collapsed="false">
      <c r="A410" s="5"/>
      <c r="B410" s="6"/>
      <c r="C410" s="7"/>
      <c r="D410" s="7"/>
      <c r="E410" s="8"/>
      <c r="F410" s="8"/>
      <c r="G410" s="6"/>
      <c r="H410" s="5"/>
      <c r="I410" s="5" t="n">
        <v>100</v>
      </c>
      <c r="J410" s="8"/>
      <c r="K410" s="8"/>
      <c r="L410" s="9"/>
      <c r="M410" s="7"/>
      <c r="N410" s="6"/>
      <c r="O410" s="8"/>
      <c r="P410" s="9"/>
      <c r="Q410" s="9"/>
      <c r="R410" s="7"/>
      <c r="S410" s="7"/>
      <c r="T410" s="10" t="str">
        <f aca="false">IF($C410="","",IFERROR(INDEX(Listas!$B$2:$B$20,MATCH($D410,Listas!$A$2:$A$20,0)),""))</f>
        <v/>
      </c>
      <c r="U410" s="10" t="str">
        <f aca="false">IF($C410="","",IFERROR(INDEX(Listas!$C$2:$C$20,MATCH($D410,Listas!$A$2:$A$20,0)),""))</f>
        <v/>
      </c>
      <c r="V410" s="10" t="str">
        <f aca="false">IF($C410="","",IFERROR(INDEX(Listas!$D$2:$D$20,MATCH($D410,Listas!$A$2:$A$20,0)),""))</f>
        <v/>
      </c>
      <c r="W410" s="11" t="str">
        <f aca="false">IF(OR($C410="",$B410="",$G410=""),"",$G410-$B410)</f>
        <v/>
      </c>
      <c r="X410" s="11" t="str">
        <f aca="true">IF(OR($C410="",$B410=""),"",IF($N410&lt;&gt;"",$N410,TODAY())-$B410)</f>
        <v/>
      </c>
      <c r="Y410" s="11" t="str">
        <f aca="true">IF(OR($C410="",$M410&lt;&gt;"Abierta",$G410=""),"",MAX($G410-TODAY(),0))</f>
        <v/>
      </c>
      <c r="Z410" s="12" t="str">
        <f aca="false">IF($C410="","",N($K410)*N($H410)*N($I410)*IF($U410="Débito",-1,1))</f>
        <v/>
      </c>
      <c r="AA410" s="13" t="str">
        <f aca="false">IF($C410="","",IF(AND($U410="Débito",$F410&lt;&gt;""),$F410,$E410))</f>
        <v/>
      </c>
      <c r="AB410" s="13" t="str">
        <f aca="false">IF(OR($C410="",$T410="Mixta",$AA410=""),"",IF($V410="Subyacente",IF($J410="","",$J410-$K410),IF($T410="Put",$AA410-$K410,$AA410+$K410)))</f>
        <v/>
      </c>
      <c r="AC410" s="14" t="str">
        <f aca="false">IF(OR($C410="",$T410="Mixta",$J410="",$AA410=""),"",IF($T410="Put",($J410-$AA410)/$J410,($AA410-$J410)/$J410))</f>
        <v/>
      </c>
      <c r="AD410" s="12" t="str">
        <f aca="false">IF($C410="","",IF($Q410&lt;&gt;"",$Q410,IF($V410="Strike",N($E410)*$H410*$I410,IF($V410="Subyacente",IF($J410="","",$J410*$H410*$I410),IF($V410="Ancho",IF($F410="","",ABS($E410-$F410)*$H410*$I410-$K410*$H410*$I410),IF($V410="Prima",$K410*$H410*$I410,""))))))</f>
        <v/>
      </c>
      <c r="AE410" s="12" t="str">
        <f aca="false">IF(OR($C410="",$M410="Abierta",$M410=""),"",(N($K410)-IF(OR($M410="Cerrada",$M410="Rolada"),N($O410),0))*$H410*$I410*IF($U410="Débito",-1,1)-N($L410)-N($P410))</f>
        <v/>
      </c>
      <c r="AF410" s="14" t="str">
        <f aca="false">IF(OR($AE410="",$AD410=""),"",IF($AD410&lt;=0,"",$AE410/$AD410))</f>
        <v/>
      </c>
      <c r="AG410" s="14" t="str">
        <f aca="false">IF($AF410="","",$AF410*365/MAX(N($X410),1))</f>
        <v/>
      </c>
      <c r="AH410" s="14" t="str">
        <f aca="false">IF(OR($C410="",$U410&lt;&gt;"Crédito",$AD410=""),"",IF($AD410&lt;=0,"",($Z410-N($L410))/$AD410))</f>
        <v/>
      </c>
      <c r="AI410" s="14" t="str">
        <f aca="false">IF(OR($AH410="",$W410=""),"",$AH410*365/MAX($W410,1))</f>
        <v/>
      </c>
      <c r="AJ410" s="14" t="str">
        <f aca="false">IF(OR($AE410="",$U410&lt;&gt;"Crédito",N($K410)=0),"",(N($K410)-IF(OR($M410="Cerrada",$M410="Rolada"),N($O410),0))/$K410)</f>
        <v/>
      </c>
      <c r="AK410" s="15" t="str">
        <f aca="false">IF(OR($C410="",$N410=""),"",DATE(YEAR($N410),MONTH($N410),1))</f>
        <v/>
      </c>
      <c r="AL410" s="11" t="str">
        <f aca="false">IF($C410="","",IF($M410="Abierta",0,1))</f>
        <v/>
      </c>
      <c r="AM410" s="16" t="str">
        <f aca="false">IF(OR($AE410="",$AD410=""),"",$AD410*MAX(N($X410),1))</f>
        <v/>
      </c>
      <c r="AN410" s="10" t="str">
        <f aca="false">IF($C410="","",IF(OR($B410="",$D410="",$H410="",$K410="",$M410=""),"Faltan datos obligatorios",IF($T410="","Estrategia no reconocida",IF(AND($M410&lt;&gt;"Abierta",$N410=""),"Falta fecha cierre",IF(AND(OR($M410="Cerrada",$M410="Rolada"),$O410=""),"Falta prima cierre",IF(AND($N410&lt;&gt;"",$N410&lt;$B410),"Cierre anterior a apertura",IF(AND($M410="Asignada",$R410=""),"Asignada: falta ID lote acciones",IF(AND($R410&lt;&gt;"",ISNA(MATCH($R410,Acciones!$A$2:$A$201,0))),"El ID lote no existe en Acciones",IF($AD410="","Revisa capital en riesgo","OK")))))))))</f>
        <v/>
      </c>
    </row>
    <row r="411" customFormat="false" ht="15" hidden="false" customHeight="true" outlineLevel="0" collapsed="false">
      <c r="A411" s="5"/>
      <c r="B411" s="6"/>
      <c r="C411" s="7"/>
      <c r="D411" s="7"/>
      <c r="E411" s="8"/>
      <c r="F411" s="8"/>
      <c r="G411" s="6"/>
      <c r="H411" s="5"/>
      <c r="I411" s="5" t="n">
        <v>100</v>
      </c>
      <c r="J411" s="8"/>
      <c r="K411" s="8"/>
      <c r="L411" s="9"/>
      <c r="M411" s="7"/>
      <c r="N411" s="6"/>
      <c r="O411" s="8"/>
      <c r="P411" s="9"/>
      <c r="Q411" s="9"/>
      <c r="R411" s="7"/>
      <c r="S411" s="7"/>
      <c r="T411" s="10" t="str">
        <f aca="false">IF($C411="","",IFERROR(INDEX(Listas!$B$2:$B$20,MATCH($D411,Listas!$A$2:$A$20,0)),""))</f>
        <v/>
      </c>
      <c r="U411" s="10" t="str">
        <f aca="false">IF($C411="","",IFERROR(INDEX(Listas!$C$2:$C$20,MATCH($D411,Listas!$A$2:$A$20,0)),""))</f>
        <v/>
      </c>
      <c r="V411" s="10" t="str">
        <f aca="false">IF($C411="","",IFERROR(INDEX(Listas!$D$2:$D$20,MATCH($D411,Listas!$A$2:$A$20,0)),""))</f>
        <v/>
      </c>
      <c r="W411" s="11" t="str">
        <f aca="false">IF(OR($C411="",$B411="",$G411=""),"",$G411-$B411)</f>
        <v/>
      </c>
      <c r="X411" s="11" t="str">
        <f aca="true">IF(OR($C411="",$B411=""),"",IF($N411&lt;&gt;"",$N411,TODAY())-$B411)</f>
        <v/>
      </c>
      <c r="Y411" s="11" t="str">
        <f aca="true">IF(OR($C411="",$M411&lt;&gt;"Abierta",$G411=""),"",MAX($G411-TODAY(),0))</f>
        <v/>
      </c>
      <c r="Z411" s="12" t="str">
        <f aca="false">IF($C411="","",N($K411)*N($H411)*N($I411)*IF($U411="Débito",-1,1))</f>
        <v/>
      </c>
      <c r="AA411" s="13" t="str">
        <f aca="false">IF($C411="","",IF(AND($U411="Débito",$F411&lt;&gt;""),$F411,$E411))</f>
        <v/>
      </c>
      <c r="AB411" s="13" t="str">
        <f aca="false">IF(OR($C411="",$T411="Mixta",$AA411=""),"",IF($V411="Subyacente",IF($J411="","",$J411-$K411),IF($T411="Put",$AA411-$K411,$AA411+$K411)))</f>
        <v/>
      </c>
      <c r="AC411" s="14" t="str">
        <f aca="false">IF(OR($C411="",$T411="Mixta",$J411="",$AA411=""),"",IF($T411="Put",($J411-$AA411)/$J411,($AA411-$J411)/$J411))</f>
        <v/>
      </c>
      <c r="AD411" s="12" t="str">
        <f aca="false">IF($C411="","",IF($Q411&lt;&gt;"",$Q411,IF($V411="Strike",N($E411)*$H411*$I411,IF($V411="Subyacente",IF($J411="","",$J411*$H411*$I411),IF($V411="Ancho",IF($F411="","",ABS($E411-$F411)*$H411*$I411-$K411*$H411*$I411),IF($V411="Prima",$K411*$H411*$I411,""))))))</f>
        <v/>
      </c>
      <c r="AE411" s="12" t="str">
        <f aca="false">IF(OR($C411="",$M411="Abierta",$M411=""),"",(N($K411)-IF(OR($M411="Cerrada",$M411="Rolada"),N($O411),0))*$H411*$I411*IF($U411="Débito",-1,1)-N($L411)-N($P411))</f>
        <v/>
      </c>
      <c r="AF411" s="14" t="str">
        <f aca="false">IF(OR($AE411="",$AD411=""),"",IF($AD411&lt;=0,"",$AE411/$AD411))</f>
        <v/>
      </c>
      <c r="AG411" s="14" t="str">
        <f aca="false">IF($AF411="","",$AF411*365/MAX(N($X411),1))</f>
        <v/>
      </c>
      <c r="AH411" s="14" t="str">
        <f aca="false">IF(OR($C411="",$U411&lt;&gt;"Crédito",$AD411=""),"",IF($AD411&lt;=0,"",($Z411-N($L411))/$AD411))</f>
        <v/>
      </c>
      <c r="AI411" s="14" t="str">
        <f aca="false">IF(OR($AH411="",$W411=""),"",$AH411*365/MAX($W411,1))</f>
        <v/>
      </c>
      <c r="AJ411" s="14" t="str">
        <f aca="false">IF(OR($AE411="",$U411&lt;&gt;"Crédito",N($K411)=0),"",(N($K411)-IF(OR($M411="Cerrada",$M411="Rolada"),N($O411),0))/$K411)</f>
        <v/>
      </c>
      <c r="AK411" s="15" t="str">
        <f aca="false">IF(OR($C411="",$N411=""),"",DATE(YEAR($N411),MONTH($N411),1))</f>
        <v/>
      </c>
      <c r="AL411" s="11" t="str">
        <f aca="false">IF($C411="","",IF($M411="Abierta",0,1))</f>
        <v/>
      </c>
      <c r="AM411" s="16" t="str">
        <f aca="false">IF(OR($AE411="",$AD411=""),"",$AD411*MAX(N($X411),1))</f>
        <v/>
      </c>
      <c r="AN411" s="10" t="str">
        <f aca="false">IF($C411="","",IF(OR($B411="",$D411="",$H411="",$K411="",$M411=""),"Faltan datos obligatorios",IF($T411="","Estrategia no reconocida",IF(AND($M411&lt;&gt;"Abierta",$N411=""),"Falta fecha cierre",IF(AND(OR($M411="Cerrada",$M411="Rolada"),$O411=""),"Falta prima cierre",IF(AND($N411&lt;&gt;"",$N411&lt;$B411),"Cierre anterior a apertura",IF(AND($M411="Asignada",$R411=""),"Asignada: falta ID lote acciones",IF(AND($R411&lt;&gt;"",ISNA(MATCH($R411,Acciones!$A$2:$A$201,0))),"El ID lote no existe en Acciones",IF($AD411="","Revisa capital en riesgo","OK")))))))))</f>
        <v/>
      </c>
    </row>
    <row r="412" customFormat="false" ht="15" hidden="false" customHeight="true" outlineLevel="0" collapsed="false">
      <c r="A412" s="5"/>
      <c r="B412" s="6"/>
      <c r="C412" s="7"/>
      <c r="D412" s="7"/>
      <c r="E412" s="8"/>
      <c r="F412" s="8"/>
      <c r="G412" s="6"/>
      <c r="H412" s="5"/>
      <c r="I412" s="5" t="n">
        <v>100</v>
      </c>
      <c r="J412" s="8"/>
      <c r="K412" s="8"/>
      <c r="L412" s="9"/>
      <c r="M412" s="7"/>
      <c r="N412" s="6"/>
      <c r="O412" s="8"/>
      <c r="P412" s="9"/>
      <c r="Q412" s="9"/>
      <c r="R412" s="7"/>
      <c r="S412" s="7"/>
      <c r="T412" s="10" t="str">
        <f aca="false">IF($C412="","",IFERROR(INDEX(Listas!$B$2:$B$20,MATCH($D412,Listas!$A$2:$A$20,0)),""))</f>
        <v/>
      </c>
      <c r="U412" s="10" t="str">
        <f aca="false">IF($C412="","",IFERROR(INDEX(Listas!$C$2:$C$20,MATCH($D412,Listas!$A$2:$A$20,0)),""))</f>
        <v/>
      </c>
      <c r="V412" s="10" t="str">
        <f aca="false">IF($C412="","",IFERROR(INDEX(Listas!$D$2:$D$20,MATCH($D412,Listas!$A$2:$A$20,0)),""))</f>
        <v/>
      </c>
      <c r="W412" s="11" t="str">
        <f aca="false">IF(OR($C412="",$B412="",$G412=""),"",$G412-$B412)</f>
        <v/>
      </c>
      <c r="X412" s="11" t="str">
        <f aca="true">IF(OR($C412="",$B412=""),"",IF($N412&lt;&gt;"",$N412,TODAY())-$B412)</f>
        <v/>
      </c>
      <c r="Y412" s="11" t="str">
        <f aca="true">IF(OR($C412="",$M412&lt;&gt;"Abierta",$G412=""),"",MAX($G412-TODAY(),0))</f>
        <v/>
      </c>
      <c r="Z412" s="12" t="str">
        <f aca="false">IF($C412="","",N($K412)*N($H412)*N($I412)*IF($U412="Débito",-1,1))</f>
        <v/>
      </c>
      <c r="AA412" s="13" t="str">
        <f aca="false">IF($C412="","",IF(AND($U412="Débito",$F412&lt;&gt;""),$F412,$E412))</f>
        <v/>
      </c>
      <c r="AB412" s="13" t="str">
        <f aca="false">IF(OR($C412="",$T412="Mixta",$AA412=""),"",IF($V412="Subyacente",IF($J412="","",$J412-$K412),IF($T412="Put",$AA412-$K412,$AA412+$K412)))</f>
        <v/>
      </c>
      <c r="AC412" s="14" t="str">
        <f aca="false">IF(OR($C412="",$T412="Mixta",$J412="",$AA412=""),"",IF($T412="Put",($J412-$AA412)/$J412,($AA412-$J412)/$J412))</f>
        <v/>
      </c>
      <c r="AD412" s="12" t="str">
        <f aca="false">IF($C412="","",IF($Q412&lt;&gt;"",$Q412,IF($V412="Strike",N($E412)*$H412*$I412,IF($V412="Subyacente",IF($J412="","",$J412*$H412*$I412),IF($V412="Ancho",IF($F412="","",ABS($E412-$F412)*$H412*$I412-$K412*$H412*$I412),IF($V412="Prima",$K412*$H412*$I412,""))))))</f>
        <v/>
      </c>
      <c r="AE412" s="12" t="str">
        <f aca="false">IF(OR($C412="",$M412="Abierta",$M412=""),"",(N($K412)-IF(OR($M412="Cerrada",$M412="Rolada"),N($O412),0))*$H412*$I412*IF($U412="Débito",-1,1)-N($L412)-N($P412))</f>
        <v/>
      </c>
      <c r="AF412" s="14" t="str">
        <f aca="false">IF(OR($AE412="",$AD412=""),"",IF($AD412&lt;=0,"",$AE412/$AD412))</f>
        <v/>
      </c>
      <c r="AG412" s="14" t="str">
        <f aca="false">IF($AF412="","",$AF412*365/MAX(N($X412),1))</f>
        <v/>
      </c>
      <c r="AH412" s="14" t="str">
        <f aca="false">IF(OR($C412="",$U412&lt;&gt;"Crédito",$AD412=""),"",IF($AD412&lt;=0,"",($Z412-N($L412))/$AD412))</f>
        <v/>
      </c>
      <c r="AI412" s="14" t="str">
        <f aca="false">IF(OR($AH412="",$W412=""),"",$AH412*365/MAX($W412,1))</f>
        <v/>
      </c>
      <c r="AJ412" s="14" t="str">
        <f aca="false">IF(OR($AE412="",$U412&lt;&gt;"Crédito",N($K412)=0),"",(N($K412)-IF(OR($M412="Cerrada",$M412="Rolada"),N($O412),0))/$K412)</f>
        <v/>
      </c>
      <c r="AK412" s="15" t="str">
        <f aca="false">IF(OR($C412="",$N412=""),"",DATE(YEAR($N412),MONTH($N412),1))</f>
        <v/>
      </c>
      <c r="AL412" s="11" t="str">
        <f aca="false">IF($C412="","",IF($M412="Abierta",0,1))</f>
        <v/>
      </c>
      <c r="AM412" s="16" t="str">
        <f aca="false">IF(OR($AE412="",$AD412=""),"",$AD412*MAX(N($X412),1))</f>
        <v/>
      </c>
      <c r="AN412" s="10" t="str">
        <f aca="false">IF($C412="","",IF(OR($B412="",$D412="",$H412="",$K412="",$M412=""),"Faltan datos obligatorios",IF($T412="","Estrategia no reconocida",IF(AND($M412&lt;&gt;"Abierta",$N412=""),"Falta fecha cierre",IF(AND(OR($M412="Cerrada",$M412="Rolada"),$O412=""),"Falta prima cierre",IF(AND($N412&lt;&gt;"",$N412&lt;$B412),"Cierre anterior a apertura",IF(AND($M412="Asignada",$R412=""),"Asignada: falta ID lote acciones",IF(AND($R412&lt;&gt;"",ISNA(MATCH($R412,Acciones!$A$2:$A$201,0))),"El ID lote no existe en Acciones",IF($AD412="","Revisa capital en riesgo","OK")))))))))</f>
        <v/>
      </c>
    </row>
    <row r="413" customFormat="false" ht="15" hidden="false" customHeight="true" outlineLevel="0" collapsed="false">
      <c r="A413" s="5"/>
      <c r="B413" s="6"/>
      <c r="C413" s="7"/>
      <c r="D413" s="7"/>
      <c r="E413" s="8"/>
      <c r="F413" s="8"/>
      <c r="G413" s="6"/>
      <c r="H413" s="5"/>
      <c r="I413" s="5" t="n">
        <v>100</v>
      </c>
      <c r="J413" s="8"/>
      <c r="K413" s="8"/>
      <c r="L413" s="9"/>
      <c r="M413" s="7"/>
      <c r="N413" s="6"/>
      <c r="O413" s="8"/>
      <c r="P413" s="9"/>
      <c r="Q413" s="9"/>
      <c r="R413" s="7"/>
      <c r="S413" s="7"/>
      <c r="T413" s="10" t="str">
        <f aca="false">IF($C413="","",IFERROR(INDEX(Listas!$B$2:$B$20,MATCH($D413,Listas!$A$2:$A$20,0)),""))</f>
        <v/>
      </c>
      <c r="U413" s="10" t="str">
        <f aca="false">IF($C413="","",IFERROR(INDEX(Listas!$C$2:$C$20,MATCH($D413,Listas!$A$2:$A$20,0)),""))</f>
        <v/>
      </c>
      <c r="V413" s="10" t="str">
        <f aca="false">IF($C413="","",IFERROR(INDEX(Listas!$D$2:$D$20,MATCH($D413,Listas!$A$2:$A$20,0)),""))</f>
        <v/>
      </c>
      <c r="W413" s="11" t="str">
        <f aca="false">IF(OR($C413="",$B413="",$G413=""),"",$G413-$B413)</f>
        <v/>
      </c>
      <c r="X413" s="11" t="str">
        <f aca="true">IF(OR($C413="",$B413=""),"",IF($N413&lt;&gt;"",$N413,TODAY())-$B413)</f>
        <v/>
      </c>
      <c r="Y413" s="11" t="str">
        <f aca="true">IF(OR($C413="",$M413&lt;&gt;"Abierta",$G413=""),"",MAX($G413-TODAY(),0))</f>
        <v/>
      </c>
      <c r="Z413" s="12" t="str">
        <f aca="false">IF($C413="","",N($K413)*N($H413)*N($I413)*IF($U413="Débito",-1,1))</f>
        <v/>
      </c>
      <c r="AA413" s="13" t="str">
        <f aca="false">IF($C413="","",IF(AND($U413="Débito",$F413&lt;&gt;""),$F413,$E413))</f>
        <v/>
      </c>
      <c r="AB413" s="13" t="str">
        <f aca="false">IF(OR($C413="",$T413="Mixta",$AA413=""),"",IF($V413="Subyacente",IF($J413="","",$J413-$K413),IF($T413="Put",$AA413-$K413,$AA413+$K413)))</f>
        <v/>
      </c>
      <c r="AC413" s="14" t="str">
        <f aca="false">IF(OR($C413="",$T413="Mixta",$J413="",$AA413=""),"",IF($T413="Put",($J413-$AA413)/$J413,($AA413-$J413)/$J413))</f>
        <v/>
      </c>
      <c r="AD413" s="12" t="str">
        <f aca="false">IF($C413="","",IF($Q413&lt;&gt;"",$Q413,IF($V413="Strike",N($E413)*$H413*$I413,IF($V413="Subyacente",IF($J413="","",$J413*$H413*$I413),IF($V413="Ancho",IF($F413="","",ABS($E413-$F413)*$H413*$I413-$K413*$H413*$I413),IF($V413="Prima",$K413*$H413*$I413,""))))))</f>
        <v/>
      </c>
      <c r="AE413" s="12" t="str">
        <f aca="false">IF(OR($C413="",$M413="Abierta",$M413=""),"",(N($K413)-IF(OR($M413="Cerrada",$M413="Rolada"),N($O413),0))*$H413*$I413*IF($U413="Débito",-1,1)-N($L413)-N($P413))</f>
        <v/>
      </c>
      <c r="AF413" s="14" t="str">
        <f aca="false">IF(OR($AE413="",$AD413=""),"",IF($AD413&lt;=0,"",$AE413/$AD413))</f>
        <v/>
      </c>
      <c r="AG413" s="14" t="str">
        <f aca="false">IF($AF413="","",$AF413*365/MAX(N($X413),1))</f>
        <v/>
      </c>
      <c r="AH413" s="14" t="str">
        <f aca="false">IF(OR($C413="",$U413&lt;&gt;"Crédito",$AD413=""),"",IF($AD413&lt;=0,"",($Z413-N($L413))/$AD413))</f>
        <v/>
      </c>
      <c r="AI413" s="14" t="str">
        <f aca="false">IF(OR($AH413="",$W413=""),"",$AH413*365/MAX($W413,1))</f>
        <v/>
      </c>
      <c r="AJ413" s="14" t="str">
        <f aca="false">IF(OR($AE413="",$U413&lt;&gt;"Crédito",N($K413)=0),"",(N($K413)-IF(OR($M413="Cerrada",$M413="Rolada"),N($O413),0))/$K413)</f>
        <v/>
      </c>
      <c r="AK413" s="15" t="str">
        <f aca="false">IF(OR($C413="",$N413=""),"",DATE(YEAR($N413),MONTH($N413),1))</f>
        <v/>
      </c>
      <c r="AL413" s="11" t="str">
        <f aca="false">IF($C413="","",IF($M413="Abierta",0,1))</f>
        <v/>
      </c>
      <c r="AM413" s="16" t="str">
        <f aca="false">IF(OR($AE413="",$AD413=""),"",$AD413*MAX(N($X413),1))</f>
        <v/>
      </c>
      <c r="AN413" s="10" t="str">
        <f aca="false">IF($C413="","",IF(OR($B413="",$D413="",$H413="",$K413="",$M413=""),"Faltan datos obligatorios",IF($T413="","Estrategia no reconocida",IF(AND($M413&lt;&gt;"Abierta",$N413=""),"Falta fecha cierre",IF(AND(OR($M413="Cerrada",$M413="Rolada"),$O413=""),"Falta prima cierre",IF(AND($N413&lt;&gt;"",$N413&lt;$B413),"Cierre anterior a apertura",IF(AND($M413="Asignada",$R413=""),"Asignada: falta ID lote acciones",IF(AND($R413&lt;&gt;"",ISNA(MATCH($R413,Acciones!$A$2:$A$201,0))),"El ID lote no existe en Acciones",IF($AD413="","Revisa capital en riesgo","OK")))))))))</f>
        <v/>
      </c>
    </row>
    <row r="414" customFormat="false" ht="15" hidden="false" customHeight="true" outlineLevel="0" collapsed="false">
      <c r="A414" s="5"/>
      <c r="B414" s="6"/>
      <c r="C414" s="7"/>
      <c r="D414" s="7"/>
      <c r="E414" s="8"/>
      <c r="F414" s="8"/>
      <c r="G414" s="6"/>
      <c r="H414" s="5"/>
      <c r="I414" s="5" t="n">
        <v>100</v>
      </c>
      <c r="J414" s="8"/>
      <c r="K414" s="8"/>
      <c r="L414" s="9"/>
      <c r="M414" s="7"/>
      <c r="N414" s="6"/>
      <c r="O414" s="8"/>
      <c r="P414" s="9"/>
      <c r="Q414" s="9"/>
      <c r="R414" s="7"/>
      <c r="S414" s="7"/>
      <c r="T414" s="10" t="str">
        <f aca="false">IF($C414="","",IFERROR(INDEX(Listas!$B$2:$B$20,MATCH($D414,Listas!$A$2:$A$20,0)),""))</f>
        <v/>
      </c>
      <c r="U414" s="10" t="str">
        <f aca="false">IF($C414="","",IFERROR(INDEX(Listas!$C$2:$C$20,MATCH($D414,Listas!$A$2:$A$20,0)),""))</f>
        <v/>
      </c>
      <c r="V414" s="10" t="str">
        <f aca="false">IF($C414="","",IFERROR(INDEX(Listas!$D$2:$D$20,MATCH($D414,Listas!$A$2:$A$20,0)),""))</f>
        <v/>
      </c>
      <c r="W414" s="11" t="str">
        <f aca="false">IF(OR($C414="",$B414="",$G414=""),"",$G414-$B414)</f>
        <v/>
      </c>
      <c r="X414" s="11" t="str">
        <f aca="true">IF(OR($C414="",$B414=""),"",IF($N414&lt;&gt;"",$N414,TODAY())-$B414)</f>
        <v/>
      </c>
      <c r="Y414" s="11" t="str">
        <f aca="true">IF(OR($C414="",$M414&lt;&gt;"Abierta",$G414=""),"",MAX($G414-TODAY(),0))</f>
        <v/>
      </c>
      <c r="Z414" s="12" t="str">
        <f aca="false">IF($C414="","",N($K414)*N($H414)*N($I414)*IF($U414="Débito",-1,1))</f>
        <v/>
      </c>
      <c r="AA414" s="13" t="str">
        <f aca="false">IF($C414="","",IF(AND($U414="Débito",$F414&lt;&gt;""),$F414,$E414))</f>
        <v/>
      </c>
      <c r="AB414" s="13" t="str">
        <f aca="false">IF(OR($C414="",$T414="Mixta",$AA414=""),"",IF($V414="Subyacente",IF($J414="","",$J414-$K414),IF($T414="Put",$AA414-$K414,$AA414+$K414)))</f>
        <v/>
      </c>
      <c r="AC414" s="14" t="str">
        <f aca="false">IF(OR($C414="",$T414="Mixta",$J414="",$AA414=""),"",IF($T414="Put",($J414-$AA414)/$J414,($AA414-$J414)/$J414))</f>
        <v/>
      </c>
      <c r="AD414" s="12" t="str">
        <f aca="false">IF($C414="","",IF($Q414&lt;&gt;"",$Q414,IF($V414="Strike",N($E414)*$H414*$I414,IF($V414="Subyacente",IF($J414="","",$J414*$H414*$I414),IF($V414="Ancho",IF($F414="","",ABS($E414-$F414)*$H414*$I414-$K414*$H414*$I414),IF($V414="Prima",$K414*$H414*$I414,""))))))</f>
        <v/>
      </c>
      <c r="AE414" s="12" t="str">
        <f aca="false">IF(OR($C414="",$M414="Abierta",$M414=""),"",(N($K414)-IF(OR($M414="Cerrada",$M414="Rolada"),N($O414),0))*$H414*$I414*IF($U414="Débito",-1,1)-N($L414)-N($P414))</f>
        <v/>
      </c>
      <c r="AF414" s="14" t="str">
        <f aca="false">IF(OR($AE414="",$AD414=""),"",IF($AD414&lt;=0,"",$AE414/$AD414))</f>
        <v/>
      </c>
      <c r="AG414" s="14" t="str">
        <f aca="false">IF($AF414="","",$AF414*365/MAX(N($X414),1))</f>
        <v/>
      </c>
      <c r="AH414" s="14" t="str">
        <f aca="false">IF(OR($C414="",$U414&lt;&gt;"Crédito",$AD414=""),"",IF($AD414&lt;=0,"",($Z414-N($L414))/$AD414))</f>
        <v/>
      </c>
      <c r="AI414" s="14" t="str">
        <f aca="false">IF(OR($AH414="",$W414=""),"",$AH414*365/MAX($W414,1))</f>
        <v/>
      </c>
      <c r="AJ414" s="14" t="str">
        <f aca="false">IF(OR($AE414="",$U414&lt;&gt;"Crédito",N($K414)=0),"",(N($K414)-IF(OR($M414="Cerrada",$M414="Rolada"),N($O414),0))/$K414)</f>
        <v/>
      </c>
      <c r="AK414" s="15" t="str">
        <f aca="false">IF(OR($C414="",$N414=""),"",DATE(YEAR($N414),MONTH($N414),1))</f>
        <v/>
      </c>
      <c r="AL414" s="11" t="str">
        <f aca="false">IF($C414="","",IF($M414="Abierta",0,1))</f>
        <v/>
      </c>
      <c r="AM414" s="16" t="str">
        <f aca="false">IF(OR($AE414="",$AD414=""),"",$AD414*MAX(N($X414),1))</f>
        <v/>
      </c>
      <c r="AN414" s="10" t="str">
        <f aca="false">IF($C414="","",IF(OR($B414="",$D414="",$H414="",$K414="",$M414=""),"Faltan datos obligatorios",IF($T414="","Estrategia no reconocida",IF(AND($M414&lt;&gt;"Abierta",$N414=""),"Falta fecha cierre",IF(AND(OR($M414="Cerrada",$M414="Rolada"),$O414=""),"Falta prima cierre",IF(AND($N414&lt;&gt;"",$N414&lt;$B414),"Cierre anterior a apertura",IF(AND($M414="Asignada",$R414=""),"Asignada: falta ID lote acciones",IF(AND($R414&lt;&gt;"",ISNA(MATCH($R414,Acciones!$A$2:$A$201,0))),"El ID lote no existe en Acciones",IF($AD414="","Revisa capital en riesgo","OK")))))))))</f>
        <v/>
      </c>
    </row>
    <row r="415" customFormat="false" ht="15" hidden="false" customHeight="true" outlineLevel="0" collapsed="false">
      <c r="A415" s="5"/>
      <c r="B415" s="6"/>
      <c r="C415" s="7"/>
      <c r="D415" s="7"/>
      <c r="E415" s="8"/>
      <c r="F415" s="8"/>
      <c r="G415" s="6"/>
      <c r="H415" s="5"/>
      <c r="I415" s="5" t="n">
        <v>100</v>
      </c>
      <c r="J415" s="8"/>
      <c r="K415" s="8"/>
      <c r="L415" s="9"/>
      <c r="M415" s="7"/>
      <c r="N415" s="6"/>
      <c r="O415" s="8"/>
      <c r="P415" s="9"/>
      <c r="Q415" s="9"/>
      <c r="R415" s="7"/>
      <c r="S415" s="7"/>
      <c r="T415" s="10" t="str">
        <f aca="false">IF($C415="","",IFERROR(INDEX(Listas!$B$2:$B$20,MATCH($D415,Listas!$A$2:$A$20,0)),""))</f>
        <v/>
      </c>
      <c r="U415" s="10" t="str">
        <f aca="false">IF($C415="","",IFERROR(INDEX(Listas!$C$2:$C$20,MATCH($D415,Listas!$A$2:$A$20,0)),""))</f>
        <v/>
      </c>
      <c r="V415" s="10" t="str">
        <f aca="false">IF($C415="","",IFERROR(INDEX(Listas!$D$2:$D$20,MATCH($D415,Listas!$A$2:$A$20,0)),""))</f>
        <v/>
      </c>
      <c r="W415" s="11" t="str">
        <f aca="false">IF(OR($C415="",$B415="",$G415=""),"",$G415-$B415)</f>
        <v/>
      </c>
      <c r="X415" s="11" t="str">
        <f aca="true">IF(OR($C415="",$B415=""),"",IF($N415&lt;&gt;"",$N415,TODAY())-$B415)</f>
        <v/>
      </c>
      <c r="Y415" s="11" t="str">
        <f aca="true">IF(OR($C415="",$M415&lt;&gt;"Abierta",$G415=""),"",MAX($G415-TODAY(),0))</f>
        <v/>
      </c>
      <c r="Z415" s="12" t="str">
        <f aca="false">IF($C415="","",N($K415)*N($H415)*N($I415)*IF($U415="Débito",-1,1))</f>
        <v/>
      </c>
      <c r="AA415" s="13" t="str">
        <f aca="false">IF($C415="","",IF(AND($U415="Débito",$F415&lt;&gt;""),$F415,$E415))</f>
        <v/>
      </c>
      <c r="AB415" s="13" t="str">
        <f aca="false">IF(OR($C415="",$T415="Mixta",$AA415=""),"",IF($V415="Subyacente",IF($J415="","",$J415-$K415),IF($T415="Put",$AA415-$K415,$AA415+$K415)))</f>
        <v/>
      </c>
      <c r="AC415" s="14" t="str">
        <f aca="false">IF(OR($C415="",$T415="Mixta",$J415="",$AA415=""),"",IF($T415="Put",($J415-$AA415)/$J415,($AA415-$J415)/$J415))</f>
        <v/>
      </c>
      <c r="AD415" s="12" t="str">
        <f aca="false">IF($C415="","",IF($Q415&lt;&gt;"",$Q415,IF($V415="Strike",N($E415)*$H415*$I415,IF($V415="Subyacente",IF($J415="","",$J415*$H415*$I415),IF($V415="Ancho",IF($F415="","",ABS($E415-$F415)*$H415*$I415-$K415*$H415*$I415),IF($V415="Prima",$K415*$H415*$I415,""))))))</f>
        <v/>
      </c>
      <c r="AE415" s="12" t="str">
        <f aca="false">IF(OR($C415="",$M415="Abierta",$M415=""),"",(N($K415)-IF(OR($M415="Cerrada",$M415="Rolada"),N($O415),0))*$H415*$I415*IF($U415="Débito",-1,1)-N($L415)-N($P415))</f>
        <v/>
      </c>
      <c r="AF415" s="14" t="str">
        <f aca="false">IF(OR($AE415="",$AD415=""),"",IF($AD415&lt;=0,"",$AE415/$AD415))</f>
        <v/>
      </c>
      <c r="AG415" s="14" t="str">
        <f aca="false">IF($AF415="","",$AF415*365/MAX(N($X415),1))</f>
        <v/>
      </c>
      <c r="AH415" s="14" t="str">
        <f aca="false">IF(OR($C415="",$U415&lt;&gt;"Crédito",$AD415=""),"",IF($AD415&lt;=0,"",($Z415-N($L415))/$AD415))</f>
        <v/>
      </c>
      <c r="AI415" s="14" t="str">
        <f aca="false">IF(OR($AH415="",$W415=""),"",$AH415*365/MAX($W415,1))</f>
        <v/>
      </c>
      <c r="AJ415" s="14" t="str">
        <f aca="false">IF(OR($AE415="",$U415&lt;&gt;"Crédito",N($K415)=0),"",(N($K415)-IF(OR($M415="Cerrada",$M415="Rolada"),N($O415),0))/$K415)</f>
        <v/>
      </c>
      <c r="AK415" s="15" t="str">
        <f aca="false">IF(OR($C415="",$N415=""),"",DATE(YEAR($N415),MONTH($N415),1))</f>
        <v/>
      </c>
      <c r="AL415" s="11" t="str">
        <f aca="false">IF($C415="","",IF($M415="Abierta",0,1))</f>
        <v/>
      </c>
      <c r="AM415" s="16" t="str">
        <f aca="false">IF(OR($AE415="",$AD415=""),"",$AD415*MAX(N($X415),1))</f>
        <v/>
      </c>
      <c r="AN415" s="10" t="str">
        <f aca="false">IF($C415="","",IF(OR($B415="",$D415="",$H415="",$K415="",$M415=""),"Faltan datos obligatorios",IF($T415="","Estrategia no reconocida",IF(AND($M415&lt;&gt;"Abierta",$N415=""),"Falta fecha cierre",IF(AND(OR($M415="Cerrada",$M415="Rolada"),$O415=""),"Falta prima cierre",IF(AND($N415&lt;&gt;"",$N415&lt;$B415),"Cierre anterior a apertura",IF(AND($M415="Asignada",$R415=""),"Asignada: falta ID lote acciones",IF(AND($R415&lt;&gt;"",ISNA(MATCH($R415,Acciones!$A$2:$A$201,0))),"El ID lote no existe en Acciones",IF($AD415="","Revisa capital en riesgo","OK")))))))))</f>
        <v/>
      </c>
    </row>
    <row r="416" customFormat="false" ht="15" hidden="false" customHeight="true" outlineLevel="0" collapsed="false">
      <c r="A416" s="5"/>
      <c r="B416" s="6"/>
      <c r="C416" s="7"/>
      <c r="D416" s="7"/>
      <c r="E416" s="8"/>
      <c r="F416" s="8"/>
      <c r="G416" s="6"/>
      <c r="H416" s="5"/>
      <c r="I416" s="5" t="n">
        <v>100</v>
      </c>
      <c r="J416" s="8"/>
      <c r="K416" s="8"/>
      <c r="L416" s="9"/>
      <c r="M416" s="7"/>
      <c r="N416" s="6"/>
      <c r="O416" s="8"/>
      <c r="P416" s="9"/>
      <c r="Q416" s="9"/>
      <c r="R416" s="7"/>
      <c r="S416" s="7"/>
      <c r="T416" s="10" t="str">
        <f aca="false">IF($C416="","",IFERROR(INDEX(Listas!$B$2:$B$20,MATCH($D416,Listas!$A$2:$A$20,0)),""))</f>
        <v/>
      </c>
      <c r="U416" s="10" t="str">
        <f aca="false">IF($C416="","",IFERROR(INDEX(Listas!$C$2:$C$20,MATCH($D416,Listas!$A$2:$A$20,0)),""))</f>
        <v/>
      </c>
      <c r="V416" s="10" t="str">
        <f aca="false">IF($C416="","",IFERROR(INDEX(Listas!$D$2:$D$20,MATCH($D416,Listas!$A$2:$A$20,0)),""))</f>
        <v/>
      </c>
      <c r="W416" s="11" t="str">
        <f aca="false">IF(OR($C416="",$B416="",$G416=""),"",$G416-$B416)</f>
        <v/>
      </c>
      <c r="X416" s="11" t="str">
        <f aca="true">IF(OR($C416="",$B416=""),"",IF($N416&lt;&gt;"",$N416,TODAY())-$B416)</f>
        <v/>
      </c>
      <c r="Y416" s="11" t="str">
        <f aca="true">IF(OR($C416="",$M416&lt;&gt;"Abierta",$G416=""),"",MAX($G416-TODAY(),0))</f>
        <v/>
      </c>
      <c r="Z416" s="12" t="str">
        <f aca="false">IF($C416="","",N($K416)*N($H416)*N($I416)*IF($U416="Débito",-1,1))</f>
        <v/>
      </c>
      <c r="AA416" s="13" t="str">
        <f aca="false">IF($C416="","",IF(AND($U416="Débito",$F416&lt;&gt;""),$F416,$E416))</f>
        <v/>
      </c>
      <c r="AB416" s="13" t="str">
        <f aca="false">IF(OR($C416="",$T416="Mixta",$AA416=""),"",IF($V416="Subyacente",IF($J416="","",$J416-$K416),IF($T416="Put",$AA416-$K416,$AA416+$K416)))</f>
        <v/>
      </c>
      <c r="AC416" s="14" t="str">
        <f aca="false">IF(OR($C416="",$T416="Mixta",$J416="",$AA416=""),"",IF($T416="Put",($J416-$AA416)/$J416,($AA416-$J416)/$J416))</f>
        <v/>
      </c>
      <c r="AD416" s="12" t="str">
        <f aca="false">IF($C416="","",IF($Q416&lt;&gt;"",$Q416,IF($V416="Strike",N($E416)*$H416*$I416,IF($V416="Subyacente",IF($J416="","",$J416*$H416*$I416),IF($V416="Ancho",IF($F416="","",ABS($E416-$F416)*$H416*$I416-$K416*$H416*$I416),IF($V416="Prima",$K416*$H416*$I416,""))))))</f>
        <v/>
      </c>
      <c r="AE416" s="12" t="str">
        <f aca="false">IF(OR($C416="",$M416="Abierta",$M416=""),"",(N($K416)-IF(OR($M416="Cerrada",$M416="Rolada"),N($O416),0))*$H416*$I416*IF($U416="Débito",-1,1)-N($L416)-N($P416))</f>
        <v/>
      </c>
      <c r="AF416" s="14" t="str">
        <f aca="false">IF(OR($AE416="",$AD416=""),"",IF($AD416&lt;=0,"",$AE416/$AD416))</f>
        <v/>
      </c>
      <c r="AG416" s="14" t="str">
        <f aca="false">IF($AF416="","",$AF416*365/MAX(N($X416),1))</f>
        <v/>
      </c>
      <c r="AH416" s="14" t="str">
        <f aca="false">IF(OR($C416="",$U416&lt;&gt;"Crédito",$AD416=""),"",IF($AD416&lt;=0,"",($Z416-N($L416))/$AD416))</f>
        <v/>
      </c>
      <c r="AI416" s="14" t="str">
        <f aca="false">IF(OR($AH416="",$W416=""),"",$AH416*365/MAX($W416,1))</f>
        <v/>
      </c>
      <c r="AJ416" s="14" t="str">
        <f aca="false">IF(OR($AE416="",$U416&lt;&gt;"Crédito",N($K416)=0),"",(N($K416)-IF(OR($M416="Cerrada",$M416="Rolada"),N($O416),0))/$K416)</f>
        <v/>
      </c>
      <c r="AK416" s="15" t="str">
        <f aca="false">IF(OR($C416="",$N416=""),"",DATE(YEAR($N416),MONTH($N416),1))</f>
        <v/>
      </c>
      <c r="AL416" s="11" t="str">
        <f aca="false">IF($C416="","",IF($M416="Abierta",0,1))</f>
        <v/>
      </c>
      <c r="AM416" s="16" t="str">
        <f aca="false">IF(OR($AE416="",$AD416=""),"",$AD416*MAX(N($X416),1))</f>
        <v/>
      </c>
      <c r="AN416" s="10" t="str">
        <f aca="false">IF($C416="","",IF(OR($B416="",$D416="",$H416="",$K416="",$M416=""),"Faltan datos obligatorios",IF($T416="","Estrategia no reconocida",IF(AND($M416&lt;&gt;"Abierta",$N416=""),"Falta fecha cierre",IF(AND(OR($M416="Cerrada",$M416="Rolada"),$O416=""),"Falta prima cierre",IF(AND($N416&lt;&gt;"",$N416&lt;$B416),"Cierre anterior a apertura",IF(AND($M416="Asignada",$R416=""),"Asignada: falta ID lote acciones",IF(AND($R416&lt;&gt;"",ISNA(MATCH($R416,Acciones!$A$2:$A$201,0))),"El ID lote no existe en Acciones",IF($AD416="","Revisa capital en riesgo","OK")))))))))</f>
        <v/>
      </c>
    </row>
    <row r="417" customFormat="false" ht="15" hidden="false" customHeight="true" outlineLevel="0" collapsed="false">
      <c r="A417" s="5"/>
      <c r="B417" s="6"/>
      <c r="C417" s="7"/>
      <c r="D417" s="7"/>
      <c r="E417" s="8"/>
      <c r="F417" s="8"/>
      <c r="G417" s="6"/>
      <c r="H417" s="5"/>
      <c r="I417" s="5" t="n">
        <v>100</v>
      </c>
      <c r="J417" s="8"/>
      <c r="K417" s="8"/>
      <c r="L417" s="9"/>
      <c r="M417" s="7"/>
      <c r="N417" s="6"/>
      <c r="O417" s="8"/>
      <c r="P417" s="9"/>
      <c r="Q417" s="9"/>
      <c r="R417" s="7"/>
      <c r="S417" s="7"/>
      <c r="T417" s="10" t="str">
        <f aca="false">IF($C417="","",IFERROR(INDEX(Listas!$B$2:$B$20,MATCH($D417,Listas!$A$2:$A$20,0)),""))</f>
        <v/>
      </c>
      <c r="U417" s="10" t="str">
        <f aca="false">IF($C417="","",IFERROR(INDEX(Listas!$C$2:$C$20,MATCH($D417,Listas!$A$2:$A$20,0)),""))</f>
        <v/>
      </c>
      <c r="V417" s="10" t="str">
        <f aca="false">IF($C417="","",IFERROR(INDEX(Listas!$D$2:$D$20,MATCH($D417,Listas!$A$2:$A$20,0)),""))</f>
        <v/>
      </c>
      <c r="W417" s="11" t="str">
        <f aca="false">IF(OR($C417="",$B417="",$G417=""),"",$G417-$B417)</f>
        <v/>
      </c>
      <c r="X417" s="11" t="str">
        <f aca="true">IF(OR($C417="",$B417=""),"",IF($N417&lt;&gt;"",$N417,TODAY())-$B417)</f>
        <v/>
      </c>
      <c r="Y417" s="11" t="str">
        <f aca="true">IF(OR($C417="",$M417&lt;&gt;"Abierta",$G417=""),"",MAX($G417-TODAY(),0))</f>
        <v/>
      </c>
      <c r="Z417" s="12" t="str">
        <f aca="false">IF($C417="","",N($K417)*N($H417)*N($I417)*IF($U417="Débito",-1,1))</f>
        <v/>
      </c>
      <c r="AA417" s="13" t="str">
        <f aca="false">IF($C417="","",IF(AND($U417="Débito",$F417&lt;&gt;""),$F417,$E417))</f>
        <v/>
      </c>
      <c r="AB417" s="13" t="str">
        <f aca="false">IF(OR($C417="",$T417="Mixta",$AA417=""),"",IF($V417="Subyacente",IF($J417="","",$J417-$K417),IF($T417="Put",$AA417-$K417,$AA417+$K417)))</f>
        <v/>
      </c>
      <c r="AC417" s="14" t="str">
        <f aca="false">IF(OR($C417="",$T417="Mixta",$J417="",$AA417=""),"",IF($T417="Put",($J417-$AA417)/$J417,($AA417-$J417)/$J417))</f>
        <v/>
      </c>
      <c r="AD417" s="12" t="str">
        <f aca="false">IF($C417="","",IF($Q417&lt;&gt;"",$Q417,IF($V417="Strike",N($E417)*$H417*$I417,IF($V417="Subyacente",IF($J417="","",$J417*$H417*$I417),IF($V417="Ancho",IF($F417="","",ABS($E417-$F417)*$H417*$I417-$K417*$H417*$I417),IF($V417="Prima",$K417*$H417*$I417,""))))))</f>
        <v/>
      </c>
      <c r="AE417" s="12" t="str">
        <f aca="false">IF(OR($C417="",$M417="Abierta",$M417=""),"",(N($K417)-IF(OR($M417="Cerrada",$M417="Rolada"),N($O417),0))*$H417*$I417*IF($U417="Débito",-1,1)-N($L417)-N($P417))</f>
        <v/>
      </c>
      <c r="AF417" s="14" t="str">
        <f aca="false">IF(OR($AE417="",$AD417=""),"",IF($AD417&lt;=0,"",$AE417/$AD417))</f>
        <v/>
      </c>
      <c r="AG417" s="14" t="str">
        <f aca="false">IF($AF417="","",$AF417*365/MAX(N($X417),1))</f>
        <v/>
      </c>
      <c r="AH417" s="14" t="str">
        <f aca="false">IF(OR($C417="",$U417&lt;&gt;"Crédito",$AD417=""),"",IF($AD417&lt;=0,"",($Z417-N($L417))/$AD417))</f>
        <v/>
      </c>
      <c r="AI417" s="14" t="str">
        <f aca="false">IF(OR($AH417="",$W417=""),"",$AH417*365/MAX($W417,1))</f>
        <v/>
      </c>
      <c r="AJ417" s="14" t="str">
        <f aca="false">IF(OR($AE417="",$U417&lt;&gt;"Crédito",N($K417)=0),"",(N($K417)-IF(OR($M417="Cerrada",$M417="Rolada"),N($O417),0))/$K417)</f>
        <v/>
      </c>
      <c r="AK417" s="15" t="str">
        <f aca="false">IF(OR($C417="",$N417=""),"",DATE(YEAR($N417),MONTH($N417),1))</f>
        <v/>
      </c>
      <c r="AL417" s="11" t="str">
        <f aca="false">IF($C417="","",IF($M417="Abierta",0,1))</f>
        <v/>
      </c>
      <c r="AM417" s="16" t="str">
        <f aca="false">IF(OR($AE417="",$AD417=""),"",$AD417*MAX(N($X417),1))</f>
        <v/>
      </c>
      <c r="AN417" s="10" t="str">
        <f aca="false">IF($C417="","",IF(OR($B417="",$D417="",$H417="",$K417="",$M417=""),"Faltan datos obligatorios",IF($T417="","Estrategia no reconocida",IF(AND($M417&lt;&gt;"Abierta",$N417=""),"Falta fecha cierre",IF(AND(OR($M417="Cerrada",$M417="Rolada"),$O417=""),"Falta prima cierre",IF(AND($N417&lt;&gt;"",$N417&lt;$B417),"Cierre anterior a apertura",IF(AND($M417="Asignada",$R417=""),"Asignada: falta ID lote acciones",IF(AND($R417&lt;&gt;"",ISNA(MATCH($R417,Acciones!$A$2:$A$201,0))),"El ID lote no existe en Acciones",IF($AD417="","Revisa capital en riesgo","OK")))))))))</f>
        <v/>
      </c>
    </row>
    <row r="418" customFormat="false" ht="15" hidden="false" customHeight="true" outlineLevel="0" collapsed="false">
      <c r="A418" s="5"/>
      <c r="B418" s="6"/>
      <c r="C418" s="7"/>
      <c r="D418" s="7"/>
      <c r="E418" s="8"/>
      <c r="F418" s="8"/>
      <c r="G418" s="6"/>
      <c r="H418" s="5"/>
      <c r="I418" s="5" t="n">
        <v>100</v>
      </c>
      <c r="J418" s="8"/>
      <c r="K418" s="8"/>
      <c r="L418" s="9"/>
      <c r="M418" s="7"/>
      <c r="N418" s="6"/>
      <c r="O418" s="8"/>
      <c r="P418" s="9"/>
      <c r="Q418" s="9"/>
      <c r="R418" s="7"/>
      <c r="S418" s="7"/>
      <c r="T418" s="10" t="str">
        <f aca="false">IF($C418="","",IFERROR(INDEX(Listas!$B$2:$B$20,MATCH($D418,Listas!$A$2:$A$20,0)),""))</f>
        <v/>
      </c>
      <c r="U418" s="10" t="str">
        <f aca="false">IF($C418="","",IFERROR(INDEX(Listas!$C$2:$C$20,MATCH($D418,Listas!$A$2:$A$20,0)),""))</f>
        <v/>
      </c>
      <c r="V418" s="10" t="str">
        <f aca="false">IF($C418="","",IFERROR(INDEX(Listas!$D$2:$D$20,MATCH($D418,Listas!$A$2:$A$20,0)),""))</f>
        <v/>
      </c>
      <c r="W418" s="11" t="str">
        <f aca="false">IF(OR($C418="",$B418="",$G418=""),"",$G418-$B418)</f>
        <v/>
      </c>
      <c r="X418" s="11" t="str">
        <f aca="true">IF(OR($C418="",$B418=""),"",IF($N418&lt;&gt;"",$N418,TODAY())-$B418)</f>
        <v/>
      </c>
      <c r="Y418" s="11" t="str">
        <f aca="true">IF(OR($C418="",$M418&lt;&gt;"Abierta",$G418=""),"",MAX($G418-TODAY(),0))</f>
        <v/>
      </c>
      <c r="Z418" s="12" t="str">
        <f aca="false">IF($C418="","",N($K418)*N($H418)*N($I418)*IF($U418="Débito",-1,1))</f>
        <v/>
      </c>
      <c r="AA418" s="13" t="str">
        <f aca="false">IF($C418="","",IF(AND($U418="Débito",$F418&lt;&gt;""),$F418,$E418))</f>
        <v/>
      </c>
      <c r="AB418" s="13" t="str">
        <f aca="false">IF(OR($C418="",$T418="Mixta",$AA418=""),"",IF($V418="Subyacente",IF($J418="","",$J418-$K418),IF($T418="Put",$AA418-$K418,$AA418+$K418)))</f>
        <v/>
      </c>
      <c r="AC418" s="14" t="str">
        <f aca="false">IF(OR($C418="",$T418="Mixta",$J418="",$AA418=""),"",IF($T418="Put",($J418-$AA418)/$J418,($AA418-$J418)/$J418))</f>
        <v/>
      </c>
      <c r="AD418" s="12" t="str">
        <f aca="false">IF($C418="","",IF($Q418&lt;&gt;"",$Q418,IF($V418="Strike",N($E418)*$H418*$I418,IF($V418="Subyacente",IF($J418="","",$J418*$H418*$I418),IF($V418="Ancho",IF($F418="","",ABS($E418-$F418)*$H418*$I418-$K418*$H418*$I418),IF($V418="Prima",$K418*$H418*$I418,""))))))</f>
        <v/>
      </c>
      <c r="AE418" s="12" t="str">
        <f aca="false">IF(OR($C418="",$M418="Abierta",$M418=""),"",(N($K418)-IF(OR($M418="Cerrada",$M418="Rolada"),N($O418),0))*$H418*$I418*IF($U418="Débito",-1,1)-N($L418)-N($P418))</f>
        <v/>
      </c>
      <c r="AF418" s="14" t="str">
        <f aca="false">IF(OR($AE418="",$AD418=""),"",IF($AD418&lt;=0,"",$AE418/$AD418))</f>
        <v/>
      </c>
      <c r="AG418" s="14" t="str">
        <f aca="false">IF($AF418="","",$AF418*365/MAX(N($X418),1))</f>
        <v/>
      </c>
      <c r="AH418" s="14" t="str">
        <f aca="false">IF(OR($C418="",$U418&lt;&gt;"Crédito",$AD418=""),"",IF($AD418&lt;=0,"",($Z418-N($L418))/$AD418))</f>
        <v/>
      </c>
      <c r="AI418" s="14" t="str">
        <f aca="false">IF(OR($AH418="",$W418=""),"",$AH418*365/MAX($W418,1))</f>
        <v/>
      </c>
      <c r="AJ418" s="14" t="str">
        <f aca="false">IF(OR($AE418="",$U418&lt;&gt;"Crédito",N($K418)=0),"",(N($K418)-IF(OR($M418="Cerrada",$M418="Rolada"),N($O418),0))/$K418)</f>
        <v/>
      </c>
      <c r="AK418" s="15" t="str">
        <f aca="false">IF(OR($C418="",$N418=""),"",DATE(YEAR($N418),MONTH($N418),1))</f>
        <v/>
      </c>
      <c r="AL418" s="11" t="str">
        <f aca="false">IF($C418="","",IF($M418="Abierta",0,1))</f>
        <v/>
      </c>
      <c r="AM418" s="16" t="str">
        <f aca="false">IF(OR($AE418="",$AD418=""),"",$AD418*MAX(N($X418),1))</f>
        <v/>
      </c>
      <c r="AN418" s="10" t="str">
        <f aca="false">IF($C418="","",IF(OR($B418="",$D418="",$H418="",$K418="",$M418=""),"Faltan datos obligatorios",IF($T418="","Estrategia no reconocida",IF(AND($M418&lt;&gt;"Abierta",$N418=""),"Falta fecha cierre",IF(AND(OR($M418="Cerrada",$M418="Rolada"),$O418=""),"Falta prima cierre",IF(AND($N418&lt;&gt;"",$N418&lt;$B418),"Cierre anterior a apertura",IF(AND($M418="Asignada",$R418=""),"Asignada: falta ID lote acciones",IF(AND($R418&lt;&gt;"",ISNA(MATCH($R418,Acciones!$A$2:$A$201,0))),"El ID lote no existe en Acciones",IF($AD418="","Revisa capital en riesgo","OK")))))))))</f>
        <v/>
      </c>
    </row>
    <row r="419" customFormat="false" ht="15" hidden="false" customHeight="true" outlineLevel="0" collapsed="false">
      <c r="A419" s="5"/>
      <c r="B419" s="6"/>
      <c r="C419" s="7"/>
      <c r="D419" s="7"/>
      <c r="E419" s="8"/>
      <c r="F419" s="8"/>
      <c r="G419" s="6"/>
      <c r="H419" s="5"/>
      <c r="I419" s="5" t="n">
        <v>100</v>
      </c>
      <c r="J419" s="8"/>
      <c r="K419" s="8"/>
      <c r="L419" s="9"/>
      <c r="M419" s="7"/>
      <c r="N419" s="6"/>
      <c r="O419" s="8"/>
      <c r="P419" s="9"/>
      <c r="Q419" s="9"/>
      <c r="R419" s="7"/>
      <c r="S419" s="7"/>
      <c r="T419" s="10" t="str">
        <f aca="false">IF($C419="","",IFERROR(INDEX(Listas!$B$2:$B$20,MATCH($D419,Listas!$A$2:$A$20,0)),""))</f>
        <v/>
      </c>
      <c r="U419" s="10" t="str">
        <f aca="false">IF($C419="","",IFERROR(INDEX(Listas!$C$2:$C$20,MATCH($D419,Listas!$A$2:$A$20,0)),""))</f>
        <v/>
      </c>
      <c r="V419" s="10" t="str">
        <f aca="false">IF($C419="","",IFERROR(INDEX(Listas!$D$2:$D$20,MATCH($D419,Listas!$A$2:$A$20,0)),""))</f>
        <v/>
      </c>
      <c r="W419" s="11" t="str">
        <f aca="false">IF(OR($C419="",$B419="",$G419=""),"",$G419-$B419)</f>
        <v/>
      </c>
      <c r="X419" s="11" t="str">
        <f aca="true">IF(OR($C419="",$B419=""),"",IF($N419&lt;&gt;"",$N419,TODAY())-$B419)</f>
        <v/>
      </c>
      <c r="Y419" s="11" t="str">
        <f aca="true">IF(OR($C419="",$M419&lt;&gt;"Abierta",$G419=""),"",MAX($G419-TODAY(),0))</f>
        <v/>
      </c>
      <c r="Z419" s="12" t="str">
        <f aca="false">IF($C419="","",N($K419)*N($H419)*N($I419)*IF($U419="Débito",-1,1))</f>
        <v/>
      </c>
      <c r="AA419" s="13" t="str">
        <f aca="false">IF($C419="","",IF(AND($U419="Débito",$F419&lt;&gt;""),$F419,$E419))</f>
        <v/>
      </c>
      <c r="AB419" s="13" t="str">
        <f aca="false">IF(OR($C419="",$T419="Mixta",$AA419=""),"",IF($V419="Subyacente",IF($J419="","",$J419-$K419),IF($T419="Put",$AA419-$K419,$AA419+$K419)))</f>
        <v/>
      </c>
      <c r="AC419" s="14" t="str">
        <f aca="false">IF(OR($C419="",$T419="Mixta",$J419="",$AA419=""),"",IF($T419="Put",($J419-$AA419)/$J419,($AA419-$J419)/$J419))</f>
        <v/>
      </c>
      <c r="AD419" s="12" t="str">
        <f aca="false">IF($C419="","",IF($Q419&lt;&gt;"",$Q419,IF($V419="Strike",N($E419)*$H419*$I419,IF($V419="Subyacente",IF($J419="","",$J419*$H419*$I419),IF($V419="Ancho",IF($F419="","",ABS($E419-$F419)*$H419*$I419-$K419*$H419*$I419),IF($V419="Prima",$K419*$H419*$I419,""))))))</f>
        <v/>
      </c>
      <c r="AE419" s="12" t="str">
        <f aca="false">IF(OR($C419="",$M419="Abierta",$M419=""),"",(N($K419)-IF(OR($M419="Cerrada",$M419="Rolada"),N($O419),0))*$H419*$I419*IF($U419="Débito",-1,1)-N($L419)-N($P419))</f>
        <v/>
      </c>
      <c r="AF419" s="14" t="str">
        <f aca="false">IF(OR($AE419="",$AD419=""),"",IF($AD419&lt;=0,"",$AE419/$AD419))</f>
        <v/>
      </c>
      <c r="AG419" s="14" t="str">
        <f aca="false">IF($AF419="","",$AF419*365/MAX(N($X419),1))</f>
        <v/>
      </c>
      <c r="AH419" s="14" t="str">
        <f aca="false">IF(OR($C419="",$U419&lt;&gt;"Crédito",$AD419=""),"",IF($AD419&lt;=0,"",($Z419-N($L419))/$AD419))</f>
        <v/>
      </c>
      <c r="AI419" s="14" t="str">
        <f aca="false">IF(OR($AH419="",$W419=""),"",$AH419*365/MAX($W419,1))</f>
        <v/>
      </c>
      <c r="AJ419" s="14" t="str">
        <f aca="false">IF(OR($AE419="",$U419&lt;&gt;"Crédito",N($K419)=0),"",(N($K419)-IF(OR($M419="Cerrada",$M419="Rolada"),N($O419),0))/$K419)</f>
        <v/>
      </c>
      <c r="AK419" s="15" t="str">
        <f aca="false">IF(OR($C419="",$N419=""),"",DATE(YEAR($N419),MONTH($N419),1))</f>
        <v/>
      </c>
      <c r="AL419" s="11" t="str">
        <f aca="false">IF($C419="","",IF($M419="Abierta",0,1))</f>
        <v/>
      </c>
      <c r="AM419" s="16" t="str">
        <f aca="false">IF(OR($AE419="",$AD419=""),"",$AD419*MAX(N($X419),1))</f>
        <v/>
      </c>
      <c r="AN419" s="10" t="str">
        <f aca="false">IF($C419="","",IF(OR($B419="",$D419="",$H419="",$K419="",$M419=""),"Faltan datos obligatorios",IF($T419="","Estrategia no reconocida",IF(AND($M419&lt;&gt;"Abierta",$N419=""),"Falta fecha cierre",IF(AND(OR($M419="Cerrada",$M419="Rolada"),$O419=""),"Falta prima cierre",IF(AND($N419&lt;&gt;"",$N419&lt;$B419),"Cierre anterior a apertura",IF(AND($M419="Asignada",$R419=""),"Asignada: falta ID lote acciones",IF(AND($R419&lt;&gt;"",ISNA(MATCH($R419,Acciones!$A$2:$A$201,0))),"El ID lote no existe en Acciones",IF($AD419="","Revisa capital en riesgo","OK")))))))))</f>
        <v/>
      </c>
    </row>
    <row r="420" customFormat="false" ht="15" hidden="false" customHeight="true" outlineLevel="0" collapsed="false">
      <c r="A420" s="5"/>
      <c r="B420" s="6"/>
      <c r="C420" s="7"/>
      <c r="D420" s="7"/>
      <c r="E420" s="8"/>
      <c r="F420" s="8"/>
      <c r="G420" s="6"/>
      <c r="H420" s="5"/>
      <c r="I420" s="5" t="n">
        <v>100</v>
      </c>
      <c r="J420" s="8"/>
      <c r="K420" s="8"/>
      <c r="L420" s="9"/>
      <c r="M420" s="7"/>
      <c r="N420" s="6"/>
      <c r="O420" s="8"/>
      <c r="P420" s="9"/>
      <c r="Q420" s="9"/>
      <c r="R420" s="7"/>
      <c r="S420" s="7"/>
      <c r="T420" s="10" t="str">
        <f aca="false">IF($C420="","",IFERROR(INDEX(Listas!$B$2:$B$20,MATCH($D420,Listas!$A$2:$A$20,0)),""))</f>
        <v/>
      </c>
      <c r="U420" s="10" t="str">
        <f aca="false">IF($C420="","",IFERROR(INDEX(Listas!$C$2:$C$20,MATCH($D420,Listas!$A$2:$A$20,0)),""))</f>
        <v/>
      </c>
      <c r="V420" s="10" t="str">
        <f aca="false">IF($C420="","",IFERROR(INDEX(Listas!$D$2:$D$20,MATCH($D420,Listas!$A$2:$A$20,0)),""))</f>
        <v/>
      </c>
      <c r="W420" s="11" t="str">
        <f aca="false">IF(OR($C420="",$B420="",$G420=""),"",$G420-$B420)</f>
        <v/>
      </c>
      <c r="X420" s="11" t="str">
        <f aca="true">IF(OR($C420="",$B420=""),"",IF($N420&lt;&gt;"",$N420,TODAY())-$B420)</f>
        <v/>
      </c>
      <c r="Y420" s="11" t="str">
        <f aca="true">IF(OR($C420="",$M420&lt;&gt;"Abierta",$G420=""),"",MAX($G420-TODAY(),0))</f>
        <v/>
      </c>
      <c r="Z420" s="12" t="str">
        <f aca="false">IF($C420="","",N($K420)*N($H420)*N($I420)*IF($U420="Débito",-1,1))</f>
        <v/>
      </c>
      <c r="AA420" s="13" t="str">
        <f aca="false">IF($C420="","",IF(AND($U420="Débito",$F420&lt;&gt;""),$F420,$E420))</f>
        <v/>
      </c>
      <c r="AB420" s="13" t="str">
        <f aca="false">IF(OR($C420="",$T420="Mixta",$AA420=""),"",IF($V420="Subyacente",IF($J420="","",$J420-$K420),IF($T420="Put",$AA420-$K420,$AA420+$K420)))</f>
        <v/>
      </c>
      <c r="AC420" s="14" t="str">
        <f aca="false">IF(OR($C420="",$T420="Mixta",$J420="",$AA420=""),"",IF($T420="Put",($J420-$AA420)/$J420,($AA420-$J420)/$J420))</f>
        <v/>
      </c>
      <c r="AD420" s="12" t="str">
        <f aca="false">IF($C420="","",IF($Q420&lt;&gt;"",$Q420,IF($V420="Strike",N($E420)*$H420*$I420,IF($V420="Subyacente",IF($J420="","",$J420*$H420*$I420),IF($V420="Ancho",IF($F420="","",ABS($E420-$F420)*$H420*$I420-$K420*$H420*$I420),IF($V420="Prima",$K420*$H420*$I420,""))))))</f>
        <v/>
      </c>
      <c r="AE420" s="12" t="str">
        <f aca="false">IF(OR($C420="",$M420="Abierta",$M420=""),"",(N($K420)-IF(OR($M420="Cerrada",$M420="Rolada"),N($O420),0))*$H420*$I420*IF($U420="Débito",-1,1)-N($L420)-N($P420))</f>
        <v/>
      </c>
      <c r="AF420" s="14" t="str">
        <f aca="false">IF(OR($AE420="",$AD420=""),"",IF($AD420&lt;=0,"",$AE420/$AD420))</f>
        <v/>
      </c>
      <c r="AG420" s="14" t="str">
        <f aca="false">IF($AF420="","",$AF420*365/MAX(N($X420),1))</f>
        <v/>
      </c>
      <c r="AH420" s="14" t="str">
        <f aca="false">IF(OR($C420="",$U420&lt;&gt;"Crédito",$AD420=""),"",IF($AD420&lt;=0,"",($Z420-N($L420))/$AD420))</f>
        <v/>
      </c>
      <c r="AI420" s="14" t="str">
        <f aca="false">IF(OR($AH420="",$W420=""),"",$AH420*365/MAX($W420,1))</f>
        <v/>
      </c>
      <c r="AJ420" s="14" t="str">
        <f aca="false">IF(OR($AE420="",$U420&lt;&gt;"Crédito",N($K420)=0),"",(N($K420)-IF(OR($M420="Cerrada",$M420="Rolada"),N($O420),0))/$K420)</f>
        <v/>
      </c>
      <c r="AK420" s="15" t="str">
        <f aca="false">IF(OR($C420="",$N420=""),"",DATE(YEAR($N420),MONTH($N420),1))</f>
        <v/>
      </c>
      <c r="AL420" s="11" t="str">
        <f aca="false">IF($C420="","",IF($M420="Abierta",0,1))</f>
        <v/>
      </c>
      <c r="AM420" s="16" t="str">
        <f aca="false">IF(OR($AE420="",$AD420=""),"",$AD420*MAX(N($X420),1))</f>
        <v/>
      </c>
      <c r="AN420" s="10" t="str">
        <f aca="false">IF($C420="","",IF(OR($B420="",$D420="",$H420="",$K420="",$M420=""),"Faltan datos obligatorios",IF($T420="","Estrategia no reconocida",IF(AND($M420&lt;&gt;"Abierta",$N420=""),"Falta fecha cierre",IF(AND(OR($M420="Cerrada",$M420="Rolada"),$O420=""),"Falta prima cierre",IF(AND($N420&lt;&gt;"",$N420&lt;$B420),"Cierre anterior a apertura",IF(AND($M420="Asignada",$R420=""),"Asignada: falta ID lote acciones",IF(AND($R420&lt;&gt;"",ISNA(MATCH($R420,Acciones!$A$2:$A$201,0))),"El ID lote no existe en Acciones",IF($AD420="","Revisa capital en riesgo","OK")))))))))</f>
        <v/>
      </c>
    </row>
    <row r="421" customFormat="false" ht="15" hidden="false" customHeight="true" outlineLevel="0" collapsed="false">
      <c r="A421" s="5"/>
      <c r="B421" s="6"/>
      <c r="C421" s="7"/>
      <c r="D421" s="7"/>
      <c r="E421" s="8"/>
      <c r="F421" s="8"/>
      <c r="G421" s="6"/>
      <c r="H421" s="5"/>
      <c r="I421" s="5" t="n">
        <v>100</v>
      </c>
      <c r="J421" s="8"/>
      <c r="K421" s="8"/>
      <c r="L421" s="9"/>
      <c r="M421" s="7"/>
      <c r="N421" s="6"/>
      <c r="O421" s="8"/>
      <c r="P421" s="9"/>
      <c r="Q421" s="9"/>
      <c r="R421" s="7"/>
      <c r="S421" s="7"/>
      <c r="T421" s="10" t="str">
        <f aca="false">IF($C421="","",IFERROR(INDEX(Listas!$B$2:$B$20,MATCH($D421,Listas!$A$2:$A$20,0)),""))</f>
        <v/>
      </c>
      <c r="U421" s="10" t="str">
        <f aca="false">IF($C421="","",IFERROR(INDEX(Listas!$C$2:$C$20,MATCH($D421,Listas!$A$2:$A$20,0)),""))</f>
        <v/>
      </c>
      <c r="V421" s="10" t="str">
        <f aca="false">IF($C421="","",IFERROR(INDEX(Listas!$D$2:$D$20,MATCH($D421,Listas!$A$2:$A$20,0)),""))</f>
        <v/>
      </c>
      <c r="W421" s="11" t="str">
        <f aca="false">IF(OR($C421="",$B421="",$G421=""),"",$G421-$B421)</f>
        <v/>
      </c>
      <c r="X421" s="11" t="str">
        <f aca="true">IF(OR($C421="",$B421=""),"",IF($N421&lt;&gt;"",$N421,TODAY())-$B421)</f>
        <v/>
      </c>
      <c r="Y421" s="11" t="str">
        <f aca="true">IF(OR($C421="",$M421&lt;&gt;"Abierta",$G421=""),"",MAX($G421-TODAY(),0))</f>
        <v/>
      </c>
      <c r="Z421" s="12" t="str">
        <f aca="false">IF($C421="","",N($K421)*N($H421)*N($I421)*IF($U421="Débito",-1,1))</f>
        <v/>
      </c>
      <c r="AA421" s="13" t="str">
        <f aca="false">IF($C421="","",IF(AND($U421="Débito",$F421&lt;&gt;""),$F421,$E421))</f>
        <v/>
      </c>
      <c r="AB421" s="13" t="str">
        <f aca="false">IF(OR($C421="",$T421="Mixta",$AA421=""),"",IF($V421="Subyacente",IF($J421="","",$J421-$K421),IF($T421="Put",$AA421-$K421,$AA421+$K421)))</f>
        <v/>
      </c>
      <c r="AC421" s="14" t="str">
        <f aca="false">IF(OR($C421="",$T421="Mixta",$J421="",$AA421=""),"",IF($T421="Put",($J421-$AA421)/$J421,($AA421-$J421)/$J421))</f>
        <v/>
      </c>
      <c r="AD421" s="12" t="str">
        <f aca="false">IF($C421="","",IF($Q421&lt;&gt;"",$Q421,IF($V421="Strike",N($E421)*$H421*$I421,IF($V421="Subyacente",IF($J421="","",$J421*$H421*$I421),IF($V421="Ancho",IF($F421="","",ABS($E421-$F421)*$H421*$I421-$K421*$H421*$I421),IF($V421="Prima",$K421*$H421*$I421,""))))))</f>
        <v/>
      </c>
      <c r="AE421" s="12" t="str">
        <f aca="false">IF(OR($C421="",$M421="Abierta",$M421=""),"",(N($K421)-IF(OR($M421="Cerrada",$M421="Rolada"),N($O421),0))*$H421*$I421*IF($U421="Débito",-1,1)-N($L421)-N($P421))</f>
        <v/>
      </c>
      <c r="AF421" s="14" t="str">
        <f aca="false">IF(OR($AE421="",$AD421=""),"",IF($AD421&lt;=0,"",$AE421/$AD421))</f>
        <v/>
      </c>
      <c r="AG421" s="14" t="str">
        <f aca="false">IF($AF421="","",$AF421*365/MAX(N($X421),1))</f>
        <v/>
      </c>
      <c r="AH421" s="14" t="str">
        <f aca="false">IF(OR($C421="",$U421&lt;&gt;"Crédito",$AD421=""),"",IF($AD421&lt;=0,"",($Z421-N($L421))/$AD421))</f>
        <v/>
      </c>
      <c r="AI421" s="14" t="str">
        <f aca="false">IF(OR($AH421="",$W421=""),"",$AH421*365/MAX($W421,1))</f>
        <v/>
      </c>
      <c r="AJ421" s="14" t="str">
        <f aca="false">IF(OR($AE421="",$U421&lt;&gt;"Crédito",N($K421)=0),"",(N($K421)-IF(OR($M421="Cerrada",$M421="Rolada"),N($O421),0))/$K421)</f>
        <v/>
      </c>
      <c r="AK421" s="15" t="str">
        <f aca="false">IF(OR($C421="",$N421=""),"",DATE(YEAR($N421),MONTH($N421),1))</f>
        <v/>
      </c>
      <c r="AL421" s="11" t="str">
        <f aca="false">IF($C421="","",IF($M421="Abierta",0,1))</f>
        <v/>
      </c>
      <c r="AM421" s="16" t="str">
        <f aca="false">IF(OR($AE421="",$AD421=""),"",$AD421*MAX(N($X421),1))</f>
        <v/>
      </c>
      <c r="AN421" s="10" t="str">
        <f aca="false">IF($C421="","",IF(OR($B421="",$D421="",$H421="",$K421="",$M421=""),"Faltan datos obligatorios",IF($T421="","Estrategia no reconocida",IF(AND($M421&lt;&gt;"Abierta",$N421=""),"Falta fecha cierre",IF(AND(OR($M421="Cerrada",$M421="Rolada"),$O421=""),"Falta prima cierre",IF(AND($N421&lt;&gt;"",$N421&lt;$B421),"Cierre anterior a apertura",IF(AND($M421="Asignada",$R421=""),"Asignada: falta ID lote acciones",IF(AND($R421&lt;&gt;"",ISNA(MATCH($R421,Acciones!$A$2:$A$201,0))),"El ID lote no existe en Acciones",IF($AD421="","Revisa capital en riesgo","OK")))))))))</f>
        <v/>
      </c>
    </row>
    <row r="422" customFormat="false" ht="15" hidden="false" customHeight="true" outlineLevel="0" collapsed="false">
      <c r="A422" s="5"/>
      <c r="B422" s="6"/>
      <c r="C422" s="7"/>
      <c r="D422" s="7"/>
      <c r="E422" s="8"/>
      <c r="F422" s="8"/>
      <c r="G422" s="6"/>
      <c r="H422" s="5"/>
      <c r="I422" s="5" t="n">
        <v>100</v>
      </c>
      <c r="J422" s="8"/>
      <c r="K422" s="8"/>
      <c r="L422" s="9"/>
      <c r="M422" s="7"/>
      <c r="N422" s="6"/>
      <c r="O422" s="8"/>
      <c r="P422" s="9"/>
      <c r="Q422" s="9"/>
      <c r="R422" s="7"/>
      <c r="S422" s="7"/>
      <c r="T422" s="10" t="str">
        <f aca="false">IF($C422="","",IFERROR(INDEX(Listas!$B$2:$B$20,MATCH($D422,Listas!$A$2:$A$20,0)),""))</f>
        <v/>
      </c>
      <c r="U422" s="10" t="str">
        <f aca="false">IF($C422="","",IFERROR(INDEX(Listas!$C$2:$C$20,MATCH($D422,Listas!$A$2:$A$20,0)),""))</f>
        <v/>
      </c>
      <c r="V422" s="10" t="str">
        <f aca="false">IF($C422="","",IFERROR(INDEX(Listas!$D$2:$D$20,MATCH($D422,Listas!$A$2:$A$20,0)),""))</f>
        <v/>
      </c>
      <c r="W422" s="11" t="str">
        <f aca="false">IF(OR($C422="",$B422="",$G422=""),"",$G422-$B422)</f>
        <v/>
      </c>
      <c r="X422" s="11" t="str">
        <f aca="true">IF(OR($C422="",$B422=""),"",IF($N422&lt;&gt;"",$N422,TODAY())-$B422)</f>
        <v/>
      </c>
      <c r="Y422" s="11" t="str">
        <f aca="true">IF(OR($C422="",$M422&lt;&gt;"Abierta",$G422=""),"",MAX($G422-TODAY(),0))</f>
        <v/>
      </c>
      <c r="Z422" s="12" t="str">
        <f aca="false">IF($C422="","",N($K422)*N($H422)*N($I422)*IF($U422="Débito",-1,1))</f>
        <v/>
      </c>
      <c r="AA422" s="13" t="str">
        <f aca="false">IF($C422="","",IF(AND($U422="Débito",$F422&lt;&gt;""),$F422,$E422))</f>
        <v/>
      </c>
      <c r="AB422" s="13" t="str">
        <f aca="false">IF(OR($C422="",$T422="Mixta",$AA422=""),"",IF($V422="Subyacente",IF($J422="","",$J422-$K422),IF($T422="Put",$AA422-$K422,$AA422+$K422)))</f>
        <v/>
      </c>
      <c r="AC422" s="14" t="str">
        <f aca="false">IF(OR($C422="",$T422="Mixta",$J422="",$AA422=""),"",IF($T422="Put",($J422-$AA422)/$J422,($AA422-$J422)/$J422))</f>
        <v/>
      </c>
      <c r="AD422" s="12" t="str">
        <f aca="false">IF($C422="","",IF($Q422&lt;&gt;"",$Q422,IF($V422="Strike",N($E422)*$H422*$I422,IF($V422="Subyacente",IF($J422="","",$J422*$H422*$I422),IF($V422="Ancho",IF($F422="","",ABS($E422-$F422)*$H422*$I422-$K422*$H422*$I422),IF($V422="Prima",$K422*$H422*$I422,""))))))</f>
        <v/>
      </c>
      <c r="AE422" s="12" t="str">
        <f aca="false">IF(OR($C422="",$M422="Abierta",$M422=""),"",(N($K422)-IF(OR($M422="Cerrada",$M422="Rolada"),N($O422),0))*$H422*$I422*IF($U422="Débito",-1,1)-N($L422)-N($P422))</f>
        <v/>
      </c>
      <c r="AF422" s="14" t="str">
        <f aca="false">IF(OR($AE422="",$AD422=""),"",IF($AD422&lt;=0,"",$AE422/$AD422))</f>
        <v/>
      </c>
      <c r="AG422" s="14" t="str">
        <f aca="false">IF($AF422="","",$AF422*365/MAX(N($X422),1))</f>
        <v/>
      </c>
      <c r="AH422" s="14" t="str">
        <f aca="false">IF(OR($C422="",$U422&lt;&gt;"Crédito",$AD422=""),"",IF($AD422&lt;=0,"",($Z422-N($L422))/$AD422))</f>
        <v/>
      </c>
      <c r="AI422" s="14" t="str">
        <f aca="false">IF(OR($AH422="",$W422=""),"",$AH422*365/MAX($W422,1))</f>
        <v/>
      </c>
      <c r="AJ422" s="14" t="str">
        <f aca="false">IF(OR($AE422="",$U422&lt;&gt;"Crédito",N($K422)=0),"",(N($K422)-IF(OR($M422="Cerrada",$M422="Rolada"),N($O422),0))/$K422)</f>
        <v/>
      </c>
      <c r="AK422" s="15" t="str">
        <f aca="false">IF(OR($C422="",$N422=""),"",DATE(YEAR($N422),MONTH($N422),1))</f>
        <v/>
      </c>
      <c r="AL422" s="11" t="str">
        <f aca="false">IF($C422="","",IF($M422="Abierta",0,1))</f>
        <v/>
      </c>
      <c r="AM422" s="16" t="str">
        <f aca="false">IF(OR($AE422="",$AD422=""),"",$AD422*MAX(N($X422),1))</f>
        <v/>
      </c>
      <c r="AN422" s="10" t="str">
        <f aca="false">IF($C422="","",IF(OR($B422="",$D422="",$H422="",$K422="",$M422=""),"Faltan datos obligatorios",IF($T422="","Estrategia no reconocida",IF(AND($M422&lt;&gt;"Abierta",$N422=""),"Falta fecha cierre",IF(AND(OR($M422="Cerrada",$M422="Rolada"),$O422=""),"Falta prima cierre",IF(AND($N422&lt;&gt;"",$N422&lt;$B422),"Cierre anterior a apertura",IF(AND($M422="Asignada",$R422=""),"Asignada: falta ID lote acciones",IF(AND($R422&lt;&gt;"",ISNA(MATCH($R422,Acciones!$A$2:$A$201,0))),"El ID lote no existe en Acciones",IF($AD422="","Revisa capital en riesgo","OK")))))))))</f>
        <v/>
      </c>
    </row>
    <row r="423" customFormat="false" ht="15" hidden="false" customHeight="true" outlineLevel="0" collapsed="false">
      <c r="A423" s="5"/>
      <c r="B423" s="6"/>
      <c r="C423" s="7"/>
      <c r="D423" s="7"/>
      <c r="E423" s="8"/>
      <c r="F423" s="8"/>
      <c r="G423" s="6"/>
      <c r="H423" s="5"/>
      <c r="I423" s="5" t="n">
        <v>100</v>
      </c>
      <c r="J423" s="8"/>
      <c r="K423" s="8"/>
      <c r="L423" s="9"/>
      <c r="M423" s="7"/>
      <c r="N423" s="6"/>
      <c r="O423" s="8"/>
      <c r="P423" s="9"/>
      <c r="Q423" s="9"/>
      <c r="R423" s="7"/>
      <c r="S423" s="7"/>
      <c r="T423" s="10" t="str">
        <f aca="false">IF($C423="","",IFERROR(INDEX(Listas!$B$2:$B$20,MATCH($D423,Listas!$A$2:$A$20,0)),""))</f>
        <v/>
      </c>
      <c r="U423" s="10" t="str">
        <f aca="false">IF($C423="","",IFERROR(INDEX(Listas!$C$2:$C$20,MATCH($D423,Listas!$A$2:$A$20,0)),""))</f>
        <v/>
      </c>
      <c r="V423" s="10" t="str">
        <f aca="false">IF($C423="","",IFERROR(INDEX(Listas!$D$2:$D$20,MATCH($D423,Listas!$A$2:$A$20,0)),""))</f>
        <v/>
      </c>
      <c r="W423" s="11" t="str">
        <f aca="false">IF(OR($C423="",$B423="",$G423=""),"",$G423-$B423)</f>
        <v/>
      </c>
      <c r="X423" s="11" t="str">
        <f aca="true">IF(OR($C423="",$B423=""),"",IF($N423&lt;&gt;"",$N423,TODAY())-$B423)</f>
        <v/>
      </c>
      <c r="Y423" s="11" t="str">
        <f aca="true">IF(OR($C423="",$M423&lt;&gt;"Abierta",$G423=""),"",MAX($G423-TODAY(),0))</f>
        <v/>
      </c>
      <c r="Z423" s="12" t="str">
        <f aca="false">IF($C423="","",N($K423)*N($H423)*N($I423)*IF($U423="Débito",-1,1))</f>
        <v/>
      </c>
      <c r="AA423" s="13" t="str">
        <f aca="false">IF($C423="","",IF(AND($U423="Débito",$F423&lt;&gt;""),$F423,$E423))</f>
        <v/>
      </c>
      <c r="AB423" s="13" t="str">
        <f aca="false">IF(OR($C423="",$T423="Mixta",$AA423=""),"",IF($V423="Subyacente",IF($J423="","",$J423-$K423),IF($T423="Put",$AA423-$K423,$AA423+$K423)))</f>
        <v/>
      </c>
      <c r="AC423" s="14" t="str">
        <f aca="false">IF(OR($C423="",$T423="Mixta",$J423="",$AA423=""),"",IF($T423="Put",($J423-$AA423)/$J423,($AA423-$J423)/$J423))</f>
        <v/>
      </c>
      <c r="AD423" s="12" t="str">
        <f aca="false">IF($C423="","",IF($Q423&lt;&gt;"",$Q423,IF($V423="Strike",N($E423)*$H423*$I423,IF($V423="Subyacente",IF($J423="","",$J423*$H423*$I423),IF($V423="Ancho",IF($F423="","",ABS($E423-$F423)*$H423*$I423-$K423*$H423*$I423),IF($V423="Prima",$K423*$H423*$I423,""))))))</f>
        <v/>
      </c>
      <c r="AE423" s="12" t="str">
        <f aca="false">IF(OR($C423="",$M423="Abierta",$M423=""),"",(N($K423)-IF(OR($M423="Cerrada",$M423="Rolada"),N($O423),0))*$H423*$I423*IF($U423="Débito",-1,1)-N($L423)-N($P423))</f>
        <v/>
      </c>
      <c r="AF423" s="14" t="str">
        <f aca="false">IF(OR($AE423="",$AD423=""),"",IF($AD423&lt;=0,"",$AE423/$AD423))</f>
        <v/>
      </c>
      <c r="AG423" s="14" t="str">
        <f aca="false">IF($AF423="","",$AF423*365/MAX(N($X423),1))</f>
        <v/>
      </c>
      <c r="AH423" s="14" t="str">
        <f aca="false">IF(OR($C423="",$U423&lt;&gt;"Crédito",$AD423=""),"",IF($AD423&lt;=0,"",($Z423-N($L423))/$AD423))</f>
        <v/>
      </c>
      <c r="AI423" s="14" t="str">
        <f aca="false">IF(OR($AH423="",$W423=""),"",$AH423*365/MAX($W423,1))</f>
        <v/>
      </c>
      <c r="AJ423" s="14" t="str">
        <f aca="false">IF(OR($AE423="",$U423&lt;&gt;"Crédito",N($K423)=0),"",(N($K423)-IF(OR($M423="Cerrada",$M423="Rolada"),N($O423),0))/$K423)</f>
        <v/>
      </c>
      <c r="AK423" s="15" t="str">
        <f aca="false">IF(OR($C423="",$N423=""),"",DATE(YEAR($N423),MONTH($N423),1))</f>
        <v/>
      </c>
      <c r="AL423" s="11" t="str">
        <f aca="false">IF($C423="","",IF($M423="Abierta",0,1))</f>
        <v/>
      </c>
      <c r="AM423" s="16" t="str">
        <f aca="false">IF(OR($AE423="",$AD423=""),"",$AD423*MAX(N($X423),1))</f>
        <v/>
      </c>
      <c r="AN423" s="10" t="str">
        <f aca="false">IF($C423="","",IF(OR($B423="",$D423="",$H423="",$K423="",$M423=""),"Faltan datos obligatorios",IF($T423="","Estrategia no reconocida",IF(AND($M423&lt;&gt;"Abierta",$N423=""),"Falta fecha cierre",IF(AND(OR($M423="Cerrada",$M423="Rolada"),$O423=""),"Falta prima cierre",IF(AND($N423&lt;&gt;"",$N423&lt;$B423),"Cierre anterior a apertura",IF(AND($M423="Asignada",$R423=""),"Asignada: falta ID lote acciones",IF(AND($R423&lt;&gt;"",ISNA(MATCH($R423,Acciones!$A$2:$A$201,0))),"El ID lote no existe en Acciones",IF($AD423="","Revisa capital en riesgo","OK")))))))))</f>
        <v/>
      </c>
    </row>
    <row r="424" customFormat="false" ht="15" hidden="false" customHeight="true" outlineLevel="0" collapsed="false">
      <c r="A424" s="5"/>
      <c r="B424" s="6"/>
      <c r="C424" s="7"/>
      <c r="D424" s="7"/>
      <c r="E424" s="8"/>
      <c r="F424" s="8"/>
      <c r="G424" s="6"/>
      <c r="H424" s="5"/>
      <c r="I424" s="5" t="n">
        <v>100</v>
      </c>
      <c r="J424" s="8"/>
      <c r="K424" s="8"/>
      <c r="L424" s="9"/>
      <c r="M424" s="7"/>
      <c r="N424" s="6"/>
      <c r="O424" s="8"/>
      <c r="P424" s="9"/>
      <c r="Q424" s="9"/>
      <c r="R424" s="7"/>
      <c r="S424" s="7"/>
      <c r="T424" s="10" t="str">
        <f aca="false">IF($C424="","",IFERROR(INDEX(Listas!$B$2:$B$20,MATCH($D424,Listas!$A$2:$A$20,0)),""))</f>
        <v/>
      </c>
      <c r="U424" s="10" t="str">
        <f aca="false">IF($C424="","",IFERROR(INDEX(Listas!$C$2:$C$20,MATCH($D424,Listas!$A$2:$A$20,0)),""))</f>
        <v/>
      </c>
      <c r="V424" s="10" t="str">
        <f aca="false">IF($C424="","",IFERROR(INDEX(Listas!$D$2:$D$20,MATCH($D424,Listas!$A$2:$A$20,0)),""))</f>
        <v/>
      </c>
      <c r="W424" s="11" t="str">
        <f aca="false">IF(OR($C424="",$B424="",$G424=""),"",$G424-$B424)</f>
        <v/>
      </c>
      <c r="X424" s="11" t="str">
        <f aca="true">IF(OR($C424="",$B424=""),"",IF($N424&lt;&gt;"",$N424,TODAY())-$B424)</f>
        <v/>
      </c>
      <c r="Y424" s="11" t="str">
        <f aca="true">IF(OR($C424="",$M424&lt;&gt;"Abierta",$G424=""),"",MAX($G424-TODAY(),0))</f>
        <v/>
      </c>
      <c r="Z424" s="12" t="str">
        <f aca="false">IF($C424="","",N($K424)*N($H424)*N($I424)*IF($U424="Débito",-1,1))</f>
        <v/>
      </c>
      <c r="AA424" s="13" t="str">
        <f aca="false">IF($C424="","",IF(AND($U424="Débito",$F424&lt;&gt;""),$F424,$E424))</f>
        <v/>
      </c>
      <c r="AB424" s="13" t="str">
        <f aca="false">IF(OR($C424="",$T424="Mixta",$AA424=""),"",IF($V424="Subyacente",IF($J424="","",$J424-$K424),IF($T424="Put",$AA424-$K424,$AA424+$K424)))</f>
        <v/>
      </c>
      <c r="AC424" s="14" t="str">
        <f aca="false">IF(OR($C424="",$T424="Mixta",$J424="",$AA424=""),"",IF($T424="Put",($J424-$AA424)/$J424,($AA424-$J424)/$J424))</f>
        <v/>
      </c>
      <c r="AD424" s="12" t="str">
        <f aca="false">IF($C424="","",IF($Q424&lt;&gt;"",$Q424,IF($V424="Strike",N($E424)*$H424*$I424,IF($V424="Subyacente",IF($J424="","",$J424*$H424*$I424),IF($V424="Ancho",IF($F424="","",ABS($E424-$F424)*$H424*$I424-$K424*$H424*$I424),IF($V424="Prima",$K424*$H424*$I424,""))))))</f>
        <v/>
      </c>
      <c r="AE424" s="12" t="str">
        <f aca="false">IF(OR($C424="",$M424="Abierta",$M424=""),"",(N($K424)-IF(OR($M424="Cerrada",$M424="Rolada"),N($O424),0))*$H424*$I424*IF($U424="Débito",-1,1)-N($L424)-N($P424))</f>
        <v/>
      </c>
      <c r="AF424" s="14" t="str">
        <f aca="false">IF(OR($AE424="",$AD424=""),"",IF($AD424&lt;=0,"",$AE424/$AD424))</f>
        <v/>
      </c>
      <c r="AG424" s="14" t="str">
        <f aca="false">IF($AF424="","",$AF424*365/MAX(N($X424),1))</f>
        <v/>
      </c>
      <c r="AH424" s="14" t="str">
        <f aca="false">IF(OR($C424="",$U424&lt;&gt;"Crédito",$AD424=""),"",IF($AD424&lt;=0,"",($Z424-N($L424))/$AD424))</f>
        <v/>
      </c>
      <c r="AI424" s="14" t="str">
        <f aca="false">IF(OR($AH424="",$W424=""),"",$AH424*365/MAX($W424,1))</f>
        <v/>
      </c>
      <c r="AJ424" s="14" t="str">
        <f aca="false">IF(OR($AE424="",$U424&lt;&gt;"Crédito",N($K424)=0),"",(N($K424)-IF(OR($M424="Cerrada",$M424="Rolada"),N($O424),0))/$K424)</f>
        <v/>
      </c>
      <c r="AK424" s="15" t="str">
        <f aca="false">IF(OR($C424="",$N424=""),"",DATE(YEAR($N424),MONTH($N424),1))</f>
        <v/>
      </c>
      <c r="AL424" s="11" t="str">
        <f aca="false">IF($C424="","",IF($M424="Abierta",0,1))</f>
        <v/>
      </c>
      <c r="AM424" s="16" t="str">
        <f aca="false">IF(OR($AE424="",$AD424=""),"",$AD424*MAX(N($X424),1))</f>
        <v/>
      </c>
      <c r="AN424" s="10" t="str">
        <f aca="false">IF($C424="","",IF(OR($B424="",$D424="",$H424="",$K424="",$M424=""),"Faltan datos obligatorios",IF($T424="","Estrategia no reconocida",IF(AND($M424&lt;&gt;"Abierta",$N424=""),"Falta fecha cierre",IF(AND(OR($M424="Cerrada",$M424="Rolada"),$O424=""),"Falta prima cierre",IF(AND($N424&lt;&gt;"",$N424&lt;$B424),"Cierre anterior a apertura",IF(AND($M424="Asignada",$R424=""),"Asignada: falta ID lote acciones",IF(AND($R424&lt;&gt;"",ISNA(MATCH($R424,Acciones!$A$2:$A$201,0))),"El ID lote no existe en Acciones",IF($AD424="","Revisa capital en riesgo","OK")))))))))</f>
        <v/>
      </c>
    </row>
    <row r="425" customFormat="false" ht="15" hidden="false" customHeight="true" outlineLevel="0" collapsed="false">
      <c r="A425" s="5"/>
      <c r="B425" s="6"/>
      <c r="C425" s="7"/>
      <c r="D425" s="7"/>
      <c r="E425" s="8"/>
      <c r="F425" s="8"/>
      <c r="G425" s="6"/>
      <c r="H425" s="5"/>
      <c r="I425" s="5" t="n">
        <v>100</v>
      </c>
      <c r="J425" s="8"/>
      <c r="K425" s="8"/>
      <c r="L425" s="9"/>
      <c r="M425" s="7"/>
      <c r="N425" s="6"/>
      <c r="O425" s="8"/>
      <c r="P425" s="9"/>
      <c r="Q425" s="9"/>
      <c r="R425" s="7"/>
      <c r="S425" s="7"/>
      <c r="T425" s="10" t="str">
        <f aca="false">IF($C425="","",IFERROR(INDEX(Listas!$B$2:$B$20,MATCH($D425,Listas!$A$2:$A$20,0)),""))</f>
        <v/>
      </c>
      <c r="U425" s="10" t="str">
        <f aca="false">IF($C425="","",IFERROR(INDEX(Listas!$C$2:$C$20,MATCH($D425,Listas!$A$2:$A$20,0)),""))</f>
        <v/>
      </c>
      <c r="V425" s="10" t="str">
        <f aca="false">IF($C425="","",IFERROR(INDEX(Listas!$D$2:$D$20,MATCH($D425,Listas!$A$2:$A$20,0)),""))</f>
        <v/>
      </c>
      <c r="W425" s="11" t="str">
        <f aca="false">IF(OR($C425="",$B425="",$G425=""),"",$G425-$B425)</f>
        <v/>
      </c>
      <c r="X425" s="11" t="str">
        <f aca="true">IF(OR($C425="",$B425=""),"",IF($N425&lt;&gt;"",$N425,TODAY())-$B425)</f>
        <v/>
      </c>
      <c r="Y425" s="11" t="str">
        <f aca="true">IF(OR($C425="",$M425&lt;&gt;"Abierta",$G425=""),"",MAX($G425-TODAY(),0))</f>
        <v/>
      </c>
      <c r="Z425" s="12" t="str">
        <f aca="false">IF($C425="","",N($K425)*N($H425)*N($I425)*IF($U425="Débito",-1,1))</f>
        <v/>
      </c>
      <c r="AA425" s="13" t="str">
        <f aca="false">IF($C425="","",IF(AND($U425="Débito",$F425&lt;&gt;""),$F425,$E425))</f>
        <v/>
      </c>
      <c r="AB425" s="13" t="str">
        <f aca="false">IF(OR($C425="",$T425="Mixta",$AA425=""),"",IF($V425="Subyacente",IF($J425="","",$J425-$K425),IF($T425="Put",$AA425-$K425,$AA425+$K425)))</f>
        <v/>
      </c>
      <c r="AC425" s="14" t="str">
        <f aca="false">IF(OR($C425="",$T425="Mixta",$J425="",$AA425=""),"",IF($T425="Put",($J425-$AA425)/$J425,($AA425-$J425)/$J425))</f>
        <v/>
      </c>
      <c r="AD425" s="12" t="str">
        <f aca="false">IF($C425="","",IF($Q425&lt;&gt;"",$Q425,IF($V425="Strike",N($E425)*$H425*$I425,IF($V425="Subyacente",IF($J425="","",$J425*$H425*$I425),IF($V425="Ancho",IF($F425="","",ABS($E425-$F425)*$H425*$I425-$K425*$H425*$I425),IF($V425="Prima",$K425*$H425*$I425,""))))))</f>
        <v/>
      </c>
      <c r="AE425" s="12" t="str">
        <f aca="false">IF(OR($C425="",$M425="Abierta",$M425=""),"",(N($K425)-IF(OR($M425="Cerrada",$M425="Rolada"),N($O425),0))*$H425*$I425*IF($U425="Débito",-1,1)-N($L425)-N($P425))</f>
        <v/>
      </c>
      <c r="AF425" s="14" t="str">
        <f aca="false">IF(OR($AE425="",$AD425=""),"",IF($AD425&lt;=0,"",$AE425/$AD425))</f>
        <v/>
      </c>
      <c r="AG425" s="14" t="str">
        <f aca="false">IF($AF425="","",$AF425*365/MAX(N($X425),1))</f>
        <v/>
      </c>
      <c r="AH425" s="14" t="str">
        <f aca="false">IF(OR($C425="",$U425&lt;&gt;"Crédito",$AD425=""),"",IF($AD425&lt;=0,"",($Z425-N($L425))/$AD425))</f>
        <v/>
      </c>
      <c r="AI425" s="14" t="str">
        <f aca="false">IF(OR($AH425="",$W425=""),"",$AH425*365/MAX($W425,1))</f>
        <v/>
      </c>
      <c r="AJ425" s="14" t="str">
        <f aca="false">IF(OR($AE425="",$U425&lt;&gt;"Crédito",N($K425)=0),"",(N($K425)-IF(OR($M425="Cerrada",$M425="Rolada"),N($O425),0))/$K425)</f>
        <v/>
      </c>
      <c r="AK425" s="15" t="str">
        <f aca="false">IF(OR($C425="",$N425=""),"",DATE(YEAR($N425),MONTH($N425),1))</f>
        <v/>
      </c>
      <c r="AL425" s="11" t="str">
        <f aca="false">IF($C425="","",IF($M425="Abierta",0,1))</f>
        <v/>
      </c>
      <c r="AM425" s="16" t="str">
        <f aca="false">IF(OR($AE425="",$AD425=""),"",$AD425*MAX(N($X425),1))</f>
        <v/>
      </c>
      <c r="AN425" s="10" t="str">
        <f aca="false">IF($C425="","",IF(OR($B425="",$D425="",$H425="",$K425="",$M425=""),"Faltan datos obligatorios",IF($T425="","Estrategia no reconocida",IF(AND($M425&lt;&gt;"Abierta",$N425=""),"Falta fecha cierre",IF(AND(OR($M425="Cerrada",$M425="Rolada"),$O425=""),"Falta prima cierre",IF(AND($N425&lt;&gt;"",$N425&lt;$B425),"Cierre anterior a apertura",IF(AND($M425="Asignada",$R425=""),"Asignada: falta ID lote acciones",IF(AND($R425&lt;&gt;"",ISNA(MATCH($R425,Acciones!$A$2:$A$201,0))),"El ID lote no existe en Acciones",IF($AD425="","Revisa capital en riesgo","OK")))))))))</f>
        <v/>
      </c>
    </row>
    <row r="426" customFormat="false" ht="15" hidden="false" customHeight="true" outlineLevel="0" collapsed="false">
      <c r="A426" s="5"/>
      <c r="B426" s="6"/>
      <c r="C426" s="7"/>
      <c r="D426" s="7"/>
      <c r="E426" s="8"/>
      <c r="F426" s="8"/>
      <c r="G426" s="6"/>
      <c r="H426" s="5"/>
      <c r="I426" s="5" t="n">
        <v>100</v>
      </c>
      <c r="J426" s="8"/>
      <c r="K426" s="8"/>
      <c r="L426" s="9"/>
      <c r="M426" s="7"/>
      <c r="N426" s="6"/>
      <c r="O426" s="8"/>
      <c r="P426" s="9"/>
      <c r="Q426" s="9"/>
      <c r="R426" s="7"/>
      <c r="S426" s="7"/>
      <c r="T426" s="10" t="str">
        <f aca="false">IF($C426="","",IFERROR(INDEX(Listas!$B$2:$B$20,MATCH($D426,Listas!$A$2:$A$20,0)),""))</f>
        <v/>
      </c>
      <c r="U426" s="10" t="str">
        <f aca="false">IF($C426="","",IFERROR(INDEX(Listas!$C$2:$C$20,MATCH($D426,Listas!$A$2:$A$20,0)),""))</f>
        <v/>
      </c>
      <c r="V426" s="10" t="str">
        <f aca="false">IF($C426="","",IFERROR(INDEX(Listas!$D$2:$D$20,MATCH($D426,Listas!$A$2:$A$20,0)),""))</f>
        <v/>
      </c>
      <c r="W426" s="11" t="str">
        <f aca="false">IF(OR($C426="",$B426="",$G426=""),"",$G426-$B426)</f>
        <v/>
      </c>
      <c r="X426" s="11" t="str">
        <f aca="true">IF(OR($C426="",$B426=""),"",IF($N426&lt;&gt;"",$N426,TODAY())-$B426)</f>
        <v/>
      </c>
      <c r="Y426" s="11" t="str">
        <f aca="true">IF(OR($C426="",$M426&lt;&gt;"Abierta",$G426=""),"",MAX($G426-TODAY(),0))</f>
        <v/>
      </c>
      <c r="Z426" s="12" t="str">
        <f aca="false">IF($C426="","",N($K426)*N($H426)*N($I426)*IF($U426="Débito",-1,1))</f>
        <v/>
      </c>
      <c r="AA426" s="13" t="str">
        <f aca="false">IF($C426="","",IF(AND($U426="Débito",$F426&lt;&gt;""),$F426,$E426))</f>
        <v/>
      </c>
      <c r="AB426" s="13" t="str">
        <f aca="false">IF(OR($C426="",$T426="Mixta",$AA426=""),"",IF($V426="Subyacente",IF($J426="","",$J426-$K426),IF($T426="Put",$AA426-$K426,$AA426+$K426)))</f>
        <v/>
      </c>
      <c r="AC426" s="14" t="str">
        <f aca="false">IF(OR($C426="",$T426="Mixta",$J426="",$AA426=""),"",IF($T426="Put",($J426-$AA426)/$J426,($AA426-$J426)/$J426))</f>
        <v/>
      </c>
      <c r="AD426" s="12" t="str">
        <f aca="false">IF($C426="","",IF($Q426&lt;&gt;"",$Q426,IF($V426="Strike",N($E426)*$H426*$I426,IF($V426="Subyacente",IF($J426="","",$J426*$H426*$I426),IF($V426="Ancho",IF($F426="","",ABS($E426-$F426)*$H426*$I426-$K426*$H426*$I426),IF($V426="Prima",$K426*$H426*$I426,""))))))</f>
        <v/>
      </c>
      <c r="AE426" s="12" t="str">
        <f aca="false">IF(OR($C426="",$M426="Abierta",$M426=""),"",(N($K426)-IF(OR($M426="Cerrada",$M426="Rolada"),N($O426),0))*$H426*$I426*IF($U426="Débito",-1,1)-N($L426)-N($P426))</f>
        <v/>
      </c>
      <c r="AF426" s="14" t="str">
        <f aca="false">IF(OR($AE426="",$AD426=""),"",IF($AD426&lt;=0,"",$AE426/$AD426))</f>
        <v/>
      </c>
      <c r="AG426" s="14" t="str">
        <f aca="false">IF($AF426="","",$AF426*365/MAX(N($X426),1))</f>
        <v/>
      </c>
      <c r="AH426" s="14" t="str">
        <f aca="false">IF(OR($C426="",$U426&lt;&gt;"Crédito",$AD426=""),"",IF($AD426&lt;=0,"",($Z426-N($L426))/$AD426))</f>
        <v/>
      </c>
      <c r="AI426" s="14" t="str">
        <f aca="false">IF(OR($AH426="",$W426=""),"",$AH426*365/MAX($W426,1))</f>
        <v/>
      </c>
      <c r="AJ426" s="14" t="str">
        <f aca="false">IF(OR($AE426="",$U426&lt;&gt;"Crédito",N($K426)=0),"",(N($K426)-IF(OR($M426="Cerrada",$M426="Rolada"),N($O426),0))/$K426)</f>
        <v/>
      </c>
      <c r="AK426" s="15" t="str">
        <f aca="false">IF(OR($C426="",$N426=""),"",DATE(YEAR($N426),MONTH($N426),1))</f>
        <v/>
      </c>
      <c r="AL426" s="11" t="str">
        <f aca="false">IF($C426="","",IF($M426="Abierta",0,1))</f>
        <v/>
      </c>
      <c r="AM426" s="16" t="str">
        <f aca="false">IF(OR($AE426="",$AD426=""),"",$AD426*MAX(N($X426),1))</f>
        <v/>
      </c>
      <c r="AN426" s="10" t="str">
        <f aca="false">IF($C426="","",IF(OR($B426="",$D426="",$H426="",$K426="",$M426=""),"Faltan datos obligatorios",IF($T426="","Estrategia no reconocida",IF(AND($M426&lt;&gt;"Abierta",$N426=""),"Falta fecha cierre",IF(AND(OR($M426="Cerrada",$M426="Rolada"),$O426=""),"Falta prima cierre",IF(AND($N426&lt;&gt;"",$N426&lt;$B426),"Cierre anterior a apertura",IF(AND($M426="Asignada",$R426=""),"Asignada: falta ID lote acciones",IF(AND($R426&lt;&gt;"",ISNA(MATCH($R426,Acciones!$A$2:$A$201,0))),"El ID lote no existe en Acciones",IF($AD426="","Revisa capital en riesgo","OK")))))))))</f>
        <v/>
      </c>
    </row>
    <row r="427" customFormat="false" ht="15" hidden="false" customHeight="true" outlineLevel="0" collapsed="false">
      <c r="A427" s="5"/>
      <c r="B427" s="6"/>
      <c r="C427" s="7"/>
      <c r="D427" s="7"/>
      <c r="E427" s="8"/>
      <c r="F427" s="8"/>
      <c r="G427" s="6"/>
      <c r="H427" s="5"/>
      <c r="I427" s="5" t="n">
        <v>100</v>
      </c>
      <c r="J427" s="8"/>
      <c r="K427" s="8"/>
      <c r="L427" s="9"/>
      <c r="M427" s="7"/>
      <c r="N427" s="6"/>
      <c r="O427" s="8"/>
      <c r="P427" s="9"/>
      <c r="Q427" s="9"/>
      <c r="R427" s="7"/>
      <c r="S427" s="7"/>
      <c r="T427" s="10" t="str">
        <f aca="false">IF($C427="","",IFERROR(INDEX(Listas!$B$2:$B$20,MATCH($D427,Listas!$A$2:$A$20,0)),""))</f>
        <v/>
      </c>
      <c r="U427" s="10" t="str">
        <f aca="false">IF($C427="","",IFERROR(INDEX(Listas!$C$2:$C$20,MATCH($D427,Listas!$A$2:$A$20,0)),""))</f>
        <v/>
      </c>
      <c r="V427" s="10" t="str">
        <f aca="false">IF($C427="","",IFERROR(INDEX(Listas!$D$2:$D$20,MATCH($D427,Listas!$A$2:$A$20,0)),""))</f>
        <v/>
      </c>
      <c r="W427" s="11" t="str">
        <f aca="false">IF(OR($C427="",$B427="",$G427=""),"",$G427-$B427)</f>
        <v/>
      </c>
      <c r="X427" s="11" t="str">
        <f aca="true">IF(OR($C427="",$B427=""),"",IF($N427&lt;&gt;"",$N427,TODAY())-$B427)</f>
        <v/>
      </c>
      <c r="Y427" s="11" t="str">
        <f aca="true">IF(OR($C427="",$M427&lt;&gt;"Abierta",$G427=""),"",MAX($G427-TODAY(),0))</f>
        <v/>
      </c>
      <c r="Z427" s="12" t="str">
        <f aca="false">IF($C427="","",N($K427)*N($H427)*N($I427)*IF($U427="Débito",-1,1))</f>
        <v/>
      </c>
      <c r="AA427" s="13" t="str">
        <f aca="false">IF($C427="","",IF(AND($U427="Débito",$F427&lt;&gt;""),$F427,$E427))</f>
        <v/>
      </c>
      <c r="AB427" s="13" t="str">
        <f aca="false">IF(OR($C427="",$T427="Mixta",$AA427=""),"",IF($V427="Subyacente",IF($J427="","",$J427-$K427),IF($T427="Put",$AA427-$K427,$AA427+$K427)))</f>
        <v/>
      </c>
      <c r="AC427" s="14" t="str">
        <f aca="false">IF(OR($C427="",$T427="Mixta",$J427="",$AA427=""),"",IF($T427="Put",($J427-$AA427)/$J427,($AA427-$J427)/$J427))</f>
        <v/>
      </c>
      <c r="AD427" s="12" t="str">
        <f aca="false">IF($C427="","",IF($Q427&lt;&gt;"",$Q427,IF($V427="Strike",N($E427)*$H427*$I427,IF($V427="Subyacente",IF($J427="","",$J427*$H427*$I427),IF($V427="Ancho",IF($F427="","",ABS($E427-$F427)*$H427*$I427-$K427*$H427*$I427),IF($V427="Prima",$K427*$H427*$I427,""))))))</f>
        <v/>
      </c>
      <c r="AE427" s="12" t="str">
        <f aca="false">IF(OR($C427="",$M427="Abierta",$M427=""),"",(N($K427)-IF(OR($M427="Cerrada",$M427="Rolada"),N($O427),0))*$H427*$I427*IF($U427="Débito",-1,1)-N($L427)-N($P427))</f>
        <v/>
      </c>
      <c r="AF427" s="14" t="str">
        <f aca="false">IF(OR($AE427="",$AD427=""),"",IF($AD427&lt;=0,"",$AE427/$AD427))</f>
        <v/>
      </c>
      <c r="AG427" s="14" t="str">
        <f aca="false">IF($AF427="","",$AF427*365/MAX(N($X427),1))</f>
        <v/>
      </c>
      <c r="AH427" s="14" t="str">
        <f aca="false">IF(OR($C427="",$U427&lt;&gt;"Crédito",$AD427=""),"",IF($AD427&lt;=0,"",($Z427-N($L427))/$AD427))</f>
        <v/>
      </c>
      <c r="AI427" s="14" t="str">
        <f aca="false">IF(OR($AH427="",$W427=""),"",$AH427*365/MAX($W427,1))</f>
        <v/>
      </c>
      <c r="AJ427" s="14" t="str">
        <f aca="false">IF(OR($AE427="",$U427&lt;&gt;"Crédito",N($K427)=0),"",(N($K427)-IF(OR($M427="Cerrada",$M427="Rolada"),N($O427),0))/$K427)</f>
        <v/>
      </c>
      <c r="AK427" s="15" t="str">
        <f aca="false">IF(OR($C427="",$N427=""),"",DATE(YEAR($N427),MONTH($N427),1))</f>
        <v/>
      </c>
      <c r="AL427" s="11" t="str">
        <f aca="false">IF($C427="","",IF($M427="Abierta",0,1))</f>
        <v/>
      </c>
      <c r="AM427" s="16" t="str">
        <f aca="false">IF(OR($AE427="",$AD427=""),"",$AD427*MAX(N($X427),1))</f>
        <v/>
      </c>
      <c r="AN427" s="10" t="str">
        <f aca="false">IF($C427="","",IF(OR($B427="",$D427="",$H427="",$K427="",$M427=""),"Faltan datos obligatorios",IF($T427="","Estrategia no reconocida",IF(AND($M427&lt;&gt;"Abierta",$N427=""),"Falta fecha cierre",IF(AND(OR($M427="Cerrada",$M427="Rolada"),$O427=""),"Falta prima cierre",IF(AND($N427&lt;&gt;"",$N427&lt;$B427),"Cierre anterior a apertura",IF(AND($M427="Asignada",$R427=""),"Asignada: falta ID lote acciones",IF(AND($R427&lt;&gt;"",ISNA(MATCH($R427,Acciones!$A$2:$A$201,0))),"El ID lote no existe en Acciones",IF($AD427="","Revisa capital en riesgo","OK")))))))))</f>
        <v/>
      </c>
    </row>
    <row r="428" customFormat="false" ht="15" hidden="false" customHeight="true" outlineLevel="0" collapsed="false">
      <c r="A428" s="5"/>
      <c r="B428" s="6"/>
      <c r="C428" s="7"/>
      <c r="D428" s="7"/>
      <c r="E428" s="8"/>
      <c r="F428" s="8"/>
      <c r="G428" s="6"/>
      <c r="H428" s="5"/>
      <c r="I428" s="5" t="n">
        <v>100</v>
      </c>
      <c r="J428" s="8"/>
      <c r="K428" s="8"/>
      <c r="L428" s="9"/>
      <c r="M428" s="7"/>
      <c r="N428" s="6"/>
      <c r="O428" s="8"/>
      <c r="P428" s="9"/>
      <c r="Q428" s="9"/>
      <c r="R428" s="7"/>
      <c r="S428" s="7"/>
      <c r="T428" s="10" t="str">
        <f aca="false">IF($C428="","",IFERROR(INDEX(Listas!$B$2:$B$20,MATCH($D428,Listas!$A$2:$A$20,0)),""))</f>
        <v/>
      </c>
      <c r="U428" s="10" t="str">
        <f aca="false">IF($C428="","",IFERROR(INDEX(Listas!$C$2:$C$20,MATCH($D428,Listas!$A$2:$A$20,0)),""))</f>
        <v/>
      </c>
      <c r="V428" s="10" t="str">
        <f aca="false">IF($C428="","",IFERROR(INDEX(Listas!$D$2:$D$20,MATCH($D428,Listas!$A$2:$A$20,0)),""))</f>
        <v/>
      </c>
      <c r="W428" s="11" t="str">
        <f aca="false">IF(OR($C428="",$B428="",$G428=""),"",$G428-$B428)</f>
        <v/>
      </c>
      <c r="X428" s="11" t="str">
        <f aca="true">IF(OR($C428="",$B428=""),"",IF($N428&lt;&gt;"",$N428,TODAY())-$B428)</f>
        <v/>
      </c>
      <c r="Y428" s="11" t="str">
        <f aca="true">IF(OR($C428="",$M428&lt;&gt;"Abierta",$G428=""),"",MAX($G428-TODAY(),0))</f>
        <v/>
      </c>
      <c r="Z428" s="12" t="str">
        <f aca="false">IF($C428="","",N($K428)*N($H428)*N($I428)*IF($U428="Débito",-1,1))</f>
        <v/>
      </c>
      <c r="AA428" s="13" t="str">
        <f aca="false">IF($C428="","",IF(AND($U428="Débito",$F428&lt;&gt;""),$F428,$E428))</f>
        <v/>
      </c>
      <c r="AB428" s="13" t="str">
        <f aca="false">IF(OR($C428="",$T428="Mixta",$AA428=""),"",IF($V428="Subyacente",IF($J428="","",$J428-$K428),IF($T428="Put",$AA428-$K428,$AA428+$K428)))</f>
        <v/>
      </c>
      <c r="AC428" s="14" t="str">
        <f aca="false">IF(OR($C428="",$T428="Mixta",$J428="",$AA428=""),"",IF($T428="Put",($J428-$AA428)/$J428,($AA428-$J428)/$J428))</f>
        <v/>
      </c>
      <c r="AD428" s="12" t="str">
        <f aca="false">IF($C428="","",IF($Q428&lt;&gt;"",$Q428,IF($V428="Strike",N($E428)*$H428*$I428,IF($V428="Subyacente",IF($J428="","",$J428*$H428*$I428),IF($V428="Ancho",IF($F428="","",ABS($E428-$F428)*$H428*$I428-$K428*$H428*$I428),IF($V428="Prima",$K428*$H428*$I428,""))))))</f>
        <v/>
      </c>
      <c r="AE428" s="12" t="str">
        <f aca="false">IF(OR($C428="",$M428="Abierta",$M428=""),"",(N($K428)-IF(OR($M428="Cerrada",$M428="Rolada"),N($O428),0))*$H428*$I428*IF($U428="Débito",-1,1)-N($L428)-N($P428))</f>
        <v/>
      </c>
      <c r="AF428" s="14" t="str">
        <f aca="false">IF(OR($AE428="",$AD428=""),"",IF($AD428&lt;=0,"",$AE428/$AD428))</f>
        <v/>
      </c>
      <c r="AG428" s="14" t="str">
        <f aca="false">IF($AF428="","",$AF428*365/MAX(N($X428),1))</f>
        <v/>
      </c>
      <c r="AH428" s="14" t="str">
        <f aca="false">IF(OR($C428="",$U428&lt;&gt;"Crédito",$AD428=""),"",IF($AD428&lt;=0,"",($Z428-N($L428))/$AD428))</f>
        <v/>
      </c>
      <c r="AI428" s="14" t="str">
        <f aca="false">IF(OR($AH428="",$W428=""),"",$AH428*365/MAX($W428,1))</f>
        <v/>
      </c>
      <c r="AJ428" s="14" t="str">
        <f aca="false">IF(OR($AE428="",$U428&lt;&gt;"Crédito",N($K428)=0),"",(N($K428)-IF(OR($M428="Cerrada",$M428="Rolada"),N($O428),0))/$K428)</f>
        <v/>
      </c>
      <c r="AK428" s="15" t="str">
        <f aca="false">IF(OR($C428="",$N428=""),"",DATE(YEAR($N428),MONTH($N428),1))</f>
        <v/>
      </c>
      <c r="AL428" s="11" t="str">
        <f aca="false">IF($C428="","",IF($M428="Abierta",0,1))</f>
        <v/>
      </c>
      <c r="AM428" s="16" t="str">
        <f aca="false">IF(OR($AE428="",$AD428=""),"",$AD428*MAX(N($X428),1))</f>
        <v/>
      </c>
      <c r="AN428" s="10" t="str">
        <f aca="false">IF($C428="","",IF(OR($B428="",$D428="",$H428="",$K428="",$M428=""),"Faltan datos obligatorios",IF($T428="","Estrategia no reconocida",IF(AND($M428&lt;&gt;"Abierta",$N428=""),"Falta fecha cierre",IF(AND(OR($M428="Cerrada",$M428="Rolada"),$O428=""),"Falta prima cierre",IF(AND($N428&lt;&gt;"",$N428&lt;$B428),"Cierre anterior a apertura",IF(AND($M428="Asignada",$R428=""),"Asignada: falta ID lote acciones",IF(AND($R428&lt;&gt;"",ISNA(MATCH($R428,Acciones!$A$2:$A$201,0))),"El ID lote no existe en Acciones",IF($AD428="","Revisa capital en riesgo","OK")))))))))</f>
        <v/>
      </c>
    </row>
    <row r="429" customFormat="false" ht="15" hidden="false" customHeight="true" outlineLevel="0" collapsed="false">
      <c r="A429" s="5"/>
      <c r="B429" s="6"/>
      <c r="C429" s="7"/>
      <c r="D429" s="7"/>
      <c r="E429" s="8"/>
      <c r="F429" s="8"/>
      <c r="G429" s="6"/>
      <c r="H429" s="5"/>
      <c r="I429" s="5" t="n">
        <v>100</v>
      </c>
      <c r="J429" s="8"/>
      <c r="K429" s="8"/>
      <c r="L429" s="9"/>
      <c r="M429" s="7"/>
      <c r="N429" s="6"/>
      <c r="O429" s="8"/>
      <c r="P429" s="9"/>
      <c r="Q429" s="9"/>
      <c r="R429" s="7"/>
      <c r="S429" s="7"/>
      <c r="T429" s="10" t="str">
        <f aca="false">IF($C429="","",IFERROR(INDEX(Listas!$B$2:$B$20,MATCH($D429,Listas!$A$2:$A$20,0)),""))</f>
        <v/>
      </c>
      <c r="U429" s="10" t="str">
        <f aca="false">IF($C429="","",IFERROR(INDEX(Listas!$C$2:$C$20,MATCH($D429,Listas!$A$2:$A$20,0)),""))</f>
        <v/>
      </c>
      <c r="V429" s="10" t="str">
        <f aca="false">IF($C429="","",IFERROR(INDEX(Listas!$D$2:$D$20,MATCH($D429,Listas!$A$2:$A$20,0)),""))</f>
        <v/>
      </c>
      <c r="W429" s="11" t="str">
        <f aca="false">IF(OR($C429="",$B429="",$G429=""),"",$G429-$B429)</f>
        <v/>
      </c>
      <c r="X429" s="11" t="str">
        <f aca="true">IF(OR($C429="",$B429=""),"",IF($N429&lt;&gt;"",$N429,TODAY())-$B429)</f>
        <v/>
      </c>
      <c r="Y429" s="11" t="str">
        <f aca="true">IF(OR($C429="",$M429&lt;&gt;"Abierta",$G429=""),"",MAX($G429-TODAY(),0))</f>
        <v/>
      </c>
      <c r="Z429" s="12" t="str">
        <f aca="false">IF($C429="","",N($K429)*N($H429)*N($I429)*IF($U429="Débito",-1,1))</f>
        <v/>
      </c>
      <c r="AA429" s="13" t="str">
        <f aca="false">IF($C429="","",IF(AND($U429="Débito",$F429&lt;&gt;""),$F429,$E429))</f>
        <v/>
      </c>
      <c r="AB429" s="13" t="str">
        <f aca="false">IF(OR($C429="",$T429="Mixta",$AA429=""),"",IF($V429="Subyacente",IF($J429="","",$J429-$K429),IF($T429="Put",$AA429-$K429,$AA429+$K429)))</f>
        <v/>
      </c>
      <c r="AC429" s="14" t="str">
        <f aca="false">IF(OR($C429="",$T429="Mixta",$J429="",$AA429=""),"",IF($T429="Put",($J429-$AA429)/$J429,($AA429-$J429)/$J429))</f>
        <v/>
      </c>
      <c r="AD429" s="12" t="str">
        <f aca="false">IF($C429="","",IF($Q429&lt;&gt;"",$Q429,IF($V429="Strike",N($E429)*$H429*$I429,IF($V429="Subyacente",IF($J429="","",$J429*$H429*$I429),IF($V429="Ancho",IF($F429="","",ABS($E429-$F429)*$H429*$I429-$K429*$H429*$I429),IF($V429="Prima",$K429*$H429*$I429,""))))))</f>
        <v/>
      </c>
      <c r="AE429" s="12" t="str">
        <f aca="false">IF(OR($C429="",$M429="Abierta",$M429=""),"",(N($K429)-IF(OR($M429="Cerrada",$M429="Rolada"),N($O429),0))*$H429*$I429*IF($U429="Débito",-1,1)-N($L429)-N($P429))</f>
        <v/>
      </c>
      <c r="AF429" s="14" t="str">
        <f aca="false">IF(OR($AE429="",$AD429=""),"",IF($AD429&lt;=0,"",$AE429/$AD429))</f>
        <v/>
      </c>
      <c r="AG429" s="14" t="str">
        <f aca="false">IF($AF429="","",$AF429*365/MAX(N($X429),1))</f>
        <v/>
      </c>
      <c r="AH429" s="14" t="str">
        <f aca="false">IF(OR($C429="",$U429&lt;&gt;"Crédito",$AD429=""),"",IF($AD429&lt;=0,"",($Z429-N($L429))/$AD429))</f>
        <v/>
      </c>
      <c r="AI429" s="14" t="str">
        <f aca="false">IF(OR($AH429="",$W429=""),"",$AH429*365/MAX($W429,1))</f>
        <v/>
      </c>
      <c r="AJ429" s="14" t="str">
        <f aca="false">IF(OR($AE429="",$U429&lt;&gt;"Crédito",N($K429)=0),"",(N($K429)-IF(OR($M429="Cerrada",$M429="Rolada"),N($O429),0))/$K429)</f>
        <v/>
      </c>
      <c r="AK429" s="15" t="str">
        <f aca="false">IF(OR($C429="",$N429=""),"",DATE(YEAR($N429),MONTH($N429),1))</f>
        <v/>
      </c>
      <c r="AL429" s="11" t="str">
        <f aca="false">IF($C429="","",IF($M429="Abierta",0,1))</f>
        <v/>
      </c>
      <c r="AM429" s="16" t="str">
        <f aca="false">IF(OR($AE429="",$AD429=""),"",$AD429*MAX(N($X429),1))</f>
        <v/>
      </c>
      <c r="AN429" s="10" t="str">
        <f aca="false">IF($C429="","",IF(OR($B429="",$D429="",$H429="",$K429="",$M429=""),"Faltan datos obligatorios",IF($T429="","Estrategia no reconocida",IF(AND($M429&lt;&gt;"Abierta",$N429=""),"Falta fecha cierre",IF(AND(OR($M429="Cerrada",$M429="Rolada"),$O429=""),"Falta prima cierre",IF(AND($N429&lt;&gt;"",$N429&lt;$B429),"Cierre anterior a apertura",IF(AND($M429="Asignada",$R429=""),"Asignada: falta ID lote acciones",IF(AND($R429&lt;&gt;"",ISNA(MATCH($R429,Acciones!$A$2:$A$201,0))),"El ID lote no existe en Acciones",IF($AD429="","Revisa capital en riesgo","OK")))))))))</f>
        <v/>
      </c>
    </row>
    <row r="430" customFormat="false" ht="15" hidden="false" customHeight="true" outlineLevel="0" collapsed="false">
      <c r="A430" s="5"/>
      <c r="B430" s="6"/>
      <c r="C430" s="7"/>
      <c r="D430" s="7"/>
      <c r="E430" s="8"/>
      <c r="F430" s="8"/>
      <c r="G430" s="6"/>
      <c r="H430" s="5"/>
      <c r="I430" s="5" t="n">
        <v>100</v>
      </c>
      <c r="J430" s="8"/>
      <c r="K430" s="8"/>
      <c r="L430" s="9"/>
      <c r="M430" s="7"/>
      <c r="N430" s="6"/>
      <c r="O430" s="8"/>
      <c r="P430" s="9"/>
      <c r="Q430" s="9"/>
      <c r="R430" s="7"/>
      <c r="S430" s="7"/>
      <c r="T430" s="10" t="str">
        <f aca="false">IF($C430="","",IFERROR(INDEX(Listas!$B$2:$B$20,MATCH($D430,Listas!$A$2:$A$20,0)),""))</f>
        <v/>
      </c>
      <c r="U430" s="10" t="str">
        <f aca="false">IF($C430="","",IFERROR(INDEX(Listas!$C$2:$C$20,MATCH($D430,Listas!$A$2:$A$20,0)),""))</f>
        <v/>
      </c>
      <c r="V430" s="10" t="str">
        <f aca="false">IF($C430="","",IFERROR(INDEX(Listas!$D$2:$D$20,MATCH($D430,Listas!$A$2:$A$20,0)),""))</f>
        <v/>
      </c>
      <c r="W430" s="11" t="str">
        <f aca="false">IF(OR($C430="",$B430="",$G430=""),"",$G430-$B430)</f>
        <v/>
      </c>
      <c r="X430" s="11" t="str">
        <f aca="true">IF(OR($C430="",$B430=""),"",IF($N430&lt;&gt;"",$N430,TODAY())-$B430)</f>
        <v/>
      </c>
      <c r="Y430" s="11" t="str">
        <f aca="true">IF(OR($C430="",$M430&lt;&gt;"Abierta",$G430=""),"",MAX($G430-TODAY(),0))</f>
        <v/>
      </c>
      <c r="Z430" s="12" t="str">
        <f aca="false">IF($C430="","",N($K430)*N($H430)*N($I430)*IF($U430="Débito",-1,1))</f>
        <v/>
      </c>
      <c r="AA430" s="13" t="str">
        <f aca="false">IF($C430="","",IF(AND($U430="Débito",$F430&lt;&gt;""),$F430,$E430))</f>
        <v/>
      </c>
      <c r="AB430" s="13" t="str">
        <f aca="false">IF(OR($C430="",$T430="Mixta",$AA430=""),"",IF($V430="Subyacente",IF($J430="","",$J430-$K430),IF($T430="Put",$AA430-$K430,$AA430+$K430)))</f>
        <v/>
      </c>
      <c r="AC430" s="14" t="str">
        <f aca="false">IF(OR($C430="",$T430="Mixta",$J430="",$AA430=""),"",IF($T430="Put",($J430-$AA430)/$J430,($AA430-$J430)/$J430))</f>
        <v/>
      </c>
      <c r="AD430" s="12" t="str">
        <f aca="false">IF($C430="","",IF($Q430&lt;&gt;"",$Q430,IF($V430="Strike",N($E430)*$H430*$I430,IF($V430="Subyacente",IF($J430="","",$J430*$H430*$I430),IF($V430="Ancho",IF($F430="","",ABS($E430-$F430)*$H430*$I430-$K430*$H430*$I430),IF($V430="Prima",$K430*$H430*$I430,""))))))</f>
        <v/>
      </c>
      <c r="AE430" s="12" t="str">
        <f aca="false">IF(OR($C430="",$M430="Abierta",$M430=""),"",(N($K430)-IF(OR($M430="Cerrada",$M430="Rolada"),N($O430),0))*$H430*$I430*IF($U430="Débito",-1,1)-N($L430)-N($P430))</f>
        <v/>
      </c>
      <c r="AF430" s="14" t="str">
        <f aca="false">IF(OR($AE430="",$AD430=""),"",IF($AD430&lt;=0,"",$AE430/$AD430))</f>
        <v/>
      </c>
      <c r="AG430" s="14" t="str">
        <f aca="false">IF($AF430="","",$AF430*365/MAX(N($X430),1))</f>
        <v/>
      </c>
      <c r="AH430" s="14" t="str">
        <f aca="false">IF(OR($C430="",$U430&lt;&gt;"Crédito",$AD430=""),"",IF($AD430&lt;=0,"",($Z430-N($L430))/$AD430))</f>
        <v/>
      </c>
      <c r="AI430" s="14" t="str">
        <f aca="false">IF(OR($AH430="",$W430=""),"",$AH430*365/MAX($W430,1))</f>
        <v/>
      </c>
      <c r="AJ430" s="14" t="str">
        <f aca="false">IF(OR($AE430="",$U430&lt;&gt;"Crédito",N($K430)=0),"",(N($K430)-IF(OR($M430="Cerrada",$M430="Rolada"),N($O430),0))/$K430)</f>
        <v/>
      </c>
      <c r="AK430" s="15" t="str">
        <f aca="false">IF(OR($C430="",$N430=""),"",DATE(YEAR($N430),MONTH($N430),1))</f>
        <v/>
      </c>
      <c r="AL430" s="11" t="str">
        <f aca="false">IF($C430="","",IF($M430="Abierta",0,1))</f>
        <v/>
      </c>
      <c r="AM430" s="16" t="str">
        <f aca="false">IF(OR($AE430="",$AD430=""),"",$AD430*MAX(N($X430),1))</f>
        <v/>
      </c>
      <c r="AN430" s="10" t="str">
        <f aca="false">IF($C430="","",IF(OR($B430="",$D430="",$H430="",$K430="",$M430=""),"Faltan datos obligatorios",IF($T430="","Estrategia no reconocida",IF(AND($M430&lt;&gt;"Abierta",$N430=""),"Falta fecha cierre",IF(AND(OR($M430="Cerrada",$M430="Rolada"),$O430=""),"Falta prima cierre",IF(AND($N430&lt;&gt;"",$N430&lt;$B430),"Cierre anterior a apertura",IF(AND($M430="Asignada",$R430=""),"Asignada: falta ID lote acciones",IF(AND($R430&lt;&gt;"",ISNA(MATCH($R430,Acciones!$A$2:$A$201,0))),"El ID lote no existe en Acciones",IF($AD430="","Revisa capital en riesgo","OK")))))))))</f>
        <v/>
      </c>
    </row>
    <row r="431" customFormat="false" ht="15" hidden="false" customHeight="true" outlineLevel="0" collapsed="false">
      <c r="A431" s="5"/>
      <c r="B431" s="6"/>
      <c r="C431" s="7"/>
      <c r="D431" s="7"/>
      <c r="E431" s="8"/>
      <c r="F431" s="8"/>
      <c r="G431" s="6"/>
      <c r="H431" s="5"/>
      <c r="I431" s="5" t="n">
        <v>100</v>
      </c>
      <c r="J431" s="8"/>
      <c r="K431" s="8"/>
      <c r="L431" s="9"/>
      <c r="M431" s="7"/>
      <c r="N431" s="6"/>
      <c r="O431" s="8"/>
      <c r="P431" s="9"/>
      <c r="Q431" s="9"/>
      <c r="R431" s="7"/>
      <c r="S431" s="7"/>
      <c r="T431" s="10" t="str">
        <f aca="false">IF($C431="","",IFERROR(INDEX(Listas!$B$2:$B$20,MATCH($D431,Listas!$A$2:$A$20,0)),""))</f>
        <v/>
      </c>
      <c r="U431" s="10" t="str">
        <f aca="false">IF($C431="","",IFERROR(INDEX(Listas!$C$2:$C$20,MATCH($D431,Listas!$A$2:$A$20,0)),""))</f>
        <v/>
      </c>
      <c r="V431" s="10" t="str">
        <f aca="false">IF($C431="","",IFERROR(INDEX(Listas!$D$2:$D$20,MATCH($D431,Listas!$A$2:$A$20,0)),""))</f>
        <v/>
      </c>
      <c r="W431" s="11" t="str">
        <f aca="false">IF(OR($C431="",$B431="",$G431=""),"",$G431-$B431)</f>
        <v/>
      </c>
      <c r="X431" s="11" t="str">
        <f aca="true">IF(OR($C431="",$B431=""),"",IF($N431&lt;&gt;"",$N431,TODAY())-$B431)</f>
        <v/>
      </c>
      <c r="Y431" s="11" t="str">
        <f aca="true">IF(OR($C431="",$M431&lt;&gt;"Abierta",$G431=""),"",MAX($G431-TODAY(),0))</f>
        <v/>
      </c>
      <c r="Z431" s="12" t="str">
        <f aca="false">IF($C431="","",N($K431)*N($H431)*N($I431)*IF($U431="Débito",-1,1))</f>
        <v/>
      </c>
      <c r="AA431" s="13" t="str">
        <f aca="false">IF($C431="","",IF(AND($U431="Débito",$F431&lt;&gt;""),$F431,$E431))</f>
        <v/>
      </c>
      <c r="AB431" s="13" t="str">
        <f aca="false">IF(OR($C431="",$T431="Mixta",$AA431=""),"",IF($V431="Subyacente",IF($J431="","",$J431-$K431),IF($T431="Put",$AA431-$K431,$AA431+$K431)))</f>
        <v/>
      </c>
      <c r="AC431" s="14" t="str">
        <f aca="false">IF(OR($C431="",$T431="Mixta",$J431="",$AA431=""),"",IF($T431="Put",($J431-$AA431)/$J431,($AA431-$J431)/$J431))</f>
        <v/>
      </c>
      <c r="AD431" s="12" t="str">
        <f aca="false">IF($C431="","",IF($Q431&lt;&gt;"",$Q431,IF($V431="Strike",N($E431)*$H431*$I431,IF($V431="Subyacente",IF($J431="","",$J431*$H431*$I431),IF($V431="Ancho",IF($F431="","",ABS($E431-$F431)*$H431*$I431-$K431*$H431*$I431),IF($V431="Prima",$K431*$H431*$I431,""))))))</f>
        <v/>
      </c>
      <c r="AE431" s="12" t="str">
        <f aca="false">IF(OR($C431="",$M431="Abierta",$M431=""),"",(N($K431)-IF(OR($M431="Cerrada",$M431="Rolada"),N($O431),0))*$H431*$I431*IF($U431="Débito",-1,1)-N($L431)-N($P431))</f>
        <v/>
      </c>
      <c r="AF431" s="14" t="str">
        <f aca="false">IF(OR($AE431="",$AD431=""),"",IF($AD431&lt;=0,"",$AE431/$AD431))</f>
        <v/>
      </c>
      <c r="AG431" s="14" t="str">
        <f aca="false">IF($AF431="","",$AF431*365/MAX(N($X431),1))</f>
        <v/>
      </c>
      <c r="AH431" s="14" t="str">
        <f aca="false">IF(OR($C431="",$U431&lt;&gt;"Crédito",$AD431=""),"",IF($AD431&lt;=0,"",($Z431-N($L431))/$AD431))</f>
        <v/>
      </c>
      <c r="AI431" s="14" t="str">
        <f aca="false">IF(OR($AH431="",$W431=""),"",$AH431*365/MAX($W431,1))</f>
        <v/>
      </c>
      <c r="AJ431" s="14" t="str">
        <f aca="false">IF(OR($AE431="",$U431&lt;&gt;"Crédito",N($K431)=0),"",(N($K431)-IF(OR($M431="Cerrada",$M431="Rolada"),N($O431),0))/$K431)</f>
        <v/>
      </c>
      <c r="AK431" s="15" t="str">
        <f aca="false">IF(OR($C431="",$N431=""),"",DATE(YEAR($N431),MONTH($N431),1))</f>
        <v/>
      </c>
      <c r="AL431" s="11" t="str">
        <f aca="false">IF($C431="","",IF($M431="Abierta",0,1))</f>
        <v/>
      </c>
      <c r="AM431" s="16" t="str">
        <f aca="false">IF(OR($AE431="",$AD431=""),"",$AD431*MAX(N($X431),1))</f>
        <v/>
      </c>
      <c r="AN431" s="10" t="str">
        <f aca="false">IF($C431="","",IF(OR($B431="",$D431="",$H431="",$K431="",$M431=""),"Faltan datos obligatorios",IF($T431="","Estrategia no reconocida",IF(AND($M431&lt;&gt;"Abierta",$N431=""),"Falta fecha cierre",IF(AND(OR($M431="Cerrada",$M431="Rolada"),$O431=""),"Falta prima cierre",IF(AND($N431&lt;&gt;"",$N431&lt;$B431),"Cierre anterior a apertura",IF(AND($M431="Asignada",$R431=""),"Asignada: falta ID lote acciones",IF(AND($R431&lt;&gt;"",ISNA(MATCH($R431,Acciones!$A$2:$A$201,0))),"El ID lote no existe en Acciones",IF($AD431="","Revisa capital en riesgo","OK")))))))))</f>
        <v/>
      </c>
    </row>
    <row r="432" customFormat="false" ht="15" hidden="false" customHeight="true" outlineLevel="0" collapsed="false">
      <c r="A432" s="5"/>
      <c r="B432" s="6"/>
      <c r="C432" s="7"/>
      <c r="D432" s="7"/>
      <c r="E432" s="8"/>
      <c r="F432" s="8"/>
      <c r="G432" s="6"/>
      <c r="H432" s="5"/>
      <c r="I432" s="5" t="n">
        <v>100</v>
      </c>
      <c r="J432" s="8"/>
      <c r="K432" s="8"/>
      <c r="L432" s="9"/>
      <c r="M432" s="7"/>
      <c r="N432" s="6"/>
      <c r="O432" s="8"/>
      <c r="P432" s="9"/>
      <c r="Q432" s="9"/>
      <c r="R432" s="7"/>
      <c r="S432" s="7"/>
      <c r="T432" s="10" t="str">
        <f aca="false">IF($C432="","",IFERROR(INDEX(Listas!$B$2:$B$20,MATCH($D432,Listas!$A$2:$A$20,0)),""))</f>
        <v/>
      </c>
      <c r="U432" s="10" t="str">
        <f aca="false">IF($C432="","",IFERROR(INDEX(Listas!$C$2:$C$20,MATCH($D432,Listas!$A$2:$A$20,0)),""))</f>
        <v/>
      </c>
      <c r="V432" s="10" t="str">
        <f aca="false">IF($C432="","",IFERROR(INDEX(Listas!$D$2:$D$20,MATCH($D432,Listas!$A$2:$A$20,0)),""))</f>
        <v/>
      </c>
      <c r="W432" s="11" t="str">
        <f aca="false">IF(OR($C432="",$B432="",$G432=""),"",$G432-$B432)</f>
        <v/>
      </c>
      <c r="X432" s="11" t="str">
        <f aca="true">IF(OR($C432="",$B432=""),"",IF($N432&lt;&gt;"",$N432,TODAY())-$B432)</f>
        <v/>
      </c>
      <c r="Y432" s="11" t="str">
        <f aca="true">IF(OR($C432="",$M432&lt;&gt;"Abierta",$G432=""),"",MAX($G432-TODAY(),0))</f>
        <v/>
      </c>
      <c r="Z432" s="12" t="str">
        <f aca="false">IF($C432="","",N($K432)*N($H432)*N($I432)*IF($U432="Débito",-1,1))</f>
        <v/>
      </c>
      <c r="AA432" s="13" t="str">
        <f aca="false">IF($C432="","",IF(AND($U432="Débito",$F432&lt;&gt;""),$F432,$E432))</f>
        <v/>
      </c>
      <c r="AB432" s="13" t="str">
        <f aca="false">IF(OR($C432="",$T432="Mixta",$AA432=""),"",IF($V432="Subyacente",IF($J432="","",$J432-$K432),IF($T432="Put",$AA432-$K432,$AA432+$K432)))</f>
        <v/>
      </c>
      <c r="AC432" s="14" t="str">
        <f aca="false">IF(OR($C432="",$T432="Mixta",$J432="",$AA432=""),"",IF($T432="Put",($J432-$AA432)/$J432,($AA432-$J432)/$J432))</f>
        <v/>
      </c>
      <c r="AD432" s="12" t="str">
        <f aca="false">IF($C432="","",IF($Q432&lt;&gt;"",$Q432,IF($V432="Strike",N($E432)*$H432*$I432,IF($V432="Subyacente",IF($J432="","",$J432*$H432*$I432),IF($V432="Ancho",IF($F432="","",ABS($E432-$F432)*$H432*$I432-$K432*$H432*$I432),IF($V432="Prima",$K432*$H432*$I432,""))))))</f>
        <v/>
      </c>
      <c r="AE432" s="12" t="str">
        <f aca="false">IF(OR($C432="",$M432="Abierta",$M432=""),"",(N($K432)-IF(OR($M432="Cerrada",$M432="Rolada"),N($O432),0))*$H432*$I432*IF($U432="Débito",-1,1)-N($L432)-N($P432))</f>
        <v/>
      </c>
      <c r="AF432" s="14" t="str">
        <f aca="false">IF(OR($AE432="",$AD432=""),"",IF($AD432&lt;=0,"",$AE432/$AD432))</f>
        <v/>
      </c>
      <c r="AG432" s="14" t="str">
        <f aca="false">IF($AF432="","",$AF432*365/MAX(N($X432),1))</f>
        <v/>
      </c>
      <c r="AH432" s="14" t="str">
        <f aca="false">IF(OR($C432="",$U432&lt;&gt;"Crédito",$AD432=""),"",IF($AD432&lt;=0,"",($Z432-N($L432))/$AD432))</f>
        <v/>
      </c>
      <c r="AI432" s="14" t="str">
        <f aca="false">IF(OR($AH432="",$W432=""),"",$AH432*365/MAX($W432,1))</f>
        <v/>
      </c>
      <c r="AJ432" s="14" t="str">
        <f aca="false">IF(OR($AE432="",$U432&lt;&gt;"Crédito",N($K432)=0),"",(N($K432)-IF(OR($M432="Cerrada",$M432="Rolada"),N($O432),0))/$K432)</f>
        <v/>
      </c>
      <c r="AK432" s="15" t="str">
        <f aca="false">IF(OR($C432="",$N432=""),"",DATE(YEAR($N432),MONTH($N432),1))</f>
        <v/>
      </c>
      <c r="AL432" s="11" t="str">
        <f aca="false">IF($C432="","",IF($M432="Abierta",0,1))</f>
        <v/>
      </c>
      <c r="AM432" s="16" t="str">
        <f aca="false">IF(OR($AE432="",$AD432=""),"",$AD432*MAX(N($X432),1))</f>
        <v/>
      </c>
      <c r="AN432" s="10" t="str">
        <f aca="false">IF($C432="","",IF(OR($B432="",$D432="",$H432="",$K432="",$M432=""),"Faltan datos obligatorios",IF($T432="","Estrategia no reconocida",IF(AND($M432&lt;&gt;"Abierta",$N432=""),"Falta fecha cierre",IF(AND(OR($M432="Cerrada",$M432="Rolada"),$O432=""),"Falta prima cierre",IF(AND($N432&lt;&gt;"",$N432&lt;$B432),"Cierre anterior a apertura",IF(AND($M432="Asignada",$R432=""),"Asignada: falta ID lote acciones",IF(AND($R432&lt;&gt;"",ISNA(MATCH($R432,Acciones!$A$2:$A$201,0))),"El ID lote no existe en Acciones",IF($AD432="","Revisa capital en riesgo","OK")))))))))</f>
        <v/>
      </c>
    </row>
    <row r="433" customFormat="false" ht="15" hidden="false" customHeight="true" outlineLevel="0" collapsed="false">
      <c r="A433" s="5"/>
      <c r="B433" s="6"/>
      <c r="C433" s="7"/>
      <c r="D433" s="7"/>
      <c r="E433" s="8"/>
      <c r="F433" s="8"/>
      <c r="G433" s="6"/>
      <c r="H433" s="5"/>
      <c r="I433" s="5" t="n">
        <v>100</v>
      </c>
      <c r="J433" s="8"/>
      <c r="K433" s="8"/>
      <c r="L433" s="9"/>
      <c r="M433" s="7"/>
      <c r="N433" s="6"/>
      <c r="O433" s="8"/>
      <c r="P433" s="9"/>
      <c r="Q433" s="9"/>
      <c r="R433" s="7"/>
      <c r="S433" s="7"/>
      <c r="T433" s="10" t="str">
        <f aca="false">IF($C433="","",IFERROR(INDEX(Listas!$B$2:$B$20,MATCH($D433,Listas!$A$2:$A$20,0)),""))</f>
        <v/>
      </c>
      <c r="U433" s="10" t="str">
        <f aca="false">IF($C433="","",IFERROR(INDEX(Listas!$C$2:$C$20,MATCH($D433,Listas!$A$2:$A$20,0)),""))</f>
        <v/>
      </c>
      <c r="V433" s="10" t="str">
        <f aca="false">IF($C433="","",IFERROR(INDEX(Listas!$D$2:$D$20,MATCH($D433,Listas!$A$2:$A$20,0)),""))</f>
        <v/>
      </c>
      <c r="W433" s="11" t="str">
        <f aca="false">IF(OR($C433="",$B433="",$G433=""),"",$G433-$B433)</f>
        <v/>
      </c>
      <c r="X433" s="11" t="str">
        <f aca="true">IF(OR($C433="",$B433=""),"",IF($N433&lt;&gt;"",$N433,TODAY())-$B433)</f>
        <v/>
      </c>
      <c r="Y433" s="11" t="str">
        <f aca="true">IF(OR($C433="",$M433&lt;&gt;"Abierta",$G433=""),"",MAX($G433-TODAY(),0))</f>
        <v/>
      </c>
      <c r="Z433" s="12" t="str">
        <f aca="false">IF($C433="","",N($K433)*N($H433)*N($I433)*IF($U433="Débito",-1,1))</f>
        <v/>
      </c>
      <c r="AA433" s="13" t="str">
        <f aca="false">IF($C433="","",IF(AND($U433="Débito",$F433&lt;&gt;""),$F433,$E433))</f>
        <v/>
      </c>
      <c r="AB433" s="13" t="str">
        <f aca="false">IF(OR($C433="",$T433="Mixta",$AA433=""),"",IF($V433="Subyacente",IF($J433="","",$J433-$K433),IF($T433="Put",$AA433-$K433,$AA433+$K433)))</f>
        <v/>
      </c>
      <c r="AC433" s="14" t="str">
        <f aca="false">IF(OR($C433="",$T433="Mixta",$J433="",$AA433=""),"",IF($T433="Put",($J433-$AA433)/$J433,($AA433-$J433)/$J433))</f>
        <v/>
      </c>
      <c r="AD433" s="12" t="str">
        <f aca="false">IF($C433="","",IF($Q433&lt;&gt;"",$Q433,IF($V433="Strike",N($E433)*$H433*$I433,IF($V433="Subyacente",IF($J433="","",$J433*$H433*$I433),IF($V433="Ancho",IF($F433="","",ABS($E433-$F433)*$H433*$I433-$K433*$H433*$I433),IF($V433="Prima",$K433*$H433*$I433,""))))))</f>
        <v/>
      </c>
      <c r="AE433" s="12" t="str">
        <f aca="false">IF(OR($C433="",$M433="Abierta",$M433=""),"",(N($K433)-IF(OR($M433="Cerrada",$M433="Rolada"),N($O433),0))*$H433*$I433*IF($U433="Débito",-1,1)-N($L433)-N($P433))</f>
        <v/>
      </c>
      <c r="AF433" s="14" t="str">
        <f aca="false">IF(OR($AE433="",$AD433=""),"",IF($AD433&lt;=0,"",$AE433/$AD433))</f>
        <v/>
      </c>
      <c r="AG433" s="14" t="str">
        <f aca="false">IF($AF433="","",$AF433*365/MAX(N($X433),1))</f>
        <v/>
      </c>
      <c r="AH433" s="14" t="str">
        <f aca="false">IF(OR($C433="",$U433&lt;&gt;"Crédito",$AD433=""),"",IF($AD433&lt;=0,"",($Z433-N($L433))/$AD433))</f>
        <v/>
      </c>
      <c r="AI433" s="14" t="str">
        <f aca="false">IF(OR($AH433="",$W433=""),"",$AH433*365/MAX($W433,1))</f>
        <v/>
      </c>
      <c r="AJ433" s="14" t="str">
        <f aca="false">IF(OR($AE433="",$U433&lt;&gt;"Crédito",N($K433)=0),"",(N($K433)-IF(OR($M433="Cerrada",$M433="Rolada"),N($O433),0))/$K433)</f>
        <v/>
      </c>
      <c r="AK433" s="15" t="str">
        <f aca="false">IF(OR($C433="",$N433=""),"",DATE(YEAR($N433),MONTH($N433),1))</f>
        <v/>
      </c>
      <c r="AL433" s="11" t="str">
        <f aca="false">IF($C433="","",IF($M433="Abierta",0,1))</f>
        <v/>
      </c>
      <c r="AM433" s="16" t="str">
        <f aca="false">IF(OR($AE433="",$AD433=""),"",$AD433*MAX(N($X433),1))</f>
        <v/>
      </c>
      <c r="AN433" s="10" t="str">
        <f aca="false">IF($C433="","",IF(OR($B433="",$D433="",$H433="",$K433="",$M433=""),"Faltan datos obligatorios",IF($T433="","Estrategia no reconocida",IF(AND($M433&lt;&gt;"Abierta",$N433=""),"Falta fecha cierre",IF(AND(OR($M433="Cerrada",$M433="Rolada"),$O433=""),"Falta prima cierre",IF(AND($N433&lt;&gt;"",$N433&lt;$B433),"Cierre anterior a apertura",IF(AND($M433="Asignada",$R433=""),"Asignada: falta ID lote acciones",IF(AND($R433&lt;&gt;"",ISNA(MATCH($R433,Acciones!$A$2:$A$201,0))),"El ID lote no existe en Acciones",IF($AD433="","Revisa capital en riesgo","OK")))))))))</f>
        <v/>
      </c>
    </row>
    <row r="434" customFormat="false" ht="15" hidden="false" customHeight="true" outlineLevel="0" collapsed="false">
      <c r="A434" s="5"/>
      <c r="B434" s="6"/>
      <c r="C434" s="7"/>
      <c r="D434" s="7"/>
      <c r="E434" s="8"/>
      <c r="F434" s="8"/>
      <c r="G434" s="6"/>
      <c r="H434" s="5"/>
      <c r="I434" s="5" t="n">
        <v>100</v>
      </c>
      <c r="J434" s="8"/>
      <c r="K434" s="8"/>
      <c r="L434" s="9"/>
      <c r="M434" s="7"/>
      <c r="N434" s="6"/>
      <c r="O434" s="8"/>
      <c r="P434" s="9"/>
      <c r="Q434" s="9"/>
      <c r="R434" s="7"/>
      <c r="S434" s="7"/>
      <c r="T434" s="10" t="str">
        <f aca="false">IF($C434="","",IFERROR(INDEX(Listas!$B$2:$B$20,MATCH($D434,Listas!$A$2:$A$20,0)),""))</f>
        <v/>
      </c>
      <c r="U434" s="10" t="str">
        <f aca="false">IF($C434="","",IFERROR(INDEX(Listas!$C$2:$C$20,MATCH($D434,Listas!$A$2:$A$20,0)),""))</f>
        <v/>
      </c>
      <c r="V434" s="10" t="str">
        <f aca="false">IF($C434="","",IFERROR(INDEX(Listas!$D$2:$D$20,MATCH($D434,Listas!$A$2:$A$20,0)),""))</f>
        <v/>
      </c>
      <c r="W434" s="11" t="str">
        <f aca="false">IF(OR($C434="",$B434="",$G434=""),"",$G434-$B434)</f>
        <v/>
      </c>
      <c r="X434" s="11" t="str">
        <f aca="true">IF(OR($C434="",$B434=""),"",IF($N434&lt;&gt;"",$N434,TODAY())-$B434)</f>
        <v/>
      </c>
      <c r="Y434" s="11" t="str">
        <f aca="true">IF(OR($C434="",$M434&lt;&gt;"Abierta",$G434=""),"",MAX($G434-TODAY(),0))</f>
        <v/>
      </c>
      <c r="Z434" s="12" t="str">
        <f aca="false">IF($C434="","",N($K434)*N($H434)*N($I434)*IF($U434="Débito",-1,1))</f>
        <v/>
      </c>
      <c r="AA434" s="13" t="str">
        <f aca="false">IF($C434="","",IF(AND($U434="Débito",$F434&lt;&gt;""),$F434,$E434))</f>
        <v/>
      </c>
      <c r="AB434" s="13" t="str">
        <f aca="false">IF(OR($C434="",$T434="Mixta",$AA434=""),"",IF($V434="Subyacente",IF($J434="","",$J434-$K434),IF($T434="Put",$AA434-$K434,$AA434+$K434)))</f>
        <v/>
      </c>
      <c r="AC434" s="14" t="str">
        <f aca="false">IF(OR($C434="",$T434="Mixta",$J434="",$AA434=""),"",IF($T434="Put",($J434-$AA434)/$J434,($AA434-$J434)/$J434))</f>
        <v/>
      </c>
      <c r="AD434" s="12" t="str">
        <f aca="false">IF($C434="","",IF($Q434&lt;&gt;"",$Q434,IF($V434="Strike",N($E434)*$H434*$I434,IF($V434="Subyacente",IF($J434="","",$J434*$H434*$I434),IF($V434="Ancho",IF($F434="","",ABS($E434-$F434)*$H434*$I434-$K434*$H434*$I434),IF($V434="Prima",$K434*$H434*$I434,""))))))</f>
        <v/>
      </c>
      <c r="AE434" s="12" t="str">
        <f aca="false">IF(OR($C434="",$M434="Abierta",$M434=""),"",(N($K434)-IF(OR($M434="Cerrada",$M434="Rolada"),N($O434),0))*$H434*$I434*IF($U434="Débito",-1,1)-N($L434)-N($P434))</f>
        <v/>
      </c>
      <c r="AF434" s="14" t="str">
        <f aca="false">IF(OR($AE434="",$AD434=""),"",IF($AD434&lt;=0,"",$AE434/$AD434))</f>
        <v/>
      </c>
      <c r="AG434" s="14" t="str">
        <f aca="false">IF($AF434="","",$AF434*365/MAX(N($X434),1))</f>
        <v/>
      </c>
      <c r="AH434" s="14" t="str">
        <f aca="false">IF(OR($C434="",$U434&lt;&gt;"Crédito",$AD434=""),"",IF($AD434&lt;=0,"",($Z434-N($L434))/$AD434))</f>
        <v/>
      </c>
      <c r="AI434" s="14" t="str">
        <f aca="false">IF(OR($AH434="",$W434=""),"",$AH434*365/MAX($W434,1))</f>
        <v/>
      </c>
      <c r="AJ434" s="14" t="str">
        <f aca="false">IF(OR($AE434="",$U434&lt;&gt;"Crédito",N($K434)=0),"",(N($K434)-IF(OR($M434="Cerrada",$M434="Rolada"),N($O434),0))/$K434)</f>
        <v/>
      </c>
      <c r="AK434" s="15" t="str">
        <f aca="false">IF(OR($C434="",$N434=""),"",DATE(YEAR($N434),MONTH($N434),1))</f>
        <v/>
      </c>
      <c r="AL434" s="11" t="str">
        <f aca="false">IF($C434="","",IF($M434="Abierta",0,1))</f>
        <v/>
      </c>
      <c r="AM434" s="16" t="str">
        <f aca="false">IF(OR($AE434="",$AD434=""),"",$AD434*MAX(N($X434),1))</f>
        <v/>
      </c>
      <c r="AN434" s="10" t="str">
        <f aca="false">IF($C434="","",IF(OR($B434="",$D434="",$H434="",$K434="",$M434=""),"Faltan datos obligatorios",IF($T434="","Estrategia no reconocida",IF(AND($M434&lt;&gt;"Abierta",$N434=""),"Falta fecha cierre",IF(AND(OR($M434="Cerrada",$M434="Rolada"),$O434=""),"Falta prima cierre",IF(AND($N434&lt;&gt;"",$N434&lt;$B434),"Cierre anterior a apertura",IF(AND($M434="Asignada",$R434=""),"Asignada: falta ID lote acciones",IF(AND($R434&lt;&gt;"",ISNA(MATCH($R434,Acciones!$A$2:$A$201,0))),"El ID lote no existe en Acciones",IF($AD434="","Revisa capital en riesgo","OK")))))))))</f>
        <v/>
      </c>
    </row>
    <row r="435" customFormat="false" ht="15" hidden="false" customHeight="true" outlineLevel="0" collapsed="false">
      <c r="A435" s="5"/>
      <c r="B435" s="6"/>
      <c r="C435" s="7"/>
      <c r="D435" s="7"/>
      <c r="E435" s="8"/>
      <c r="F435" s="8"/>
      <c r="G435" s="6"/>
      <c r="H435" s="5"/>
      <c r="I435" s="5" t="n">
        <v>100</v>
      </c>
      <c r="J435" s="8"/>
      <c r="K435" s="8"/>
      <c r="L435" s="9"/>
      <c r="M435" s="7"/>
      <c r="N435" s="6"/>
      <c r="O435" s="8"/>
      <c r="P435" s="9"/>
      <c r="Q435" s="9"/>
      <c r="R435" s="7"/>
      <c r="S435" s="7"/>
      <c r="T435" s="10" t="str">
        <f aca="false">IF($C435="","",IFERROR(INDEX(Listas!$B$2:$B$20,MATCH($D435,Listas!$A$2:$A$20,0)),""))</f>
        <v/>
      </c>
      <c r="U435" s="10" t="str">
        <f aca="false">IF($C435="","",IFERROR(INDEX(Listas!$C$2:$C$20,MATCH($D435,Listas!$A$2:$A$20,0)),""))</f>
        <v/>
      </c>
      <c r="V435" s="10" t="str">
        <f aca="false">IF($C435="","",IFERROR(INDEX(Listas!$D$2:$D$20,MATCH($D435,Listas!$A$2:$A$20,0)),""))</f>
        <v/>
      </c>
      <c r="W435" s="11" t="str">
        <f aca="false">IF(OR($C435="",$B435="",$G435=""),"",$G435-$B435)</f>
        <v/>
      </c>
      <c r="X435" s="11" t="str">
        <f aca="true">IF(OR($C435="",$B435=""),"",IF($N435&lt;&gt;"",$N435,TODAY())-$B435)</f>
        <v/>
      </c>
      <c r="Y435" s="11" t="str">
        <f aca="true">IF(OR($C435="",$M435&lt;&gt;"Abierta",$G435=""),"",MAX($G435-TODAY(),0))</f>
        <v/>
      </c>
      <c r="Z435" s="12" t="str">
        <f aca="false">IF($C435="","",N($K435)*N($H435)*N($I435)*IF($U435="Débito",-1,1))</f>
        <v/>
      </c>
      <c r="AA435" s="13" t="str">
        <f aca="false">IF($C435="","",IF(AND($U435="Débito",$F435&lt;&gt;""),$F435,$E435))</f>
        <v/>
      </c>
      <c r="AB435" s="13" t="str">
        <f aca="false">IF(OR($C435="",$T435="Mixta",$AA435=""),"",IF($V435="Subyacente",IF($J435="","",$J435-$K435),IF($T435="Put",$AA435-$K435,$AA435+$K435)))</f>
        <v/>
      </c>
      <c r="AC435" s="14" t="str">
        <f aca="false">IF(OR($C435="",$T435="Mixta",$J435="",$AA435=""),"",IF($T435="Put",($J435-$AA435)/$J435,($AA435-$J435)/$J435))</f>
        <v/>
      </c>
      <c r="AD435" s="12" t="str">
        <f aca="false">IF($C435="","",IF($Q435&lt;&gt;"",$Q435,IF($V435="Strike",N($E435)*$H435*$I435,IF($V435="Subyacente",IF($J435="","",$J435*$H435*$I435),IF($V435="Ancho",IF($F435="","",ABS($E435-$F435)*$H435*$I435-$K435*$H435*$I435),IF($V435="Prima",$K435*$H435*$I435,""))))))</f>
        <v/>
      </c>
      <c r="AE435" s="12" t="str">
        <f aca="false">IF(OR($C435="",$M435="Abierta",$M435=""),"",(N($K435)-IF(OR($M435="Cerrada",$M435="Rolada"),N($O435),0))*$H435*$I435*IF($U435="Débito",-1,1)-N($L435)-N($P435))</f>
        <v/>
      </c>
      <c r="AF435" s="14" t="str">
        <f aca="false">IF(OR($AE435="",$AD435=""),"",IF($AD435&lt;=0,"",$AE435/$AD435))</f>
        <v/>
      </c>
      <c r="AG435" s="14" t="str">
        <f aca="false">IF($AF435="","",$AF435*365/MAX(N($X435),1))</f>
        <v/>
      </c>
      <c r="AH435" s="14" t="str">
        <f aca="false">IF(OR($C435="",$U435&lt;&gt;"Crédito",$AD435=""),"",IF($AD435&lt;=0,"",($Z435-N($L435))/$AD435))</f>
        <v/>
      </c>
      <c r="AI435" s="14" t="str">
        <f aca="false">IF(OR($AH435="",$W435=""),"",$AH435*365/MAX($W435,1))</f>
        <v/>
      </c>
      <c r="AJ435" s="14" t="str">
        <f aca="false">IF(OR($AE435="",$U435&lt;&gt;"Crédito",N($K435)=0),"",(N($K435)-IF(OR($M435="Cerrada",$M435="Rolada"),N($O435),0))/$K435)</f>
        <v/>
      </c>
      <c r="AK435" s="15" t="str">
        <f aca="false">IF(OR($C435="",$N435=""),"",DATE(YEAR($N435),MONTH($N435),1))</f>
        <v/>
      </c>
      <c r="AL435" s="11" t="str">
        <f aca="false">IF($C435="","",IF($M435="Abierta",0,1))</f>
        <v/>
      </c>
      <c r="AM435" s="16" t="str">
        <f aca="false">IF(OR($AE435="",$AD435=""),"",$AD435*MAX(N($X435),1))</f>
        <v/>
      </c>
      <c r="AN435" s="10" t="str">
        <f aca="false">IF($C435="","",IF(OR($B435="",$D435="",$H435="",$K435="",$M435=""),"Faltan datos obligatorios",IF($T435="","Estrategia no reconocida",IF(AND($M435&lt;&gt;"Abierta",$N435=""),"Falta fecha cierre",IF(AND(OR($M435="Cerrada",$M435="Rolada"),$O435=""),"Falta prima cierre",IF(AND($N435&lt;&gt;"",$N435&lt;$B435),"Cierre anterior a apertura",IF(AND($M435="Asignada",$R435=""),"Asignada: falta ID lote acciones",IF(AND($R435&lt;&gt;"",ISNA(MATCH($R435,Acciones!$A$2:$A$201,0))),"El ID lote no existe en Acciones",IF($AD435="","Revisa capital en riesgo","OK")))))))))</f>
        <v/>
      </c>
    </row>
    <row r="436" customFormat="false" ht="15" hidden="false" customHeight="true" outlineLevel="0" collapsed="false">
      <c r="A436" s="5"/>
      <c r="B436" s="6"/>
      <c r="C436" s="7"/>
      <c r="D436" s="7"/>
      <c r="E436" s="8"/>
      <c r="F436" s="8"/>
      <c r="G436" s="6"/>
      <c r="H436" s="5"/>
      <c r="I436" s="5" t="n">
        <v>100</v>
      </c>
      <c r="J436" s="8"/>
      <c r="K436" s="8"/>
      <c r="L436" s="9"/>
      <c r="M436" s="7"/>
      <c r="N436" s="6"/>
      <c r="O436" s="8"/>
      <c r="P436" s="9"/>
      <c r="Q436" s="9"/>
      <c r="R436" s="7"/>
      <c r="S436" s="7"/>
      <c r="T436" s="10" t="str">
        <f aca="false">IF($C436="","",IFERROR(INDEX(Listas!$B$2:$B$20,MATCH($D436,Listas!$A$2:$A$20,0)),""))</f>
        <v/>
      </c>
      <c r="U436" s="10" t="str">
        <f aca="false">IF($C436="","",IFERROR(INDEX(Listas!$C$2:$C$20,MATCH($D436,Listas!$A$2:$A$20,0)),""))</f>
        <v/>
      </c>
      <c r="V436" s="10" t="str">
        <f aca="false">IF($C436="","",IFERROR(INDEX(Listas!$D$2:$D$20,MATCH($D436,Listas!$A$2:$A$20,0)),""))</f>
        <v/>
      </c>
      <c r="W436" s="11" t="str">
        <f aca="false">IF(OR($C436="",$B436="",$G436=""),"",$G436-$B436)</f>
        <v/>
      </c>
      <c r="X436" s="11" t="str">
        <f aca="true">IF(OR($C436="",$B436=""),"",IF($N436&lt;&gt;"",$N436,TODAY())-$B436)</f>
        <v/>
      </c>
      <c r="Y436" s="11" t="str">
        <f aca="true">IF(OR($C436="",$M436&lt;&gt;"Abierta",$G436=""),"",MAX($G436-TODAY(),0))</f>
        <v/>
      </c>
      <c r="Z436" s="12" t="str">
        <f aca="false">IF($C436="","",N($K436)*N($H436)*N($I436)*IF($U436="Débito",-1,1))</f>
        <v/>
      </c>
      <c r="AA436" s="13" t="str">
        <f aca="false">IF($C436="","",IF(AND($U436="Débito",$F436&lt;&gt;""),$F436,$E436))</f>
        <v/>
      </c>
      <c r="AB436" s="13" t="str">
        <f aca="false">IF(OR($C436="",$T436="Mixta",$AA436=""),"",IF($V436="Subyacente",IF($J436="","",$J436-$K436),IF($T436="Put",$AA436-$K436,$AA436+$K436)))</f>
        <v/>
      </c>
      <c r="AC436" s="14" t="str">
        <f aca="false">IF(OR($C436="",$T436="Mixta",$J436="",$AA436=""),"",IF($T436="Put",($J436-$AA436)/$J436,($AA436-$J436)/$J436))</f>
        <v/>
      </c>
      <c r="AD436" s="12" t="str">
        <f aca="false">IF($C436="","",IF($Q436&lt;&gt;"",$Q436,IF($V436="Strike",N($E436)*$H436*$I436,IF($V436="Subyacente",IF($J436="","",$J436*$H436*$I436),IF($V436="Ancho",IF($F436="","",ABS($E436-$F436)*$H436*$I436-$K436*$H436*$I436),IF($V436="Prima",$K436*$H436*$I436,""))))))</f>
        <v/>
      </c>
      <c r="AE436" s="12" t="str">
        <f aca="false">IF(OR($C436="",$M436="Abierta",$M436=""),"",(N($K436)-IF(OR($M436="Cerrada",$M436="Rolada"),N($O436),0))*$H436*$I436*IF($U436="Débito",-1,1)-N($L436)-N($P436))</f>
        <v/>
      </c>
      <c r="AF436" s="14" t="str">
        <f aca="false">IF(OR($AE436="",$AD436=""),"",IF($AD436&lt;=0,"",$AE436/$AD436))</f>
        <v/>
      </c>
      <c r="AG436" s="14" t="str">
        <f aca="false">IF($AF436="","",$AF436*365/MAX(N($X436),1))</f>
        <v/>
      </c>
      <c r="AH436" s="14" t="str">
        <f aca="false">IF(OR($C436="",$U436&lt;&gt;"Crédito",$AD436=""),"",IF($AD436&lt;=0,"",($Z436-N($L436))/$AD436))</f>
        <v/>
      </c>
      <c r="AI436" s="14" t="str">
        <f aca="false">IF(OR($AH436="",$W436=""),"",$AH436*365/MAX($W436,1))</f>
        <v/>
      </c>
      <c r="AJ436" s="14" t="str">
        <f aca="false">IF(OR($AE436="",$U436&lt;&gt;"Crédito",N($K436)=0),"",(N($K436)-IF(OR($M436="Cerrada",$M436="Rolada"),N($O436),0))/$K436)</f>
        <v/>
      </c>
      <c r="AK436" s="15" t="str">
        <f aca="false">IF(OR($C436="",$N436=""),"",DATE(YEAR($N436),MONTH($N436),1))</f>
        <v/>
      </c>
      <c r="AL436" s="11" t="str">
        <f aca="false">IF($C436="","",IF($M436="Abierta",0,1))</f>
        <v/>
      </c>
      <c r="AM436" s="16" t="str">
        <f aca="false">IF(OR($AE436="",$AD436=""),"",$AD436*MAX(N($X436),1))</f>
        <v/>
      </c>
      <c r="AN436" s="10" t="str">
        <f aca="false">IF($C436="","",IF(OR($B436="",$D436="",$H436="",$K436="",$M436=""),"Faltan datos obligatorios",IF($T436="","Estrategia no reconocida",IF(AND($M436&lt;&gt;"Abierta",$N436=""),"Falta fecha cierre",IF(AND(OR($M436="Cerrada",$M436="Rolada"),$O436=""),"Falta prima cierre",IF(AND($N436&lt;&gt;"",$N436&lt;$B436),"Cierre anterior a apertura",IF(AND($M436="Asignada",$R436=""),"Asignada: falta ID lote acciones",IF(AND($R436&lt;&gt;"",ISNA(MATCH($R436,Acciones!$A$2:$A$201,0))),"El ID lote no existe en Acciones",IF($AD436="","Revisa capital en riesgo","OK")))))))))</f>
        <v/>
      </c>
    </row>
    <row r="437" customFormat="false" ht="15" hidden="false" customHeight="true" outlineLevel="0" collapsed="false">
      <c r="A437" s="5"/>
      <c r="B437" s="6"/>
      <c r="C437" s="7"/>
      <c r="D437" s="7"/>
      <c r="E437" s="8"/>
      <c r="F437" s="8"/>
      <c r="G437" s="6"/>
      <c r="H437" s="5"/>
      <c r="I437" s="5" t="n">
        <v>100</v>
      </c>
      <c r="J437" s="8"/>
      <c r="K437" s="8"/>
      <c r="L437" s="9"/>
      <c r="M437" s="7"/>
      <c r="N437" s="6"/>
      <c r="O437" s="8"/>
      <c r="P437" s="9"/>
      <c r="Q437" s="9"/>
      <c r="R437" s="7"/>
      <c r="S437" s="7"/>
      <c r="T437" s="10" t="str">
        <f aca="false">IF($C437="","",IFERROR(INDEX(Listas!$B$2:$B$20,MATCH($D437,Listas!$A$2:$A$20,0)),""))</f>
        <v/>
      </c>
      <c r="U437" s="10" t="str">
        <f aca="false">IF($C437="","",IFERROR(INDEX(Listas!$C$2:$C$20,MATCH($D437,Listas!$A$2:$A$20,0)),""))</f>
        <v/>
      </c>
      <c r="V437" s="10" t="str">
        <f aca="false">IF($C437="","",IFERROR(INDEX(Listas!$D$2:$D$20,MATCH($D437,Listas!$A$2:$A$20,0)),""))</f>
        <v/>
      </c>
      <c r="W437" s="11" t="str">
        <f aca="false">IF(OR($C437="",$B437="",$G437=""),"",$G437-$B437)</f>
        <v/>
      </c>
      <c r="X437" s="11" t="str">
        <f aca="true">IF(OR($C437="",$B437=""),"",IF($N437&lt;&gt;"",$N437,TODAY())-$B437)</f>
        <v/>
      </c>
      <c r="Y437" s="11" t="str">
        <f aca="true">IF(OR($C437="",$M437&lt;&gt;"Abierta",$G437=""),"",MAX($G437-TODAY(),0))</f>
        <v/>
      </c>
      <c r="Z437" s="12" t="str">
        <f aca="false">IF($C437="","",N($K437)*N($H437)*N($I437)*IF($U437="Débito",-1,1))</f>
        <v/>
      </c>
      <c r="AA437" s="13" t="str">
        <f aca="false">IF($C437="","",IF(AND($U437="Débito",$F437&lt;&gt;""),$F437,$E437))</f>
        <v/>
      </c>
      <c r="AB437" s="13" t="str">
        <f aca="false">IF(OR($C437="",$T437="Mixta",$AA437=""),"",IF($V437="Subyacente",IF($J437="","",$J437-$K437),IF($T437="Put",$AA437-$K437,$AA437+$K437)))</f>
        <v/>
      </c>
      <c r="AC437" s="14" t="str">
        <f aca="false">IF(OR($C437="",$T437="Mixta",$J437="",$AA437=""),"",IF($T437="Put",($J437-$AA437)/$J437,($AA437-$J437)/$J437))</f>
        <v/>
      </c>
      <c r="AD437" s="12" t="str">
        <f aca="false">IF($C437="","",IF($Q437&lt;&gt;"",$Q437,IF($V437="Strike",N($E437)*$H437*$I437,IF($V437="Subyacente",IF($J437="","",$J437*$H437*$I437),IF($V437="Ancho",IF($F437="","",ABS($E437-$F437)*$H437*$I437-$K437*$H437*$I437),IF($V437="Prima",$K437*$H437*$I437,""))))))</f>
        <v/>
      </c>
      <c r="AE437" s="12" t="str">
        <f aca="false">IF(OR($C437="",$M437="Abierta",$M437=""),"",(N($K437)-IF(OR($M437="Cerrada",$M437="Rolada"),N($O437),0))*$H437*$I437*IF($U437="Débito",-1,1)-N($L437)-N($P437))</f>
        <v/>
      </c>
      <c r="AF437" s="14" t="str">
        <f aca="false">IF(OR($AE437="",$AD437=""),"",IF($AD437&lt;=0,"",$AE437/$AD437))</f>
        <v/>
      </c>
      <c r="AG437" s="14" t="str">
        <f aca="false">IF($AF437="","",$AF437*365/MAX(N($X437),1))</f>
        <v/>
      </c>
      <c r="AH437" s="14" t="str">
        <f aca="false">IF(OR($C437="",$U437&lt;&gt;"Crédito",$AD437=""),"",IF($AD437&lt;=0,"",($Z437-N($L437))/$AD437))</f>
        <v/>
      </c>
      <c r="AI437" s="14" t="str">
        <f aca="false">IF(OR($AH437="",$W437=""),"",$AH437*365/MAX($W437,1))</f>
        <v/>
      </c>
      <c r="AJ437" s="14" t="str">
        <f aca="false">IF(OR($AE437="",$U437&lt;&gt;"Crédito",N($K437)=0),"",(N($K437)-IF(OR($M437="Cerrada",$M437="Rolada"),N($O437),0))/$K437)</f>
        <v/>
      </c>
      <c r="AK437" s="15" t="str">
        <f aca="false">IF(OR($C437="",$N437=""),"",DATE(YEAR($N437),MONTH($N437),1))</f>
        <v/>
      </c>
      <c r="AL437" s="11" t="str">
        <f aca="false">IF($C437="","",IF($M437="Abierta",0,1))</f>
        <v/>
      </c>
      <c r="AM437" s="16" t="str">
        <f aca="false">IF(OR($AE437="",$AD437=""),"",$AD437*MAX(N($X437),1))</f>
        <v/>
      </c>
      <c r="AN437" s="10" t="str">
        <f aca="false">IF($C437="","",IF(OR($B437="",$D437="",$H437="",$K437="",$M437=""),"Faltan datos obligatorios",IF($T437="","Estrategia no reconocida",IF(AND($M437&lt;&gt;"Abierta",$N437=""),"Falta fecha cierre",IF(AND(OR($M437="Cerrada",$M437="Rolada"),$O437=""),"Falta prima cierre",IF(AND($N437&lt;&gt;"",$N437&lt;$B437),"Cierre anterior a apertura",IF(AND($M437="Asignada",$R437=""),"Asignada: falta ID lote acciones",IF(AND($R437&lt;&gt;"",ISNA(MATCH($R437,Acciones!$A$2:$A$201,0))),"El ID lote no existe en Acciones",IF($AD437="","Revisa capital en riesgo","OK")))))))))</f>
        <v/>
      </c>
    </row>
    <row r="438" customFormat="false" ht="15" hidden="false" customHeight="true" outlineLevel="0" collapsed="false">
      <c r="A438" s="5"/>
      <c r="B438" s="6"/>
      <c r="C438" s="7"/>
      <c r="D438" s="7"/>
      <c r="E438" s="8"/>
      <c r="F438" s="8"/>
      <c r="G438" s="6"/>
      <c r="H438" s="5"/>
      <c r="I438" s="5" t="n">
        <v>100</v>
      </c>
      <c r="J438" s="8"/>
      <c r="K438" s="8"/>
      <c r="L438" s="9"/>
      <c r="M438" s="7"/>
      <c r="N438" s="6"/>
      <c r="O438" s="8"/>
      <c r="P438" s="9"/>
      <c r="Q438" s="9"/>
      <c r="R438" s="7"/>
      <c r="S438" s="7"/>
      <c r="T438" s="10" t="str">
        <f aca="false">IF($C438="","",IFERROR(INDEX(Listas!$B$2:$B$20,MATCH($D438,Listas!$A$2:$A$20,0)),""))</f>
        <v/>
      </c>
      <c r="U438" s="10" t="str">
        <f aca="false">IF($C438="","",IFERROR(INDEX(Listas!$C$2:$C$20,MATCH($D438,Listas!$A$2:$A$20,0)),""))</f>
        <v/>
      </c>
      <c r="V438" s="10" t="str">
        <f aca="false">IF($C438="","",IFERROR(INDEX(Listas!$D$2:$D$20,MATCH($D438,Listas!$A$2:$A$20,0)),""))</f>
        <v/>
      </c>
      <c r="W438" s="11" t="str">
        <f aca="false">IF(OR($C438="",$B438="",$G438=""),"",$G438-$B438)</f>
        <v/>
      </c>
      <c r="X438" s="11" t="str">
        <f aca="true">IF(OR($C438="",$B438=""),"",IF($N438&lt;&gt;"",$N438,TODAY())-$B438)</f>
        <v/>
      </c>
      <c r="Y438" s="11" t="str">
        <f aca="true">IF(OR($C438="",$M438&lt;&gt;"Abierta",$G438=""),"",MAX($G438-TODAY(),0))</f>
        <v/>
      </c>
      <c r="Z438" s="12" t="str">
        <f aca="false">IF($C438="","",N($K438)*N($H438)*N($I438)*IF($U438="Débito",-1,1))</f>
        <v/>
      </c>
      <c r="AA438" s="13" t="str">
        <f aca="false">IF($C438="","",IF(AND($U438="Débito",$F438&lt;&gt;""),$F438,$E438))</f>
        <v/>
      </c>
      <c r="AB438" s="13" t="str">
        <f aca="false">IF(OR($C438="",$T438="Mixta",$AA438=""),"",IF($V438="Subyacente",IF($J438="","",$J438-$K438),IF($T438="Put",$AA438-$K438,$AA438+$K438)))</f>
        <v/>
      </c>
      <c r="AC438" s="14" t="str">
        <f aca="false">IF(OR($C438="",$T438="Mixta",$J438="",$AA438=""),"",IF($T438="Put",($J438-$AA438)/$J438,($AA438-$J438)/$J438))</f>
        <v/>
      </c>
      <c r="AD438" s="12" t="str">
        <f aca="false">IF($C438="","",IF($Q438&lt;&gt;"",$Q438,IF($V438="Strike",N($E438)*$H438*$I438,IF($V438="Subyacente",IF($J438="","",$J438*$H438*$I438),IF($V438="Ancho",IF($F438="","",ABS($E438-$F438)*$H438*$I438-$K438*$H438*$I438),IF($V438="Prima",$K438*$H438*$I438,""))))))</f>
        <v/>
      </c>
      <c r="AE438" s="12" t="str">
        <f aca="false">IF(OR($C438="",$M438="Abierta",$M438=""),"",(N($K438)-IF(OR($M438="Cerrada",$M438="Rolada"),N($O438),0))*$H438*$I438*IF($U438="Débito",-1,1)-N($L438)-N($P438))</f>
        <v/>
      </c>
      <c r="AF438" s="14" t="str">
        <f aca="false">IF(OR($AE438="",$AD438=""),"",IF($AD438&lt;=0,"",$AE438/$AD438))</f>
        <v/>
      </c>
      <c r="AG438" s="14" t="str">
        <f aca="false">IF($AF438="","",$AF438*365/MAX(N($X438),1))</f>
        <v/>
      </c>
      <c r="AH438" s="14" t="str">
        <f aca="false">IF(OR($C438="",$U438&lt;&gt;"Crédito",$AD438=""),"",IF($AD438&lt;=0,"",($Z438-N($L438))/$AD438))</f>
        <v/>
      </c>
      <c r="AI438" s="14" t="str">
        <f aca="false">IF(OR($AH438="",$W438=""),"",$AH438*365/MAX($W438,1))</f>
        <v/>
      </c>
      <c r="AJ438" s="14" t="str">
        <f aca="false">IF(OR($AE438="",$U438&lt;&gt;"Crédito",N($K438)=0),"",(N($K438)-IF(OR($M438="Cerrada",$M438="Rolada"),N($O438),0))/$K438)</f>
        <v/>
      </c>
      <c r="AK438" s="15" t="str">
        <f aca="false">IF(OR($C438="",$N438=""),"",DATE(YEAR($N438),MONTH($N438),1))</f>
        <v/>
      </c>
      <c r="AL438" s="11" t="str">
        <f aca="false">IF($C438="","",IF($M438="Abierta",0,1))</f>
        <v/>
      </c>
      <c r="AM438" s="16" t="str">
        <f aca="false">IF(OR($AE438="",$AD438=""),"",$AD438*MAX(N($X438),1))</f>
        <v/>
      </c>
      <c r="AN438" s="10" t="str">
        <f aca="false">IF($C438="","",IF(OR($B438="",$D438="",$H438="",$K438="",$M438=""),"Faltan datos obligatorios",IF($T438="","Estrategia no reconocida",IF(AND($M438&lt;&gt;"Abierta",$N438=""),"Falta fecha cierre",IF(AND(OR($M438="Cerrada",$M438="Rolada"),$O438=""),"Falta prima cierre",IF(AND($N438&lt;&gt;"",$N438&lt;$B438),"Cierre anterior a apertura",IF(AND($M438="Asignada",$R438=""),"Asignada: falta ID lote acciones",IF(AND($R438&lt;&gt;"",ISNA(MATCH($R438,Acciones!$A$2:$A$201,0))),"El ID lote no existe en Acciones",IF($AD438="","Revisa capital en riesgo","OK")))))))))</f>
        <v/>
      </c>
    </row>
    <row r="439" customFormat="false" ht="15" hidden="false" customHeight="true" outlineLevel="0" collapsed="false">
      <c r="A439" s="5"/>
      <c r="B439" s="6"/>
      <c r="C439" s="7"/>
      <c r="D439" s="7"/>
      <c r="E439" s="8"/>
      <c r="F439" s="8"/>
      <c r="G439" s="6"/>
      <c r="H439" s="5"/>
      <c r="I439" s="5" t="n">
        <v>100</v>
      </c>
      <c r="J439" s="8"/>
      <c r="K439" s="8"/>
      <c r="L439" s="9"/>
      <c r="M439" s="7"/>
      <c r="N439" s="6"/>
      <c r="O439" s="8"/>
      <c r="P439" s="9"/>
      <c r="Q439" s="9"/>
      <c r="R439" s="7"/>
      <c r="S439" s="7"/>
      <c r="T439" s="10" t="str">
        <f aca="false">IF($C439="","",IFERROR(INDEX(Listas!$B$2:$B$20,MATCH($D439,Listas!$A$2:$A$20,0)),""))</f>
        <v/>
      </c>
      <c r="U439" s="10" t="str">
        <f aca="false">IF($C439="","",IFERROR(INDEX(Listas!$C$2:$C$20,MATCH($D439,Listas!$A$2:$A$20,0)),""))</f>
        <v/>
      </c>
      <c r="V439" s="10" t="str">
        <f aca="false">IF($C439="","",IFERROR(INDEX(Listas!$D$2:$D$20,MATCH($D439,Listas!$A$2:$A$20,0)),""))</f>
        <v/>
      </c>
      <c r="W439" s="11" t="str">
        <f aca="false">IF(OR($C439="",$B439="",$G439=""),"",$G439-$B439)</f>
        <v/>
      </c>
      <c r="X439" s="11" t="str">
        <f aca="true">IF(OR($C439="",$B439=""),"",IF($N439&lt;&gt;"",$N439,TODAY())-$B439)</f>
        <v/>
      </c>
      <c r="Y439" s="11" t="str">
        <f aca="true">IF(OR($C439="",$M439&lt;&gt;"Abierta",$G439=""),"",MAX($G439-TODAY(),0))</f>
        <v/>
      </c>
      <c r="Z439" s="12" t="str">
        <f aca="false">IF($C439="","",N($K439)*N($H439)*N($I439)*IF($U439="Débito",-1,1))</f>
        <v/>
      </c>
      <c r="AA439" s="13" t="str">
        <f aca="false">IF($C439="","",IF(AND($U439="Débito",$F439&lt;&gt;""),$F439,$E439))</f>
        <v/>
      </c>
      <c r="AB439" s="13" t="str">
        <f aca="false">IF(OR($C439="",$T439="Mixta",$AA439=""),"",IF($V439="Subyacente",IF($J439="","",$J439-$K439),IF($T439="Put",$AA439-$K439,$AA439+$K439)))</f>
        <v/>
      </c>
      <c r="AC439" s="14" t="str">
        <f aca="false">IF(OR($C439="",$T439="Mixta",$J439="",$AA439=""),"",IF($T439="Put",($J439-$AA439)/$J439,($AA439-$J439)/$J439))</f>
        <v/>
      </c>
      <c r="AD439" s="12" t="str">
        <f aca="false">IF($C439="","",IF($Q439&lt;&gt;"",$Q439,IF($V439="Strike",N($E439)*$H439*$I439,IF($V439="Subyacente",IF($J439="","",$J439*$H439*$I439),IF($V439="Ancho",IF($F439="","",ABS($E439-$F439)*$H439*$I439-$K439*$H439*$I439),IF($V439="Prima",$K439*$H439*$I439,""))))))</f>
        <v/>
      </c>
      <c r="AE439" s="12" t="str">
        <f aca="false">IF(OR($C439="",$M439="Abierta",$M439=""),"",(N($K439)-IF(OR($M439="Cerrada",$M439="Rolada"),N($O439),0))*$H439*$I439*IF($U439="Débito",-1,1)-N($L439)-N($P439))</f>
        <v/>
      </c>
      <c r="AF439" s="14" t="str">
        <f aca="false">IF(OR($AE439="",$AD439=""),"",IF($AD439&lt;=0,"",$AE439/$AD439))</f>
        <v/>
      </c>
      <c r="AG439" s="14" t="str">
        <f aca="false">IF($AF439="","",$AF439*365/MAX(N($X439),1))</f>
        <v/>
      </c>
      <c r="AH439" s="14" t="str">
        <f aca="false">IF(OR($C439="",$U439&lt;&gt;"Crédito",$AD439=""),"",IF($AD439&lt;=0,"",($Z439-N($L439))/$AD439))</f>
        <v/>
      </c>
      <c r="AI439" s="14" t="str">
        <f aca="false">IF(OR($AH439="",$W439=""),"",$AH439*365/MAX($W439,1))</f>
        <v/>
      </c>
      <c r="AJ439" s="14" t="str">
        <f aca="false">IF(OR($AE439="",$U439&lt;&gt;"Crédito",N($K439)=0),"",(N($K439)-IF(OR($M439="Cerrada",$M439="Rolada"),N($O439),0))/$K439)</f>
        <v/>
      </c>
      <c r="AK439" s="15" t="str">
        <f aca="false">IF(OR($C439="",$N439=""),"",DATE(YEAR($N439),MONTH($N439),1))</f>
        <v/>
      </c>
      <c r="AL439" s="11" t="str">
        <f aca="false">IF($C439="","",IF($M439="Abierta",0,1))</f>
        <v/>
      </c>
      <c r="AM439" s="16" t="str">
        <f aca="false">IF(OR($AE439="",$AD439=""),"",$AD439*MAX(N($X439),1))</f>
        <v/>
      </c>
      <c r="AN439" s="10" t="str">
        <f aca="false">IF($C439="","",IF(OR($B439="",$D439="",$H439="",$K439="",$M439=""),"Faltan datos obligatorios",IF($T439="","Estrategia no reconocida",IF(AND($M439&lt;&gt;"Abierta",$N439=""),"Falta fecha cierre",IF(AND(OR($M439="Cerrada",$M439="Rolada"),$O439=""),"Falta prima cierre",IF(AND($N439&lt;&gt;"",$N439&lt;$B439),"Cierre anterior a apertura",IF(AND($M439="Asignada",$R439=""),"Asignada: falta ID lote acciones",IF(AND($R439&lt;&gt;"",ISNA(MATCH($R439,Acciones!$A$2:$A$201,0))),"El ID lote no existe en Acciones",IF($AD439="","Revisa capital en riesgo","OK")))))))))</f>
        <v/>
      </c>
    </row>
    <row r="440" customFormat="false" ht="15" hidden="false" customHeight="true" outlineLevel="0" collapsed="false">
      <c r="A440" s="5"/>
      <c r="B440" s="6"/>
      <c r="C440" s="7"/>
      <c r="D440" s="7"/>
      <c r="E440" s="8"/>
      <c r="F440" s="8"/>
      <c r="G440" s="6"/>
      <c r="H440" s="5"/>
      <c r="I440" s="5" t="n">
        <v>100</v>
      </c>
      <c r="J440" s="8"/>
      <c r="K440" s="8"/>
      <c r="L440" s="9"/>
      <c r="M440" s="7"/>
      <c r="N440" s="6"/>
      <c r="O440" s="8"/>
      <c r="P440" s="9"/>
      <c r="Q440" s="9"/>
      <c r="R440" s="7"/>
      <c r="S440" s="7"/>
      <c r="T440" s="10" t="str">
        <f aca="false">IF($C440="","",IFERROR(INDEX(Listas!$B$2:$B$20,MATCH($D440,Listas!$A$2:$A$20,0)),""))</f>
        <v/>
      </c>
      <c r="U440" s="10" t="str">
        <f aca="false">IF($C440="","",IFERROR(INDEX(Listas!$C$2:$C$20,MATCH($D440,Listas!$A$2:$A$20,0)),""))</f>
        <v/>
      </c>
      <c r="V440" s="10" t="str">
        <f aca="false">IF($C440="","",IFERROR(INDEX(Listas!$D$2:$D$20,MATCH($D440,Listas!$A$2:$A$20,0)),""))</f>
        <v/>
      </c>
      <c r="W440" s="11" t="str">
        <f aca="false">IF(OR($C440="",$B440="",$G440=""),"",$G440-$B440)</f>
        <v/>
      </c>
      <c r="X440" s="11" t="str">
        <f aca="true">IF(OR($C440="",$B440=""),"",IF($N440&lt;&gt;"",$N440,TODAY())-$B440)</f>
        <v/>
      </c>
      <c r="Y440" s="11" t="str">
        <f aca="true">IF(OR($C440="",$M440&lt;&gt;"Abierta",$G440=""),"",MAX($G440-TODAY(),0))</f>
        <v/>
      </c>
      <c r="Z440" s="12" t="str">
        <f aca="false">IF($C440="","",N($K440)*N($H440)*N($I440)*IF($U440="Débito",-1,1))</f>
        <v/>
      </c>
      <c r="AA440" s="13" t="str">
        <f aca="false">IF($C440="","",IF(AND($U440="Débito",$F440&lt;&gt;""),$F440,$E440))</f>
        <v/>
      </c>
      <c r="AB440" s="13" t="str">
        <f aca="false">IF(OR($C440="",$T440="Mixta",$AA440=""),"",IF($V440="Subyacente",IF($J440="","",$J440-$K440),IF($T440="Put",$AA440-$K440,$AA440+$K440)))</f>
        <v/>
      </c>
      <c r="AC440" s="14" t="str">
        <f aca="false">IF(OR($C440="",$T440="Mixta",$J440="",$AA440=""),"",IF($T440="Put",($J440-$AA440)/$J440,($AA440-$J440)/$J440))</f>
        <v/>
      </c>
      <c r="AD440" s="12" t="str">
        <f aca="false">IF($C440="","",IF($Q440&lt;&gt;"",$Q440,IF($V440="Strike",N($E440)*$H440*$I440,IF($V440="Subyacente",IF($J440="","",$J440*$H440*$I440),IF($V440="Ancho",IF($F440="","",ABS($E440-$F440)*$H440*$I440-$K440*$H440*$I440),IF($V440="Prima",$K440*$H440*$I440,""))))))</f>
        <v/>
      </c>
      <c r="AE440" s="12" t="str">
        <f aca="false">IF(OR($C440="",$M440="Abierta",$M440=""),"",(N($K440)-IF(OR($M440="Cerrada",$M440="Rolada"),N($O440),0))*$H440*$I440*IF($U440="Débito",-1,1)-N($L440)-N($P440))</f>
        <v/>
      </c>
      <c r="AF440" s="14" t="str">
        <f aca="false">IF(OR($AE440="",$AD440=""),"",IF($AD440&lt;=0,"",$AE440/$AD440))</f>
        <v/>
      </c>
      <c r="AG440" s="14" t="str">
        <f aca="false">IF($AF440="","",$AF440*365/MAX(N($X440),1))</f>
        <v/>
      </c>
      <c r="AH440" s="14" t="str">
        <f aca="false">IF(OR($C440="",$U440&lt;&gt;"Crédito",$AD440=""),"",IF($AD440&lt;=0,"",($Z440-N($L440))/$AD440))</f>
        <v/>
      </c>
      <c r="AI440" s="14" t="str">
        <f aca="false">IF(OR($AH440="",$W440=""),"",$AH440*365/MAX($W440,1))</f>
        <v/>
      </c>
      <c r="AJ440" s="14" t="str">
        <f aca="false">IF(OR($AE440="",$U440&lt;&gt;"Crédito",N($K440)=0),"",(N($K440)-IF(OR($M440="Cerrada",$M440="Rolada"),N($O440),0))/$K440)</f>
        <v/>
      </c>
      <c r="AK440" s="15" t="str">
        <f aca="false">IF(OR($C440="",$N440=""),"",DATE(YEAR($N440),MONTH($N440),1))</f>
        <v/>
      </c>
      <c r="AL440" s="11" t="str">
        <f aca="false">IF($C440="","",IF($M440="Abierta",0,1))</f>
        <v/>
      </c>
      <c r="AM440" s="16" t="str">
        <f aca="false">IF(OR($AE440="",$AD440=""),"",$AD440*MAX(N($X440),1))</f>
        <v/>
      </c>
      <c r="AN440" s="10" t="str">
        <f aca="false">IF($C440="","",IF(OR($B440="",$D440="",$H440="",$K440="",$M440=""),"Faltan datos obligatorios",IF($T440="","Estrategia no reconocida",IF(AND($M440&lt;&gt;"Abierta",$N440=""),"Falta fecha cierre",IF(AND(OR($M440="Cerrada",$M440="Rolada"),$O440=""),"Falta prima cierre",IF(AND($N440&lt;&gt;"",$N440&lt;$B440),"Cierre anterior a apertura",IF(AND($M440="Asignada",$R440=""),"Asignada: falta ID lote acciones",IF(AND($R440&lt;&gt;"",ISNA(MATCH($R440,Acciones!$A$2:$A$201,0))),"El ID lote no existe en Acciones",IF($AD440="","Revisa capital en riesgo","OK")))))))))</f>
        <v/>
      </c>
    </row>
    <row r="441" customFormat="false" ht="15" hidden="false" customHeight="true" outlineLevel="0" collapsed="false">
      <c r="A441" s="5"/>
      <c r="B441" s="6"/>
      <c r="C441" s="7"/>
      <c r="D441" s="7"/>
      <c r="E441" s="8"/>
      <c r="F441" s="8"/>
      <c r="G441" s="6"/>
      <c r="H441" s="5"/>
      <c r="I441" s="5" t="n">
        <v>100</v>
      </c>
      <c r="J441" s="8"/>
      <c r="K441" s="8"/>
      <c r="L441" s="9"/>
      <c r="M441" s="7"/>
      <c r="N441" s="6"/>
      <c r="O441" s="8"/>
      <c r="P441" s="9"/>
      <c r="Q441" s="9"/>
      <c r="R441" s="7"/>
      <c r="S441" s="7"/>
      <c r="T441" s="10" t="str">
        <f aca="false">IF($C441="","",IFERROR(INDEX(Listas!$B$2:$B$20,MATCH($D441,Listas!$A$2:$A$20,0)),""))</f>
        <v/>
      </c>
      <c r="U441" s="10" t="str">
        <f aca="false">IF($C441="","",IFERROR(INDEX(Listas!$C$2:$C$20,MATCH($D441,Listas!$A$2:$A$20,0)),""))</f>
        <v/>
      </c>
      <c r="V441" s="10" t="str">
        <f aca="false">IF($C441="","",IFERROR(INDEX(Listas!$D$2:$D$20,MATCH($D441,Listas!$A$2:$A$20,0)),""))</f>
        <v/>
      </c>
      <c r="W441" s="11" t="str">
        <f aca="false">IF(OR($C441="",$B441="",$G441=""),"",$G441-$B441)</f>
        <v/>
      </c>
      <c r="X441" s="11" t="str">
        <f aca="true">IF(OR($C441="",$B441=""),"",IF($N441&lt;&gt;"",$N441,TODAY())-$B441)</f>
        <v/>
      </c>
      <c r="Y441" s="11" t="str">
        <f aca="true">IF(OR($C441="",$M441&lt;&gt;"Abierta",$G441=""),"",MAX($G441-TODAY(),0))</f>
        <v/>
      </c>
      <c r="Z441" s="12" t="str">
        <f aca="false">IF($C441="","",N($K441)*N($H441)*N($I441)*IF($U441="Débito",-1,1))</f>
        <v/>
      </c>
      <c r="AA441" s="13" t="str">
        <f aca="false">IF($C441="","",IF(AND($U441="Débito",$F441&lt;&gt;""),$F441,$E441))</f>
        <v/>
      </c>
      <c r="AB441" s="13" t="str">
        <f aca="false">IF(OR($C441="",$T441="Mixta",$AA441=""),"",IF($V441="Subyacente",IF($J441="","",$J441-$K441),IF($T441="Put",$AA441-$K441,$AA441+$K441)))</f>
        <v/>
      </c>
      <c r="AC441" s="14" t="str">
        <f aca="false">IF(OR($C441="",$T441="Mixta",$J441="",$AA441=""),"",IF($T441="Put",($J441-$AA441)/$J441,($AA441-$J441)/$J441))</f>
        <v/>
      </c>
      <c r="AD441" s="12" t="str">
        <f aca="false">IF($C441="","",IF($Q441&lt;&gt;"",$Q441,IF($V441="Strike",N($E441)*$H441*$I441,IF($V441="Subyacente",IF($J441="","",$J441*$H441*$I441),IF($V441="Ancho",IF($F441="","",ABS($E441-$F441)*$H441*$I441-$K441*$H441*$I441),IF($V441="Prima",$K441*$H441*$I441,""))))))</f>
        <v/>
      </c>
      <c r="AE441" s="12" t="str">
        <f aca="false">IF(OR($C441="",$M441="Abierta",$M441=""),"",(N($K441)-IF(OR($M441="Cerrada",$M441="Rolada"),N($O441),0))*$H441*$I441*IF($U441="Débito",-1,1)-N($L441)-N($P441))</f>
        <v/>
      </c>
      <c r="AF441" s="14" t="str">
        <f aca="false">IF(OR($AE441="",$AD441=""),"",IF($AD441&lt;=0,"",$AE441/$AD441))</f>
        <v/>
      </c>
      <c r="AG441" s="14" t="str">
        <f aca="false">IF($AF441="","",$AF441*365/MAX(N($X441),1))</f>
        <v/>
      </c>
      <c r="AH441" s="14" t="str">
        <f aca="false">IF(OR($C441="",$U441&lt;&gt;"Crédito",$AD441=""),"",IF($AD441&lt;=0,"",($Z441-N($L441))/$AD441))</f>
        <v/>
      </c>
      <c r="AI441" s="14" t="str">
        <f aca="false">IF(OR($AH441="",$W441=""),"",$AH441*365/MAX($W441,1))</f>
        <v/>
      </c>
      <c r="AJ441" s="14" t="str">
        <f aca="false">IF(OR($AE441="",$U441&lt;&gt;"Crédito",N($K441)=0),"",(N($K441)-IF(OR($M441="Cerrada",$M441="Rolada"),N($O441),0))/$K441)</f>
        <v/>
      </c>
      <c r="AK441" s="15" t="str">
        <f aca="false">IF(OR($C441="",$N441=""),"",DATE(YEAR($N441),MONTH($N441),1))</f>
        <v/>
      </c>
      <c r="AL441" s="11" t="str">
        <f aca="false">IF($C441="","",IF($M441="Abierta",0,1))</f>
        <v/>
      </c>
      <c r="AM441" s="16" t="str">
        <f aca="false">IF(OR($AE441="",$AD441=""),"",$AD441*MAX(N($X441),1))</f>
        <v/>
      </c>
      <c r="AN441" s="10" t="str">
        <f aca="false">IF($C441="","",IF(OR($B441="",$D441="",$H441="",$K441="",$M441=""),"Faltan datos obligatorios",IF($T441="","Estrategia no reconocida",IF(AND($M441&lt;&gt;"Abierta",$N441=""),"Falta fecha cierre",IF(AND(OR($M441="Cerrada",$M441="Rolada"),$O441=""),"Falta prima cierre",IF(AND($N441&lt;&gt;"",$N441&lt;$B441),"Cierre anterior a apertura",IF(AND($M441="Asignada",$R441=""),"Asignada: falta ID lote acciones",IF(AND($R441&lt;&gt;"",ISNA(MATCH($R441,Acciones!$A$2:$A$201,0))),"El ID lote no existe en Acciones",IF($AD441="","Revisa capital en riesgo","OK")))))))))</f>
        <v/>
      </c>
    </row>
    <row r="442" customFormat="false" ht="15" hidden="false" customHeight="true" outlineLevel="0" collapsed="false">
      <c r="A442" s="5"/>
      <c r="B442" s="6"/>
      <c r="C442" s="7"/>
      <c r="D442" s="7"/>
      <c r="E442" s="8"/>
      <c r="F442" s="8"/>
      <c r="G442" s="6"/>
      <c r="H442" s="5"/>
      <c r="I442" s="5" t="n">
        <v>100</v>
      </c>
      <c r="J442" s="8"/>
      <c r="K442" s="8"/>
      <c r="L442" s="9"/>
      <c r="M442" s="7"/>
      <c r="N442" s="6"/>
      <c r="O442" s="8"/>
      <c r="P442" s="9"/>
      <c r="Q442" s="9"/>
      <c r="R442" s="7"/>
      <c r="S442" s="7"/>
      <c r="T442" s="10" t="str">
        <f aca="false">IF($C442="","",IFERROR(INDEX(Listas!$B$2:$B$20,MATCH($D442,Listas!$A$2:$A$20,0)),""))</f>
        <v/>
      </c>
      <c r="U442" s="10" t="str">
        <f aca="false">IF($C442="","",IFERROR(INDEX(Listas!$C$2:$C$20,MATCH($D442,Listas!$A$2:$A$20,0)),""))</f>
        <v/>
      </c>
      <c r="V442" s="10" t="str">
        <f aca="false">IF($C442="","",IFERROR(INDEX(Listas!$D$2:$D$20,MATCH($D442,Listas!$A$2:$A$20,0)),""))</f>
        <v/>
      </c>
      <c r="W442" s="11" t="str">
        <f aca="false">IF(OR($C442="",$B442="",$G442=""),"",$G442-$B442)</f>
        <v/>
      </c>
      <c r="X442" s="11" t="str">
        <f aca="true">IF(OR($C442="",$B442=""),"",IF($N442&lt;&gt;"",$N442,TODAY())-$B442)</f>
        <v/>
      </c>
      <c r="Y442" s="11" t="str">
        <f aca="true">IF(OR($C442="",$M442&lt;&gt;"Abierta",$G442=""),"",MAX($G442-TODAY(),0))</f>
        <v/>
      </c>
      <c r="Z442" s="12" t="str">
        <f aca="false">IF($C442="","",N($K442)*N($H442)*N($I442)*IF($U442="Débito",-1,1))</f>
        <v/>
      </c>
      <c r="AA442" s="13" t="str">
        <f aca="false">IF($C442="","",IF(AND($U442="Débito",$F442&lt;&gt;""),$F442,$E442))</f>
        <v/>
      </c>
      <c r="AB442" s="13" t="str">
        <f aca="false">IF(OR($C442="",$T442="Mixta",$AA442=""),"",IF($V442="Subyacente",IF($J442="","",$J442-$K442),IF($T442="Put",$AA442-$K442,$AA442+$K442)))</f>
        <v/>
      </c>
      <c r="AC442" s="14" t="str">
        <f aca="false">IF(OR($C442="",$T442="Mixta",$J442="",$AA442=""),"",IF($T442="Put",($J442-$AA442)/$J442,($AA442-$J442)/$J442))</f>
        <v/>
      </c>
      <c r="AD442" s="12" t="str">
        <f aca="false">IF($C442="","",IF($Q442&lt;&gt;"",$Q442,IF($V442="Strike",N($E442)*$H442*$I442,IF($V442="Subyacente",IF($J442="","",$J442*$H442*$I442),IF($V442="Ancho",IF($F442="","",ABS($E442-$F442)*$H442*$I442-$K442*$H442*$I442),IF($V442="Prima",$K442*$H442*$I442,""))))))</f>
        <v/>
      </c>
      <c r="AE442" s="12" t="str">
        <f aca="false">IF(OR($C442="",$M442="Abierta",$M442=""),"",(N($K442)-IF(OR($M442="Cerrada",$M442="Rolada"),N($O442),0))*$H442*$I442*IF($U442="Débito",-1,1)-N($L442)-N($P442))</f>
        <v/>
      </c>
      <c r="AF442" s="14" t="str">
        <f aca="false">IF(OR($AE442="",$AD442=""),"",IF($AD442&lt;=0,"",$AE442/$AD442))</f>
        <v/>
      </c>
      <c r="AG442" s="14" t="str">
        <f aca="false">IF($AF442="","",$AF442*365/MAX(N($X442),1))</f>
        <v/>
      </c>
      <c r="AH442" s="14" t="str">
        <f aca="false">IF(OR($C442="",$U442&lt;&gt;"Crédito",$AD442=""),"",IF($AD442&lt;=0,"",($Z442-N($L442))/$AD442))</f>
        <v/>
      </c>
      <c r="AI442" s="14" t="str">
        <f aca="false">IF(OR($AH442="",$W442=""),"",$AH442*365/MAX($W442,1))</f>
        <v/>
      </c>
      <c r="AJ442" s="14" t="str">
        <f aca="false">IF(OR($AE442="",$U442&lt;&gt;"Crédito",N($K442)=0),"",(N($K442)-IF(OR($M442="Cerrada",$M442="Rolada"),N($O442),0))/$K442)</f>
        <v/>
      </c>
      <c r="AK442" s="15" t="str">
        <f aca="false">IF(OR($C442="",$N442=""),"",DATE(YEAR($N442),MONTH($N442),1))</f>
        <v/>
      </c>
      <c r="AL442" s="11" t="str">
        <f aca="false">IF($C442="","",IF($M442="Abierta",0,1))</f>
        <v/>
      </c>
      <c r="AM442" s="16" t="str">
        <f aca="false">IF(OR($AE442="",$AD442=""),"",$AD442*MAX(N($X442),1))</f>
        <v/>
      </c>
      <c r="AN442" s="10" t="str">
        <f aca="false">IF($C442="","",IF(OR($B442="",$D442="",$H442="",$K442="",$M442=""),"Faltan datos obligatorios",IF($T442="","Estrategia no reconocida",IF(AND($M442&lt;&gt;"Abierta",$N442=""),"Falta fecha cierre",IF(AND(OR($M442="Cerrada",$M442="Rolada"),$O442=""),"Falta prima cierre",IF(AND($N442&lt;&gt;"",$N442&lt;$B442),"Cierre anterior a apertura",IF(AND($M442="Asignada",$R442=""),"Asignada: falta ID lote acciones",IF(AND($R442&lt;&gt;"",ISNA(MATCH($R442,Acciones!$A$2:$A$201,0))),"El ID lote no existe en Acciones",IF($AD442="","Revisa capital en riesgo","OK")))))))))</f>
        <v/>
      </c>
    </row>
    <row r="443" customFormat="false" ht="15" hidden="false" customHeight="true" outlineLevel="0" collapsed="false">
      <c r="A443" s="5"/>
      <c r="B443" s="6"/>
      <c r="C443" s="7"/>
      <c r="D443" s="7"/>
      <c r="E443" s="8"/>
      <c r="F443" s="8"/>
      <c r="G443" s="6"/>
      <c r="H443" s="5"/>
      <c r="I443" s="5" t="n">
        <v>100</v>
      </c>
      <c r="J443" s="8"/>
      <c r="K443" s="8"/>
      <c r="L443" s="9"/>
      <c r="M443" s="7"/>
      <c r="N443" s="6"/>
      <c r="O443" s="8"/>
      <c r="P443" s="9"/>
      <c r="Q443" s="9"/>
      <c r="R443" s="7"/>
      <c r="S443" s="7"/>
      <c r="T443" s="10" t="str">
        <f aca="false">IF($C443="","",IFERROR(INDEX(Listas!$B$2:$B$20,MATCH($D443,Listas!$A$2:$A$20,0)),""))</f>
        <v/>
      </c>
      <c r="U443" s="10" t="str">
        <f aca="false">IF($C443="","",IFERROR(INDEX(Listas!$C$2:$C$20,MATCH($D443,Listas!$A$2:$A$20,0)),""))</f>
        <v/>
      </c>
      <c r="V443" s="10" t="str">
        <f aca="false">IF($C443="","",IFERROR(INDEX(Listas!$D$2:$D$20,MATCH($D443,Listas!$A$2:$A$20,0)),""))</f>
        <v/>
      </c>
      <c r="W443" s="11" t="str">
        <f aca="false">IF(OR($C443="",$B443="",$G443=""),"",$G443-$B443)</f>
        <v/>
      </c>
      <c r="X443" s="11" t="str">
        <f aca="true">IF(OR($C443="",$B443=""),"",IF($N443&lt;&gt;"",$N443,TODAY())-$B443)</f>
        <v/>
      </c>
      <c r="Y443" s="11" t="str">
        <f aca="true">IF(OR($C443="",$M443&lt;&gt;"Abierta",$G443=""),"",MAX($G443-TODAY(),0))</f>
        <v/>
      </c>
      <c r="Z443" s="12" t="str">
        <f aca="false">IF($C443="","",N($K443)*N($H443)*N($I443)*IF($U443="Débito",-1,1))</f>
        <v/>
      </c>
      <c r="AA443" s="13" t="str">
        <f aca="false">IF($C443="","",IF(AND($U443="Débito",$F443&lt;&gt;""),$F443,$E443))</f>
        <v/>
      </c>
      <c r="AB443" s="13" t="str">
        <f aca="false">IF(OR($C443="",$T443="Mixta",$AA443=""),"",IF($V443="Subyacente",IF($J443="","",$J443-$K443),IF($T443="Put",$AA443-$K443,$AA443+$K443)))</f>
        <v/>
      </c>
      <c r="AC443" s="14" t="str">
        <f aca="false">IF(OR($C443="",$T443="Mixta",$J443="",$AA443=""),"",IF($T443="Put",($J443-$AA443)/$J443,($AA443-$J443)/$J443))</f>
        <v/>
      </c>
      <c r="AD443" s="12" t="str">
        <f aca="false">IF($C443="","",IF($Q443&lt;&gt;"",$Q443,IF($V443="Strike",N($E443)*$H443*$I443,IF($V443="Subyacente",IF($J443="","",$J443*$H443*$I443),IF($V443="Ancho",IF($F443="","",ABS($E443-$F443)*$H443*$I443-$K443*$H443*$I443),IF($V443="Prima",$K443*$H443*$I443,""))))))</f>
        <v/>
      </c>
      <c r="AE443" s="12" t="str">
        <f aca="false">IF(OR($C443="",$M443="Abierta",$M443=""),"",(N($K443)-IF(OR($M443="Cerrada",$M443="Rolada"),N($O443),0))*$H443*$I443*IF($U443="Débito",-1,1)-N($L443)-N($P443))</f>
        <v/>
      </c>
      <c r="AF443" s="14" t="str">
        <f aca="false">IF(OR($AE443="",$AD443=""),"",IF($AD443&lt;=0,"",$AE443/$AD443))</f>
        <v/>
      </c>
      <c r="AG443" s="14" t="str">
        <f aca="false">IF($AF443="","",$AF443*365/MAX(N($X443),1))</f>
        <v/>
      </c>
      <c r="AH443" s="14" t="str">
        <f aca="false">IF(OR($C443="",$U443&lt;&gt;"Crédito",$AD443=""),"",IF($AD443&lt;=0,"",($Z443-N($L443))/$AD443))</f>
        <v/>
      </c>
      <c r="AI443" s="14" t="str">
        <f aca="false">IF(OR($AH443="",$W443=""),"",$AH443*365/MAX($W443,1))</f>
        <v/>
      </c>
      <c r="AJ443" s="14" t="str">
        <f aca="false">IF(OR($AE443="",$U443&lt;&gt;"Crédito",N($K443)=0),"",(N($K443)-IF(OR($M443="Cerrada",$M443="Rolada"),N($O443),0))/$K443)</f>
        <v/>
      </c>
      <c r="AK443" s="15" t="str">
        <f aca="false">IF(OR($C443="",$N443=""),"",DATE(YEAR($N443),MONTH($N443),1))</f>
        <v/>
      </c>
      <c r="AL443" s="11" t="str">
        <f aca="false">IF($C443="","",IF($M443="Abierta",0,1))</f>
        <v/>
      </c>
      <c r="AM443" s="16" t="str">
        <f aca="false">IF(OR($AE443="",$AD443=""),"",$AD443*MAX(N($X443),1))</f>
        <v/>
      </c>
      <c r="AN443" s="10" t="str">
        <f aca="false">IF($C443="","",IF(OR($B443="",$D443="",$H443="",$K443="",$M443=""),"Faltan datos obligatorios",IF($T443="","Estrategia no reconocida",IF(AND($M443&lt;&gt;"Abierta",$N443=""),"Falta fecha cierre",IF(AND(OR($M443="Cerrada",$M443="Rolada"),$O443=""),"Falta prima cierre",IF(AND($N443&lt;&gt;"",$N443&lt;$B443),"Cierre anterior a apertura",IF(AND($M443="Asignada",$R443=""),"Asignada: falta ID lote acciones",IF(AND($R443&lt;&gt;"",ISNA(MATCH($R443,Acciones!$A$2:$A$201,0))),"El ID lote no existe en Acciones",IF($AD443="","Revisa capital en riesgo","OK")))))))))</f>
        <v/>
      </c>
    </row>
    <row r="444" customFormat="false" ht="15" hidden="false" customHeight="true" outlineLevel="0" collapsed="false">
      <c r="A444" s="5"/>
      <c r="B444" s="6"/>
      <c r="C444" s="7"/>
      <c r="D444" s="7"/>
      <c r="E444" s="8"/>
      <c r="F444" s="8"/>
      <c r="G444" s="6"/>
      <c r="H444" s="5"/>
      <c r="I444" s="5" t="n">
        <v>100</v>
      </c>
      <c r="J444" s="8"/>
      <c r="K444" s="8"/>
      <c r="L444" s="9"/>
      <c r="M444" s="7"/>
      <c r="N444" s="6"/>
      <c r="O444" s="8"/>
      <c r="P444" s="9"/>
      <c r="Q444" s="9"/>
      <c r="R444" s="7"/>
      <c r="S444" s="7"/>
      <c r="T444" s="10" t="str">
        <f aca="false">IF($C444="","",IFERROR(INDEX(Listas!$B$2:$B$20,MATCH($D444,Listas!$A$2:$A$20,0)),""))</f>
        <v/>
      </c>
      <c r="U444" s="10" t="str">
        <f aca="false">IF($C444="","",IFERROR(INDEX(Listas!$C$2:$C$20,MATCH($D444,Listas!$A$2:$A$20,0)),""))</f>
        <v/>
      </c>
      <c r="V444" s="10" t="str">
        <f aca="false">IF($C444="","",IFERROR(INDEX(Listas!$D$2:$D$20,MATCH($D444,Listas!$A$2:$A$20,0)),""))</f>
        <v/>
      </c>
      <c r="W444" s="11" t="str">
        <f aca="false">IF(OR($C444="",$B444="",$G444=""),"",$G444-$B444)</f>
        <v/>
      </c>
      <c r="X444" s="11" t="str">
        <f aca="true">IF(OR($C444="",$B444=""),"",IF($N444&lt;&gt;"",$N444,TODAY())-$B444)</f>
        <v/>
      </c>
      <c r="Y444" s="11" t="str">
        <f aca="true">IF(OR($C444="",$M444&lt;&gt;"Abierta",$G444=""),"",MAX($G444-TODAY(),0))</f>
        <v/>
      </c>
      <c r="Z444" s="12" t="str">
        <f aca="false">IF($C444="","",N($K444)*N($H444)*N($I444)*IF($U444="Débito",-1,1))</f>
        <v/>
      </c>
      <c r="AA444" s="13" t="str">
        <f aca="false">IF($C444="","",IF(AND($U444="Débito",$F444&lt;&gt;""),$F444,$E444))</f>
        <v/>
      </c>
      <c r="AB444" s="13" t="str">
        <f aca="false">IF(OR($C444="",$T444="Mixta",$AA444=""),"",IF($V444="Subyacente",IF($J444="","",$J444-$K444),IF($T444="Put",$AA444-$K444,$AA444+$K444)))</f>
        <v/>
      </c>
      <c r="AC444" s="14" t="str">
        <f aca="false">IF(OR($C444="",$T444="Mixta",$J444="",$AA444=""),"",IF($T444="Put",($J444-$AA444)/$J444,($AA444-$J444)/$J444))</f>
        <v/>
      </c>
      <c r="AD444" s="12" t="str">
        <f aca="false">IF($C444="","",IF($Q444&lt;&gt;"",$Q444,IF($V444="Strike",N($E444)*$H444*$I444,IF($V444="Subyacente",IF($J444="","",$J444*$H444*$I444),IF($V444="Ancho",IF($F444="","",ABS($E444-$F444)*$H444*$I444-$K444*$H444*$I444),IF($V444="Prima",$K444*$H444*$I444,""))))))</f>
        <v/>
      </c>
      <c r="AE444" s="12" t="str">
        <f aca="false">IF(OR($C444="",$M444="Abierta",$M444=""),"",(N($K444)-IF(OR($M444="Cerrada",$M444="Rolada"),N($O444),0))*$H444*$I444*IF($U444="Débito",-1,1)-N($L444)-N($P444))</f>
        <v/>
      </c>
      <c r="AF444" s="14" t="str">
        <f aca="false">IF(OR($AE444="",$AD444=""),"",IF($AD444&lt;=0,"",$AE444/$AD444))</f>
        <v/>
      </c>
      <c r="AG444" s="14" t="str">
        <f aca="false">IF($AF444="","",$AF444*365/MAX(N($X444),1))</f>
        <v/>
      </c>
      <c r="AH444" s="14" t="str">
        <f aca="false">IF(OR($C444="",$U444&lt;&gt;"Crédito",$AD444=""),"",IF($AD444&lt;=0,"",($Z444-N($L444))/$AD444))</f>
        <v/>
      </c>
      <c r="AI444" s="14" t="str">
        <f aca="false">IF(OR($AH444="",$W444=""),"",$AH444*365/MAX($W444,1))</f>
        <v/>
      </c>
      <c r="AJ444" s="14" t="str">
        <f aca="false">IF(OR($AE444="",$U444&lt;&gt;"Crédito",N($K444)=0),"",(N($K444)-IF(OR($M444="Cerrada",$M444="Rolada"),N($O444),0))/$K444)</f>
        <v/>
      </c>
      <c r="AK444" s="15" t="str">
        <f aca="false">IF(OR($C444="",$N444=""),"",DATE(YEAR($N444),MONTH($N444),1))</f>
        <v/>
      </c>
      <c r="AL444" s="11" t="str">
        <f aca="false">IF($C444="","",IF($M444="Abierta",0,1))</f>
        <v/>
      </c>
      <c r="AM444" s="16" t="str">
        <f aca="false">IF(OR($AE444="",$AD444=""),"",$AD444*MAX(N($X444),1))</f>
        <v/>
      </c>
      <c r="AN444" s="10" t="str">
        <f aca="false">IF($C444="","",IF(OR($B444="",$D444="",$H444="",$K444="",$M444=""),"Faltan datos obligatorios",IF($T444="","Estrategia no reconocida",IF(AND($M444&lt;&gt;"Abierta",$N444=""),"Falta fecha cierre",IF(AND(OR($M444="Cerrada",$M444="Rolada"),$O444=""),"Falta prima cierre",IF(AND($N444&lt;&gt;"",$N444&lt;$B444),"Cierre anterior a apertura",IF(AND($M444="Asignada",$R444=""),"Asignada: falta ID lote acciones",IF(AND($R444&lt;&gt;"",ISNA(MATCH($R444,Acciones!$A$2:$A$201,0))),"El ID lote no existe en Acciones",IF($AD444="","Revisa capital en riesgo","OK")))))))))</f>
        <v/>
      </c>
    </row>
    <row r="445" customFormat="false" ht="15" hidden="false" customHeight="true" outlineLevel="0" collapsed="false">
      <c r="A445" s="5"/>
      <c r="B445" s="6"/>
      <c r="C445" s="7"/>
      <c r="D445" s="7"/>
      <c r="E445" s="8"/>
      <c r="F445" s="8"/>
      <c r="G445" s="6"/>
      <c r="H445" s="5"/>
      <c r="I445" s="5" t="n">
        <v>100</v>
      </c>
      <c r="J445" s="8"/>
      <c r="K445" s="8"/>
      <c r="L445" s="9"/>
      <c r="M445" s="7"/>
      <c r="N445" s="6"/>
      <c r="O445" s="8"/>
      <c r="P445" s="9"/>
      <c r="Q445" s="9"/>
      <c r="R445" s="7"/>
      <c r="S445" s="7"/>
      <c r="T445" s="10" t="str">
        <f aca="false">IF($C445="","",IFERROR(INDEX(Listas!$B$2:$B$20,MATCH($D445,Listas!$A$2:$A$20,0)),""))</f>
        <v/>
      </c>
      <c r="U445" s="10" t="str">
        <f aca="false">IF($C445="","",IFERROR(INDEX(Listas!$C$2:$C$20,MATCH($D445,Listas!$A$2:$A$20,0)),""))</f>
        <v/>
      </c>
      <c r="V445" s="10" t="str">
        <f aca="false">IF($C445="","",IFERROR(INDEX(Listas!$D$2:$D$20,MATCH($D445,Listas!$A$2:$A$20,0)),""))</f>
        <v/>
      </c>
      <c r="W445" s="11" t="str">
        <f aca="false">IF(OR($C445="",$B445="",$G445=""),"",$G445-$B445)</f>
        <v/>
      </c>
      <c r="X445" s="11" t="str">
        <f aca="true">IF(OR($C445="",$B445=""),"",IF($N445&lt;&gt;"",$N445,TODAY())-$B445)</f>
        <v/>
      </c>
      <c r="Y445" s="11" t="str">
        <f aca="true">IF(OR($C445="",$M445&lt;&gt;"Abierta",$G445=""),"",MAX($G445-TODAY(),0))</f>
        <v/>
      </c>
      <c r="Z445" s="12" t="str">
        <f aca="false">IF($C445="","",N($K445)*N($H445)*N($I445)*IF($U445="Débito",-1,1))</f>
        <v/>
      </c>
      <c r="AA445" s="13" t="str">
        <f aca="false">IF($C445="","",IF(AND($U445="Débito",$F445&lt;&gt;""),$F445,$E445))</f>
        <v/>
      </c>
      <c r="AB445" s="13" t="str">
        <f aca="false">IF(OR($C445="",$T445="Mixta",$AA445=""),"",IF($V445="Subyacente",IF($J445="","",$J445-$K445),IF($T445="Put",$AA445-$K445,$AA445+$K445)))</f>
        <v/>
      </c>
      <c r="AC445" s="14" t="str">
        <f aca="false">IF(OR($C445="",$T445="Mixta",$J445="",$AA445=""),"",IF($T445="Put",($J445-$AA445)/$J445,($AA445-$J445)/$J445))</f>
        <v/>
      </c>
      <c r="AD445" s="12" t="str">
        <f aca="false">IF($C445="","",IF($Q445&lt;&gt;"",$Q445,IF($V445="Strike",N($E445)*$H445*$I445,IF($V445="Subyacente",IF($J445="","",$J445*$H445*$I445),IF($V445="Ancho",IF($F445="","",ABS($E445-$F445)*$H445*$I445-$K445*$H445*$I445),IF($V445="Prima",$K445*$H445*$I445,""))))))</f>
        <v/>
      </c>
      <c r="AE445" s="12" t="str">
        <f aca="false">IF(OR($C445="",$M445="Abierta",$M445=""),"",(N($K445)-IF(OR($M445="Cerrada",$M445="Rolada"),N($O445),0))*$H445*$I445*IF($U445="Débito",-1,1)-N($L445)-N($P445))</f>
        <v/>
      </c>
      <c r="AF445" s="14" t="str">
        <f aca="false">IF(OR($AE445="",$AD445=""),"",IF($AD445&lt;=0,"",$AE445/$AD445))</f>
        <v/>
      </c>
      <c r="AG445" s="14" t="str">
        <f aca="false">IF($AF445="","",$AF445*365/MAX(N($X445),1))</f>
        <v/>
      </c>
      <c r="AH445" s="14" t="str">
        <f aca="false">IF(OR($C445="",$U445&lt;&gt;"Crédito",$AD445=""),"",IF($AD445&lt;=0,"",($Z445-N($L445))/$AD445))</f>
        <v/>
      </c>
      <c r="AI445" s="14" t="str">
        <f aca="false">IF(OR($AH445="",$W445=""),"",$AH445*365/MAX($W445,1))</f>
        <v/>
      </c>
      <c r="AJ445" s="14" t="str">
        <f aca="false">IF(OR($AE445="",$U445&lt;&gt;"Crédito",N($K445)=0),"",(N($K445)-IF(OR($M445="Cerrada",$M445="Rolada"),N($O445),0))/$K445)</f>
        <v/>
      </c>
      <c r="AK445" s="15" t="str">
        <f aca="false">IF(OR($C445="",$N445=""),"",DATE(YEAR($N445),MONTH($N445),1))</f>
        <v/>
      </c>
      <c r="AL445" s="11" t="str">
        <f aca="false">IF($C445="","",IF($M445="Abierta",0,1))</f>
        <v/>
      </c>
      <c r="AM445" s="16" t="str">
        <f aca="false">IF(OR($AE445="",$AD445=""),"",$AD445*MAX(N($X445),1))</f>
        <v/>
      </c>
      <c r="AN445" s="10" t="str">
        <f aca="false">IF($C445="","",IF(OR($B445="",$D445="",$H445="",$K445="",$M445=""),"Faltan datos obligatorios",IF($T445="","Estrategia no reconocida",IF(AND($M445&lt;&gt;"Abierta",$N445=""),"Falta fecha cierre",IF(AND(OR($M445="Cerrada",$M445="Rolada"),$O445=""),"Falta prima cierre",IF(AND($N445&lt;&gt;"",$N445&lt;$B445),"Cierre anterior a apertura",IF(AND($M445="Asignada",$R445=""),"Asignada: falta ID lote acciones",IF(AND($R445&lt;&gt;"",ISNA(MATCH($R445,Acciones!$A$2:$A$201,0))),"El ID lote no existe en Acciones",IF($AD445="","Revisa capital en riesgo","OK")))))))))</f>
        <v/>
      </c>
    </row>
    <row r="446" customFormat="false" ht="15" hidden="false" customHeight="true" outlineLevel="0" collapsed="false">
      <c r="A446" s="5"/>
      <c r="B446" s="6"/>
      <c r="C446" s="7"/>
      <c r="D446" s="7"/>
      <c r="E446" s="8"/>
      <c r="F446" s="8"/>
      <c r="G446" s="6"/>
      <c r="H446" s="5"/>
      <c r="I446" s="5" t="n">
        <v>100</v>
      </c>
      <c r="J446" s="8"/>
      <c r="K446" s="8"/>
      <c r="L446" s="9"/>
      <c r="M446" s="7"/>
      <c r="N446" s="6"/>
      <c r="O446" s="8"/>
      <c r="P446" s="9"/>
      <c r="Q446" s="9"/>
      <c r="R446" s="7"/>
      <c r="S446" s="7"/>
      <c r="T446" s="10" t="str">
        <f aca="false">IF($C446="","",IFERROR(INDEX(Listas!$B$2:$B$20,MATCH($D446,Listas!$A$2:$A$20,0)),""))</f>
        <v/>
      </c>
      <c r="U446" s="10" t="str">
        <f aca="false">IF($C446="","",IFERROR(INDEX(Listas!$C$2:$C$20,MATCH($D446,Listas!$A$2:$A$20,0)),""))</f>
        <v/>
      </c>
      <c r="V446" s="10" t="str">
        <f aca="false">IF($C446="","",IFERROR(INDEX(Listas!$D$2:$D$20,MATCH($D446,Listas!$A$2:$A$20,0)),""))</f>
        <v/>
      </c>
      <c r="W446" s="11" t="str">
        <f aca="false">IF(OR($C446="",$B446="",$G446=""),"",$G446-$B446)</f>
        <v/>
      </c>
      <c r="X446" s="11" t="str">
        <f aca="true">IF(OR($C446="",$B446=""),"",IF($N446&lt;&gt;"",$N446,TODAY())-$B446)</f>
        <v/>
      </c>
      <c r="Y446" s="11" t="str">
        <f aca="true">IF(OR($C446="",$M446&lt;&gt;"Abierta",$G446=""),"",MAX($G446-TODAY(),0))</f>
        <v/>
      </c>
      <c r="Z446" s="12" t="str">
        <f aca="false">IF($C446="","",N($K446)*N($H446)*N($I446)*IF($U446="Débito",-1,1))</f>
        <v/>
      </c>
      <c r="AA446" s="13" t="str">
        <f aca="false">IF($C446="","",IF(AND($U446="Débito",$F446&lt;&gt;""),$F446,$E446))</f>
        <v/>
      </c>
      <c r="AB446" s="13" t="str">
        <f aca="false">IF(OR($C446="",$T446="Mixta",$AA446=""),"",IF($V446="Subyacente",IF($J446="","",$J446-$K446),IF($T446="Put",$AA446-$K446,$AA446+$K446)))</f>
        <v/>
      </c>
      <c r="AC446" s="14" t="str">
        <f aca="false">IF(OR($C446="",$T446="Mixta",$J446="",$AA446=""),"",IF($T446="Put",($J446-$AA446)/$J446,($AA446-$J446)/$J446))</f>
        <v/>
      </c>
      <c r="AD446" s="12" t="str">
        <f aca="false">IF($C446="","",IF($Q446&lt;&gt;"",$Q446,IF($V446="Strike",N($E446)*$H446*$I446,IF($V446="Subyacente",IF($J446="","",$J446*$H446*$I446),IF($V446="Ancho",IF($F446="","",ABS($E446-$F446)*$H446*$I446-$K446*$H446*$I446),IF($V446="Prima",$K446*$H446*$I446,""))))))</f>
        <v/>
      </c>
      <c r="AE446" s="12" t="str">
        <f aca="false">IF(OR($C446="",$M446="Abierta",$M446=""),"",(N($K446)-IF(OR($M446="Cerrada",$M446="Rolada"),N($O446),0))*$H446*$I446*IF($U446="Débito",-1,1)-N($L446)-N($P446))</f>
        <v/>
      </c>
      <c r="AF446" s="14" t="str">
        <f aca="false">IF(OR($AE446="",$AD446=""),"",IF($AD446&lt;=0,"",$AE446/$AD446))</f>
        <v/>
      </c>
      <c r="AG446" s="14" t="str">
        <f aca="false">IF($AF446="","",$AF446*365/MAX(N($X446),1))</f>
        <v/>
      </c>
      <c r="AH446" s="14" t="str">
        <f aca="false">IF(OR($C446="",$U446&lt;&gt;"Crédito",$AD446=""),"",IF($AD446&lt;=0,"",($Z446-N($L446))/$AD446))</f>
        <v/>
      </c>
      <c r="AI446" s="14" t="str">
        <f aca="false">IF(OR($AH446="",$W446=""),"",$AH446*365/MAX($W446,1))</f>
        <v/>
      </c>
      <c r="AJ446" s="14" t="str">
        <f aca="false">IF(OR($AE446="",$U446&lt;&gt;"Crédito",N($K446)=0),"",(N($K446)-IF(OR($M446="Cerrada",$M446="Rolada"),N($O446),0))/$K446)</f>
        <v/>
      </c>
      <c r="AK446" s="15" t="str">
        <f aca="false">IF(OR($C446="",$N446=""),"",DATE(YEAR($N446),MONTH($N446),1))</f>
        <v/>
      </c>
      <c r="AL446" s="11" t="str">
        <f aca="false">IF($C446="","",IF($M446="Abierta",0,1))</f>
        <v/>
      </c>
      <c r="AM446" s="16" t="str">
        <f aca="false">IF(OR($AE446="",$AD446=""),"",$AD446*MAX(N($X446),1))</f>
        <v/>
      </c>
      <c r="AN446" s="10" t="str">
        <f aca="false">IF($C446="","",IF(OR($B446="",$D446="",$H446="",$K446="",$M446=""),"Faltan datos obligatorios",IF($T446="","Estrategia no reconocida",IF(AND($M446&lt;&gt;"Abierta",$N446=""),"Falta fecha cierre",IF(AND(OR($M446="Cerrada",$M446="Rolada"),$O446=""),"Falta prima cierre",IF(AND($N446&lt;&gt;"",$N446&lt;$B446),"Cierre anterior a apertura",IF(AND($M446="Asignada",$R446=""),"Asignada: falta ID lote acciones",IF(AND($R446&lt;&gt;"",ISNA(MATCH($R446,Acciones!$A$2:$A$201,0))),"El ID lote no existe en Acciones",IF($AD446="","Revisa capital en riesgo","OK")))))))))</f>
        <v/>
      </c>
    </row>
    <row r="447" customFormat="false" ht="15" hidden="false" customHeight="true" outlineLevel="0" collapsed="false">
      <c r="A447" s="5"/>
      <c r="B447" s="6"/>
      <c r="C447" s="7"/>
      <c r="D447" s="7"/>
      <c r="E447" s="8"/>
      <c r="F447" s="8"/>
      <c r="G447" s="6"/>
      <c r="H447" s="5"/>
      <c r="I447" s="5" t="n">
        <v>100</v>
      </c>
      <c r="J447" s="8"/>
      <c r="K447" s="8"/>
      <c r="L447" s="9"/>
      <c r="M447" s="7"/>
      <c r="N447" s="6"/>
      <c r="O447" s="8"/>
      <c r="P447" s="9"/>
      <c r="Q447" s="9"/>
      <c r="R447" s="7"/>
      <c r="S447" s="7"/>
      <c r="T447" s="10" t="str">
        <f aca="false">IF($C447="","",IFERROR(INDEX(Listas!$B$2:$B$20,MATCH($D447,Listas!$A$2:$A$20,0)),""))</f>
        <v/>
      </c>
      <c r="U447" s="10" t="str">
        <f aca="false">IF($C447="","",IFERROR(INDEX(Listas!$C$2:$C$20,MATCH($D447,Listas!$A$2:$A$20,0)),""))</f>
        <v/>
      </c>
      <c r="V447" s="10" t="str">
        <f aca="false">IF($C447="","",IFERROR(INDEX(Listas!$D$2:$D$20,MATCH($D447,Listas!$A$2:$A$20,0)),""))</f>
        <v/>
      </c>
      <c r="W447" s="11" t="str">
        <f aca="false">IF(OR($C447="",$B447="",$G447=""),"",$G447-$B447)</f>
        <v/>
      </c>
      <c r="X447" s="11" t="str">
        <f aca="true">IF(OR($C447="",$B447=""),"",IF($N447&lt;&gt;"",$N447,TODAY())-$B447)</f>
        <v/>
      </c>
      <c r="Y447" s="11" t="str">
        <f aca="true">IF(OR($C447="",$M447&lt;&gt;"Abierta",$G447=""),"",MAX($G447-TODAY(),0))</f>
        <v/>
      </c>
      <c r="Z447" s="12" t="str">
        <f aca="false">IF($C447="","",N($K447)*N($H447)*N($I447)*IF($U447="Débito",-1,1))</f>
        <v/>
      </c>
      <c r="AA447" s="13" t="str">
        <f aca="false">IF($C447="","",IF(AND($U447="Débito",$F447&lt;&gt;""),$F447,$E447))</f>
        <v/>
      </c>
      <c r="AB447" s="13" t="str">
        <f aca="false">IF(OR($C447="",$T447="Mixta",$AA447=""),"",IF($V447="Subyacente",IF($J447="","",$J447-$K447),IF($T447="Put",$AA447-$K447,$AA447+$K447)))</f>
        <v/>
      </c>
      <c r="AC447" s="14" t="str">
        <f aca="false">IF(OR($C447="",$T447="Mixta",$J447="",$AA447=""),"",IF($T447="Put",($J447-$AA447)/$J447,($AA447-$J447)/$J447))</f>
        <v/>
      </c>
      <c r="AD447" s="12" t="str">
        <f aca="false">IF($C447="","",IF($Q447&lt;&gt;"",$Q447,IF($V447="Strike",N($E447)*$H447*$I447,IF($V447="Subyacente",IF($J447="","",$J447*$H447*$I447),IF($V447="Ancho",IF($F447="","",ABS($E447-$F447)*$H447*$I447-$K447*$H447*$I447),IF($V447="Prima",$K447*$H447*$I447,""))))))</f>
        <v/>
      </c>
      <c r="AE447" s="12" t="str">
        <f aca="false">IF(OR($C447="",$M447="Abierta",$M447=""),"",(N($K447)-IF(OR($M447="Cerrada",$M447="Rolada"),N($O447),0))*$H447*$I447*IF($U447="Débito",-1,1)-N($L447)-N($P447))</f>
        <v/>
      </c>
      <c r="AF447" s="14" t="str">
        <f aca="false">IF(OR($AE447="",$AD447=""),"",IF($AD447&lt;=0,"",$AE447/$AD447))</f>
        <v/>
      </c>
      <c r="AG447" s="14" t="str">
        <f aca="false">IF($AF447="","",$AF447*365/MAX(N($X447),1))</f>
        <v/>
      </c>
      <c r="AH447" s="14" t="str">
        <f aca="false">IF(OR($C447="",$U447&lt;&gt;"Crédito",$AD447=""),"",IF($AD447&lt;=0,"",($Z447-N($L447))/$AD447))</f>
        <v/>
      </c>
      <c r="AI447" s="14" t="str">
        <f aca="false">IF(OR($AH447="",$W447=""),"",$AH447*365/MAX($W447,1))</f>
        <v/>
      </c>
      <c r="AJ447" s="14" t="str">
        <f aca="false">IF(OR($AE447="",$U447&lt;&gt;"Crédito",N($K447)=0),"",(N($K447)-IF(OR($M447="Cerrada",$M447="Rolada"),N($O447),0))/$K447)</f>
        <v/>
      </c>
      <c r="AK447" s="15" t="str">
        <f aca="false">IF(OR($C447="",$N447=""),"",DATE(YEAR($N447),MONTH($N447),1))</f>
        <v/>
      </c>
      <c r="AL447" s="11" t="str">
        <f aca="false">IF($C447="","",IF($M447="Abierta",0,1))</f>
        <v/>
      </c>
      <c r="AM447" s="16" t="str">
        <f aca="false">IF(OR($AE447="",$AD447=""),"",$AD447*MAX(N($X447),1))</f>
        <v/>
      </c>
      <c r="AN447" s="10" t="str">
        <f aca="false">IF($C447="","",IF(OR($B447="",$D447="",$H447="",$K447="",$M447=""),"Faltan datos obligatorios",IF($T447="","Estrategia no reconocida",IF(AND($M447&lt;&gt;"Abierta",$N447=""),"Falta fecha cierre",IF(AND(OR($M447="Cerrada",$M447="Rolada"),$O447=""),"Falta prima cierre",IF(AND($N447&lt;&gt;"",$N447&lt;$B447),"Cierre anterior a apertura",IF(AND($M447="Asignada",$R447=""),"Asignada: falta ID lote acciones",IF(AND($R447&lt;&gt;"",ISNA(MATCH($R447,Acciones!$A$2:$A$201,0))),"El ID lote no existe en Acciones",IF($AD447="","Revisa capital en riesgo","OK")))))))))</f>
        <v/>
      </c>
    </row>
    <row r="448" customFormat="false" ht="15" hidden="false" customHeight="true" outlineLevel="0" collapsed="false">
      <c r="A448" s="5"/>
      <c r="B448" s="6"/>
      <c r="C448" s="7"/>
      <c r="D448" s="7"/>
      <c r="E448" s="8"/>
      <c r="F448" s="8"/>
      <c r="G448" s="6"/>
      <c r="H448" s="5"/>
      <c r="I448" s="5" t="n">
        <v>100</v>
      </c>
      <c r="J448" s="8"/>
      <c r="K448" s="8"/>
      <c r="L448" s="9"/>
      <c r="M448" s="7"/>
      <c r="N448" s="6"/>
      <c r="O448" s="8"/>
      <c r="P448" s="9"/>
      <c r="Q448" s="9"/>
      <c r="R448" s="7"/>
      <c r="S448" s="7"/>
      <c r="T448" s="10" t="str">
        <f aca="false">IF($C448="","",IFERROR(INDEX(Listas!$B$2:$B$20,MATCH($D448,Listas!$A$2:$A$20,0)),""))</f>
        <v/>
      </c>
      <c r="U448" s="10" t="str">
        <f aca="false">IF($C448="","",IFERROR(INDEX(Listas!$C$2:$C$20,MATCH($D448,Listas!$A$2:$A$20,0)),""))</f>
        <v/>
      </c>
      <c r="V448" s="10" t="str">
        <f aca="false">IF($C448="","",IFERROR(INDEX(Listas!$D$2:$D$20,MATCH($D448,Listas!$A$2:$A$20,0)),""))</f>
        <v/>
      </c>
      <c r="W448" s="11" t="str">
        <f aca="false">IF(OR($C448="",$B448="",$G448=""),"",$G448-$B448)</f>
        <v/>
      </c>
      <c r="X448" s="11" t="str">
        <f aca="true">IF(OR($C448="",$B448=""),"",IF($N448&lt;&gt;"",$N448,TODAY())-$B448)</f>
        <v/>
      </c>
      <c r="Y448" s="11" t="str">
        <f aca="true">IF(OR($C448="",$M448&lt;&gt;"Abierta",$G448=""),"",MAX($G448-TODAY(),0))</f>
        <v/>
      </c>
      <c r="Z448" s="12" t="str">
        <f aca="false">IF($C448="","",N($K448)*N($H448)*N($I448)*IF($U448="Débito",-1,1))</f>
        <v/>
      </c>
      <c r="AA448" s="13" t="str">
        <f aca="false">IF($C448="","",IF(AND($U448="Débito",$F448&lt;&gt;""),$F448,$E448))</f>
        <v/>
      </c>
      <c r="AB448" s="13" t="str">
        <f aca="false">IF(OR($C448="",$T448="Mixta",$AA448=""),"",IF($V448="Subyacente",IF($J448="","",$J448-$K448),IF($T448="Put",$AA448-$K448,$AA448+$K448)))</f>
        <v/>
      </c>
      <c r="AC448" s="14" t="str">
        <f aca="false">IF(OR($C448="",$T448="Mixta",$J448="",$AA448=""),"",IF($T448="Put",($J448-$AA448)/$J448,($AA448-$J448)/$J448))</f>
        <v/>
      </c>
      <c r="AD448" s="12" t="str">
        <f aca="false">IF($C448="","",IF($Q448&lt;&gt;"",$Q448,IF($V448="Strike",N($E448)*$H448*$I448,IF($V448="Subyacente",IF($J448="","",$J448*$H448*$I448),IF($V448="Ancho",IF($F448="","",ABS($E448-$F448)*$H448*$I448-$K448*$H448*$I448),IF($V448="Prima",$K448*$H448*$I448,""))))))</f>
        <v/>
      </c>
      <c r="AE448" s="12" t="str">
        <f aca="false">IF(OR($C448="",$M448="Abierta",$M448=""),"",(N($K448)-IF(OR($M448="Cerrada",$M448="Rolada"),N($O448),0))*$H448*$I448*IF($U448="Débito",-1,1)-N($L448)-N($P448))</f>
        <v/>
      </c>
      <c r="AF448" s="14" t="str">
        <f aca="false">IF(OR($AE448="",$AD448=""),"",IF($AD448&lt;=0,"",$AE448/$AD448))</f>
        <v/>
      </c>
      <c r="AG448" s="14" t="str">
        <f aca="false">IF($AF448="","",$AF448*365/MAX(N($X448),1))</f>
        <v/>
      </c>
      <c r="AH448" s="14" t="str">
        <f aca="false">IF(OR($C448="",$U448&lt;&gt;"Crédito",$AD448=""),"",IF($AD448&lt;=0,"",($Z448-N($L448))/$AD448))</f>
        <v/>
      </c>
      <c r="AI448" s="14" t="str">
        <f aca="false">IF(OR($AH448="",$W448=""),"",$AH448*365/MAX($W448,1))</f>
        <v/>
      </c>
      <c r="AJ448" s="14" t="str">
        <f aca="false">IF(OR($AE448="",$U448&lt;&gt;"Crédito",N($K448)=0),"",(N($K448)-IF(OR($M448="Cerrada",$M448="Rolada"),N($O448),0))/$K448)</f>
        <v/>
      </c>
      <c r="AK448" s="15" t="str">
        <f aca="false">IF(OR($C448="",$N448=""),"",DATE(YEAR($N448),MONTH($N448),1))</f>
        <v/>
      </c>
      <c r="AL448" s="11" t="str">
        <f aca="false">IF($C448="","",IF($M448="Abierta",0,1))</f>
        <v/>
      </c>
      <c r="AM448" s="16" t="str">
        <f aca="false">IF(OR($AE448="",$AD448=""),"",$AD448*MAX(N($X448),1))</f>
        <v/>
      </c>
      <c r="AN448" s="10" t="str">
        <f aca="false">IF($C448="","",IF(OR($B448="",$D448="",$H448="",$K448="",$M448=""),"Faltan datos obligatorios",IF($T448="","Estrategia no reconocida",IF(AND($M448&lt;&gt;"Abierta",$N448=""),"Falta fecha cierre",IF(AND(OR($M448="Cerrada",$M448="Rolada"),$O448=""),"Falta prima cierre",IF(AND($N448&lt;&gt;"",$N448&lt;$B448),"Cierre anterior a apertura",IF(AND($M448="Asignada",$R448=""),"Asignada: falta ID lote acciones",IF(AND($R448&lt;&gt;"",ISNA(MATCH($R448,Acciones!$A$2:$A$201,0))),"El ID lote no existe en Acciones",IF($AD448="","Revisa capital en riesgo","OK")))))))))</f>
        <v/>
      </c>
    </row>
    <row r="449" customFormat="false" ht="15" hidden="false" customHeight="true" outlineLevel="0" collapsed="false">
      <c r="A449" s="5"/>
      <c r="B449" s="6"/>
      <c r="C449" s="7"/>
      <c r="D449" s="7"/>
      <c r="E449" s="8"/>
      <c r="F449" s="8"/>
      <c r="G449" s="6"/>
      <c r="H449" s="5"/>
      <c r="I449" s="5" t="n">
        <v>100</v>
      </c>
      <c r="J449" s="8"/>
      <c r="K449" s="8"/>
      <c r="L449" s="9"/>
      <c r="M449" s="7"/>
      <c r="N449" s="6"/>
      <c r="O449" s="8"/>
      <c r="P449" s="9"/>
      <c r="Q449" s="9"/>
      <c r="R449" s="7"/>
      <c r="S449" s="7"/>
      <c r="T449" s="10" t="str">
        <f aca="false">IF($C449="","",IFERROR(INDEX(Listas!$B$2:$B$20,MATCH($D449,Listas!$A$2:$A$20,0)),""))</f>
        <v/>
      </c>
      <c r="U449" s="10" t="str">
        <f aca="false">IF($C449="","",IFERROR(INDEX(Listas!$C$2:$C$20,MATCH($D449,Listas!$A$2:$A$20,0)),""))</f>
        <v/>
      </c>
      <c r="V449" s="10" t="str">
        <f aca="false">IF($C449="","",IFERROR(INDEX(Listas!$D$2:$D$20,MATCH($D449,Listas!$A$2:$A$20,0)),""))</f>
        <v/>
      </c>
      <c r="W449" s="11" t="str">
        <f aca="false">IF(OR($C449="",$B449="",$G449=""),"",$G449-$B449)</f>
        <v/>
      </c>
      <c r="X449" s="11" t="str">
        <f aca="true">IF(OR($C449="",$B449=""),"",IF($N449&lt;&gt;"",$N449,TODAY())-$B449)</f>
        <v/>
      </c>
      <c r="Y449" s="11" t="str">
        <f aca="true">IF(OR($C449="",$M449&lt;&gt;"Abierta",$G449=""),"",MAX($G449-TODAY(),0))</f>
        <v/>
      </c>
      <c r="Z449" s="12" t="str">
        <f aca="false">IF($C449="","",N($K449)*N($H449)*N($I449)*IF($U449="Débito",-1,1))</f>
        <v/>
      </c>
      <c r="AA449" s="13" t="str">
        <f aca="false">IF($C449="","",IF(AND($U449="Débito",$F449&lt;&gt;""),$F449,$E449))</f>
        <v/>
      </c>
      <c r="AB449" s="13" t="str">
        <f aca="false">IF(OR($C449="",$T449="Mixta",$AA449=""),"",IF($V449="Subyacente",IF($J449="","",$J449-$K449),IF($T449="Put",$AA449-$K449,$AA449+$K449)))</f>
        <v/>
      </c>
      <c r="AC449" s="14" t="str">
        <f aca="false">IF(OR($C449="",$T449="Mixta",$J449="",$AA449=""),"",IF($T449="Put",($J449-$AA449)/$J449,($AA449-$J449)/$J449))</f>
        <v/>
      </c>
      <c r="AD449" s="12" t="str">
        <f aca="false">IF($C449="","",IF($Q449&lt;&gt;"",$Q449,IF($V449="Strike",N($E449)*$H449*$I449,IF($V449="Subyacente",IF($J449="","",$J449*$H449*$I449),IF($V449="Ancho",IF($F449="","",ABS($E449-$F449)*$H449*$I449-$K449*$H449*$I449),IF($V449="Prima",$K449*$H449*$I449,""))))))</f>
        <v/>
      </c>
      <c r="AE449" s="12" t="str">
        <f aca="false">IF(OR($C449="",$M449="Abierta",$M449=""),"",(N($K449)-IF(OR($M449="Cerrada",$M449="Rolada"),N($O449),0))*$H449*$I449*IF($U449="Débito",-1,1)-N($L449)-N($P449))</f>
        <v/>
      </c>
      <c r="AF449" s="14" t="str">
        <f aca="false">IF(OR($AE449="",$AD449=""),"",IF($AD449&lt;=0,"",$AE449/$AD449))</f>
        <v/>
      </c>
      <c r="AG449" s="14" t="str">
        <f aca="false">IF($AF449="","",$AF449*365/MAX(N($X449),1))</f>
        <v/>
      </c>
      <c r="AH449" s="14" t="str">
        <f aca="false">IF(OR($C449="",$U449&lt;&gt;"Crédito",$AD449=""),"",IF($AD449&lt;=0,"",($Z449-N($L449))/$AD449))</f>
        <v/>
      </c>
      <c r="AI449" s="14" t="str">
        <f aca="false">IF(OR($AH449="",$W449=""),"",$AH449*365/MAX($W449,1))</f>
        <v/>
      </c>
      <c r="AJ449" s="14" t="str">
        <f aca="false">IF(OR($AE449="",$U449&lt;&gt;"Crédito",N($K449)=0),"",(N($K449)-IF(OR($M449="Cerrada",$M449="Rolada"),N($O449),0))/$K449)</f>
        <v/>
      </c>
      <c r="AK449" s="15" t="str">
        <f aca="false">IF(OR($C449="",$N449=""),"",DATE(YEAR($N449),MONTH($N449),1))</f>
        <v/>
      </c>
      <c r="AL449" s="11" t="str">
        <f aca="false">IF($C449="","",IF($M449="Abierta",0,1))</f>
        <v/>
      </c>
      <c r="AM449" s="16" t="str">
        <f aca="false">IF(OR($AE449="",$AD449=""),"",$AD449*MAX(N($X449),1))</f>
        <v/>
      </c>
      <c r="AN449" s="10" t="str">
        <f aca="false">IF($C449="","",IF(OR($B449="",$D449="",$H449="",$K449="",$M449=""),"Faltan datos obligatorios",IF($T449="","Estrategia no reconocida",IF(AND($M449&lt;&gt;"Abierta",$N449=""),"Falta fecha cierre",IF(AND(OR($M449="Cerrada",$M449="Rolada"),$O449=""),"Falta prima cierre",IF(AND($N449&lt;&gt;"",$N449&lt;$B449),"Cierre anterior a apertura",IF(AND($M449="Asignada",$R449=""),"Asignada: falta ID lote acciones",IF(AND($R449&lt;&gt;"",ISNA(MATCH($R449,Acciones!$A$2:$A$201,0))),"El ID lote no existe en Acciones",IF($AD449="","Revisa capital en riesgo","OK")))))))))</f>
        <v/>
      </c>
    </row>
    <row r="450" customFormat="false" ht="15" hidden="false" customHeight="true" outlineLevel="0" collapsed="false">
      <c r="A450" s="5"/>
      <c r="B450" s="6"/>
      <c r="C450" s="7"/>
      <c r="D450" s="7"/>
      <c r="E450" s="8"/>
      <c r="F450" s="8"/>
      <c r="G450" s="6"/>
      <c r="H450" s="5"/>
      <c r="I450" s="5" t="n">
        <v>100</v>
      </c>
      <c r="J450" s="8"/>
      <c r="K450" s="8"/>
      <c r="L450" s="9"/>
      <c r="M450" s="7"/>
      <c r="N450" s="6"/>
      <c r="O450" s="8"/>
      <c r="P450" s="9"/>
      <c r="Q450" s="9"/>
      <c r="R450" s="7"/>
      <c r="S450" s="7"/>
      <c r="T450" s="10" t="str">
        <f aca="false">IF($C450="","",IFERROR(INDEX(Listas!$B$2:$B$20,MATCH($D450,Listas!$A$2:$A$20,0)),""))</f>
        <v/>
      </c>
      <c r="U450" s="10" t="str">
        <f aca="false">IF($C450="","",IFERROR(INDEX(Listas!$C$2:$C$20,MATCH($D450,Listas!$A$2:$A$20,0)),""))</f>
        <v/>
      </c>
      <c r="V450" s="10" t="str">
        <f aca="false">IF($C450="","",IFERROR(INDEX(Listas!$D$2:$D$20,MATCH($D450,Listas!$A$2:$A$20,0)),""))</f>
        <v/>
      </c>
      <c r="W450" s="11" t="str">
        <f aca="false">IF(OR($C450="",$B450="",$G450=""),"",$G450-$B450)</f>
        <v/>
      </c>
      <c r="X450" s="11" t="str">
        <f aca="true">IF(OR($C450="",$B450=""),"",IF($N450&lt;&gt;"",$N450,TODAY())-$B450)</f>
        <v/>
      </c>
      <c r="Y450" s="11" t="str">
        <f aca="true">IF(OR($C450="",$M450&lt;&gt;"Abierta",$G450=""),"",MAX($G450-TODAY(),0))</f>
        <v/>
      </c>
      <c r="Z450" s="12" t="str">
        <f aca="false">IF($C450="","",N($K450)*N($H450)*N($I450)*IF($U450="Débito",-1,1))</f>
        <v/>
      </c>
      <c r="AA450" s="13" t="str">
        <f aca="false">IF($C450="","",IF(AND($U450="Débito",$F450&lt;&gt;""),$F450,$E450))</f>
        <v/>
      </c>
      <c r="AB450" s="13" t="str">
        <f aca="false">IF(OR($C450="",$T450="Mixta",$AA450=""),"",IF($V450="Subyacente",IF($J450="","",$J450-$K450),IF($T450="Put",$AA450-$K450,$AA450+$K450)))</f>
        <v/>
      </c>
      <c r="AC450" s="14" t="str">
        <f aca="false">IF(OR($C450="",$T450="Mixta",$J450="",$AA450=""),"",IF($T450="Put",($J450-$AA450)/$J450,($AA450-$J450)/$J450))</f>
        <v/>
      </c>
      <c r="AD450" s="12" t="str">
        <f aca="false">IF($C450="","",IF($Q450&lt;&gt;"",$Q450,IF($V450="Strike",N($E450)*$H450*$I450,IF($V450="Subyacente",IF($J450="","",$J450*$H450*$I450),IF($V450="Ancho",IF($F450="","",ABS($E450-$F450)*$H450*$I450-$K450*$H450*$I450),IF($V450="Prima",$K450*$H450*$I450,""))))))</f>
        <v/>
      </c>
      <c r="AE450" s="12" t="str">
        <f aca="false">IF(OR($C450="",$M450="Abierta",$M450=""),"",(N($K450)-IF(OR($M450="Cerrada",$M450="Rolada"),N($O450),0))*$H450*$I450*IF($U450="Débito",-1,1)-N($L450)-N($P450))</f>
        <v/>
      </c>
      <c r="AF450" s="14" t="str">
        <f aca="false">IF(OR($AE450="",$AD450=""),"",IF($AD450&lt;=0,"",$AE450/$AD450))</f>
        <v/>
      </c>
      <c r="AG450" s="14" t="str">
        <f aca="false">IF($AF450="","",$AF450*365/MAX(N($X450),1))</f>
        <v/>
      </c>
      <c r="AH450" s="14" t="str">
        <f aca="false">IF(OR($C450="",$U450&lt;&gt;"Crédito",$AD450=""),"",IF($AD450&lt;=0,"",($Z450-N($L450))/$AD450))</f>
        <v/>
      </c>
      <c r="AI450" s="14" t="str">
        <f aca="false">IF(OR($AH450="",$W450=""),"",$AH450*365/MAX($W450,1))</f>
        <v/>
      </c>
      <c r="AJ450" s="14" t="str">
        <f aca="false">IF(OR($AE450="",$U450&lt;&gt;"Crédito",N($K450)=0),"",(N($K450)-IF(OR($M450="Cerrada",$M450="Rolada"),N($O450),0))/$K450)</f>
        <v/>
      </c>
      <c r="AK450" s="15" t="str">
        <f aca="false">IF(OR($C450="",$N450=""),"",DATE(YEAR($N450),MONTH($N450),1))</f>
        <v/>
      </c>
      <c r="AL450" s="11" t="str">
        <f aca="false">IF($C450="","",IF($M450="Abierta",0,1))</f>
        <v/>
      </c>
      <c r="AM450" s="16" t="str">
        <f aca="false">IF(OR($AE450="",$AD450=""),"",$AD450*MAX(N($X450),1))</f>
        <v/>
      </c>
      <c r="AN450" s="10" t="str">
        <f aca="false">IF($C450="","",IF(OR($B450="",$D450="",$H450="",$K450="",$M450=""),"Faltan datos obligatorios",IF($T450="","Estrategia no reconocida",IF(AND($M450&lt;&gt;"Abierta",$N450=""),"Falta fecha cierre",IF(AND(OR($M450="Cerrada",$M450="Rolada"),$O450=""),"Falta prima cierre",IF(AND($N450&lt;&gt;"",$N450&lt;$B450),"Cierre anterior a apertura",IF(AND($M450="Asignada",$R450=""),"Asignada: falta ID lote acciones",IF(AND($R450&lt;&gt;"",ISNA(MATCH($R450,Acciones!$A$2:$A$201,0))),"El ID lote no existe en Acciones",IF($AD450="","Revisa capital en riesgo","OK")))))))))</f>
        <v/>
      </c>
    </row>
    <row r="451" customFormat="false" ht="15" hidden="false" customHeight="true" outlineLevel="0" collapsed="false">
      <c r="A451" s="5"/>
      <c r="B451" s="6"/>
      <c r="C451" s="7"/>
      <c r="D451" s="7"/>
      <c r="E451" s="8"/>
      <c r="F451" s="8"/>
      <c r="G451" s="6"/>
      <c r="H451" s="5"/>
      <c r="I451" s="5" t="n">
        <v>100</v>
      </c>
      <c r="J451" s="8"/>
      <c r="K451" s="8"/>
      <c r="L451" s="9"/>
      <c r="M451" s="7"/>
      <c r="N451" s="6"/>
      <c r="O451" s="8"/>
      <c r="P451" s="9"/>
      <c r="Q451" s="9"/>
      <c r="R451" s="7"/>
      <c r="S451" s="7"/>
      <c r="T451" s="10" t="str">
        <f aca="false">IF($C451="","",IFERROR(INDEX(Listas!$B$2:$B$20,MATCH($D451,Listas!$A$2:$A$20,0)),""))</f>
        <v/>
      </c>
      <c r="U451" s="10" t="str">
        <f aca="false">IF($C451="","",IFERROR(INDEX(Listas!$C$2:$C$20,MATCH($D451,Listas!$A$2:$A$20,0)),""))</f>
        <v/>
      </c>
      <c r="V451" s="10" t="str">
        <f aca="false">IF($C451="","",IFERROR(INDEX(Listas!$D$2:$D$20,MATCH($D451,Listas!$A$2:$A$20,0)),""))</f>
        <v/>
      </c>
      <c r="W451" s="11" t="str">
        <f aca="false">IF(OR($C451="",$B451="",$G451=""),"",$G451-$B451)</f>
        <v/>
      </c>
      <c r="X451" s="11" t="str">
        <f aca="true">IF(OR($C451="",$B451=""),"",IF($N451&lt;&gt;"",$N451,TODAY())-$B451)</f>
        <v/>
      </c>
      <c r="Y451" s="11" t="str">
        <f aca="true">IF(OR($C451="",$M451&lt;&gt;"Abierta",$G451=""),"",MAX($G451-TODAY(),0))</f>
        <v/>
      </c>
      <c r="Z451" s="12" t="str">
        <f aca="false">IF($C451="","",N($K451)*N($H451)*N($I451)*IF($U451="Débito",-1,1))</f>
        <v/>
      </c>
      <c r="AA451" s="13" t="str">
        <f aca="false">IF($C451="","",IF(AND($U451="Débito",$F451&lt;&gt;""),$F451,$E451))</f>
        <v/>
      </c>
      <c r="AB451" s="13" t="str">
        <f aca="false">IF(OR($C451="",$T451="Mixta",$AA451=""),"",IF($V451="Subyacente",IF($J451="","",$J451-$K451),IF($T451="Put",$AA451-$K451,$AA451+$K451)))</f>
        <v/>
      </c>
      <c r="AC451" s="14" t="str">
        <f aca="false">IF(OR($C451="",$T451="Mixta",$J451="",$AA451=""),"",IF($T451="Put",($J451-$AA451)/$J451,($AA451-$J451)/$J451))</f>
        <v/>
      </c>
      <c r="AD451" s="12" t="str">
        <f aca="false">IF($C451="","",IF($Q451&lt;&gt;"",$Q451,IF($V451="Strike",N($E451)*$H451*$I451,IF($V451="Subyacente",IF($J451="","",$J451*$H451*$I451),IF($V451="Ancho",IF($F451="","",ABS($E451-$F451)*$H451*$I451-$K451*$H451*$I451),IF($V451="Prima",$K451*$H451*$I451,""))))))</f>
        <v/>
      </c>
      <c r="AE451" s="12" t="str">
        <f aca="false">IF(OR($C451="",$M451="Abierta",$M451=""),"",(N($K451)-IF(OR($M451="Cerrada",$M451="Rolada"),N($O451),0))*$H451*$I451*IF($U451="Débito",-1,1)-N($L451)-N($P451))</f>
        <v/>
      </c>
      <c r="AF451" s="14" t="str">
        <f aca="false">IF(OR($AE451="",$AD451=""),"",IF($AD451&lt;=0,"",$AE451/$AD451))</f>
        <v/>
      </c>
      <c r="AG451" s="14" t="str">
        <f aca="false">IF($AF451="","",$AF451*365/MAX(N($X451),1))</f>
        <v/>
      </c>
      <c r="AH451" s="14" t="str">
        <f aca="false">IF(OR($C451="",$U451&lt;&gt;"Crédito",$AD451=""),"",IF($AD451&lt;=0,"",($Z451-N($L451))/$AD451))</f>
        <v/>
      </c>
      <c r="AI451" s="14" t="str">
        <f aca="false">IF(OR($AH451="",$W451=""),"",$AH451*365/MAX($W451,1))</f>
        <v/>
      </c>
      <c r="AJ451" s="14" t="str">
        <f aca="false">IF(OR($AE451="",$U451&lt;&gt;"Crédito",N($K451)=0),"",(N($K451)-IF(OR($M451="Cerrada",$M451="Rolada"),N($O451),0))/$K451)</f>
        <v/>
      </c>
      <c r="AK451" s="15" t="str">
        <f aca="false">IF(OR($C451="",$N451=""),"",DATE(YEAR($N451),MONTH($N451),1))</f>
        <v/>
      </c>
      <c r="AL451" s="11" t="str">
        <f aca="false">IF($C451="","",IF($M451="Abierta",0,1))</f>
        <v/>
      </c>
      <c r="AM451" s="16" t="str">
        <f aca="false">IF(OR($AE451="",$AD451=""),"",$AD451*MAX(N($X451),1))</f>
        <v/>
      </c>
      <c r="AN451" s="10" t="str">
        <f aca="false">IF($C451="","",IF(OR($B451="",$D451="",$H451="",$K451="",$M451=""),"Faltan datos obligatorios",IF($T451="","Estrategia no reconocida",IF(AND($M451&lt;&gt;"Abierta",$N451=""),"Falta fecha cierre",IF(AND(OR($M451="Cerrada",$M451="Rolada"),$O451=""),"Falta prima cierre",IF(AND($N451&lt;&gt;"",$N451&lt;$B451),"Cierre anterior a apertura",IF(AND($M451="Asignada",$R451=""),"Asignada: falta ID lote acciones",IF(AND($R451&lt;&gt;"",ISNA(MATCH($R451,Acciones!$A$2:$A$201,0))),"El ID lote no existe en Acciones",IF($AD451="","Revisa capital en riesgo","OK")))))))))</f>
        <v/>
      </c>
    </row>
    <row r="452" customFormat="false" ht="15" hidden="false" customHeight="true" outlineLevel="0" collapsed="false">
      <c r="A452" s="5"/>
      <c r="B452" s="6"/>
      <c r="C452" s="7"/>
      <c r="D452" s="7"/>
      <c r="E452" s="8"/>
      <c r="F452" s="8"/>
      <c r="G452" s="6"/>
      <c r="H452" s="5"/>
      <c r="I452" s="5" t="n">
        <v>100</v>
      </c>
      <c r="J452" s="8"/>
      <c r="K452" s="8"/>
      <c r="L452" s="9"/>
      <c r="M452" s="7"/>
      <c r="N452" s="6"/>
      <c r="O452" s="8"/>
      <c r="P452" s="9"/>
      <c r="Q452" s="9"/>
      <c r="R452" s="7"/>
      <c r="S452" s="7"/>
      <c r="T452" s="10" t="str">
        <f aca="false">IF($C452="","",IFERROR(INDEX(Listas!$B$2:$B$20,MATCH($D452,Listas!$A$2:$A$20,0)),""))</f>
        <v/>
      </c>
      <c r="U452" s="10" t="str">
        <f aca="false">IF($C452="","",IFERROR(INDEX(Listas!$C$2:$C$20,MATCH($D452,Listas!$A$2:$A$20,0)),""))</f>
        <v/>
      </c>
      <c r="V452" s="10" t="str">
        <f aca="false">IF($C452="","",IFERROR(INDEX(Listas!$D$2:$D$20,MATCH($D452,Listas!$A$2:$A$20,0)),""))</f>
        <v/>
      </c>
      <c r="W452" s="11" t="str">
        <f aca="false">IF(OR($C452="",$B452="",$G452=""),"",$G452-$B452)</f>
        <v/>
      </c>
      <c r="X452" s="11" t="str">
        <f aca="true">IF(OR($C452="",$B452=""),"",IF($N452&lt;&gt;"",$N452,TODAY())-$B452)</f>
        <v/>
      </c>
      <c r="Y452" s="11" t="str">
        <f aca="true">IF(OR($C452="",$M452&lt;&gt;"Abierta",$G452=""),"",MAX($G452-TODAY(),0))</f>
        <v/>
      </c>
      <c r="Z452" s="12" t="str">
        <f aca="false">IF($C452="","",N($K452)*N($H452)*N($I452)*IF($U452="Débito",-1,1))</f>
        <v/>
      </c>
      <c r="AA452" s="13" t="str">
        <f aca="false">IF($C452="","",IF(AND($U452="Débito",$F452&lt;&gt;""),$F452,$E452))</f>
        <v/>
      </c>
      <c r="AB452" s="13" t="str">
        <f aca="false">IF(OR($C452="",$T452="Mixta",$AA452=""),"",IF($V452="Subyacente",IF($J452="","",$J452-$K452),IF($T452="Put",$AA452-$K452,$AA452+$K452)))</f>
        <v/>
      </c>
      <c r="AC452" s="14" t="str">
        <f aca="false">IF(OR($C452="",$T452="Mixta",$J452="",$AA452=""),"",IF($T452="Put",($J452-$AA452)/$J452,($AA452-$J452)/$J452))</f>
        <v/>
      </c>
      <c r="AD452" s="12" t="str">
        <f aca="false">IF($C452="","",IF($Q452&lt;&gt;"",$Q452,IF($V452="Strike",N($E452)*$H452*$I452,IF($V452="Subyacente",IF($J452="","",$J452*$H452*$I452),IF($V452="Ancho",IF($F452="","",ABS($E452-$F452)*$H452*$I452-$K452*$H452*$I452),IF($V452="Prima",$K452*$H452*$I452,""))))))</f>
        <v/>
      </c>
      <c r="AE452" s="12" t="str">
        <f aca="false">IF(OR($C452="",$M452="Abierta",$M452=""),"",(N($K452)-IF(OR($M452="Cerrada",$M452="Rolada"),N($O452),0))*$H452*$I452*IF($U452="Débito",-1,1)-N($L452)-N($P452))</f>
        <v/>
      </c>
      <c r="AF452" s="14" t="str">
        <f aca="false">IF(OR($AE452="",$AD452=""),"",IF($AD452&lt;=0,"",$AE452/$AD452))</f>
        <v/>
      </c>
      <c r="AG452" s="14" t="str">
        <f aca="false">IF($AF452="","",$AF452*365/MAX(N($X452),1))</f>
        <v/>
      </c>
      <c r="AH452" s="14" t="str">
        <f aca="false">IF(OR($C452="",$U452&lt;&gt;"Crédito",$AD452=""),"",IF($AD452&lt;=0,"",($Z452-N($L452))/$AD452))</f>
        <v/>
      </c>
      <c r="AI452" s="14" t="str">
        <f aca="false">IF(OR($AH452="",$W452=""),"",$AH452*365/MAX($W452,1))</f>
        <v/>
      </c>
      <c r="AJ452" s="14" t="str">
        <f aca="false">IF(OR($AE452="",$U452&lt;&gt;"Crédito",N($K452)=0),"",(N($K452)-IF(OR($M452="Cerrada",$M452="Rolada"),N($O452),0))/$K452)</f>
        <v/>
      </c>
      <c r="AK452" s="15" t="str">
        <f aca="false">IF(OR($C452="",$N452=""),"",DATE(YEAR($N452),MONTH($N452),1))</f>
        <v/>
      </c>
      <c r="AL452" s="11" t="str">
        <f aca="false">IF($C452="","",IF($M452="Abierta",0,1))</f>
        <v/>
      </c>
      <c r="AM452" s="16" t="str">
        <f aca="false">IF(OR($AE452="",$AD452=""),"",$AD452*MAX(N($X452),1))</f>
        <v/>
      </c>
      <c r="AN452" s="10" t="str">
        <f aca="false">IF($C452="","",IF(OR($B452="",$D452="",$H452="",$K452="",$M452=""),"Faltan datos obligatorios",IF($T452="","Estrategia no reconocida",IF(AND($M452&lt;&gt;"Abierta",$N452=""),"Falta fecha cierre",IF(AND(OR($M452="Cerrada",$M452="Rolada"),$O452=""),"Falta prima cierre",IF(AND($N452&lt;&gt;"",$N452&lt;$B452),"Cierre anterior a apertura",IF(AND($M452="Asignada",$R452=""),"Asignada: falta ID lote acciones",IF(AND($R452&lt;&gt;"",ISNA(MATCH($R452,Acciones!$A$2:$A$201,0))),"El ID lote no existe en Acciones",IF($AD452="","Revisa capital en riesgo","OK")))))))))</f>
        <v/>
      </c>
    </row>
    <row r="453" customFormat="false" ht="15" hidden="false" customHeight="true" outlineLevel="0" collapsed="false">
      <c r="A453" s="5"/>
      <c r="B453" s="6"/>
      <c r="C453" s="7"/>
      <c r="D453" s="7"/>
      <c r="E453" s="8"/>
      <c r="F453" s="8"/>
      <c r="G453" s="6"/>
      <c r="H453" s="5"/>
      <c r="I453" s="5" t="n">
        <v>100</v>
      </c>
      <c r="J453" s="8"/>
      <c r="K453" s="8"/>
      <c r="L453" s="9"/>
      <c r="M453" s="7"/>
      <c r="N453" s="6"/>
      <c r="O453" s="8"/>
      <c r="P453" s="9"/>
      <c r="Q453" s="9"/>
      <c r="R453" s="7"/>
      <c r="S453" s="7"/>
      <c r="T453" s="10" t="str">
        <f aca="false">IF($C453="","",IFERROR(INDEX(Listas!$B$2:$B$20,MATCH($D453,Listas!$A$2:$A$20,0)),""))</f>
        <v/>
      </c>
      <c r="U453" s="10" t="str">
        <f aca="false">IF($C453="","",IFERROR(INDEX(Listas!$C$2:$C$20,MATCH($D453,Listas!$A$2:$A$20,0)),""))</f>
        <v/>
      </c>
      <c r="V453" s="10" t="str">
        <f aca="false">IF($C453="","",IFERROR(INDEX(Listas!$D$2:$D$20,MATCH($D453,Listas!$A$2:$A$20,0)),""))</f>
        <v/>
      </c>
      <c r="W453" s="11" t="str">
        <f aca="false">IF(OR($C453="",$B453="",$G453=""),"",$G453-$B453)</f>
        <v/>
      </c>
      <c r="X453" s="11" t="str">
        <f aca="true">IF(OR($C453="",$B453=""),"",IF($N453&lt;&gt;"",$N453,TODAY())-$B453)</f>
        <v/>
      </c>
      <c r="Y453" s="11" t="str">
        <f aca="true">IF(OR($C453="",$M453&lt;&gt;"Abierta",$G453=""),"",MAX($G453-TODAY(),0))</f>
        <v/>
      </c>
      <c r="Z453" s="12" t="str">
        <f aca="false">IF($C453="","",N($K453)*N($H453)*N($I453)*IF($U453="Débito",-1,1))</f>
        <v/>
      </c>
      <c r="AA453" s="13" t="str">
        <f aca="false">IF($C453="","",IF(AND($U453="Débito",$F453&lt;&gt;""),$F453,$E453))</f>
        <v/>
      </c>
      <c r="AB453" s="13" t="str">
        <f aca="false">IF(OR($C453="",$T453="Mixta",$AA453=""),"",IF($V453="Subyacente",IF($J453="","",$J453-$K453),IF($T453="Put",$AA453-$K453,$AA453+$K453)))</f>
        <v/>
      </c>
      <c r="AC453" s="14" t="str">
        <f aca="false">IF(OR($C453="",$T453="Mixta",$J453="",$AA453=""),"",IF($T453="Put",($J453-$AA453)/$J453,($AA453-$J453)/$J453))</f>
        <v/>
      </c>
      <c r="AD453" s="12" t="str">
        <f aca="false">IF($C453="","",IF($Q453&lt;&gt;"",$Q453,IF($V453="Strike",N($E453)*$H453*$I453,IF($V453="Subyacente",IF($J453="","",$J453*$H453*$I453),IF($V453="Ancho",IF($F453="","",ABS($E453-$F453)*$H453*$I453-$K453*$H453*$I453),IF($V453="Prima",$K453*$H453*$I453,""))))))</f>
        <v/>
      </c>
      <c r="AE453" s="12" t="str">
        <f aca="false">IF(OR($C453="",$M453="Abierta",$M453=""),"",(N($K453)-IF(OR($M453="Cerrada",$M453="Rolada"),N($O453),0))*$H453*$I453*IF($U453="Débito",-1,1)-N($L453)-N($P453))</f>
        <v/>
      </c>
      <c r="AF453" s="14" t="str">
        <f aca="false">IF(OR($AE453="",$AD453=""),"",IF($AD453&lt;=0,"",$AE453/$AD453))</f>
        <v/>
      </c>
      <c r="AG453" s="14" t="str">
        <f aca="false">IF($AF453="","",$AF453*365/MAX(N($X453),1))</f>
        <v/>
      </c>
      <c r="AH453" s="14" t="str">
        <f aca="false">IF(OR($C453="",$U453&lt;&gt;"Crédito",$AD453=""),"",IF($AD453&lt;=0,"",($Z453-N($L453))/$AD453))</f>
        <v/>
      </c>
      <c r="AI453" s="14" t="str">
        <f aca="false">IF(OR($AH453="",$W453=""),"",$AH453*365/MAX($W453,1))</f>
        <v/>
      </c>
      <c r="AJ453" s="14" t="str">
        <f aca="false">IF(OR($AE453="",$U453&lt;&gt;"Crédito",N($K453)=0),"",(N($K453)-IF(OR($M453="Cerrada",$M453="Rolada"),N($O453),0))/$K453)</f>
        <v/>
      </c>
      <c r="AK453" s="15" t="str">
        <f aca="false">IF(OR($C453="",$N453=""),"",DATE(YEAR($N453),MONTH($N453),1))</f>
        <v/>
      </c>
      <c r="AL453" s="11" t="str">
        <f aca="false">IF($C453="","",IF($M453="Abierta",0,1))</f>
        <v/>
      </c>
      <c r="AM453" s="16" t="str">
        <f aca="false">IF(OR($AE453="",$AD453=""),"",$AD453*MAX(N($X453),1))</f>
        <v/>
      </c>
      <c r="AN453" s="10" t="str">
        <f aca="false">IF($C453="","",IF(OR($B453="",$D453="",$H453="",$K453="",$M453=""),"Faltan datos obligatorios",IF($T453="","Estrategia no reconocida",IF(AND($M453&lt;&gt;"Abierta",$N453=""),"Falta fecha cierre",IF(AND(OR($M453="Cerrada",$M453="Rolada"),$O453=""),"Falta prima cierre",IF(AND($N453&lt;&gt;"",$N453&lt;$B453),"Cierre anterior a apertura",IF(AND($M453="Asignada",$R453=""),"Asignada: falta ID lote acciones",IF(AND($R453&lt;&gt;"",ISNA(MATCH($R453,Acciones!$A$2:$A$201,0))),"El ID lote no existe en Acciones",IF($AD453="","Revisa capital en riesgo","OK")))))))))</f>
        <v/>
      </c>
    </row>
    <row r="454" customFormat="false" ht="15" hidden="false" customHeight="true" outlineLevel="0" collapsed="false">
      <c r="A454" s="5"/>
      <c r="B454" s="6"/>
      <c r="C454" s="7"/>
      <c r="D454" s="7"/>
      <c r="E454" s="8"/>
      <c r="F454" s="8"/>
      <c r="G454" s="6"/>
      <c r="H454" s="5"/>
      <c r="I454" s="5" t="n">
        <v>100</v>
      </c>
      <c r="J454" s="8"/>
      <c r="K454" s="8"/>
      <c r="L454" s="9"/>
      <c r="M454" s="7"/>
      <c r="N454" s="6"/>
      <c r="O454" s="8"/>
      <c r="P454" s="9"/>
      <c r="Q454" s="9"/>
      <c r="R454" s="7"/>
      <c r="S454" s="7"/>
      <c r="T454" s="10" t="str">
        <f aca="false">IF($C454="","",IFERROR(INDEX(Listas!$B$2:$B$20,MATCH($D454,Listas!$A$2:$A$20,0)),""))</f>
        <v/>
      </c>
      <c r="U454" s="10" t="str">
        <f aca="false">IF($C454="","",IFERROR(INDEX(Listas!$C$2:$C$20,MATCH($D454,Listas!$A$2:$A$20,0)),""))</f>
        <v/>
      </c>
      <c r="V454" s="10" t="str">
        <f aca="false">IF($C454="","",IFERROR(INDEX(Listas!$D$2:$D$20,MATCH($D454,Listas!$A$2:$A$20,0)),""))</f>
        <v/>
      </c>
      <c r="W454" s="11" t="str">
        <f aca="false">IF(OR($C454="",$B454="",$G454=""),"",$G454-$B454)</f>
        <v/>
      </c>
      <c r="X454" s="11" t="str">
        <f aca="true">IF(OR($C454="",$B454=""),"",IF($N454&lt;&gt;"",$N454,TODAY())-$B454)</f>
        <v/>
      </c>
      <c r="Y454" s="11" t="str">
        <f aca="true">IF(OR($C454="",$M454&lt;&gt;"Abierta",$G454=""),"",MAX($G454-TODAY(),0))</f>
        <v/>
      </c>
      <c r="Z454" s="12" t="str">
        <f aca="false">IF($C454="","",N($K454)*N($H454)*N($I454)*IF($U454="Débito",-1,1))</f>
        <v/>
      </c>
      <c r="AA454" s="13" t="str">
        <f aca="false">IF($C454="","",IF(AND($U454="Débito",$F454&lt;&gt;""),$F454,$E454))</f>
        <v/>
      </c>
      <c r="AB454" s="13" t="str">
        <f aca="false">IF(OR($C454="",$T454="Mixta",$AA454=""),"",IF($V454="Subyacente",IF($J454="","",$J454-$K454),IF($T454="Put",$AA454-$K454,$AA454+$K454)))</f>
        <v/>
      </c>
      <c r="AC454" s="14" t="str">
        <f aca="false">IF(OR($C454="",$T454="Mixta",$J454="",$AA454=""),"",IF($T454="Put",($J454-$AA454)/$J454,($AA454-$J454)/$J454))</f>
        <v/>
      </c>
      <c r="AD454" s="12" t="str">
        <f aca="false">IF($C454="","",IF($Q454&lt;&gt;"",$Q454,IF($V454="Strike",N($E454)*$H454*$I454,IF($V454="Subyacente",IF($J454="","",$J454*$H454*$I454),IF($V454="Ancho",IF($F454="","",ABS($E454-$F454)*$H454*$I454-$K454*$H454*$I454),IF($V454="Prima",$K454*$H454*$I454,""))))))</f>
        <v/>
      </c>
      <c r="AE454" s="12" t="str">
        <f aca="false">IF(OR($C454="",$M454="Abierta",$M454=""),"",(N($K454)-IF(OR($M454="Cerrada",$M454="Rolada"),N($O454),0))*$H454*$I454*IF($U454="Débito",-1,1)-N($L454)-N($P454))</f>
        <v/>
      </c>
      <c r="AF454" s="14" t="str">
        <f aca="false">IF(OR($AE454="",$AD454=""),"",IF($AD454&lt;=0,"",$AE454/$AD454))</f>
        <v/>
      </c>
      <c r="AG454" s="14" t="str">
        <f aca="false">IF($AF454="","",$AF454*365/MAX(N($X454),1))</f>
        <v/>
      </c>
      <c r="AH454" s="14" t="str">
        <f aca="false">IF(OR($C454="",$U454&lt;&gt;"Crédito",$AD454=""),"",IF($AD454&lt;=0,"",($Z454-N($L454))/$AD454))</f>
        <v/>
      </c>
      <c r="AI454" s="14" t="str">
        <f aca="false">IF(OR($AH454="",$W454=""),"",$AH454*365/MAX($W454,1))</f>
        <v/>
      </c>
      <c r="AJ454" s="14" t="str">
        <f aca="false">IF(OR($AE454="",$U454&lt;&gt;"Crédito",N($K454)=0),"",(N($K454)-IF(OR($M454="Cerrada",$M454="Rolada"),N($O454),0))/$K454)</f>
        <v/>
      </c>
      <c r="AK454" s="15" t="str">
        <f aca="false">IF(OR($C454="",$N454=""),"",DATE(YEAR($N454),MONTH($N454),1))</f>
        <v/>
      </c>
      <c r="AL454" s="11" t="str">
        <f aca="false">IF($C454="","",IF($M454="Abierta",0,1))</f>
        <v/>
      </c>
      <c r="AM454" s="16" t="str">
        <f aca="false">IF(OR($AE454="",$AD454=""),"",$AD454*MAX(N($X454),1))</f>
        <v/>
      </c>
      <c r="AN454" s="10" t="str">
        <f aca="false">IF($C454="","",IF(OR($B454="",$D454="",$H454="",$K454="",$M454=""),"Faltan datos obligatorios",IF($T454="","Estrategia no reconocida",IF(AND($M454&lt;&gt;"Abierta",$N454=""),"Falta fecha cierre",IF(AND(OR($M454="Cerrada",$M454="Rolada"),$O454=""),"Falta prima cierre",IF(AND($N454&lt;&gt;"",$N454&lt;$B454),"Cierre anterior a apertura",IF(AND($M454="Asignada",$R454=""),"Asignada: falta ID lote acciones",IF(AND($R454&lt;&gt;"",ISNA(MATCH($R454,Acciones!$A$2:$A$201,0))),"El ID lote no existe en Acciones",IF($AD454="","Revisa capital en riesgo","OK")))))))))</f>
        <v/>
      </c>
    </row>
    <row r="455" customFormat="false" ht="15" hidden="false" customHeight="true" outlineLevel="0" collapsed="false">
      <c r="A455" s="5"/>
      <c r="B455" s="6"/>
      <c r="C455" s="7"/>
      <c r="D455" s="7"/>
      <c r="E455" s="8"/>
      <c r="F455" s="8"/>
      <c r="G455" s="6"/>
      <c r="H455" s="5"/>
      <c r="I455" s="5" t="n">
        <v>100</v>
      </c>
      <c r="J455" s="8"/>
      <c r="K455" s="8"/>
      <c r="L455" s="9"/>
      <c r="M455" s="7"/>
      <c r="N455" s="6"/>
      <c r="O455" s="8"/>
      <c r="P455" s="9"/>
      <c r="Q455" s="9"/>
      <c r="R455" s="7"/>
      <c r="S455" s="7"/>
      <c r="T455" s="10" t="str">
        <f aca="false">IF($C455="","",IFERROR(INDEX(Listas!$B$2:$B$20,MATCH($D455,Listas!$A$2:$A$20,0)),""))</f>
        <v/>
      </c>
      <c r="U455" s="10" t="str">
        <f aca="false">IF($C455="","",IFERROR(INDEX(Listas!$C$2:$C$20,MATCH($D455,Listas!$A$2:$A$20,0)),""))</f>
        <v/>
      </c>
      <c r="V455" s="10" t="str">
        <f aca="false">IF($C455="","",IFERROR(INDEX(Listas!$D$2:$D$20,MATCH($D455,Listas!$A$2:$A$20,0)),""))</f>
        <v/>
      </c>
      <c r="W455" s="11" t="str">
        <f aca="false">IF(OR($C455="",$B455="",$G455=""),"",$G455-$B455)</f>
        <v/>
      </c>
      <c r="X455" s="11" t="str">
        <f aca="true">IF(OR($C455="",$B455=""),"",IF($N455&lt;&gt;"",$N455,TODAY())-$B455)</f>
        <v/>
      </c>
      <c r="Y455" s="11" t="str">
        <f aca="true">IF(OR($C455="",$M455&lt;&gt;"Abierta",$G455=""),"",MAX($G455-TODAY(),0))</f>
        <v/>
      </c>
      <c r="Z455" s="12" t="str">
        <f aca="false">IF($C455="","",N($K455)*N($H455)*N($I455)*IF($U455="Débito",-1,1))</f>
        <v/>
      </c>
      <c r="AA455" s="13" t="str">
        <f aca="false">IF($C455="","",IF(AND($U455="Débito",$F455&lt;&gt;""),$F455,$E455))</f>
        <v/>
      </c>
      <c r="AB455" s="13" t="str">
        <f aca="false">IF(OR($C455="",$T455="Mixta",$AA455=""),"",IF($V455="Subyacente",IF($J455="","",$J455-$K455),IF($T455="Put",$AA455-$K455,$AA455+$K455)))</f>
        <v/>
      </c>
      <c r="AC455" s="14" t="str">
        <f aca="false">IF(OR($C455="",$T455="Mixta",$J455="",$AA455=""),"",IF($T455="Put",($J455-$AA455)/$J455,($AA455-$J455)/$J455))</f>
        <v/>
      </c>
      <c r="AD455" s="12" t="str">
        <f aca="false">IF($C455="","",IF($Q455&lt;&gt;"",$Q455,IF($V455="Strike",N($E455)*$H455*$I455,IF($V455="Subyacente",IF($J455="","",$J455*$H455*$I455),IF($V455="Ancho",IF($F455="","",ABS($E455-$F455)*$H455*$I455-$K455*$H455*$I455),IF($V455="Prima",$K455*$H455*$I455,""))))))</f>
        <v/>
      </c>
      <c r="AE455" s="12" t="str">
        <f aca="false">IF(OR($C455="",$M455="Abierta",$M455=""),"",(N($K455)-IF(OR($M455="Cerrada",$M455="Rolada"),N($O455),0))*$H455*$I455*IF($U455="Débito",-1,1)-N($L455)-N($P455))</f>
        <v/>
      </c>
      <c r="AF455" s="14" t="str">
        <f aca="false">IF(OR($AE455="",$AD455=""),"",IF($AD455&lt;=0,"",$AE455/$AD455))</f>
        <v/>
      </c>
      <c r="AG455" s="14" t="str">
        <f aca="false">IF($AF455="","",$AF455*365/MAX(N($X455),1))</f>
        <v/>
      </c>
      <c r="AH455" s="14" t="str">
        <f aca="false">IF(OR($C455="",$U455&lt;&gt;"Crédito",$AD455=""),"",IF($AD455&lt;=0,"",($Z455-N($L455))/$AD455))</f>
        <v/>
      </c>
      <c r="AI455" s="14" t="str">
        <f aca="false">IF(OR($AH455="",$W455=""),"",$AH455*365/MAX($W455,1))</f>
        <v/>
      </c>
      <c r="AJ455" s="14" t="str">
        <f aca="false">IF(OR($AE455="",$U455&lt;&gt;"Crédito",N($K455)=0),"",(N($K455)-IF(OR($M455="Cerrada",$M455="Rolada"),N($O455),0))/$K455)</f>
        <v/>
      </c>
      <c r="AK455" s="15" t="str">
        <f aca="false">IF(OR($C455="",$N455=""),"",DATE(YEAR($N455),MONTH($N455),1))</f>
        <v/>
      </c>
      <c r="AL455" s="11" t="str">
        <f aca="false">IF($C455="","",IF($M455="Abierta",0,1))</f>
        <v/>
      </c>
      <c r="AM455" s="16" t="str">
        <f aca="false">IF(OR($AE455="",$AD455=""),"",$AD455*MAX(N($X455),1))</f>
        <v/>
      </c>
      <c r="AN455" s="10" t="str">
        <f aca="false">IF($C455="","",IF(OR($B455="",$D455="",$H455="",$K455="",$M455=""),"Faltan datos obligatorios",IF($T455="","Estrategia no reconocida",IF(AND($M455&lt;&gt;"Abierta",$N455=""),"Falta fecha cierre",IF(AND(OR($M455="Cerrada",$M455="Rolada"),$O455=""),"Falta prima cierre",IF(AND($N455&lt;&gt;"",$N455&lt;$B455),"Cierre anterior a apertura",IF(AND($M455="Asignada",$R455=""),"Asignada: falta ID lote acciones",IF(AND($R455&lt;&gt;"",ISNA(MATCH($R455,Acciones!$A$2:$A$201,0))),"El ID lote no existe en Acciones",IF($AD455="","Revisa capital en riesgo","OK")))))))))</f>
        <v/>
      </c>
    </row>
    <row r="456" customFormat="false" ht="15" hidden="false" customHeight="true" outlineLevel="0" collapsed="false">
      <c r="A456" s="5"/>
      <c r="B456" s="6"/>
      <c r="C456" s="7"/>
      <c r="D456" s="7"/>
      <c r="E456" s="8"/>
      <c r="F456" s="8"/>
      <c r="G456" s="6"/>
      <c r="H456" s="5"/>
      <c r="I456" s="5" t="n">
        <v>100</v>
      </c>
      <c r="J456" s="8"/>
      <c r="K456" s="8"/>
      <c r="L456" s="9"/>
      <c r="M456" s="7"/>
      <c r="N456" s="6"/>
      <c r="O456" s="8"/>
      <c r="P456" s="9"/>
      <c r="Q456" s="9"/>
      <c r="R456" s="7"/>
      <c r="S456" s="7"/>
      <c r="T456" s="10" t="str">
        <f aca="false">IF($C456="","",IFERROR(INDEX(Listas!$B$2:$B$20,MATCH($D456,Listas!$A$2:$A$20,0)),""))</f>
        <v/>
      </c>
      <c r="U456" s="10" t="str">
        <f aca="false">IF($C456="","",IFERROR(INDEX(Listas!$C$2:$C$20,MATCH($D456,Listas!$A$2:$A$20,0)),""))</f>
        <v/>
      </c>
      <c r="V456" s="10" t="str">
        <f aca="false">IF($C456="","",IFERROR(INDEX(Listas!$D$2:$D$20,MATCH($D456,Listas!$A$2:$A$20,0)),""))</f>
        <v/>
      </c>
      <c r="W456" s="11" t="str">
        <f aca="false">IF(OR($C456="",$B456="",$G456=""),"",$G456-$B456)</f>
        <v/>
      </c>
      <c r="X456" s="11" t="str">
        <f aca="true">IF(OR($C456="",$B456=""),"",IF($N456&lt;&gt;"",$N456,TODAY())-$B456)</f>
        <v/>
      </c>
      <c r="Y456" s="11" t="str">
        <f aca="true">IF(OR($C456="",$M456&lt;&gt;"Abierta",$G456=""),"",MAX($G456-TODAY(),0))</f>
        <v/>
      </c>
      <c r="Z456" s="12" t="str">
        <f aca="false">IF($C456="","",N($K456)*N($H456)*N($I456)*IF($U456="Débito",-1,1))</f>
        <v/>
      </c>
      <c r="AA456" s="13" t="str">
        <f aca="false">IF($C456="","",IF(AND($U456="Débito",$F456&lt;&gt;""),$F456,$E456))</f>
        <v/>
      </c>
      <c r="AB456" s="13" t="str">
        <f aca="false">IF(OR($C456="",$T456="Mixta",$AA456=""),"",IF($V456="Subyacente",IF($J456="","",$J456-$K456),IF($T456="Put",$AA456-$K456,$AA456+$K456)))</f>
        <v/>
      </c>
      <c r="AC456" s="14" t="str">
        <f aca="false">IF(OR($C456="",$T456="Mixta",$J456="",$AA456=""),"",IF($T456="Put",($J456-$AA456)/$J456,($AA456-$J456)/$J456))</f>
        <v/>
      </c>
      <c r="AD456" s="12" t="str">
        <f aca="false">IF($C456="","",IF($Q456&lt;&gt;"",$Q456,IF($V456="Strike",N($E456)*$H456*$I456,IF($V456="Subyacente",IF($J456="","",$J456*$H456*$I456),IF($V456="Ancho",IF($F456="","",ABS($E456-$F456)*$H456*$I456-$K456*$H456*$I456),IF($V456="Prima",$K456*$H456*$I456,""))))))</f>
        <v/>
      </c>
      <c r="AE456" s="12" t="str">
        <f aca="false">IF(OR($C456="",$M456="Abierta",$M456=""),"",(N($K456)-IF(OR($M456="Cerrada",$M456="Rolada"),N($O456),0))*$H456*$I456*IF($U456="Débito",-1,1)-N($L456)-N($P456))</f>
        <v/>
      </c>
      <c r="AF456" s="14" t="str">
        <f aca="false">IF(OR($AE456="",$AD456=""),"",IF($AD456&lt;=0,"",$AE456/$AD456))</f>
        <v/>
      </c>
      <c r="AG456" s="14" t="str">
        <f aca="false">IF($AF456="","",$AF456*365/MAX(N($X456),1))</f>
        <v/>
      </c>
      <c r="AH456" s="14" t="str">
        <f aca="false">IF(OR($C456="",$U456&lt;&gt;"Crédito",$AD456=""),"",IF($AD456&lt;=0,"",($Z456-N($L456))/$AD456))</f>
        <v/>
      </c>
      <c r="AI456" s="14" t="str">
        <f aca="false">IF(OR($AH456="",$W456=""),"",$AH456*365/MAX($W456,1))</f>
        <v/>
      </c>
      <c r="AJ456" s="14" t="str">
        <f aca="false">IF(OR($AE456="",$U456&lt;&gt;"Crédito",N($K456)=0),"",(N($K456)-IF(OR($M456="Cerrada",$M456="Rolada"),N($O456),0))/$K456)</f>
        <v/>
      </c>
      <c r="AK456" s="15" t="str">
        <f aca="false">IF(OR($C456="",$N456=""),"",DATE(YEAR($N456),MONTH($N456),1))</f>
        <v/>
      </c>
      <c r="AL456" s="11" t="str">
        <f aca="false">IF($C456="","",IF($M456="Abierta",0,1))</f>
        <v/>
      </c>
      <c r="AM456" s="16" t="str">
        <f aca="false">IF(OR($AE456="",$AD456=""),"",$AD456*MAX(N($X456),1))</f>
        <v/>
      </c>
      <c r="AN456" s="10" t="str">
        <f aca="false">IF($C456="","",IF(OR($B456="",$D456="",$H456="",$K456="",$M456=""),"Faltan datos obligatorios",IF($T456="","Estrategia no reconocida",IF(AND($M456&lt;&gt;"Abierta",$N456=""),"Falta fecha cierre",IF(AND(OR($M456="Cerrada",$M456="Rolada"),$O456=""),"Falta prima cierre",IF(AND($N456&lt;&gt;"",$N456&lt;$B456),"Cierre anterior a apertura",IF(AND($M456="Asignada",$R456=""),"Asignada: falta ID lote acciones",IF(AND($R456&lt;&gt;"",ISNA(MATCH($R456,Acciones!$A$2:$A$201,0))),"El ID lote no existe en Acciones",IF($AD456="","Revisa capital en riesgo","OK")))))))))</f>
        <v/>
      </c>
    </row>
    <row r="457" customFormat="false" ht="15" hidden="false" customHeight="true" outlineLevel="0" collapsed="false">
      <c r="A457" s="5"/>
      <c r="B457" s="6"/>
      <c r="C457" s="7"/>
      <c r="D457" s="7"/>
      <c r="E457" s="8"/>
      <c r="F457" s="8"/>
      <c r="G457" s="6"/>
      <c r="H457" s="5"/>
      <c r="I457" s="5" t="n">
        <v>100</v>
      </c>
      <c r="J457" s="8"/>
      <c r="K457" s="8"/>
      <c r="L457" s="9"/>
      <c r="M457" s="7"/>
      <c r="N457" s="6"/>
      <c r="O457" s="8"/>
      <c r="P457" s="9"/>
      <c r="Q457" s="9"/>
      <c r="R457" s="7"/>
      <c r="S457" s="7"/>
      <c r="T457" s="10" t="str">
        <f aca="false">IF($C457="","",IFERROR(INDEX(Listas!$B$2:$B$20,MATCH($D457,Listas!$A$2:$A$20,0)),""))</f>
        <v/>
      </c>
      <c r="U457" s="10" t="str">
        <f aca="false">IF($C457="","",IFERROR(INDEX(Listas!$C$2:$C$20,MATCH($D457,Listas!$A$2:$A$20,0)),""))</f>
        <v/>
      </c>
      <c r="V457" s="10" t="str">
        <f aca="false">IF($C457="","",IFERROR(INDEX(Listas!$D$2:$D$20,MATCH($D457,Listas!$A$2:$A$20,0)),""))</f>
        <v/>
      </c>
      <c r="W457" s="11" t="str">
        <f aca="false">IF(OR($C457="",$B457="",$G457=""),"",$G457-$B457)</f>
        <v/>
      </c>
      <c r="X457" s="11" t="str">
        <f aca="true">IF(OR($C457="",$B457=""),"",IF($N457&lt;&gt;"",$N457,TODAY())-$B457)</f>
        <v/>
      </c>
      <c r="Y457" s="11" t="str">
        <f aca="true">IF(OR($C457="",$M457&lt;&gt;"Abierta",$G457=""),"",MAX($G457-TODAY(),0))</f>
        <v/>
      </c>
      <c r="Z457" s="12" t="str">
        <f aca="false">IF($C457="","",N($K457)*N($H457)*N($I457)*IF($U457="Débito",-1,1))</f>
        <v/>
      </c>
      <c r="AA457" s="13" t="str">
        <f aca="false">IF($C457="","",IF(AND($U457="Débito",$F457&lt;&gt;""),$F457,$E457))</f>
        <v/>
      </c>
      <c r="AB457" s="13" t="str">
        <f aca="false">IF(OR($C457="",$T457="Mixta",$AA457=""),"",IF($V457="Subyacente",IF($J457="","",$J457-$K457),IF($T457="Put",$AA457-$K457,$AA457+$K457)))</f>
        <v/>
      </c>
      <c r="AC457" s="14" t="str">
        <f aca="false">IF(OR($C457="",$T457="Mixta",$J457="",$AA457=""),"",IF($T457="Put",($J457-$AA457)/$J457,($AA457-$J457)/$J457))</f>
        <v/>
      </c>
      <c r="AD457" s="12" t="str">
        <f aca="false">IF($C457="","",IF($Q457&lt;&gt;"",$Q457,IF($V457="Strike",N($E457)*$H457*$I457,IF($V457="Subyacente",IF($J457="","",$J457*$H457*$I457),IF($V457="Ancho",IF($F457="","",ABS($E457-$F457)*$H457*$I457-$K457*$H457*$I457),IF($V457="Prima",$K457*$H457*$I457,""))))))</f>
        <v/>
      </c>
      <c r="AE457" s="12" t="str">
        <f aca="false">IF(OR($C457="",$M457="Abierta",$M457=""),"",(N($K457)-IF(OR($M457="Cerrada",$M457="Rolada"),N($O457),0))*$H457*$I457*IF($U457="Débito",-1,1)-N($L457)-N($P457))</f>
        <v/>
      </c>
      <c r="AF457" s="14" t="str">
        <f aca="false">IF(OR($AE457="",$AD457=""),"",IF($AD457&lt;=0,"",$AE457/$AD457))</f>
        <v/>
      </c>
      <c r="AG457" s="14" t="str">
        <f aca="false">IF($AF457="","",$AF457*365/MAX(N($X457),1))</f>
        <v/>
      </c>
      <c r="AH457" s="14" t="str">
        <f aca="false">IF(OR($C457="",$U457&lt;&gt;"Crédito",$AD457=""),"",IF($AD457&lt;=0,"",($Z457-N($L457))/$AD457))</f>
        <v/>
      </c>
      <c r="AI457" s="14" t="str">
        <f aca="false">IF(OR($AH457="",$W457=""),"",$AH457*365/MAX($W457,1))</f>
        <v/>
      </c>
      <c r="AJ457" s="14" t="str">
        <f aca="false">IF(OR($AE457="",$U457&lt;&gt;"Crédito",N($K457)=0),"",(N($K457)-IF(OR($M457="Cerrada",$M457="Rolada"),N($O457),0))/$K457)</f>
        <v/>
      </c>
      <c r="AK457" s="15" t="str">
        <f aca="false">IF(OR($C457="",$N457=""),"",DATE(YEAR($N457),MONTH($N457),1))</f>
        <v/>
      </c>
      <c r="AL457" s="11" t="str">
        <f aca="false">IF($C457="","",IF($M457="Abierta",0,1))</f>
        <v/>
      </c>
      <c r="AM457" s="16" t="str">
        <f aca="false">IF(OR($AE457="",$AD457=""),"",$AD457*MAX(N($X457),1))</f>
        <v/>
      </c>
      <c r="AN457" s="10" t="str">
        <f aca="false">IF($C457="","",IF(OR($B457="",$D457="",$H457="",$K457="",$M457=""),"Faltan datos obligatorios",IF($T457="","Estrategia no reconocida",IF(AND($M457&lt;&gt;"Abierta",$N457=""),"Falta fecha cierre",IF(AND(OR($M457="Cerrada",$M457="Rolada"),$O457=""),"Falta prima cierre",IF(AND($N457&lt;&gt;"",$N457&lt;$B457),"Cierre anterior a apertura",IF(AND($M457="Asignada",$R457=""),"Asignada: falta ID lote acciones",IF(AND($R457&lt;&gt;"",ISNA(MATCH($R457,Acciones!$A$2:$A$201,0))),"El ID lote no existe en Acciones",IF($AD457="","Revisa capital en riesgo","OK")))))))))</f>
        <v/>
      </c>
    </row>
    <row r="458" customFormat="false" ht="15" hidden="false" customHeight="true" outlineLevel="0" collapsed="false">
      <c r="A458" s="5"/>
      <c r="B458" s="6"/>
      <c r="C458" s="7"/>
      <c r="D458" s="7"/>
      <c r="E458" s="8"/>
      <c r="F458" s="8"/>
      <c r="G458" s="6"/>
      <c r="H458" s="5"/>
      <c r="I458" s="5" t="n">
        <v>100</v>
      </c>
      <c r="J458" s="8"/>
      <c r="K458" s="8"/>
      <c r="L458" s="9"/>
      <c r="M458" s="7"/>
      <c r="N458" s="6"/>
      <c r="O458" s="8"/>
      <c r="P458" s="9"/>
      <c r="Q458" s="9"/>
      <c r="R458" s="7"/>
      <c r="S458" s="7"/>
      <c r="T458" s="10" t="str">
        <f aca="false">IF($C458="","",IFERROR(INDEX(Listas!$B$2:$B$20,MATCH($D458,Listas!$A$2:$A$20,0)),""))</f>
        <v/>
      </c>
      <c r="U458" s="10" t="str">
        <f aca="false">IF($C458="","",IFERROR(INDEX(Listas!$C$2:$C$20,MATCH($D458,Listas!$A$2:$A$20,0)),""))</f>
        <v/>
      </c>
      <c r="V458" s="10" t="str">
        <f aca="false">IF($C458="","",IFERROR(INDEX(Listas!$D$2:$D$20,MATCH($D458,Listas!$A$2:$A$20,0)),""))</f>
        <v/>
      </c>
      <c r="W458" s="11" t="str">
        <f aca="false">IF(OR($C458="",$B458="",$G458=""),"",$G458-$B458)</f>
        <v/>
      </c>
      <c r="X458" s="11" t="str">
        <f aca="true">IF(OR($C458="",$B458=""),"",IF($N458&lt;&gt;"",$N458,TODAY())-$B458)</f>
        <v/>
      </c>
      <c r="Y458" s="11" t="str">
        <f aca="true">IF(OR($C458="",$M458&lt;&gt;"Abierta",$G458=""),"",MAX($G458-TODAY(),0))</f>
        <v/>
      </c>
      <c r="Z458" s="12" t="str">
        <f aca="false">IF($C458="","",N($K458)*N($H458)*N($I458)*IF($U458="Débito",-1,1))</f>
        <v/>
      </c>
      <c r="AA458" s="13" t="str">
        <f aca="false">IF($C458="","",IF(AND($U458="Débito",$F458&lt;&gt;""),$F458,$E458))</f>
        <v/>
      </c>
      <c r="AB458" s="13" t="str">
        <f aca="false">IF(OR($C458="",$T458="Mixta",$AA458=""),"",IF($V458="Subyacente",IF($J458="","",$J458-$K458),IF($T458="Put",$AA458-$K458,$AA458+$K458)))</f>
        <v/>
      </c>
      <c r="AC458" s="14" t="str">
        <f aca="false">IF(OR($C458="",$T458="Mixta",$J458="",$AA458=""),"",IF($T458="Put",($J458-$AA458)/$J458,($AA458-$J458)/$J458))</f>
        <v/>
      </c>
      <c r="AD458" s="12" t="str">
        <f aca="false">IF($C458="","",IF($Q458&lt;&gt;"",$Q458,IF($V458="Strike",N($E458)*$H458*$I458,IF($V458="Subyacente",IF($J458="","",$J458*$H458*$I458),IF($V458="Ancho",IF($F458="","",ABS($E458-$F458)*$H458*$I458-$K458*$H458*$I458),IF($V458="Prima",$K458*$H458*$I458,""))))))</f>
        <v/>
      </c>
      <c r="AE458" s="12" t="str">
        <f aca="false">IF(OR($C458="",$M458="Abierta",$M458=""),"",(N($K458)-IF(OR($M458="Cerrada",$M458="Rolada"),N($O458),0))*$H458*$I458*IF($U458="Débito",-1,1)-N($L458)-N($P458))</f>
        <v/>
      </c>
      <c r="AF458" s="14" t="str">
        <f aca="false">IF(OR($AE458="",$AD458=""),"",IF($AD458&lt;=0,"",$AE458/$AD458))</f>
        <v/>
      </c>
      <c r="AG458" s="14" t="str">
        <f aca="false">IF($AF458="","",$AF458*365/MAX(N($X458),1))</f>
        <v/>
      </c>
      <c r="AH458" s="14" t="str">
        <f aca="false">IF(OR($C458="",$U458&lt;&gt;"Crédito",$AD458=""),"",IF($AD458&lt;=0,"",($Z458-N($L458))/$AD458))</f>
        <v/>
      </c>
      <c r="AI458" s="14" t="str">
        <f aca="false">IF(OR($AH458="",$W458=""),"",$AH458*365/MAX($W458,1))</f>
        <v/>
      </c>
      <c r="AJ458" s="14" t="str">
        <f aca="false">IF(OR($AE458="",$U458&lt;&gt;"Crédito",N($K458)=0),"",(N($K458)-IF(OR($M458="Cerrada",$M458="Rolada"),N($O458),0))/$K458)</f>
        <v/>
      </c>
      <c r="AK458" s="15" t="str">
        <f aca="false">IF(OR($C458="",$N458=""),"",DATE(YEAR($N458),MONTH($N458),1))</f>
        <v/>
      </c>
      <c r="AL458" s="11" t="str">
        <f aca="false">IF($C458="","",IF($M458="Abierta",0,1))</f>
        <v/>
      </c>
      <c r="AM458" s="16" t="str">
        <f aca="false">IF(OR($AE458="",$AD458=""),"",$AD458*MAX(N($X458),1))</f>
        <v/>
      </c>
      <c r="AN458" s="10" t="str">
        <f aca="false">IF($C458="","",IF(OR($B458="",$D458="",$H458="",$K458="",$M458=""),"Faltan datos obligatorios",IF($T458="","Estrategia no reconocida",IF(AND($M458&lt;&gt;"Abierta",$N458=""),"Falta fecha cierre",IF(AND(OR($M458="Cerrada",$M458="Rolada"),$O458=""),"Falta prima cierre",IF(AND($N458&lt;&gt;"",$N458&lt;$B458),"Cierre anterior a apertura",IF(AND($M458="Asignada",$R458=""),"Asignada: falta ID lote acciones",IF(AND($R458&lt;&gt;"",ISNA(MATCH($R458,Acciones!$A$2:$A$201,0))),"El ID lote no existe en Acciones",IF($AD458="","Revisa capital en riesgo","OK")))))))))</f>
        <v/>
      </c>
    </row>
    <row r="459" customFormat="false" ht="15" hidden="false" customHeight="true" outlineLevel="0" collapsed="false">
      <c r="A459" s="5"/>
      <c r="B459" s="6"/>
      <c r="C459" s="7"/>
      <c r="D459" s="7"/>
      <c r="E459" s="8"/>
      <c r="F459" s="8"/>
      <c r="G459" s="6"/>
      <c r="H459" s="5"/>
      <c r="I459" s="5" t="n">
        <v>100</v>
      </c>
      <c r="J459" s="8"/>
      <c r="K459" s="8"/>
      <c r="L459" s="9"/>
      <c r="M459" s="7"/>
      <c r="N459" s="6"/>
      <c r="O459" s="8"/>
      <c r="P459" s="9"/>
      <c r="Q459" s="9"/>
      <c r="R459" s="7"/>
      <c r="S459" s="7"/>
      <c r="T459" s="10" t="str">
        <f aca="false">IF($C459="","",IFERROR(INDEX(Listas!$B$2:$B$20,MATCH($D459,Listas!$A$2:$A$20,0)),""))</f>
        <v/>
      </c>
      <c r="U459" s="10" t="str">
        <f aca="false">IF($C459="","",IFERROR(INDEX(Listas!$C$2:$C$20,MATCH($D459,Listas!$A$2:$A$20,0)),""))</f>
        <v/>
      </c>
      <c r="V459" s="10" t="str">
        <f aca="false">IF($C459="","",IFERROR(INDEX(Listas!$D$2:$D$20,MATCH($D459,Listas!$A$2:$A$20,0)),""))</f>
        <v/>
      </c>
      <c r="W459" s="11" t="str">
        <f aca="false">IF(OR($C459="",$B459="",$G459=""),"",$G459-$B459)</f>
        <v/>
      </c>
      <c r="X459" s="11" t="str">
        <f aca="true">IF(OR($C459="",$B459=""),"",IF($N459&lt;&gt;"",$N459,TODAY())-$B459)</f>
        <v/>
      </c>
      <c r="Y459" s="11" t="str">
        <f aca="true">IF(OR($C459="",$M459&lt;&gt;"Abierta",$G459=""),"",MAX($G459-TODAY(),0))</f>
        <v/>
      </c>
      <c r="Z459" s="12" t="str">
        <f aca="false">IF($C459="","",N($K459)*N($H459)*N($I459)*IF($U459="Débito",-1,1))</f>
        <v/>
      </c>
      <c r="AA459" s="13" t="str">
        <f aca="false">IF($C459="","",IF(AND($U459="Débito",$F459&lt;&gt;""),$F459,$E459))</f>
        <v/>
      </c>
      <c r="AB459" s="13" t="str">
        <f aca="false">IF(OR($C459="",$T459="Mixta",$AA459=""),"",IF($V459="Subyacente",IF($J459="","",$J459-$K459),IF($T459="Put",$AA459-$K459,$AA459+$K459)))</f>
        <v/>
      </c>
      <c r="AC459" s="14" t="str">
        <f aca="false">IF(OR($C459="",$T459="Mixta",$J459="",$AA459=""),"",IF($T459="Put",($J459-$AA459)/$J459,($AA459-$J459)/$J459))</f>
        <v/>
      </c>
      <c r="AD459" s="12" t="str">
        <f aca="false">IF($C459="","",IF($Q459&lt;&gt;"",$Q459,IF($V459="Strike",N($E459)*$H459*$I459,IF($V459="Subyacente",IF($J459="","",$J459*$H459*$I459),IF($V459="Ancho",IF($F459="","",ABS($E459-$F459)*$H459*$I459-$K459*$H459*$I459),IF($V459="Prima",$K459*$H459*$I459,""))))))</f>
        <v/>
      </c>
      <c r="AE459" s="12" t="str">
        <f aca="false">IF(OR($C459="",$M459="Abierta",$M459=""),"",(N($K459)-IF(OR($M459="Cerrada",$M459="Rolada"),N($O459),0))*$H459*$I459*IF($U459="Débito",-1,1)-N($L459)-N($P459))</f>
        <v/>
      </c>
      <c r="AF459" s="14" t="str">
        <f aca="false">IF(OR($AE459="",$AD459=""),"",IF($AD459&lt;=0,"",$AE459/$AD459))</f>
        <v/>
      </c>
      <c r="AG459" s="14" t="str">
        <f aca="false">IF($AF459="","",$AF459*365/MAX(N($X459),1))</f>
        <v/>
      </c>
      <c r="AH459" s="14" t="str">
        <f aca="false">IF(OR($C459="",$U459&lt;&gt;"Crédito",$AD459=""),"",IF($AD459&lt;=0,"",($Z459-N($L459))/$AD459))</f>
        <v/>
      </c>
      <c r="AI459" s="14" t="str">
        <f aca="false">IF(OR($AH459="",$W459=""),"",$AH459*365/MAX($W459,1))</f>
        <v/>
      </c>
      <c r="AJ459" s="14" t="str">
        <f aca="false">IF(OR($AE459="",$U459&lt;&gt;"Crédito",N($K459)=0),"",(N($K459)-IF(OR($M459="Cerrada",$M459="Rolada"),N($O459),0))/$K459)</f>
        <v/>
      </c>
      <c r="AK459" s="15" t="str">
        <f aca="false">IF(OR($C459="",$N459=""),"",DATE(YEAR($N459),MONTH($N459),1))</f>
        <v/>
      </c>
      <c r="AL459" s="11" t="str">
        <f aca="false">IF($C459="","",IF($M459="Abierta",0,1))</f>
        <v/>
      </c>
      <c r="AM459" s="16" t="str">
        <f aca="false">IF(OR($AE459="",$AD459=""),"",$AD459*MAX(N($X459),1))</f>
        <v/>
      </c>
      <c r="AN459" s="10" t="str">
        <f aca="false">IF($C459="","",IF(OR($B459="",$D459="",$H459="",$K459="",$M459=""),"Faltan datos obligatorios",IF($T459="","Estrategia no reconocida",IF(AND($M459&lt;&gt;"Abierta",$N459=""),"Falta fecha cierre",IF(AND(OR($M459="Cerrada",$M459="Rolada"),$O459=""),"Falta prima cierre",IF(AND($N459&lt;&gt;"",$N459&lt;$B459),"Cierre anterior a apertura",IF(AND($M459="Asignada",$R459=""),"Asignada: falta ID lote acciones",IF(AND($R459&lt;&gt;"",ISNA(MATCH($R459,Acciones!$A$2:$A$201,0))),"El ID lote no existe en Acciones",IF($AD459="","Revisa capital en riesgo","OK")))))))))</f>
        <v/>
      </c>
    </row>
    <row r="460" customFormat="false" ht="15" hidden="false" customHeight="true" outlineLevel="0" collapsed="false">
      <c r="A460" s="5"/>
      <c r="B460" s="6"/>
      <c r="C460" s="7"/>
      <c r="D460" s="7"/>
      <c r="E460" s="8"/>
      <c r="F460" s="8"/>
      <c r="G460" s="6"/>
      <c r="H460" s="5"/>
      <c r="I460" s="5" t="n">
        <v>100</v>
      </c>
      <c r="J460" s="8"/>
      <c r="K460" s="8"/>
      <c r="L460" s="9"/>
      <c r="M460" s="7"/>
      <c r="N460" s="6"/>
      <c r="O460" s="8"/>
      <c r="P460" s="9"/>
      <c r="Q460" s="9"/>
      <c r="R460" s="7"/>
      <c r="S460" s="7"/>
      <c r="T460" s="10" t="str">
        <f aca="false">IF($C460="","",IFERROR(INDEX(Listas!$B$2:$B$20,MATCH($D460,Listas!$A$2:$A$20,0)),""))</f>
        <v/>
      </c>
      <c r="U460" s="10" t="str">
        <f aca="false">IF($C460="","",IFERROR(INDEX(Listas!$C$2:$C$20,MATCH($D460,Listas!$A$2:$A$20,0)),""))</f>
        <v/>
      </c>
      <c r="V460" s="10" t="str">
        <f aca="false">IF($C460="","",IFERROR(INDEX(Listas!$D$2:$D$20,MATCH($D460,Listas!$A$2:$A$20,0)),""))</f>
        <v/>
      </c>
      <c r="W460" s="11" t="str">
        <f aca="false">IF(OR($C460="",$B460="",$G460=""),"",$G460-$B460)</f>
        <v/>
      </c>
      <c r="X460" s="11" t="str">
        <f aca="true">IF(OR($C460="",$B460=""),"",IF($N460&lt;&gt;"",$N460,TODAY())-$B460)</f>
        <v/>
      </c>
      <c r="Y460" s="11" t="str">
        <f aca="true">IF(OR($C460="",$M460&lt;&gt;"Abierta",$G460=""),"",MAX($G460-TODAY(),0))</f>
        <v/>
      </c>
      <c r="Z460" s="12" t="str">
        <f aca="false">IF($C460="","",N($K460)*N($H460)*N($I460)*IF($U460="Débito",-1,1))</f>
        <v/>
      </c>
      <c r="AA460" s="13" t="str">
        <f aca="false">IF($C460="","",IF(AND($U460="Débito",$F460&lt;&gt;""),$F460,$E460))</f>
        <v/>
      </c>
      <c r="AB460" s="13" t="str">
        <f aca="false">IF(OR($C460="",$T460="Mixta",$AA460=""),"",IF($V460="Subyacente",IF($J460="","",$J460-$K460),IF($T460="Put",$AA460-$K460,$AA460+$K460)))</f>
        <v/>
      </c>
      <c r="AC460" s="14" t="str">
        <f aca="false">IF(OR($C460="",$T460="Mixta",$J460="",$AA460=""),"",IF($T460="Put",($J460-$AA460)/$J460,($AA460-$J460)/$J460))</f>
        <v/>
      </c>
      <c r="AD460" s="12" t="str">
        <f aca="false">IF($C460="","",IF($Q460&lt;&gt;"",$Q460,IF($V460="Strike",N($E460)*$H460*$I460,IF($V460="Subyacente",IF($J460="","",$J460*$H460*$I460),IF($V460="Ancho",IF($F460="","",ABS($E460-$F460)*$H460*$I460-$K460*$H460*$I460),IF($V460="Prima",$K460*$H460*$I460,""))))))</f>
        <v/>
      </c>
      <c r="AE460" s="12" t="str">
        <f aca="false">IF(OR($C460="",$M460="Abierta",$M460=""),"",(N($K460)-IF(OR($M460="Cerrada",$M460="Rolada"),N($O460),0))*$H460*$I460*IF($U460="Débito",-1,1)-N($L460)-N($P460))</f>
        <v/>
      </c>
      <c r="AF460" s="14" t="str">
        <f aca="false">IF(OR($AE460="",$AD460=""),"",IF($AD460&lt;=0,"",$AE460/$AD460))</f>
        <v/>
      </c>
      <c r="AG460" s="14" t="str">
        <f aca="false">IF($AF460="","",$AF460*365/MAX(N($X460),1))</f>
        <v/>
      </c>
      <c r="AH460" s="14" t="str">
        <f aca="false">IF(OR($C460="",$U460&lt;&gt;"Crédito",$AD460=""),"",IF($AD460&lt;=0,"",($Z460-N($L460))/$AD460))</f>
        <v/>
      </c>
      <c r="AI460" s="14" t="str">
        <f aca="false">IF(OR($AH460="",$W460=""),"",$AH460*365/MAX($W460,1))</f>
        <v/>
      </c>
      <c r="AJ460" s="14" t="str">
        <f aca="false">IF(OR($AE460="",$U460&lt;&gt;"Crédito",N($K460)=0),"",(N($K460)-IF(OR($M460="Cerrada",$M460="Rolada"),N($O460),0))/$K460)</f>
        <v/>
      </c>
      <c r="AK460" s="15" t="str">
        <f aca="false">IF(OR($C460="",$N460=""),"",DATE(YEAR($N460),MONTH($N460),1))</f>
        <v/>
      </c>
      <c r="AL460" s="11" t="str">
        <f aca="false">IF($C460="","",IF($M460="Abierta",0,1))</f>
        <v/>
      </c>
      <c r="AM460" s="16" t="str">
        <f aca="false">IF(OR($AE460="",$AD460=""),"",$AD460*MAX(N($X460),1))</f>
        <v/>
      </c>
      <c r="AN460" s="10" t="str">
        <f aca="false">IF($C460="","",IF(OR($B460="",$D460="",$H460="",$K460="",$M460=""),"Faltan datos obligatorios",IF($T460="","Estrategia no reconocida",IF(AND($M460&lt;&gt;"Abierta",$N460=""),"Falta fecha cierre",IF(AND(OR($M460="Cerrada",$M460="Rolada"),$O460=""),"Falta prima cierre",IF(AND($N460&lt;&gt;"",$N460&lt;$B460),"Cierre anterior a apertura",IF(AND($M460="Asignada",$R460=""),"Asignada: falta ID lote acciones",IF(AND($R460&lt;&gt;"",ISNA(MATCH($R460,Acciones!$A$2:$A$201,0))),"El ID lote no existe en Acciones",IF($AD460="","Revisa capital en riesgo","OK")))))))))</f>
        <v/>
      </c>
    </row>
    <row r="461" customFormat="false" ht="15" hidden="false" customHeight="true" outlineLevel="0" collapsed="false">
      <c r="A461" s="5"/>
      <c r="B461" s="6"/>
      <c r="C461" s="7"/>
      <c r="D461" s="7"/>
      <c r="E461" s="8"/>
      <c r="F461" s="8"/>
      <c r="G461" s="6"/>
      <c r="H461" s="5"/>
      <c r="I461" s="5" t="n">
        <v>100</v>
      </c>
      <c r="J461" s="8"/>
      <c r="K461" s="8"/>
      <c r="L461" s="9"/>
      <c r="M461" s="7"/>
      <c r="N461" s="6"/>
      <c r="O461" s="8"/>
      <c r="P461" s="9"/>
      <c r="Q461" s="9"/>
      <c r="R461" s="7"/>
      <c r="S461" s="7"/>
      <c r="T461" s="10" t="str">
        <f aca="false">IF($C461="","",IFERROR(INDEX(Listas!$B$2:$B$20,MATCH($D461,Listas!$A$2:$A$20,0)),""))</f>
        <v/>
      </c>
      <c r="U461" s="10" t="str">
        <f aca="false">IF($C461="","",IFERROR(INDEX(Listas!$C$2:$C$20,MATCH($D461,Listas!$A$2:$A$20,0)),""))</f>
        <v/>
      </c>
      <c r="V461" s="10" t="str">
        <f aca="false">IF($C461="","",IFERROR(INDEX(Listas!$D$2:$D$20,MATCH($D461,Listas!$A$2:$A$20,0)),""))</f>
        <v/>
      </c>
      <c r="W461" s="11" t="str">
        <f aca="false">IF(OR($C461="",$B461="",$G461=""),"",$G461-$B461)</f>
        <v/>
      </c>
      <c r="X461" s="11" t="str">
        <f aca="true">IF(OR($C461="",$B461=""),"",IF($N461&lt;&gt;"",$N461,TODAY())-$B461)</f>
        <v/>
      </c>
      <c r="Y461" s="11" t="str">
        <f aca="true">IF(OR($C461="",$M461&lt;&gt;"Abierta",$G461=""),"",MAX($G461-TODAY(),0))</f>
        <v/>
      </c>
      <c r="Z461" s="12" t="str">
        <f aca="false">IF($C461="","",N($K461)*N($H461)*N($I461)*IF($U461="Débito",-1,1))</f>
        <v/>
      </c>
      <c r="AA461" s="13" t="str">
        <f aca="false">IF($C461="","",IF(AND($U461="Débito",$F461&lt;&gt;""),$F461,$E461))</f>
        <v/>
      </c>
      <c r="AB461" s="13" t="str">
        <f aca="false">IF(OR($C461="",$T461="Mixta",$AA461=""),"",IF($V461="Subyacente",IF($J461="","",$J461-$K461),IF($T461="Put",$AA461-$K461,$AA461+$K461)))</f>
        <v/>
      </c>
      <c r="AC461" s="14" t="str">
        <f aca="false">IF(OR($C461="",$T461="Mixta",$J461="",$AA461=""),"",IF($T461="Put",($J461-$AA461)/$J461,($AA461-$J461)/$J461))</f>
        <v/>
      </c>
      <c r="AD461" s="12" t="str">
        <f aca="false">IF($C461="","",IF($Q461&lt;&gt;"",$Q461,IF($V461="Strike",N($E461)*$H461*$I461,IF($V461="Subyacente",IF($J461="","",$J461*$H461*$I461),IF($V461="Ancho",IF($F461="","",ABS($E461-$F461)*$H461*$I461-$K461*$H461*$I461),IF($V461="Prima",$K461*$H461*$I461,""))))))</f>
        <v/>
      </c>
      <c r="AE461" s="12" t="str">
        <f aca="false">IF(OR($C461="",$M461="Abierta",$M461=""),"",(N($K461)-IF(OR($M461="Cerrada",$M461="Rolada"),N($O461),0))*$H461*$I461*IF($U461="Débito",-1,1)-N($L461)-N($P461))</f>
        <v/>
      </c>
      <c r="AF461" s="14" t="str">
        <f aca="false">IF(OR($AE461="",$AD461=""),"",IF($AD461&lt;=0,"",$AE461/$AD461))</f>
        <v/>
      </c>
      <c r="AG461" s="14" t="str">
        <f aca="false">IF($AF461="","",$AF461*365/MAX(N($X461),1))</f>
        <v/>
      </c>
      <c r="AH461" s="14" t="str">
        <f aca="false">IF(OR($C461="",$U461&lt;&gt;"Crédito",$AD461=""),"",IF($AD461&lt;=0,"",($Z461-N($L461))/$AD461))</f>
        <v/>
      </c>
      <c r="AI461" s="14" t="str">
        <f aca="false">IF(OR($AH461="",$W461=""),"",$AH461*365/MAX($W461,1))</f>
        <v/>
      </c>
      <c r="AJ461" s="14" t="str">
        <f aca="false">IF(OR($AE461="",$U461&lt;&gt;"Crédito",N($K461)=0),"",(N($K461)-IF(OR($M461="Cerrada",$M461="Rolada"),N($O461),0))/$K461)</f>
        <v/>
      </c>
      <c r="AK461" s="15" t="str">
        <f aca="false">IF(OR($C461="",$N461=""),"",DATE(YEAR($N461),MONTH($N461),1))</f>
        <v/>
      </c>
      <c r="AL461" s="11" t="str">
        <f aca="false">IF($C461="","",IF($M461="Abierta",0,1))</f>
        <v/>
      </c>
      <c r="AM461" s="16" t="str">
        <f aca="false">IF(OR($AE461="",$AD461=""),"",$AD461*MAX(N($X461),1))</f>
        <v/>
      </c>
      <c r="AN461" s="10" t="str">
        <f aca="false">IF($C461="","",IF(OR($B461="",$D461="",$H461="",$K461="",$M461=""),"Faltan datos obligatorios",IF($T461="","Estrategia no reconocida",IF(AND($M461&lt;&gt;"Abierta",$N461=""),"Falta fecha cierre",IF(AND(OR($M461="Cerrada",$M461="Rolada"),$O461=""),"Falta prima cierre",IF(AND($N461&lt;&gt;"",$N461&lt;$B461),"Cierre anterior a apertura",IF(AND($M461="Asignada",$R461=""),"Asignada: falta ID lote acciones",IF(AND($R461&lt;&gt;"",ISNA(MATCH($R461,Acciones!$A$2:$A$201,0))),"El ID lote no existe en Acciones",IF($AD461="","Revisa capital en riesgo","OK")))))))))</f>
        <v/>
      </c>
    </row>
    <row r="462" customFormat="false" ht="15" hidden="false" customHeight="true" outlineLevel="0" collapsed="false">
      <c r="A462" s="5"/>
      <c r="B462" s="6"/>
      <c r="C462" s="7"/>
      <c r="D462" s="7"/>
      <c r="E462" s="8"/>
      <c r="F462" s="8"/>
      <c r="G462" s="6"/>
      <c r="H462" s="5"/>
      <c r="I462" s="5" t="n">
        <v>100</v>
      </c>
      <c r="J462" s="8"/>
      <c r="K462" s="8"/>
      <c r="L462" s="9"/>
      <c r="M462" s="7"/>
      <c r="N462" s="6"/>
      <c r="O462" s="8"/>
      <c r="P462" s="9"/>
      <c r="Q462" s="9"/>
      <c r="R462" s="7"/>
      <c r="S462" s="7"/>
      <c r="T462" s="10" t="str">
        <f aca="false">IF($C462="","",IFERROR(INDEX(Listas!$B$2:$B$20,MATCH($D462,Listas!$A$2:$A$20,0)),""))</f>
        <v/>
      </c>
      <c r="U462" s="10" t="str">
        <f aca="false">IF($C462="","",IFERROR(INDEX(Listas!$C$2:$C$20,MATCH($D462,Listas!$A$2:$A$20,0)),""))</f>
        <v/>
      </c>
      <c r="V462" s="10" t="str">
        <f aca="false">IF($C462="","",IFERROR(INDEX(Listas!$D$2:$D$20,MATCH($D462,Listas!$A$2:$A$20,0)),""))</f>
        <v/>
      </c>
      <c r="W462" s="11" t="str">
        <f aca="false">IF(OR($C462="",$B462="",$G462=""),"",$G462-$B462)</f>
        <v/>
      </c>
      <c r="X462" s="11" t="str">
        <f aca="true">IF(OR($C462="",$B462=""),"",IF($N462&lt;&gt;"",$N462,TODAY())-$B462)</f>
        <v/>
      </c>
      <c r="Y462" s="11" t="str">
        <f aca="true">IF(OR($C462="",$M462&lt;&gt;"Abierta",$G462=""),"",MAX($G462-TODAY(),0))</f>
        <v/>
      </c>
      <c r="Z462" s="12" t="str">
        <f aca="false">IF($C462="","",N($K462)*N($H462)*N($I462)*IF($U462="Débito",-1,1))</f>
        <v/>
      </c>
      <c r="AA462" s="13" t="str">
        <f aca="false">IF($C462="","",IF(AND($U462="Débito",$F462&lt;&gt;""),$F462,$E462))</f>
        <v/>
      </c>
      <c r="AB462" s="13" t="str">
        <f aca="false">IF(OR($C462="",$T462="Mixta",$AA462=""),"",IF($V462="Subyacente",IF($J462="","",$J462-$K462),IF($T462="Put",$AA462-$K462,$AA462+$K462)))</f>
        <v/>
      </c>
      <c r="AC462" s="14" t="str">
        <f aca="false">IF(OR($C462="",$T462="Mixta",$J462="",$AA462=""),"",IF($T462="Put",($J462-$AA462)/$J462,($AA462-$J462)/$J462))</f>
        <v/>
      </c>
      <c r="AD462" s="12" t="str">
        <f aca="false">IF($C462="","",IF($Q462&lt;&gt;"",$Q462,IF($V462="Strike",N($E462)*$H462*$I462,IF($V462="Subyacente",IF($J462="","",$J462*$H462*$I462),IF($V462="Ancho",IF($F462="","",ABS($E462-$F462)*$H462*$I462-$K462*$H462*$I462),IF($V462="Prima",$K462*$H462*$I462,""))))))</f>
        <v/>
      </c>
      <c r="AE462" s="12" t="str">
        <f aca="false">IF(OR($C462="",$M462="Abierta",$M462=""),"",(N($K462)-IF(OR($M462="Cerrada",$M462="Rolada"),N($O462),0))*$H462*$I462*IF($U462="Débito",-1,1)-N($L462)-N($P462))</f>
        <v/>
      </c>
      <c r="AF462" s="14" t="str">
        <f aca="false">IF(OR($AE462="",$AD462=""),"",IF($AD462&lt;=0,"",$AE462/$AD462))</f>
        <v/>
      </c>
      <c r="AG462" s="14" t="str">
        <f aca="false">IF($AF462="","",$AF462*365/MAX(N($X462),1))</f>
        <v/>
      </c>
      <c r="AH462" s="14" t="str">
        <f aca="false">IF(OR($C462="",$U462&lt;&gt;"Crédito",$AD462=""),"",IF($AD462&lt;=0,"",($Z462-N($L462))/$AD462))</f>
        <v/>
      </c>
      <c r="AI462" s="14" t="str">
        <f aca="false">IF(OR($AH462="",$W462=""),"",$AH462*365/MAX($W462,1))</f>
        <v/>
      </c>
      <c r="AJ462" s="14" t="str">
        <f aca="false">IF(OR($AE462="",$U462&lt;&gt;"Crédito",N($K462)=0),"",(N($K462)-IF(OR($M462="Cerrada",$M462="Rolada"),N($O462),0))/$K462)</f>
        <v/>
      </c>
      <c r="AK462" s="15" t="str">
        <f aca="false">IF(OR($C462="",$N462=""),"",DATE(YEAR($N462),MONTH($N462),1))</f>
        <v/>
      </c>
      <c r="AL462" s="11" t="str">
        <f aca="false">IF($C462="","",IF($M462="Abierta",0,1))</f>
        <v/>
      </c>
      <c r="AM462" s="16" t="str">
        <f aca="false">IF(OR($AE462="",$AD462=""),"",$AD462*MAX(N($X462),1))</f>
        <v/>
      </c>
      <c r="AN462" s="10" t="str">
        <f aca="false">IF($C462="","",IF(OR($B462="",$D462="",$H462="",$K462="",$M462=""),"Faltan datos obligatorios",IF($T462="","Estrategia no reconocida",IF(AND($M462&lt;&gt;"Abierta",$N462=""),"Falta fecha cierre",IF(AND(OR($M462="Cerrada",$M462="Rolada"),$O462=""),"Falta prima cierre",IF(AND($N462&lt;&gt;"",$N462&lt;$B462),"Cierre anterior a apertura",IF(AND($M462="Asignada",$R462=""),"Asignada: falta ID lote acciones",IF(AND($R462&lt;&gt;"",ISNA(MATCH($R462,Acciones!$A$2:$A$201,0))),"El ID lote no existe en Acciones",IF($AD462="","Revisa capital en riesgo","OK")))))))))</f>
        <v/>
      </c>
    </row>
    <row r="463" customFormat="false" ht="15" hidden="false" customHeight="true" outlineLevel="0" collapsed="false">
      <c r="A463" s="5"/>
      <c r="B463" s="6"/>
      <c r="C463" s="7"/>
      <c r="D463" s="7"/>
      <c r="E463" s="8"/>
      <c r="F463" s="8"/>
      <c r="G463" s="6"/>
      <c r="H463" s="5"/>
      <c r="I463" s="5" t="n">
        <v>100</v>
      </c>
      <c r="J463" s="8"/>
      <c r="K463" s="8"/>
      <c r="L463" s="9"/>
      <c r="M463" s="7"/>
      <c r="N463" s="6"/>
      <c r="O463" s="8"/>
      <c r="P463" s="9"/>
      <c r="Q463" s="9"/>
      <c r="R463" s="7"/>
      <c r="S463" s="7"/>
      <c r="T463" s="10" t="str">
        <f aca="false">IF($C463="","",IFERROR(INDEX(Listas!$B$2:$B$20,MATCH($D463,Listas!$A$2:$A$20,0)),""))</f>
        <v/>
      </c>
      <c r="U463" s="10" t="str">
        <f aca="false">IF($C463="","",IFERROR(INDEX(Listas!$C$2:$C$20,MATCH($D463,Listas!$A$2:$A$20,0)),""))</f>
        <v/>
      </c>
      <c r="V463" s="10" t="str">
        <f aca="false">IF($C463="","",IFERROR(INDEX(Listas!$D$2:$D$20,MATCH($D463,Listas!$A$2:$A$20,0)),""))</f>
        <v/>
      </c>
      <c r="W463" s="11" t="str">
        <f aca="false">IF(OR($C463="",$B463="",$G463=""),"",$G463-$B463)</f>
        <v/>
      </c>
      <c r="X463" s="11" t="str">
        <f aca="true">IF(OR($C463="",$B463=""),"",IF($N463&lt;&gt;"",$N463,TODAY())-$B463)</f>
        <v/>
      </c>
      <c r="Y463" s="11" t="str">
        <f aca="true">IF(OR($C463="",$M463&lt;&gt;"Abierta",$G463=""),"",MAX($G463-TODAY(),0))</f>
        <v/>
      </c>
      <c r="Z463" s="12" t="str">
        <f aca="false">IF($C463="","",N($K463)*N($H463)*N($I463)*IF($U463="Débito",-1,1))</f>
        <v/>
      </c>
      <c r="AA463" s="13" t="str">
        <f aca="false">IF($C463="","",IF(AND($U463="Débito",$F463&lt;&gt;""),$F463,$E463))</f>
        <v/>
      </c>
      <c r="AB463" s="13" t="str">
        <f aca="false">IF(OR($C463="",$T463="Mixta",$AA463=""),"",IF($V463="Subyacente",IF($J463="","",$J463-$K463),IF($T463="Put",$AA463-$K463,$AA463+$K463)))</f>
        <v/>
      </c>
      <c r="AC463" s="14" t="str">
        <f aca="false">IF(OR($C463="",$T463="Mixta",$J463="",$AA463=""),"",IF($T463="Put",($J463-$AA463)/$J463,($AA463-$J463)/$J463))</f>
        <v/>
      </c>
      <c r="AD463" s="12" t="str">
        <f aca="false">IF($C463="","",IF($Q463&lt;&gt;"",$Q463,IF($V463="Strike",N($E463)*$H463*$I463,IF($V463="Subyacente",IF($J463="","",$J463*$H463*$I463),IF($V463="Ancho",IF($F463="","",ABS($E463-$F463)*$H463*$I463-$K463*$H463*$I463),IF($V463="Prima",$K463*$H463*$I463,""))))))</f>
        <v/>
      </c>
      <c r="AE463" s="12" t="str">
        <f aca="false">IF(OR($C463="",$M463="Abierta",$M463=""),"",(N($K463)-IF(OR($M463="Cerrada",$M463="Rolada"),N($O463),0))*$H463*$I463*IF($U463="Débito",-1,1)-N($L463)-N($P463))</f>
        <v/>
      </c>
      <c r="AF463" s="14" t="str">
        <f aca="false">IF(OR($AE463="",$AD463=""),"",IF($AD463&lt;=0,"",$AE463/$AD463))</f>
        <v/>
      </c>
      <c r="AG463" s="14" t="str">
        <f aca="false">IF($AF463="","",$AF463*365/MAX(N($X463),1))</f>
        <v/>
      </c>
      <c r="AH463" s="14" t="str">
        <f aca="false">IF(OR($C463="",$U463&lt;&gt;"Crédito",$AD463=""),"",IF($AD463&lt;=0,"",($Z463-N($L463))/$AD463))</f>
        <v/>
      </c>
      <c r="AI463" s="14" t="str">
        <f aca="false">IF(OR($AH463="",$W463=""),"",$AH463*365/MAX($W463,1))</f>
        <v/>
      </c>
      <c r="AJ463" s="14" t="str">
        <f aca="false">IF(OR($AE463="",$U463&lt;&gt;"Crédito",N($K463)=0),"",(N($K463)-IF(OR($M463="Cerrada",$M463="Rolada"),N($O463),0))/$K463)</f>
        <v/>
      </c>
      <c r="AK463" s="15" t="str">
        <f aca="false">IF(OR($C463="",$N463=""),"",DATE(YEAR($N463),MONTH($N463),1))</f>
        <v/>
      </c>
      <c r="AL463" s="11" t="str">
        <f aca="false">IF($C463="","",IF($M463="Abierta",0,1))</f>
        <v/>
      </c>
      <c r="AM463" s="16" t="str">
        <f aca="false">IF(OR($AE463="",$AD463=""),"",$AD463*MAX(N($X463),1))</f>
        <v/>
      </c>
      <c r="AN463" s="10" t="str">
        <f aca="false">IF($C463="","",IF(OR($B463="",$D463="",$H463="",$K463="",$M463=""),"Faltan datos obligatorios",IF($T463="","Estrategia no reconocida",IF(AND($M463&lt;&gt;"Abierta",$N463=""),"Falta fecha cierre",IF(AND(OR($M463="Cerrada",$M463="Rolada"),$O463=""),"Falta prima cierre",IF(AND($N463&lt;&gt;"",$N463&lt;$B463),"Cierre anterior a apertura",IF(AND($M463="Asignada",$R463=""),"Asignada: falta ID lote acciones",IF(AND($R463&lt;&gt;"",ISNA(MATCH($R463,Acciones!$A$2:$A$201,0))),"El ID lote no existe en Acciones",IF($AD463="","Revisa capital en riesgo","OK")))))))))</f>
        <v/>
      </c>
    </row>
    <row r="464" customFormat="false" ht="15" hidden="false" customHeight="true" outlineLevel="0" collapsed="false">
      <c r="A464" s="5"/>
      <c r="B464" s="6"/>
      <c r="C464" s="7"/>
      <c r="D464" s="7"/>
      <c r="E464" s="8"/>
      <c r="F464" s="8"/>
      <c r="G464" s="6"/>
      <c r="H464" s="5"/>
      <c r="I464" s="5" t="n">
        <v>100</v>
      </c>
      <c r="J464" s="8"/>
      <c r="K464" s="8"/>
      <c r="L464" s="9"/>
      <c r="M464" s="7"/>
      <c r="N464" s="6"/>
      <c r="O464" s="8"/>
      <c r="P464" s="9"/>
      <c r="Q464" s="9"/>
      <c r="R464" s="7"/>
      <c r="S464" s="7"/>
      <c r="T464" s="10" t="str">
        <f aca="false">IF($C464="","",IFERROR(INDEX(Listas!$B$2:$B$20,MATCH($D464,Listas!$A$2:$A$20,0)),""))</f>
        <v/>
      </c>
      <c r="U464" s="10" t="str">
        <f aca="false">IF($C464="","",IFERROR(INDEX(Listas!$C$2:$C$20,MATCH($D464,Listas!$A$2:$A$20,0)),""))</f>
        <v/>
      </c>
      <c r="V464" s="10" t="str">
        <f aca="false">IF($C464="","",IFERROR(INDEX(Listas!$D$2:$D$20,MATCH($D464,Listas!$A$2:$A$20,0)),""))</f>
        <v/>
      </c>
      <c r="W464" s="11" t="str">
        <f aca="false">IF(OR($C464="",$B464="",$G464=""),"",$G464-$B464)</f>
        <v/>
      </c>
      <c r="X464" s="11" t="str">
        <f aca="true">IF(OR($C464="",$B464=""),"",IF($N464&lt;&gt;"",$N464,TODAY())-$B464)</f>
        <v/>
      </c>
      <c r="Y464" s="11" t="str">
        <f aca="true">IF(OR($C464="",$M464&lt;&gt;"Abierta",$G464=""),"",MAX($G464-TODAY(),0))</f>
        <v/>
      </c>
      <c r="Z464" s="12" t="str">
        <f aca="false">IF($C464="","",N($K464)*N($H464)*N($I464)*IF($U464="Débito",-1,1))</f>
        <v/>
      </c>
      <c r="AA464" s="13" t="str">
        <f aca="false">IF($C464="","",IF(AND($U464="Débito",$F464&lt;&gt;""),$F464,$E464))</f>
        <v/>
      </c>
      <c r="AB464" s="13" t="str">
        <f aca="false">IF(OR($C464="",$T464="Mixta",$AA464=""),"",IF($V464="Subyacente",IF($J464="","",$J464-$K464),IF($T464="Put",$AA464-$K464,$AA464+$K464)))</f>
        <v/>
      </c>
      <c r="AC464" s="14" t="str">
        <f aca="false">IF(OR($C464="",$T464="Mixta",$J464="",$AA464=""),"",IF($T464="Put",($J464-$AA464)/$J464,($AA464-$J464)/$J464))</f>
        <v/>
      </c>
      <c r="AD464" s="12" t="str">
        <f aca="false">IF($C464="","",IF($Q464&lt;&gt;"",$Q464,IF($V464="Strike",N($E464)*$H464*$I464,IF($V464="Subyacente",IF($J464="","",$J464*$H464*$I464),IF($V464="Ancho",IF($F464="","",ABS($E464-$F464)*$H464*$I464-$K464*$H464*$I464),IF($V464="Prima",$K464*$H464*$I464,""))))))</f>
        <v/>
      </c>
      <c r="AE464" s="12" t="str">
        <f aca="false">IF(OR($C464="",$M464="Abierta",$M464=""),"",(N($K464)-IF(OR($M464="Cerrada",$M464="Rolada"),N($O464),0))*$H464*$I464*IF($U464="Débito",-1,1)-N($L464)-N($P464))</f>
        <v/>
      </c>
      <c r="AF464" s="14" t="str">
        <f aca="false">IF(OR($AE464="",$AD464=""),"",IF($AD464&lt;=0,"",$AE464/$AD464))</f>
        <v/>
      </c>
      <c r="AG464" s="14" t="str">
        <f aca="false">IF($AF464="","",$AF464*365/MAX(N($X464),1))</f>
        <v/>
      </c>
      <c r="AH464" s="14" t="str">
        <f aca="false">IF(OR($C464="",$U464&lt;&gt;"Crédito",$AD464=""),"",IF($AD464&lt;=0,"",($Z464-N($L464))/$AD464))</f>
        <v/>
      </c>
      <c r="AI464" s="14" t="str">
        <f aca="false">IF(OR($AH464="",$W464=""),"",$AH464*365/MAX($W464,1))</f>
        <v/>
      </c>
      <c r="AJ464" s="14" t="str">
        <f aca="false">IF(OR($AE464="",$U464&lt;&gt;"Crédito",N($K464)=0),"",(N($K464)-IF(OR($M464="Cerrada",$M464="Rolada"),N($O464),0))/$K464)</f>
        <v/>
      </c>
      <c r="AK464" s="15" t="str">
        <f aca="false">IF(OR($C464="",$N464=""),"",DATE(YEAR($N464),MONTH($N464),1))</f>
        <v/>
      </c>
      <c r="AL464" s="11" t="str">
        <f aca="false">IF($C464="","",IF($M464="Abierta",0,1))</f>
        <v/>
      </c>
      <c r="AM464" s="16" t="str">
        <f aca="false">IF(OR($AE464="",$AD464=""),"",$AD464*MAX(N($X464),1))</f>
        <v/>
      </c>
      <c r="AN464" s="10" t="str">
        <f aca="false">IF($C464="","",IF(OR($B464="",$D464="",$H464="",$K464="",$M464=""),"Faltan datos obligatorios",IF($T464="","Estrategia no reconocida",IF(AND($M464&lt;&gt;"Abierta",$N464=""),"Falta fecha cierre",IF(AND(OR($M464="Cerrada",$M464="Rolada"),$O464=""),"Falta prima cierre",IF(AND($N464&lt;&gt;"",$N464&lt;$B464),"Cierre anterior a apertura",IF(AND($M464="Asignada",$R464=""),"Asignada: falta ID lote acciones",IF(AND($R464&lt;&gt;"",ISNA(MATCH($R464,Acciones!$A$2:$A$201,0))),"El ID lote no existe en Acciones",IF($AD464="","Revisa capital en riesgo","OK")))))))))</f>
        <v/>
      </c>
    </row>
    <row r="465" customFormat="false" ht="15" hidden="false" customHeight="true" outlineLevel="0" collapsed="false">
      <c r="A465" s="5"/>
      <c r="B465" s="6"/>
      <c r="C465" s="7"/>
      <c r="D465" s="7"/>
      <c r="E465" s="8"/>
      <c r="F465" s="8"/>
      <c r="G465" s="6"/>
      <c r="H465" s="5"/>
      <c r="I465" s="5" t="n">
        <v>100</v>
      </c>
      <c r="J465" s="8"/>
      <c r="K465" s="8"/>
      <c r="L465" s="9"/>
      <c r="M465" s="7"/>
      <c r="N465" s="6"/>
      <c r="O465" s="8"/>
      <c r="P465" s="9"/>
      <c r="Q465" s="9"/>
      <c r="R465" s="7"/>
      <c r="S465" s="7"/>
      <c r="T465" s="10" t="str">
        <f aca="false">IF($C465="","",IFERROR(INDEX(Listas!$B$2:$B$20,MATCH($D465,Listas!$A$2:$A$20,0)),""))</f>
        <v/>
      </c>
      <c r="U465" s="10" t="str">
        <f aca="false">IF($C465="","",IFERROR(INDEX(Listas!$C$2:$C$20,MATCH($D465,Listas!$A$2:$A$20,0)),""))</f>
        <v/>
      </c>
      <c r="V465" s="10" t="str">
        <f aca="false">IF($C465="","",IFERROR(INDEX(Listas!$D$2:$D$20,MATCH($D465,Listas!$A$2:$A$20,0)),""))</f>
        <v/>
      </c>
      <c r="W465" s="11" t="str">
        <f aca="false">IF(OR($C465="",$B465="",$G465=""),"",$G465-$B465)</f>
        <v/>
      </c>
      <c r="X465" s="11" t="str">
        <f aca="true">IF(OR($C465="",$B465=""),"",IF($N465&lt;&gt;"",$N465,TODAY())-$B465)</f>
        <v/>
      </c>
      <c r="Y465" s="11" t="str">
        <f aca="true">IF(OR($C465="",$M465&lt;&gt;"Abierta",$G465=""),"",MAX($G465-TODAY(),0))</f>
        <v/>
      </c>
      <c r="Z465" s="12" t="str">
        <f aca="false">IF($C465="","",N($K465)*N($H465)*N($I465)*IF($U465="Débito",-1,1))</f>
        <v/>
      </c>
      <c r="AA465" s="13" t="str">
        <f aca="false">IF($C465="","",IF(AND($U465="Débito",$F465&lt;&gt;""),$F465,$E465))</f>
        <v/>
      </c>
      <c r="AB465" s="13" t="str">
        <f aca="false">IF(OR($C465="",$T465="Mixta",$AA465=""),"",IF($V465="Subyacente",IF($J465="","",$J465-$K465),IF($T465="Put",$AA465-$K465,$AA465+$K465)))</f>
        <v/>
      </c>
      <c r="AC465" s="14" t="str">
        <f aca="false">IF(OR($C465="",$T465="Mixta",$J465="",$AA465=""),"",IF($T465="Put",($J465-$AA465)/$J465,($AA465-$J465)/$J465))</f>
        <v/>
      </c>
      <c r="AD465" s="12" t="str">
        <f aca="false">IF($C465="","",IF($Q465&lt;&gt;"",$Q465,IF($V465="Strike",N($E465)*$H465*$I465,IF($V465="Subyacente",IF($J465="","",$J465*$H465*$I465),IF($V465="Ancho",IF($F465="","",ABS($E465-$F465)*$H465*$I465-$K465*$H465*$I465),IF($V465="Prima",$K465*$H465*$I465,""))))))</f>
        <v/>
      </c>
      <c r="AE465" s="12" t="str">
        <f aca="false">IF(OR($C465="",$M465="Abierta",$M465=""),"",(N($K465)-IF(OR($M465="Cerrada",$M465="Rolada"),N($O465),0))*$H465*$I465*IF($U465="Débito",-1,1)-N($L465)-N($P465))</f>
        <v/>
      </c>
      <c r="AF465" s="14" t="str">
        <f aca="false">IF(OR($AE465="",$AD465=""),"",IF($AD465&lt;=0,"",$AE465/$AD465))</f>
        <v/>
      </c>
      <c r="AG465" s="14" t="str">
        <f aca="false">IF($AF465="","",$AF465*365/MAX(N($X465),1))</f>
        <v/>
      </c>
      <c r="AH465" s="14" t="str">
        <f aca="false">IF(OR($C465="",$U465&lt;&gt;"Crédito",$AD465=""),"",IF($AD465&lt;=0,"",($Z465-N($L465))/$AD465))</f>
        <v/>
      </c>
      <c r="AI465" s="14" t="str">
        <f aca="false">IF(OR($AH465="",$W465=""),"",$AH465*365/MAX($W465,1))</f>
        <v/>
      </c>
      <c r="AJ465" s="14" t="str">
        <f aca="false">IF(OR($AE465="",$U465&lt;&gt;"Crédito",N($K465)=0),"",(N($K465)-IF(OR($M465="Cerrada",$M465="Rolada"),N($O465),0))/$K465)</f>
        <v/>
      </c>
      <c r="AK465" s="15" t="str">
        <f aca="false">IF(OR($C465="",$N465=""),"",DATE(YEAR($N465),MONTH($N465),1))</f>
        <v/>
      </c>
      <c r="AL465" s="11" t="str">
        <f aca="false">IF($C465="","",IF($M465="Abierta",0,1))</f>
        <v/>
      </c>
      <c r="AM465" s="16" t="str">
        <f aca="false">IF(OR($AE465="",$AD465=""),"",$AD465*MAX(N($X465),1))</f>
        <v/>
      </c>
      <c r="AN465" s="10" t="str">
        <f aca="false">IF($C465="","",IF(OR($B465="",$D465="",$H465="",$K465="",$M465=""),"Faltan datos obligatorios",IF($T465="","Estrategia no reconocida",IF(AND($M465&lt;&gt;"Abierta",$N465=""),"Falta fecha cierre",IF(AND(OR($M465="Cerrada",$M465="Rolada"),$O465=""),"Falta prima cierre",IF(AND($N465&lt;&gt;"",$N465&lt;$B465),"Cierre anterior a apertura",IF(AND($M465="Asignada",$R465=""),"Asignada: falta ID lote acciones",IF(AND($R465&lt;&gt;"",ISNA(MATCH($R465,Acciones!$A$2:$A$201,0))),"El ID lote no existe en Acciones",IF($AD465="","Revisa capital en riesgo","OK")))))))))</f>
        <v/>
      </c>
    </row>
    <row r="466" customFormat="false" ht="15" hidden="false" customHeight="true" outlineLevel="0" collapsed="false">
      <c r="A466" s="5"/>
      <c r="B466" s="6"/>
      <c r="C466" s="7"/>
      <c r="D466" s="7"/>
      <c r="E466" s="8"/>
      <c r="F466" s="8"/>
      <c r="G466" s="6"/>
      <c r="H466" s="5"/>
      <c r="I466" s="5" t="n">
        <v>100</v>
      </c>
      <c r="J466" s="8"/>
      <c r="K466" s="8"/>
      <c r="L466" s="9"/>
      <c r="M466" s="7"/>
      <c r="N466" s="6"/>
      <c r="O466" s="8"/>
      <c r="P466" s="9"/>
      <c r="Q466" s="9"/>
      <c r="R466" s="7"/>
      <c r="S466" s="7"/>
      <c r="T466" s="10" t="str">
        <f aca="false">IF($C466="","",IFERROR(INDEX(Listas!$B$2:$B$20,MATCH($D466,Listas!$A$2:$A$20,0)),""))</f>
        <v/>
      </c>
      <c r="U466" s="10" t="str">
        <f aca="false">IF($C466="","",IFERROR(INDEX(Listas!$C$2:$C$20,MATCH($D466,Listas!$A$2:$A$20,0)),""))</f>
        <v/>
      </c>
      <c r="V466" s="10" t="str">
        <f aca="false">IF($C466="","",IFERROR(INDEX(Listas!$D$2:$D$20,MATCH($D466,Listas!$A$2:$A$20,0)),""))</f>
        <v/>
      </c>
      <c r="W466" s="11" t="str">
        <f aca="false">IF(OR($C466="",$B466="",$G466=""),"",$G466-$B466)</f>
        <v/>
      </c>
      <c r="X466" s="11" t="str">
        <f aca="true">IF(OR($C466="",$B466=""),"",IF($N466&lt;&gt;"",$N466,TODAY())-$B466)</f>
        <v/>
      </c>
      <c r="Y466" s="11" t="str">
        <f aca="true">IF(OR($C466="",$M466&lt;&gt;"Abierta",$G466=""),"",MAX($G466-TODAY(),0))</f>
        <v/>
      </c>
      <c r="Z466" s="12" t="str">
        <f aca="false">IF($C466="","",N($K466)*N($H466)*N($I466)*IF($U466="Débito",-1,1))</f>
        <v/>
      </c>
      <c r="AA466" s="13" t="str">
        <f aca="false">IF($C466="","",IF(AND($U466="Débito",$F466&lt;&gt;""),$F466,$E466))</f>
        <v/>
      </c>
      <c r="AB466" s="13" t="str">
        <f aca="false">IF(OR($C466="",$T466="Mixta",$AA466=""),"",IF($V466="Subyacente",IF($J466="","",$J466-$K466),IF($T466="Put",$AA466-$K466,$AA466+$K466)))</f>
        <v/>
      </c>
      <c r="AC466" s="14" t="str">
        <f aca="false">IF(OR($C466="",$T466="Mixta",$J466="",$AA466=""),"",IF($T466="Put",($J466-$AA466)/$J466,($AA466-$J466)/$J466))</f>
        <v/>
      </c>
      <c r="AD466" s="12" t="str">
        <f aca="false">IF($C466="","",IF($Q466&lt;&gt;"",$Q466,IF($V466="Strike",N($E466)*$H466*$I466,IF($V466="Subyacente",IF($J466="","",$J466*$H466*$I466),IF($V466="Ancho",IF($F466="","",ABS($E466-$F466)*$H466*$I466-$K466*$H466*$I466),IF($V466="Prima",$K466*$H466*$I466,""))))))</f>
        <v/>
      </c>
      <c r="AE466" s="12" t="str">
        <f aca="false">IF(OR($C466="",$M466="Abierta",$M466=""),"",(N($K466)-IF(OR($M466="Cerrada",$M466="Rolada"),N($O466),0))*$H466*$I466*IF($U466="Débito",-1,1)-N($L466)-N($P466))</f>
        <v/>
      </c>
      <c r="AF466" s="14" t="str">
        <f aca="false">IF(OR($AE466="",$AD466=""),"",IF($AD466&lt;=0,"",$AE466/$AD466))</f>
        <v/>
      </c>
      <c r="AG466" s="14" t="str">
        <f aca="false">IF($AF466="","",$AF466*365/MAX(N($X466),1))</f>
        <v/>
      </c>
      <c r="AH466" s="14" t="str">
        <f aca="false">IF(OR($C466="",$U466&lt;&gt;"Crédito",$AD466=""),"",IF($AD466&lt;=0,"",($Z466-N($L466))/$AD466))</f>
        <v/>
      </c>
      <c r="AI466" s="14" t="str">
        <f aca="false">IF(OR($AH466="",$W466=""),"",$AH466*365/MAX($W466,1))</f>
        <v/>
      </c>
      <c r="AJ466" s="14" t="str">
        <f aca="false">IF(OR($AE466="",$U466&lt;&gt;"Crédito",N($K466)=0),"",(N($K466)-IF(OR($M466="Cerrada",$M466="Rolada"),N($O466),0))/$K466)</f>
        <v/>
      </c>
      <c r="AK466" s="15" t="str">
        <f aca="false">IF(OR($C466="",$N466=""),"",DATE(YEAR($N466),MONTH($N466),1))</f>
        <v/>
      </c>
      <c r="AL466" s="11" t="str">
        <f aca="false">IF($C466="","",IF($M466="Abierta",0,1))</f>
        <v/>
      </c>
      <c r="AM466" s="16" t="str">
        <f aca="false">IF(OR($AE466="",$AD466=""),"",$AD466*MAX(N($X466),1))</f>
        <v/>
      </c>
      <c r="AN466" s="10" t="str">
        <f aca="false">IF($C466="","",IF(OR($B466="",$D466="",$H466="",$K466="",$M466=""),"Faltan datos obligatorios",IF($T466="","Estrategia no reconocida",IF(AND($M466&lt;&gt;"Abierta",$N466=""),"Falta fecha cierre",IF(AND(OR($M466="Cerrada",$M466="Rolada"),$O466=""),"Falta prima cierre",IF(AND($N466&lt;&gt;"",$N466&lt;$B466),"Cierre anterior a apertura",IF(AND($M466="Asignada",$R466=""),"Asignada: falta ID lote acciones",IF(AND($R466&lt;&gt;"",ISNA(MATCH($R466,Acciones!$A$2:$A$201,0))),"El ID lote no existe en Acciones",IF($AD466="","Revisa capital en riesgo","OK")))))))))</f>
        <v/>
      </c>
    </row>
    <row r="467" customFormat="false" ht="15" hidden="false" customHeight="true" outlineLevel="0" collapsed="false">
      <c r="A467" s="5"/>
      <c r="B467" s="6"/>
      <c r="C467" s="7"/>
      <c r="D467" s="7"/>
      <c r="E467" s="8"/>
      <c r="F467" s="8"/>
      <c r="G467" s="6"/>
      <c r="H467" s="5"/>
      <c r="I467" s="5" t="n">
        <v>100</v>
      </c>
      <c r="J467" s="8"/>
      <c r="K467" s="8"/>
      <c r="L467" s="9"/>
      <c r="M467" s="7"/>
      <c r="N467" s="6"/>
      <c r="O467" s="8"/>
      <c r="P467" s="9"/>
      <c r="Q467" s="9"/>
      <c r="R467" s="7"/>
      <c r="S467" s="7"/>
      <c r="T467" s="10" t="str">
        <f aca="false">IF($C467="","",IFERROR(INDEX(Listas!$B$2:$B$20,MATCH($D467,Listas!$A$2:$A$20,0)),""))</f>
        <v/>
      </c>
      <c r="U467" s="10" t="str">
        <f aca="false">IF($C467="","",IFERROR(INDEX(Listas!$C$2:$C$20,MATCH($D467,Listas!$A$2:$A$20,0)),""))</f>
        <v/>
      </c>
      <c r="V467" s="10" t="str">
        <f aca="false">IF($C467="","",IFERROR(INDEX(Listas!$D$2:$D$20,MATCH($D467,Listas!$A$2:$A$20,0)),""))</f>
        <v/>
      </c>
      <c r="W467" s="11" t="str">
        <f aca="false">IF(OR($C467="",$B467="",$G467=""),"",$G467-$B467)</f>
        <v/>
      </c>
      <c r="X467" s="11" t="str">
        <f aca="true">IF(OR($C467="",$B467=""),"",IF($N467&lt;&gt;"",$N467,TODAY())-$B467)</f>
        <v/>
      </c>
      <c r="Y467" s="11" t="str">
        <f aca="true">IF(OR($C467="",$M467&lt;&gt;"Abierta",$G467=""),"",MAX($G467-TODAY(),0))</f>
        <v/>
      </c>
      <c r="Z467" s="12" t="str">
        <f aca="false">IF($C467="","",N($K467)*N($H467)*N($I467)*IF($U467="Débito",-1,1))</f>
        <v/>
      </c>
      <c r="AA467" s="13" t="str">
        <f aca="false">IF($C467="","",IF(AND($U467="Débito",$F467&lt;&gt;""),$F467,$E467))</f>
        <v/>
      </c>
      <c r="AB467" s="13" t="str">
        <f aca="false">IF(OR($C467="",$T467="Mixta",$AA467=""),"",IF($V467="Subyacente",IF($J467="","",$J467-$K467),IF($T467="Put",$AA467-$K467,$AA467+$K467)))</f>
        <v/>
      </c>
      <c r="AC467" s="14" t="str">
        <f aca="false">IF(OR($C467="",$T467="Mixta",$J467="",$AA467=""),"",IF($T467="Put",($J467-$AA467)/$J467,($AA467-$J467)/$J467))</f>
        <v/>
      </c>
      <c r="AD467" s="12" t="str">
        <f aca="false">IF($C467="","",IF($Q467&lt;&gt;"",$Q467,IF($V467="Strike",N($E467)*$H467*$I467,IF($V467="Subyacente",IF($J467="","",$J467*$H467*$I467),IF($V467="Ancho",IF($F467="","",ABS($E467-$F467)*$H467*$I467-$K467*$H467*$I467),IF($V467="Prima",$K467*$H467*$I467,""))))))</f>
        <v/>
      </c>
      <c r="AE467" s="12" t="str">
        <f aca="false">IF(OR($C467="",$M467="Abierta",$M467=""),"",(N($K467)-IF(OR($M467="Cerrada",$M467="Rolada"),N($O467),0))*$H467*$I467*IF($U467="Débito",-1,1)-N($L467)-N($P467))</f>
        <v/>
      </c>
      <c r="AF467" s="14" t="str">
        <f aca="false">IF(OR($AE467="",$AD467=""),"",IF($AD467&lt;=0,"",$AE467/$AD467))</f>
        <v/>
      </c>
      <c r="AG467" s="14" t="str">
        <f aca="false">IF($AF467="","",$AF467*365/MAX(N($X467),1))</f>
        <v/>
      </c>
      <c r="AH467" s="14" t="str">
        <f aca="false">IF(OR($C467="",$U467&lt;&gt;"Crédito",$AD467=""),"",IF($AD467&lt;=0,"",($Z467-N($L467))/$AD467))</f>
        <v/>
      </c>
      <c r="AI467" s="14" t="str">
        <f aca="false">IF(OR($AH467="",$W467=""),"",$AH467*365/MAX($W467,1))</f>
        <v/>
      </c>
      <c r="AJ467" s="14" t="str">
        <f aca="false">IF(OR($AE467="",$U467&lt;&gt;"Crédito",N($K467)=0),"",(N($K467)-IF(OR($M467="Cerrada",$M467="Rolada"),N($O467),0))/$K467)</f>
        <v/>
      </c>
      <c r="AK467" s="15" t="str">
        <f aca="false">IF(OR($C467="",$N467=""),"",DATE(YEAR($N467),MONTH($N467),1))</f>
        <v/>
      </c>
      <c r="AL467" s="11" t="str">
        <f aca="false">IF($C467="","",IF($M467="Abierta",0,1))</f>
        <v/>
      </c>
      <c r="AM467" s="16" t="str">
        <f aca="false">IF(OR($AE467="",$AD467=""),"",$AD467*MAX(N($X467),1))</f>
        <v/>
      </c>
      <c r="AN467" s="10" t="str">
        <f aca="false">IF($C467="","",IF(OR($B467="",$D467="",$H467="",$K467="",$M467=""),"Faltan datos obligatorios",IF($T467="","Estrategia no reconocida",IF(AND($M467&lt;&gt;"Abierta",$N467=""),"Falta fecha cierre",IF(AND(OR($M467="Cerrada",$M467="Rolada"),$O467=""),"Falta prima cierre",IF(AND($N467&lt;&gt;"",$N467&lt;$B467),"Cierre anterior a apertura",IF(AND($M467="Asignada",$R467=""),"Asignada: falta ID lote acciones",IF(AND($R467&lt;&gt;"",ISNA(MATCH($R467,Acciones!$A$2:$A$201,0))),"El ID lote no existe en Acciones",IF($AD467="","Revisa capital en riesgo","OK")))))))))</f>
        <v/>
      </c>
    </row>
    <row r="468" customFormat="false" ht="15" hidden="false" customHeight="true" outlineLevel="0" collapsed="false">
      <c r="A468" s="5"/>
      <c r="B468" s="6"/>
      <c r="C468" s="7"/>
      <c r="D468" s="7"/>
      <c r="E468" s="8"/>
      <c r="F468" s="8"/>
      <c r="G468" s="6"/>
      <c r="H468" s="5"/>
      <c r="I468" s="5" t="n">
        <v>100</v>
      </c>
      <c r="J468" s="8"/>
      <c r="K468" s="8"/>
      <c r="L468" s="9"/>
      <c r="M468" s="7"/>
      <c r="N468" s="6"/>
      <c r="O468" s="8"/>
      <c r="P468" s="9"/>
      <c r="Q468" s="9"/>
      <c r="R468" s="7"/>
      <c r="S468" s="7"/>
      <c r="T468" s="10" t="str">
        <f aca="false">IF($C468="","",IFERROR(INDEX(Listas!$B$2:$B$20,MATCH($D468,Listas!$A$2:$A$20,0)),""))</f>
        <v/>
      </c>
      <c r="U468" s="10" t="str">
        <f aca="false">IF($C468="","",IFERROR(INDEX(Listas!$C$2:$C$20,MATCH($D468,Listas!$A$2:$A$20,0)),""))</f>
        <v/>
      </c>
      <c r="V468" s="10" t="str">
        <f aca="false">IF($C468="","",IFERROR(INDEX(Listas!$D$2:$D$20,MATCH($D468,Listas!$A$2:$A$20,0)),""))</f>
        <v/>
      </c>
      <c r="W468" s="11" t="str">
        <f aca="false">IF(OR($C468="",$B468="",$G468=""),"",$G468-$B468)</f>
        <v/>
      </c>
      <c r="X468" s="11" t="str">
        <f aca="true">IF(OR($C468="",$B468=""),"",IF($N468&lt;&gt;"",$N468,TODAY())-$B468)</f>
        <v/>
      </c>
      <c r="Y468" s="11" t="str">
        <f aca="true">IF(OR($C468="",$M468&lt;&gt;"Abierta",$G468=""),"",MAX($G468-TODAY(),0))</f>
        <v/>
      </c>
      <c r="Z468" s="12" t="str">
        <f aca="false">IF($C468="","",N($K468)*N($H468)*N($I468)*IF($U468="Débito",-1,1))</f>
        <v/>
      </c>
      <c r="AA468" s="13" t="str">
        <f aca="false">IF($C468="","",IF(AND($U468="Débito",$F468&lt;&gt;""),$F468,$E468))</f>
        <v/>
      </c>
      <c r="AB468" s="13" t="str">
        <f aca="false">IF(OR($C468="",$T468="Mixta",$AA468=""),"",IF($V468="Subyacente",IF($J468="","",$J468-$K468),IF($T468="Put",$AA468-$K468,$AA468+$K468)))</f>
        <v/>
      </c>
      <c r="AC468" s="14" t="str">
        <f aca="false">IF(OR($C468="",$T468="Mixta",$J468="",$AA468=""),"",IF($T468="Put",($J468-$AA468)/$J468,($AA468-$J468)/$J468))</f>
        <v/>
      </c>
      <c r="AD468" s="12" t="str">
        <f aca="false">IF($C468="","",IF($Q468&lt;&gt;"",$Q468,IF($V468="Strike",N($E468)*$H468*$I468,IF($V468="Subyacente",IF($J468="","",$J468*$H468*$I468),IF($V468="Ancho",IF($F468="","",ABS($E468-$F468)*$H468*$I468-$K468*$H468*$I468),IF($V468="Prima",$K468*$H468*$I468,""))))))</f>
        <v/>
      </c>
      <c r="AE468" s="12" t="str">
        <f aca="false">IF(OR($C468="",$M468="Abierta",$M468=""),"",(N($K468)-IF(OR($M468="Cerrada",$M468="Rolada"),N($O468),0))*$H468*$I468*IF($U468="Débito",-1,1)-N($L468)-N($P468))</f>
        <v/>
      </c>
      <c r="AF468" s="14" t="str">
        <f aca="false">IF(OR($AE468="",$AD468=""),"",IF($AD468&lt;=0,"",$AE468/$AD468))</f>
        <v/>
      </c>
      <c r="AG468" s="14" t="str">
        <f aca="false">IF($AF468="","",$AF468*365/MAX(N($X468),1))</f>
        <v/>
      </c>
      <c r="AH468" s="14" t="str">
        <f aca="false">IF(OR($C468="",$U468&lt;&gt;"Crédito",$AD468=""),"",IF($AD468&lt;=0,"",($Z468-N($L468))/$AD468))</f>
        <v/>
      </c>
      <c r="AI468" s="14" t="str">
        <f aca="false">IF(OR($AH468="",$W468=""),"",$AH468*365/MAX($W468,1))</f>
        <v/>
      </c>
      <c r="AJ468" s="14" t="str">
        <f aca="false">IF(OR($AE468="",$U468&lt;&gt;"Crédito",N($K468)=0),"",(N($K468)-IF(OR($M468="Cerrada",$M468="Rolada"),N($O468),0))/$K468)</f>
        <v/>
      </c>
      <c r="AK468" s="15" t="str">
        <f aca="false">IF(OR($C468="",$N468=""),"",DATE(YEAR($N468),MONTH($N468),1))</f>
        <v/>
      </c>
      <c r="AL468" s="11" t="str">
        <f aca="false">IF($C468="","",IF($M468="Abierta",0,1))</f>
        <v/>
      </c>
      <c r="AM468" s="16" t="str">
        <f aca="false">IF(OR($AE468="",$AD468=""),"",$AD468*MAX(N($X468),1))</f>
        <v/>
      </c>
      <c r="AN468" s="10" t="str">
        <f aca="false">IF($C468="","",IF(OR($B468="",$D468="",$H468="",$K468="",$M468=""),"Faltan datos obligatorios",IF($T468="","Estrategia no reconocida",IF(AND($M468&lt;&gt;"Abierta",$N468=""),"Falta fecha cierre",IF(AND(OR($M468="Cerrada",$M468="Rolada"),$O468=""),"Falta prima cierre",IF(AND($N468&lt;&gt;"",$N468&lt;$B468),"Cierre anterior a apertura",IF(AND($M468="Asignada",$R468=""),"Asignada: falta ID lote acciones",IF(AND($R468&lt;&gt;"",ISNA(MATCH($R468,Acciones!$A$2:$A$201,0))),"El ID lote no existe en Acciones",IF($AD468="","Revisa capital en riesgo","OK")))))))))</f>
        <v/>
      </c>
    </row>
    <row r="469" customFormat="false" ht="15" hidden="false" customHeight="true" outlineLevel="0" collapsed="false">
      <c r="A469" s="5"/>
      <c r="B469" s="6"/>
      <c r="C469" s="7"/>
      <c r="D469" s="7"/>
      <c r="E469" s="8"/>
      <c r="F469" s="8"/>
      <c r="G469" s="6"/>
      <c r="H469" s="5"/>
      <c r="I469" s="5" t="n">
        <v>100</v>
      </c>
      <c r="J469" s="8"/>
      <c r="K469" s="8"/>
      <c r="L469" s="9"/>
      <c r="M469" s="7"/>
      <c r="N469" s="6"/>
      <c r="O469" s="8"/>
      <c r="P469" s="9"/>
      <c r="Q469" s="9"/>
      <c r="R469" s="7"/>
      <c r="S469" s="7"/>
      <c r="T469" s="10" t="str">
        <f aca="false">IF($C469="","",IFERROR(INDEX(Listas!$B$2:$B$20,MATCH($D469,Listas!$A$2:$A$20,0)),""))</f>
        <v/>
      </c>
      <c r="U469" s="10" t="str">
        <f aca="false">IF($C469="","",IFERROR(INDEX(Listas!$C$2:$C$20,MATCH($D469,Listas!$A$2:$A$20,0)),""))</f>
        <v/>
      </c>
      <c r="V469" s="10" t="str">
        <f aca="false">IF($C469="","",IFERROR(INDEX(Listas!$D$2:$D$20,MATCH($D469,Listas!$A$2:$A$20,0)),""))</f>
        <v/>
      </c>
      <c r="W469" s="11" t="str">
        <f aca="false">IF(OR($C469="",$B469="",$G469=""),"",$G469-$B469)</f>
        <v/>
      </c>
      <c r="X469" s="11" t="str">
        <f aca="true">IF(OR($C469="",$B469=""),"",IF($N469&lt;&gt;"",$N469,TODAY())-$B469)</f>
        <v/>
      </c>
      <c r="Y469" s="11" t="str">
        <f aca="true">IF(OR($C469="",$M469&lt;&gt;"Abierta",$G469=""),"",MAX($G469-TODAY(),0))</f>
        <v/>
      </c>
      <c r="Z469" s="12" t="str">
        <f aca="false">IF($C469="","",N($K469)*N($H469)*N($I469)*IF($U469="Débito",-1,1))</f>
        <v/>
      </c>
      <c r="AA469" s="13" t="str">
        <f aca="false">IF($C469="","",IF(AND($U469="Débito",$F469&lt;&gt;""),$F469,$E469))</f>
        <v/>
      </c>
      <c r="AB469" s="13" t="str">
        <f aca="false">IF(OR($C469="",$T469="Mixta",$AA469=""),"",IF($V469="Subyacente",IF($J469="","",$J469-$K469),IF($T469="Put",$AA469-$K469,$AA469+$K469)))</f>
        <v/>
      </c>
      <c r="AC469" s="14" t="str">
        <f aca="false">IF(OR($C469="",$T469="Mixta",$J469="",$AA469=""),"",IF($T469="Put",($J469-$AA469)/$J469,($AA469-$J469)/$J469))</f>
        <v/>
      </c>
      <c r="AD469" s="12" t="str">
        <f aca="false">IF($C469="","",IF($Q469&lt;&gt;"",$Q469,IF($V469="Strike",N($E469)*$H469*$I469,IF($V469="Subyacente",IF($J469="","",$J469*$H469*$I469),IF($V469="Ancho",IF($F469="","",ABS($E469-$F469)*$H469*$I469-$K469*$H469*$I469),IF($V469="Prima",$K469*$H469*$I469,""))))))</f>
        <v/>
      </c>
      <c r="AE469" s="12" t="str">
        <f aca="false">IF(OR($C469="",$M469="Abierta",$M469=""),"",(N($K469)-IF(OR($M469="Cerrada",$M469="Rolada"),N($O469),0))*$H469*$I469*IF($U469="Débito",-1,1)-N($L469)-N($P469))</f>
        <v/>
      </c>
      <c r="AF469" s="14" t="str">
        <f aca="false">IF(OR($AE469="",$AD469=""),"",IF($AD469&lt;=0,"",$AE469/$AD469))</f>
        <v/>
      </c>
      <c r="AG469" s="14" t="str">
        <f aca="false">IF($AF469="","",$AF469*365/MAX(N($X469),1))</f>
        <v/>
      </c>
      <c r="AH469" s="14" t="str">
        <f aca="false">IF(OR($C469="",$U469&lt;&gt;"Crédito",$AD469=""),"",IF($AD469&lt;=0,"",($Z469-N($L469))/$AD469))</f>
        <v/>
      </c>
      <c r="AI469" s="14" t="str">
        <f aca="false">IF(OR($AH469="",$W469=""),"",$AH469*365/MAX($W469,1))</f>
        <v/>
      </c>
      <c r="AJ469" s="14" t="str">
        <f aca="false">IF(OR($AE469="",$U469&lt;&gt;"Crédito",N($K469)=0),"",(N($K469)-IF(OR($M469="Cerrada",$M469="Rolada"),N($O469),0))/$K469)</f>
        <v/>
      </c>
      <c r="AK469" s="15" t="str">
        <f aca="false">IF(OR($C469="",$N469=""),"",DATE(YEAR($N469),MONTH($N469),1))</f>
        <v/>
      </c>
      <c r="AL469" s="11" t="str">
        <f aca="false">IF($C469="","",IF($M469="Abierta",0,1))</f>
        <v/>
      </c>
      <c r="AM469" s="16" t="str">
        <f aca="false">IF(OR($AE469="",$AD469=""),"",$AD469*MAX(N($X469),1))</f>
        <v/>
      </c>
      <c r="AN469" s="10" t="str">
        <f aca="false">IF($C469="","",IF(OR($B469="",$D469="",$H469="",$K469="",$M469=""),"Faltan datos obligatorios",IF($T469="","Estrategia no reconocida",IF(AND($M469&lt;&gt;"Abierta",$N469=""),"Falta fecha cierre",IF(AND(OR($M469="Cerrada",$M469="Rolada"),$O469=""),"Falta prima cierre",IF(AND($N469&lt;&gt;"",$N469&lt;$B469),"Cierre anterior a apertura",IF(AND($M469="Asignada",$R469=""),"Asignada: falta ID lote acciones",IF(AND($R469&lt;&gt;"",ISNA(MATCH($R469,Acciones!$A$2:$A$201,0))),"El ID lote no existe en Acciones",IF($AD469="","Revisa capital en riesgo","OK")))))))))</f>
        <v/>
      </c>
    </row>
    <row r="470" customFormat="false" ht="15" hidden="false" customHeight="true" outlineLevel="0" collapsed="false">
      <c r="A470" s="5"/>
      <c r="B470" s="6"/>
      <c r="C470" s="7"/>
      <c r="D470" s="7"/>
      <c r="E470" s="8"/>
      <c r="F470" s="8"/>
      <c r="G470" s="6"/>
      <c r="H470" s="5"/>
      <c r="I470" s="5" t="n">
        <v>100</v>
      </c>
      <c r="J470" s="8"/>
      <c r="K470" s="8"/>
      <c r="L470" s="9"/>
      <c r="M470" s="7"/>
      <c r="N470" s="6"/>
      <c r="O470" s="8"/>
      <c r="P470" s="9"/>
      <c r="Q470" s="9"/>
      <c r="R470" s="7"/>
      <c r="S470" s="7"/>
      <c r="T470" s="10" t="str">
        <f aca="false">IF($C470="","",IFERROR(INDEX(Listas!$B$2:$B$20,MATCH($D470,Listas!$A$2:$A$20,0)),""))</f>
        <v/>
      </c>
      <c r="U470" s="10" t="str">
        <f aca="false">IF($C470="","",IFERROR(INDEX(Listas!$C$2:$C$20,MATCH($D470,Listas!$A$2:$A$20,0)),""))</f>
        <v/>
      </c>
      <c r="V470" s="10" t="str">
        <f aca="false">IF($C470="","",IFERROR(INDEX(Listas!$D$2:$D$20,MATCH($D470,Listas!$A$2:$A$20,0)),""))</f>
        <v/>
      </c>
      <c r="W470" s="11" t="str">
        <f aca="false">IF(OR($C470="",$B470="",$G470=""),"",$G470-$B470)</f>
        <v/>
      </c>
      <c r="X470" s="11" t="str">
        <f aca="true">IF(OR($C470="",$B470=""),"",IF($N470&lt;&gt;"",$N470,TODAY())-$B470)</f>
        <v/>
      </c>
      <c r="Y470" s="11" t="str">
        <f aca="true">IF(OR($C470="",$M470&lt;&gt;"Abierta",$G470=""),"",MAX($G470-TODAY(),0))</f>
        <v/>
      </c>
      <c r="Z470" s="12" t="str">
        <f aca="false">IF($C470="","",N($K470)*N($H470)*N($I470)*IF($U470="Débito",-1,1))</f>
        <v/>
      </c>
      <c r="AA470" s="13" t="str">
        <f aca="false">IF($C470="","",IF(AND($U470="Débito",$F470&lt;&gt;""),$F470,$E470))</f>
        <v/>
      </c>
      <c r="AB470" s="13" t="str">
        <f aca="false">IF(OR($C470="",$T470="Mixta",$AA470=""),"",IF($V470="Subyacente",IF($J470="","",$J470-$K470),IF($T470="Put",$AA470-$K470,$AA470+$K470)))</f>
        <v/>
      </c>
      <c r="AC470" s="14" t="str">
        <f aca="false">IF(OR($C470="",$T470="Mixta",$J470="",$AA470=""),"",IF($T470="Put",($J470-$AA470)/$J470,($AA470-$J470)/$J470))</f>
        <v/>
      </c>
      <c r="AD470" s="12" t="str">
        <f aca="false">IF($C470="","",IF($Q470&lt;&gt;"",$Q470,IF($V470="Strike",N($E470)*$H470*$I470,IF($V470="Subyacente",IF($J470="","",$J470*$H470*$I470),IF($V470="Ancho",IF($F470="","",ABS($E470-$F470)*$H470*$I470-$K470*$H470*$I470),IF($V470="Prima",$K470*$H470*$I470,""))))))</f>
        <v/>
      </c>
      <c r="AE470" s="12" t="str">
        <f aca="false">IF(OR($C470="",$M470="Abierta",$M470=""),"",(N($K470)-IF(OR($M470="Cerrada",$M470="Rolada"),N($O470),0))*$H470*$I470*IF($U470="Débito",-1,1)-N($L470)-N($P470))</f>
        <v/>
      </c>
      <c r="AF470" s="14" t="str">
        <f aca="false">IF(OR($AE470="",$AD470=""),"",IF($AD470&lt;=0,"",$AE470/$AD470))</f>
        <v/>
      </c>
      <c r="AG470" s="14" t="str">
        <f aca="false">IF($AF470="","",$AF470*365/MAX(N($X470),1))</f>
        <v/>
      </c>
      <c r="AH470" s="14" t="str">
        <f aca="false">IF(OR($C470="",$U470&lt;&gt;"Crédito",$AD470=""),"",IF($AD470&lt;=0,"",($Z470-N($L470))/$AD470))</f>
        <v/>
      </c>
      <c r="AI470" s="14" t="str">
        <f aca="false">IF(OR($AH470="",$W470=""),"",$AH470*365/MAX($W470,1))</f>
        <v/>
      </c>
      <c r="AJ470" s="14" t="str">
        <f aca="false">IF(OR($AE470="",$U470&lt;&gt;"Crédito",N($K470)=0),"",(N($K470)-IF(OR($M470="Cerrada",$M470="Rolada"),N($O470),0))/$K470)</f>
        <v/>
      </c>
      <c r="AK470" s="15" t="str">
        <f aca="false">IF(OR($C470="",$N470=""),"",DATE(YEAR($N470),MONTH($N470),1))</f>
        <v/>
      </c>
      <c r="AL470" s="11" t="str">
        <f aca="false">IF($C470="","",IF($M470="Abierta",0,1))</f>
        <v/>
      </c>
      <c r="AM470" s="16" t="str">
        <f aca="false">IF(OR($AE470="",$AD470=""),"",$AD470*MAX(N($X470),1))</f>
        <v/>
      </c>
      <c r="AN470" s="10" t="str">
        <f aca="false">IF($C470="","",IF(OR($B470="",$D470="",$H470="",$K470="",$M470=""),"Faltan datos obligatorios",IF($T470="","Estrategia no reconocida",IF(AND($M470&lt;&gt;"Abierta",$N470=""),"Falta fecha cierre",IF(AND(OR($M470="Cerrada",$M470="Rolada"),$O470=""),"Falta prima cierre",IF(AND($N470&lt;&gt;"",$N470&lt;$B470),"Cierre anterior a apertura",IF(AND($M470="Asignada",$R470=""),"Asignada: falta ID lote acciones",IF(AND($R470&lt;&gt;"",ISNA(MATCH($R470,Acciones!$A$2:$A$201,0))),"El ID lote no existe en Acciones",IF($AD470="","Revisa capital en riesgo","OK")))))))))</f>
        <v/>
      </c>
    </row>
    <row r="471" customFormat="false" ht="15" hidden="false" customHeight="true" outlineLevel="0" collapsed="false">
      <c r="A471" s="5"/>
      <c r="B471" s="6"/>
      <c r="C471" s="7"/>
      <c r="D471" s="7"/>
      <c r="E471" s="8"/>
      <c r="F471" s="8"/>
      <c r="G471" s="6"/>
      <c r="H471" s="5"/>
      <c r="I471" s="5" t="n">
        <v>100</v>
      </c>
      <c r="J471" s="8"/>
      <c r="K471" s="8"/>
      <c r="L471" s="9"/>
      <c r="M471" s="7"/>
      <c r="N471" s="6"/>
      <c r="O471" s="8"/>
      <c r="P471" s="9"/>
      <c r="Q471" s="9"/>
      <c r="R471" s="7"/>
      <c r="S471" s="7"/>
      <c r="T471" s="10" t="str">
        <f aca="false">IF($C471="","",IFERROR(INDEX(Listas!$B$2:$B$20,MATCH($D471,Listas!$A$2:$A$20,0)),""))</f>
        <v/>
      </c>
      <c r="U471" s="10" t="str">
        <f aca="false">IF($C471="","",IFERROR(INDEX(Listas!$C$2:$C$20,MATCH($D471,Listas!$A$2:$A$20,0)),""))</f>
        <v/>
      </c>
      <c r="V471" s="10" t="str">
        <f aca="false">IF($C471="","",IFERROR(INDEX(Listas!$D$2:$D$20,MATCH($D471,Listas!$A$2:$A$20,0)),""))</f>
        <v/>
      </c>
      <c r="W471" s="11" t="str">
        <f aca="false">IF(OR($C471="",$B471="",$G471=""),"",$G471-$B471)</f>
        <v/>
      </c>
      <c r="X471" s="11" t="str">
        <f aca="true">IF(OR($C471="",$B471=""),"",IF($N471&lt;&gt;"",$N471,TODAY())-$B471)</f>
        <v/>
      </c>
      <c r="Y471" s="11" t="str">
        <f aca="true">IF(OR($C471="",$M471&lt;&gt;"Abierta",$G471=""),"",MAX($G471-TODAY(),0))</f>
        <v/>
      </c>
      <c r="Z471" s="12" t="str">
        <f aca="false">IF($C471="","",N($K471)*N($H471)*N($I471)*IF($U471="Débito",-1,1))</f>
        <v/>
      </c>
      <c r="AA471" s="13" t="str">
        <f aca="false">IF($C471="","",IF(AND($U471="Débito",$F471&lt;&gt;""),$F471,$E471))</f>
        <v/>
      </c>
      <c r="AB471" s="13" t="str">
        <f aca="false">IF(OR($C471="",$T471="Mixta",$AA471=""),"",IF($V471="Subyacente",IF($J471="","",$J471-$K471),IF($T471="Put",$AA471-$K471,$AA471+$K471)))</f>
        <v/>
      </c>
      <c r="AC471" s="14" t="str">
        <f aca="false">IF(OR($C471="",$T471="Mixta",$J471="",$AA471=""),"",IF($T471="Put",($J471-$AA471)/$J471,($AA471-$J471)/$J471))</f>
        <v/>
      </c>
      <c r="AD471" s="12" t="str">
        <f aca="false">IF($C471="","",IF($Q471&lt;&gt;"",$Q471,IF($V471="Strike",N($E471)*$H471*$I471,IF($V471="Subyacente",IF($J471="","",$J471*$H471*$I471),IF($V471="Ancho",IF($F471="","",ABS($E471-$F471)*$H471*$I471-$K471*$H471*$I471),IF($V471="Prima",$K471*$H471*$I471,""))))))</f>
        <v/>
      </c>
      <c r="AE471" s="12" t="str">
        <f aca="false">IF(OR($C471="",$M471="Abierta",$M471=""),"",(N($K471)-IF(OR($M471="Cerrada",$M471="Rolada"),N($O471),0))*$H471*$I471*IF($U471="Débito",-1,1)-N($L471)-N($P471))</f>
        <v/>
      </c>
      <c r="AF471" s="14" t="str">
        <f aca="false">IF(OR($AE471="",$AD471=""),"",IF($AD471&lt;=0,"",$AE471/$AD471))</f>
        <v/>
      </c>
      <c r="AG471" s="14" t="str">
        <f aca="false">IF($AF471="","",$AF471*365/MAX(N($X471),1))</f>
        <v/>
      </c>
      <c r="AH471" s="14" t="str">
        <f aca="false">IF(OR($C471="",$U471&lt;&gt;"Crédito",$AD471=""),"",IF($AD471&lt;=0,"",($Z471-N($L471))/$AD471))</f>
        <v/>
      </c>
      <c r="AI471" s="14" t="str">
        <f aca="false">IF(OR($AH471="",$W471=""),"",$AH471*365/MAX($W471,1))</f>
        <v/>
      </c>
      <c r="AJ471" s="14" t="str">
        <f aca="false">IF(OR($AE471="",$U471&lt;&gt;"Crédito",N($K471)=0),"",(N($K471)-IF(OR($M471="Cerrada",$M471="Rolada"),N($O471),0))/$K471)</f>
        <v/>
      </c>
      <c r="AK471" s="15" t="str">
        <f aca="false">IF(OR($C471="",$N471=""),"",DATE(YEAR($N471),MONTH($N471),1))</f>
        <v/>
      </c>
      <c r="AL471" s="11" t="str">
        <f aca="false">IF($C471="","",IF($M471="Abierta",0,1))</f>
        <v/>
      </c>
      <c r="AM471" s="16" t="str">
        <f aca="false">IF(OR($AE471="",$AD471=""),"",$AD471*MAX(N($X471),1))</f>
        <v/>
      </c>
      <c r="AN471" s="10" t="str">
        <f aca="false">IF($C471="","",IF(OR($B471="",$D471="",$H471="",$K471="",$M471=""),"Faltan datos obligatorios",IF($T471="","Estrategia no reconocida",IF(AND($M471&lt;&gt;"Abierta",$N471=""),"Falta fecha cierre",IF(AND(OR($M471="Cerrada",$M471="Rolada"),$O471=""),"Falta prima cierre",IF(AND($N471&lt;&gt;"",$N471&lt;$B471),"Cierre anterior a apertura",IF(AND($M471="Asignada",$R471=""),"Asignada: falta ID lote acciones",IF(AND($R471&lt;&gt;"",ISNA(MATCH($R471,Acciones!$A$2:$A$201,0))),"El ID lote no existe en Acciones",IF($AD471="","Revisa capital en riesgo","OK")))))))))</f>
        <v/>
      </c>
    </row>
    <row r="472" customFormat="false" ht="15" hidden="false" customHeight="true" outlineLevel="0" collapsed="false">
      <c r="A472" s="5"/>
      <c r="B472" s="6"/>
      <c r="C472" s="7"/>
      <c r="D472" s="7"/>
      <c r="E472" s="8"/>
      <c r="F472" s="8"/>
      <c r="G472" s="6"/>
      <c r="H472" s="5"/>
      <c r="I472" s="5" t="n">
        <v>100</v>
      </c>
      <c r="J472" s="8"/>
      <c r="K472" s="8"/>
      <c r="L472" s="9"/>
      <c r="M472" s="7"/>
      <c r="N472" s="6"/>
      <c r="O472" s="8"/>
      <c r="P472" s="9"/>
      <c r="Q472" s="9"/>
      <c r="R472" s="7"/>
      <c r="S472" s="7"/>
      <c r="T472" s="10" t="str">
        <f aca="false">IF($C472="","",IFERROR(INDEX(Listas!$B$2:$B$20,MATCH($D472,Listas!$A$2:$A$20,0)),""))</f>
        <v/>
      </c>
      <c r="U472" s="10" t="str">
        <f aca="false">IF($C472="","",IFERROR(INDEX(Listas!$C$2:$C$20,MATCH($D472,Listas!$A$2:$A$20,0)),""))</f>
        <v/>
      </c>
      <c r="V472" s="10" t="str">
        <f aca="false">IF($C472="","",IFERROR(INDEX(Listas!$D$2:$D$20,MATCH($D472,Listas!$A$2:$A$20,0)),""))</f>
        <v/>
      </c>
      <c r="W472" s="11" t="str">
        <f aca="false">IF(OR($C472="",$B472="",$G472=""),"",$G472-$B472)</f>
        <v/>
      </c>
      <c r="X472" s="11" t="str">
        <f aca="true">IF(OR($C472="",$B472=""),"",IF($N472&lt;&gt;"",$N472,TODAY())-$B472)</f>
        <v/>
      </c>
      <c r="Y472" s="11" t="str">
        <f aca="true">IF(OR($C472="",$M472&lt;&gt;"Abierta",$G472=""),"",MAX($G472-TODAY(),0))</f>
        <v/>
      </c>
      <c r="Z472" s="12" t="str">
        <f aca="false">IF($C472="","",N($K472)*N($H472)*N($I472)*IF($U472="Débito",-1,1))</f>
        <v/>
      </c>
      <c r="AA472" s="13" t="str">
        <f aca="false">IF($C472="","",IF(AND($U472="Débito",$F472&lt;&gt;""),$F472,$E472))</f>
        <v/>
      </c>
      <c r="AB472" s="13" t="str">
        <f aca="false">IF(OR($C472="",$T472="Mixta",$AA472=""),"",IF($V472="Subyacente",IF($J472="","",$J472-$K472),IF($T472="Put",$AA472-$K472,$AA472+$K472)))</f>
        <v/>
      </c>
      <c r="AC472" s="14" t="str">
        <f aca="false">IF(OR($C472="",$T472="Mixta",$J472="",$AA472=""),"",IF($T472="Put",($J472-$AA472)/$J472,($AA472-$J472)/$J472))</f>
        <v/>
      </c>
      <c r="AD472" s="12" t="str">
        <f aca="false">IF($C472="","",IF($Q472&lt;&gt;"",$Q472,IF($V472="Strike",N($E472)*$H472*$I472,IF($V472="Subyacente",IF($J472="","",$J472*$H472*$I472),IF($V472="Ancho",IF($F472="","",ABS($E472-$F472)*$H472*$I472-$K472*$H472*$I472),IF($V472="Prima",$K472*$H472*$I472,""))))))</f>
        <v/>
      </c>
      <c r="AE472" s="12" t="str">
        <f aca="false">IF(OR($C472="",$M472="Abierta",$M472=""),"",(N($K472)-IF(OR($M472="Cerrada",$M472="Rolada"),N($O472),0))*$H472*$I472*IF($U472="Débito",-1,1)-N($L472)-N($P472))</f>
        <v/>
      </c>
      <c r="AF472" s="14" t="str">
        <f aca="false">IF(OR($AE472="",$AD472=""),"",IF($AD472&lt;=0,"",$AE472/$AD472))</f>
        <v/>
      </c>
      <c r="AG472" s="14" t="str">
        <f aca="false">IF($AF472="","",$AF472*365/MAX(N($X472),1))</f>
        <v/>
      </c>
      <c r="AH472" s="14" t="str">
        <f aca="false">IF(OR($C472="",$U472&lt;&gt;"Crédito",$AD472=""),"",IF($AD472&lt;=0,"",($Z472-N($L472))/$AD472))</f>
        <v/>
      </c>
      <c r="AI472" s="14" t="str">
        <f aca="false">IF(OR($AH472="",$W472=""),"",$AH472*365/MAX($W472,1))</f>
        <v/>
      </c>
      <c r="AJ472" s="14" t="str">
        <f aca="false">IF(OR($AE472="",$U472&lt;&gt;"Crédito",N($K472)=0),"",(N($K472)-IF(OR($M472="Cerrada",$M472="Rolada"),N($O472),0))/$K472)</f>
        <v/>
      </c>
      <c r="AK472" s="15" t="str">
        <f aca="false">IF(OR($C472="",$N472=""),"",DATE(YEAR($N472),MONTH($N472),1))</f>
        <v/>
      </c>
      <c r="AL472" s="11" t="str">
        <f aca="false">IF($C472="","",IF($M472="Abierta",0,1))</f>
        <v/>
      </c>
      <c r="AM472" s="16" t="str">
        <f aca="false">IF(OR($AE472="",$AD472=""),"",$AD472*MAX(N($X472),1))</f>
        <v/>
      </c>
      <c r="AN472" s="10" t="str">
        <f aca="false">IF($C472="","",IF(OR($B472="",$D472="",$H472="",$K472="",$M472=""),"Faltan datos obligatorios",IF($T472="","Estrategia no reconocida",IF(AND($M472&lt;&gt;"Abierta",$N472=""),"Falta fecha cierre",IF(AND(OR($M472="Cerrada",$M472="Rolada"),$O472=""),"Falta prima cierre",IF(AND($N472&lt;&gt;"",$N472&lt;$B472),"Cierre anterior a apertura",IF(AND($M472="Asignada",$R472=""),"Asignada: falta ID lote acciones",IF(AND($R472&lt;&gt;"",ISNA(MATCH($R472,Acciones!$A$2:$A$201,0))),"El ID lote no existe en Acciones",IF($AD472="","Revisa capital en riesgo","OK")))))))))</f>
        <v/>
      </c>
    </row>
    <row r="473" customFormat="false" ht="15" hidden="false" customHeight="true" outlineLevel="0" collapsed="false">
      <c r="A473" s="5"/>
      <c r="B473" s="6"/>
      <c r="C473" s="7"/>
      <c r="D473" s="7"/>
      <c r="E473" s="8"/>
      <c r="F473" s="8"/>
      <c r="G473" s="6"/>
      <c r="H473" s="5"/>
      <c r="I473" s="5" t="n">
        <v>100</v>
      </c>
      <c r="J473" s="8"/>
      <c r="K473" s="8"/>
      <c r="L473" s="9"/>
      <c r="M473" s="7"/>
      <c r="N473" s="6"/>
      <c r="O473" s="8"/>
      <c r="P473" s="9"/>
      <c r="Q473" s="9"/>
      <c r="R473" s="7"/>
      <c r="S473" s="7"/>
      <c r="T473" s="10" t="str">
        <f aca="false">IF($C473="","",IFERROR(INDEX(Listas!$B$2:$B$20,MATCH($D473,Listas!$A$2:$A$20,0)),""))</f>
        <v/>
      </c>
      <c r="U473" s="10" t="str">
        <f aca="false">IF($C473="","",IFERROR(INDEX(Listas!$C$2:$C$20,MATCH($D473,Listas!$A$2:$A$20,0)),""))</f>
        <v/>
      </c>
      <c r="V473" s="10" t="str">
        <f aca="false">IF($C473="","",IFERROR(INDEX(Listas!$D$2:$D$20,MATCH($D473,Listas!$A$2:$A$20,0)),""))</f>
        <v/>
      </c>
      <c r="W473" s="11" t="str">
        <f aca="false">IF(OR($C473="",$B473="",$G473=""),"",$G473-$B473)</f>
        <v/>
      </c>
      <c r="X473" s="11" t="str">
        <f aca="true">IF(OR($C473="",$B473=""),"",IF($N473&lt;&gt;"",$N473,TODAY())-$B473)</f>
        <v/>
      </c>
      <c r="Y473" s="11" t="str">
        <f aca="true">IF(OR($C473="",$M473&lt;&gt;"Abierta",$G473=""),"",MAX($G473-TODAY(),0))</f>
        <v/>
      </c>
      <c r="Z473" s="12" t="str">
        <f aca="false">IF($C473="","",N($K473)*N($H473)*N($I473)*IF($U473="Débito",-1,1))</f>
        <v/>
      </c>
      <c r="AA473" s="13" t="str">
        <f aca="false">IF($C473="","",IF(AND($U473="Débito",$F473&lt;&gt;""),$F473,$E473))</f>
        <v/>
      </c>
      <c r="AB473" s="13" t="str">
        <f aca="false">IF(OR($C473="",$T473="Mixta",$AA473=""),"",IF($V473="Subyacente",IF($J473="","",$J473-$K473),IF($T473="Put",$AA473-$K473,$AA473+$K473)))</f>
        <v/>
      </c>
      <c r="AC473" s="14" t="str">
        <f aca="false">IF(OR($C473="",$T473="Mixta",$J473="",$AA473=""),"",IF($T473="Put",($J473-$AA473)/$J473,($AA473-$J473)/$J473))</f>
        <v/>
      </c>
      <c r="AD473" s="12" t="str">
        <f aca="false">IF($C473="","",IF($Q473&lt;&gt;"",$Q473,IF($V473="Strike",N($E473)*$H473*$I473,IF($V473="Subyacente",IF($J473="","",$J473*$H473*$I473),IF($V473="Ancho",IF($F473="","",ABS($E473-$F473)*$H473*$I473-$K473*$H473*$I473),IF($V473="Prima",$K473*$H473*$I473,""))))))</f>
        <v/>
      </c>
      <c r="AE473" s="12" t="str">
        <f aca="false">IF(OR($C473="",$M473="Abierta",$M473=""),"",(N($K473)-IF(OR($M473="Cerrada",$M473="Rolada"),N($O473),0))*$H473*$I473*IF($U473="Débito",-1,1)-N($L473)-N($P473))</f>
        <v/>
      </c>
      <c r="AF473" s="14" t="str">
        <f aca="false">IF(OR($AE473="",$AD473=""),"",IF($AD473&lt;=0,"",$AE473/$AD473))</f>
        <v/>
      </c>
      <c r="AG473" s="14" t="str">
        <f aca="false">IF($AF473="","",$AF473*365/MAX(N($X473),1))</f>
        <v/>
      </c>
      <c r="AH473" s="14" t="str">
        <f aca="false">IF(OR($C473="",$U473&lt;&gt;"Crédito",$AD473=""),"",IF($AD473&lt;=0,"",($Z473-N($L473))/$AD473))</f>
        <v/>
      </c>
      <c r="AI473" s="14" t="str">
        <f aca="false">IF(OR($AH473="",$W473=""),"",$AH473*365/MAX($W473,1))</f>
        <v/>
      </c>
      <c r="AJ473" s="14" t="str">
        <f aca="false">IF(OR($AE473="",$U473&lt;&gt;"Crédito",N($K473)=0),"",(N($K473)-IF(OR($M473="Cerrada",$M473="Rolada"),N($O473),0))/$K473)</f>
        <v/>
      </c>
      <c r="AK473" s="15" t="str">
        <f aca="false">IF(OR($C473="",$N473=""),"",DATE(YEAR($N473),MONTH($N473),1))</f>
        <v/>
      </c>
      <c r="AL473" s="11" t="str">
        <f aca="false">IF($C473="","",IF($M473="Abierta",0,1))</f>
        <v/>
      </c>
      <c r="AM473" s="16" t="str">
        <f aca="false">IF(OR($AE473="",$AD473=""),"",$AD473*MAX(N($X473),1))</f>
        <v/>
      </c>
      <c r="AN473" s="10" t="str">
        <f aca="false">IF($C473="","",IF(OR($B473="",$D473="",$H473="",$K473="",$M473=""),"Faltan datos obligatorios",IF($T473="","Estrategia no reconocida",IF(AND($M473&lt;&gt;"Abierta",$N473=""),"Falta fecha cierre",IF(AND(OR($M473="Cerrada",$M473="Rolada"),$O473=""),"Falta prima cierre",IF(AND($N473&lt;&gt;"",$N473&lt;$B473),"Cierre anterior a apertura",IF(AND($M473="Asignada",$R473=""),"Asignada: falta ID lote acciones",IF(AND($R473&lt;&gt;"",ISNA(MATCH($R473,Acciones!$A$2:$A$201,0))),"El ID lote no existe en Acciones",IF($AD473="","Revisa capital en riesgo","OK")))))))))</f>
        <v/>
      </c>
    </row>
    <row r="474" customFormat="false" ht="15" hidden="false" customHeight="true" outlineLevel="0" collapsed="false">
      <c r="A474" s="5"/>
      <c r="B474" s="6"/>
      <c r="C474" s="7"/>
      <c r="D474" s="7"/>
      <c r="E474" s="8"/>
      <c r="F474" s="8"/>
      <c r="G474" s="6"/>
      <c r="H474" s="5"/>
      <c r="I474" s="5" t="n">
        <v>100</v>
      </c>
      <c r="J474" s="8"/>
      <c r="K474" s="8"/>
      <c r="L474" s="9"/>
      <c r="M474" s="7"/>
      <c r="N474" s="6"/>
      <c r="O474" s="8"/>
      <c r="P474" s="9"/>
      <c r="Q474" s="9"/>
      <c r="R474" s="7"/>
      <c r="S474" s="7"/>
      <c r="T474" s="10" t="str">
        <f aca="false">IF($C474="","",IFERROR(INDEX(Listas!$B$2:$B$20,MATCH($D474,Listas!$A$2:$A$20,0)),""))</f>
        <v/>
      </c>
      <c r="U474" s="10" t="str">
        <f aca="false">IF($C474="","",IFERROR(INDEX(Listas!$C$2:$C$20,MATCH($D474,Listas!$A$2:$A$20,0)),""))</f>
        <v/>
      </c>
      <c r="V474" s="10" t="str">
        <f aca="false">IF($C474="","",IFERROR(INDEX(Listas!$D$2:$D$20,MATCH($D474,Listas!$A$2:$A$20,0)),""))</f>
        <v/>
      </c>
      <c r="W474" s="11" t="str">
        <f aca="false">IF(OR($C474="",$B474="",$G474=""),"",$G474-$B474)</f>
        <v/>
      </c>
      <c r="X474" s="11" t="str">
        <f aca="true">IF(OR($C474="",$B474=""),"",IF($N474&lt;&gt;"",$N474,TODAY())-$B474)</f>
        <v/>
      </c>
      <c r="Y474" s="11" t="str">
        <f aca="true">IF(OR($C474="",$M474&lt;&gt;"Abierta",$G474=""),"",MAX($G474-TODAY(),0))</f>
        <v/>
      </c>
      <c r="Z474" s="12" t="str">
        <f aca="false">IF($C474="","",N($K474)*N($H474)*N($I474)*IF($U474="Débito",-1,1))</f>
        <v/>
      </c>
      <c r="AA474" s="13" t="str">
        <f aca="false">IF($C474="","",IF(AND($U474="Débito",$F474&lt;&gt;""),$F474,$E474))</f>
        <v/>
      </c>
      <c r="AB474" s="13" t="str">
        <f aca="false">IF(OR($C474="",$T474="Mixta",$AA474=""),"",IF($V474="Subyacente",IF($J474="","",$J474-$K474),IF($T474="Put",$AA474-$K474,$AA474+$K474)))</f>
        <v/>
      </c>
      <c r="AC474" s="14" t="str">
        <f aca="false">IF(OR($C474="",$T474="Mixta",$J474="",$AA474=""),"",IF($T474="Put",($J474-$AA474)/$J474,($AA474-$J474)/$J474))</f>
        <v/>
      </c>
      <c r="AD474" s="12" t="str">
        <f aca="false">IF($C474="","",IF($Q474&lt;&gt;"",$Q474,IF($V474="Strike",N($E474)*$H474*$I474,IF($V474="Subyacente",IF($J474="","",$J474*$H474*$I474),IF($V474="Ancho",IF($F474="","",ABS($E474-$F474)*$H474*$I474-$K474*$H474*$I474),IF($V474="Prima",$K474*$H474*$I474,""))))))</f>
        <v/>
      </c>
      <c r="AE474" s="12" t="str">
        <f aca="false">IF(OR($C474="",$M474="Abierta",$M474=""),"",(N($K474)-IF(OR($M474="Cerrada",$M474="Rolada"),N($O474),0))*$H474*$I474*IF($U474="Débito",-1,1)-N($L474)-N($P474))</f>
        <v/>
      </c>
      <c r="AF474" s="14" t="str">
        <f aca="false">IF(OR($AE474="",$AD474=""),"",IF($AD474&lt;=0,"",$AE474/$AD474))</f>
        <v/>
      </c>
      <c r="AG474" s="14" t="str">
        <f aca="false">IF($AF474="","",$AF474*365/MAX(N($X474),1))</f>
        <v/>
      </c>
      <c r="AH474" s="14" t="str">
        <f aca="false">IF(OR($C474="",$U474&lt;&gt;"Crédito",$AD474=""),"",IF($AD474&lt;=0,"",($Z474-N($L474))/$AD474))</f>
        <v/>
      </c>
      <c r="AI474" s="14" t="str">
        <f aca="false">IF(OR($AH474="",$W474=""),"",$AH474*365/MAX($W474,1))</f>
        <v/>
      </c>
      <c r="AJ474" s="14" t="str">
        <f aca="false">IF(OR($AE474="",$U474&lt;&gt;"Crédito",N($K474)=0),"",(N($K474)-IF(OR($M474="Cerrada",$M474="Rolada"),N($O474),0))/$K474)</f>
        <v/>
      </c>
      <c r="AK474" s="15" t="str">
        <f aca="false">IF(OR($C474="",$N474=""),"",DATE(YEAR($N474),MONTH($N474),1))</f>
        <v/>
      </c>
      <c r="AL474" s="11" t="str">
        <f aca="false">IF($C474="","",IF($M474="Abierta",0,1))</f>
        <v/>
      </c>
      <c r="AM474" s="16" t="str">
        <f aca="false">IF(OR($AE474="",$AD474=""),"",$AD474*MAX(N($X474),1))</f>
        <v/>
      </c>
      <c r="AN474" s="10" t="str">
        <f aca="false">IF($C474="","",IF(OR($B474="",$D474="",$H474="",$K474="",$M474=""),"Faltan datos obligatorios",IF($T474="","Estrategia no reconocida",IF(AND($M474&lt;&gt;"Abierta",$N474=""),"Falta fecha cierre",IF(AND(OR($M474="Cerrada",$M474="Rolada"),$O474=""),"Falta prima cierre",IF(AND($N474&lt;&gt;"",$N474&lt;$B474),"Cierre anterior a apertura",IF(AND($M474="Asignada",$R474=""),"Asignada: falta ID lote acciones",IF(AND($R474&lt;&gt;"",ISNA(MATCH($R474,Acciones!$A$2:$A$201,0))),"El ID lote no existe en Acciones",IF($AD474="","Revisa capital en riesgo","OK")))))))))</f>
        <v/>
      </c>
    </row>
    <row r="475" customFormat="false" ht="15" hidden="false" customHeight="true" outlineLevel="0" collapsed="false">
      <c r="A475" s="5"/>
      <c r="B475" s="6"/>
      <c r="C475" s="7"/>
      <c r="D475" s="7"/>
      <c r="E475" s="8"/>
      <c r="F475" s="8"/>
      <c r="G475" s="6"/>
      <c r="H475" s="5"/>
      <c r="I475" s="5" t="n">
        <v>100</v>
      </c>
      <c r="J475" s="8"/>
      <c r="K475" s="8"/>
      <c r="L475" s="9"/>
      <c r="M475" s="7"/>
      <c r="N475" s="6"/>
      <c r="O475" s="8"/>
      <c r="P475" s="9"/>
      <c r="Q475" s="9"/>
      <c r="R475" s="7"/>
      <c r="S475" s="7"/>
      <c r="T475" s="10" t="str">
        <f aca="false">IF($C475="","",IFERROR(INDEX(Listas!$B$2:$B$20,MATCH($D475,Listas!$A$2:$A$20,0)),""))</f>
        <v/>
      </c>
      <c r="U475" s="10" t="str">
        <f aca="false">IF($C475="","",IFERROR(INDEX(Listas!$C$2:$C$20,MATCH($D475,Listas!$A$2:$A$20,0)),""))</f>
        <v/>
      </c>
      <c r="V475" s="10" t="str">
        <f aca="false">IF($C475="","",IFERROR(INDEX(Listas!$D$2:$D$20,MATCH($D475,Listas!$A$2:$A$20,0)),""))</f>
        <v/>
      </c>
      <c r="W475" s="11" t="str">
        <f aca="false">IF(OR($C475="",$B475="",$G475=""),"",$G475-$B475)</f>
        <v/>
      </c>
      <c r="X475" s="11" t="str">
        <f aca="true">IF(OR($C475="",$B475=""),"",IF($N475&lt;&gt;"",$N475,TODAY())-$B475)</f>
        <v/>
      </c>
      <c r="Y475" s="11" t="str">
        <f aca="true">IF(OR($C475="",$M475&lt;&gt;"Abierta",$G475=""),"",MAX($G475-TODAY(),0))</f>
        <v/>
      </c>
      <c r="Z475" s="12" t="str">
        <f aca="false">IF($C475="","",N($K475)*N($H475)*N($I475)*IF($U475="Débito",-1,1))</f>
        <v/>
      </c>
      <c r="AA475" s="13" t="str">
        <f aca="false">IF($C475="","",IF(AND($U475="Débito",$F475&lt;&gt;""),$F475,$E475))</f>
        <v/>
      </c>
      <c r="AB475" s="13" t="str">
        <f aca="false">IF(OR($C475="",$T475="Mixta",$AA475=""),"",IF($V475="Subyacente",IF($J475="","",$J475-$K475),IF($T475="Put",$AA475-$K475,$AA475+$K475)))</f>
        <v/>
      </c>
      <c r="AC475" s="14" t="str">
        <f aca="false">IF(OR($C475="",$T475="Mixta",$J475="",$AA475=""),"",IF($T475="Put",($J475-$AA475)/$J475,($AA475-$J475)/$J475))</f>
        <v/>
      </c>
      <c r="AD475" s="12" t="str">
        <f aca="false">IF($C475="","",IF($Q475&lt;&gt;"",$Q475,IF($V475="Strike",N($E475)*$H475*$I475,IF($V475="Subyacente",IF($J475="","",$J475*$H475*$I475),IF($V475="Ancho",IF($F475="","",ABS($E475-$F475)*$H475*$I475-$K475*$H475*$I475),IF($V475="Prima",$K475*$H475*$I475,""))))))</f>
        <v/>
      </c>
      <c r="AE475" s="12" t="str">
        <f aca="false">IF(OR($C475="",$M475="Abierta",$M475=""),"",(N($K475)-IF(OR($M475="Cerrada",$M475="Rolada"),N($O475),0))*$H475*$I475*IF($U475="Débito",-1,1)-N($L475)-N($P475))</f>
        <v/>
      </c>
      <c r="AF475" s="14" t="str">
        <f aca="false">IF(OR($AE475="",$AD475=""),"",IF($AD475&lt;=0,"",$AE475/$AD475))</f>
        <v/>
      </c>
      <c r="AG475" s="14" t="str">
        <f aca="false">IF($AF475="","",$AF475*365/MAX(N($X475),1))</f>
        <v/>
      </c>
      <c r="AH475" s="14" t="str">
        <f aca="false">IF(OR($C475="",$U475&lt;&gt;"Crédito",$AD475=""),"",IF($AD475&lt;=0,"",($Z475-N($L475))/$AD475))</f>
        <v/>
      </c>
      <c r="AI475" s="14" t="str">
        <f aca="false">IF(OR($AH475="",$W475=""),"",$AH475*365/MAX($W475,1))</f>
        <v/>
      </c>
      <c r="AJ475" s="14" t="str">
        <f aca="false">IF(OR($AE475="",$U475&lt;&gt;"Crédito",N($K475)=0),"",(N($K475)-IF(OR($M475="Cerrada",$M475="Rolada"),N($O475),0))/$K475)</f>
        <v/>
      </c>
      <c r="AK475" s="15" t="str">
        <f aca="false">IF(OR($C475="",$N475=""),"",DATE(YEAR($N475),MONTH($N475),1))</f>
        <v/>
      </c>
      <c r="AL475" s="11" t="str">
        <f aca="false">IF($C475="","",IF($M475="Abierta",0,1))</f>
        <v/>
      </c>
      <c r="AM475" s="16" t="str">
        <f aca="false">IF(OR($AE475="",$AD475=""),"",$AD475*MAX(N($X475),1))</f>
        <v/>
      </c>
      <c r="AN475" s="10" t="str">
        <f aca="false">IF($C475="","",IF(OR($B475="",$D475="",$H475="",$K475="",$M475=""),"Faltan datos obligatorios",IF($T475="","Estrategia no reconocida",IF(AND($M475&lt;&gt;"Abierta",$N475=""),"Falta fecha cierre",IF(AND(OR($M475="Cerrada",$M475="Rolada"),$O475=""),"Falta prima cierre",IF(AND($N475&lt;&gt;"",$N475&lt;$B475),"Cierre anterior a apertura",IF(AND($M475="Asignada",$R475=""),"Asignada: falta ID lote acciones",IF(AND($R475&lt;&gt;"",ISNA(MATCH($R475,Acciones!$A$2:$A$201,0))),"El ID lote no existe en Acciones",IF($AD475="","Revisa capital en riesgo","OK")))))))))</f>
        <v/>
      </c>
    </row>
    <row r="476" customFormat="false" ht="15" hidden="false" customHeight="true" outlineLevel="0" collapsed="false">
      <c r="A476" s="5"/>
      <c r="B476" s="6"/>
      <c r="C476" s="7"/>
      <c r="D476" s="7"/>
      <c r="E476" s="8"/>
      <c r="F476" s="8"/>
      <c r="G476" s="6"/>
      <c r="H476" s="5"/>
      <c r="I476" s="5" t="n">
        <v>100</v>
      </c>
      <c r="J476" s="8"/>
      <c r="K476" s="8"/>
      <c r="L476" s="9"/>
      <c r="M476" s="7"/>
      <c r="N476" s="6"/>
      <c r="O476" s="8"/>
      <c r="P476" s="9"/>
      <c r="Q476" s="9"/>
      <c r="R476" s="7"/>
      <c r="S476" s="7"/>
      <c r="T476" s="10" t="str">
        <f aca="false">IF($C476="","",IFERROR(INDEX(Listas!$B$2:$B$20,MATCH($D476,Listas!$A$2:$A$20,0)),""))</f>
        <v/>
      </c>
      <c r="U476" s="10" t="str">
        <f aca="false">IF($C476="","",IFERROR(INDEX(Listas!$C$2:$C$20,MATCH($D476,Listas!$A$2:$A$20,0)),""))</f>
        <v/>
      </c>
      <c r="V476" s="10" t="str">
        <f aca="false">IF($C476="","",IFERROR(INDEX(Listas!$D$2:$D$20,MATCH($D476,Listas!$A$2:$A$20,0)),""))</f>
        <v/>
      </c>
      <c r="W476" s="11" t="str">
        <f aca="false">IF(OR($C476="",$B476="",$G476=""),"",$G476-$B476)</f>
        <v/>
      </c>
      <c r="X476" s="11" t="str">
        <f aca="true">IF(OR($C476="",$B476=""),"",IF($N476&lt;&gt;"",$N476,TODAY())-$B476)</f>
        <v/>
      </c>
      <c r="Y476" s="11" t="str">
        <f aca="true">IF(OR($C476="",$M476&lt;&gt;"Abierta",$G476=""),"",MAX($G476-TODAY(),0))</f>
        <v/>
      </c>
      <c r="Z476" s="12" t="str">
        <f aca="false">IF($C476="","",N($K476)*N($H476)*N($I476)*IF($U476="Débito",-1,1))</f>
        <v/>
      </c>
      <c r="AA476" s="13" t="str">
        <f aca="false">IF($C476="","",IF(AND($U476="Débito",$F476&lt;&gt;""),$F476,$E476))</f>
        <v/>
      </c>
      <c r="AB476" s="13" t="str">
        <f aca="false">IF(OR($C476="",$T476="Mixta",$AA476=""),"",IF($V476="Subyacente",IF($J476="","",$J476-$K476),IF($T476="Put",$AA476-$K476,$AA476+$K476)))</f>
        <v/>
      </c>
      <c r="AC476" s="14" t="str">
        <f aca="false">IF(OR($C476="",$T476="Mixta",$J476="",$AA476=""),"",IF($T476="Put",($J476-$AA476)/$J476,($AA476-$J476)/$J476))</f>
        <v/>
      </c>
      <c r="AD476" s="12" t="str">
        <f aca="false">IF($C476="","",IF($Q476&lt;&gt;"",$Q476,IF($V476="Strike",N($E476)*$H476*$I476,IF($V476="Subyacente",IF($J476="","",$J476*$H476*$I476),IF($V476="Ancho",IF($F476="","",ABS($E476-$F476)*$H476*$I476-$K476*$H476*$I476),IF($V476="Prima",$K476*$H476*$I476,""))))))</f>
        <v/>
      </c>
      <c r="AE476" s="12" t="str">
        <f aca="false">IF(OR($C476="",$M476="Abierta",$M476=""),"",(N($K476)-IF(OR($M476="Cerrada",$M476="Rolada"),N($O476),0))*$H476*$I476*IF($U476="Débito",-1,1)-N($L476)-N($P476))</f>
        <v/>
      </c>
      <c r="AF476" s="14" t="str">
        <f aca="false">IF(OR($AE476="",$AD476=""),"",IF($AD476&lt;=0,"",$AE476/$AD476))</f>
        <v/>
      </c>
      <c r="AG476" s="14" t="str">
        <f aca="false">IF($AF476="","",$AF476*365/MAX(N($X476),1))</f>
        <v/>
      </c>
      <c r="AH476" s="14" t="str">
        <f aca="false">IF(OR($C476="",$U476&lt;&gt;"Crédito",$AD476=""),"",IF($AD476&lt;=0,"",($Z476-N($L476))/$AD476))</f>
        <v/>
      </c>
      <c r="AI476" s="14" t="str">
        <f aca="false">IF(OR($AH476="",$W476=""),"",$AH476*365/MAX($W476,1))</f>
        <v/>
      </c>
      <c r="AJ476" s="14" t="str">
        <f aca="false">IF(OR($AE476="",$U476&lt;&gt;"Crédito",N($K476)=0),"",(N($K476)-IF(OR($M476="Cerrada",$M476="Rolada"),N($O476),0))/$K476)</f>
        <v/>
      </c>
      <c r="AK476" s="15" t="str">
        <f aca="false">IF(OR($C476="",$N476=""),"",DATE(YEAR($N476),MONTH($N476),1))</f>
        <v/>
      </c>
      <c r="AL476" s="11" t="str">
        <f aca="false">IF($C476="","",IF($M476="Abierta",0,1))</f>
        <v/>
      </c>
      <c r="AM476" s="16" t="str">
        <f aca="false">IF(OR($AE476="",$AD476=""),"",$AD476*MAX(N($X476),1))</f>
        <v/>
      </c>
      <c r="AN476" s="10" t="str">
        <f aca="false">IF($C476="","",IF(OR($B476="",$D476="",$H476="",$K476="",$M476=""),"Faltan datos obligatorios",IF($T476="","Estrategia no reconocida",IF(AND($M476&lt;&gt;"Abierta",$N476=""),"Falta fecha cierre",IF(AND(OR($M476="Cerrada",$M476="Rolada"),$O476=""),"Falta prima cierre",IF(AND($N476&lt;&gt;"",$N476&lt;$B476),"Cierre anterior a apertura",IF(AND($M476="Asignada",$R476=""),"Asignada: falta ID lote acciones",IF(AND($R476&lt;&gt;"",ISNA(MATCH($R476,Acciones!$A$2:$A$201,0))),"El ID lote no existe en Acciones",IF($AD476="","Revisa capital en riesgo","OK")))))))))</f>
        <v/>
      </c>
    </row>
    <row r="477" customFormat="false" ht="15" hidden="false" customHeight="true" outlineLevel="0" collapsed="false">
      <c r="A477" s="5"/>
      <c r="B477" s="6"/>
      <c r="C477" s="7"/>
      <c r="D477" s="7"/>
      <c r="E477" s="8"/>
      <c r="F477" s="8"/>
      <c r="G477" s="6"/>
      <c r="H477" s="5"/>
      <c r="I477" s="5" t="n">
        <v>100</v>
      </c>
      <c r="J477" s="8"/>
      <c r="K477" s="8"/>
      <c r="L477" s="9"/>
      <c r="M477" s="7"/>
      <c r="N477" s="6"/>
      <c r="O477" s="8"/>
      <c r="P477" s="9"/>
      <c r="Q477" s="9"/>
      <c r="R477" s="7"/>
      <c r="S477" s="7"/>
      <c r="T477" s="10" t="str">
        <f aca="false">IF($C477="","",IFERROR(INDEX(Listas!$B$2:$B$20,MATCH($D477,Listas!$A$2:$A$20,0)),""))</f>
        <v/>
      </c>
      <c r="U477" s="10" t="str">
        <f aca="false">IF($C477="","",IFERROR(INDEX(Listas!$C$2:$C$20,MATCH($D477,Listas!$A$2:$A$20,0)),""))</f>
        <v/>
      </c>
      <c r="V477" s="10" t="str">
        <f aca="false">IF($C477="","",IFERROR(INDEX(Listas!$D$2:$D$20,MATCH($D477,Listas!$A$2:$A$20,0)),""))</f>
        <v/>
      </c>
      <c r="W477" s="11" t="str">
        <f aca="false">IF(OR($C477="",$B477="",$G477=""),"",$G477-$B477)</f>
        <v/>
      </c>
      <c r="X477" s="11" t="str">
        <f aca="true">IF(OR($C477="",$B477=""),"",IF($N477&lt;&gt;"",$N477,TODAY())-$B477)</f>
        <v/>
      </c>
      <c r="Y477" s="11" t="str">
        <f aca="true">IF(OR($C477="",$M477&lt;&gt;"Abierta",$G477=""),"",MAX($G477-TODAY(),0))</f>
        <v/>
      </c>
      <c r="Z477" s="12" t="str">
        <f aca="false">IF($C477="","",N($K477)*N($H477)*N($I477)*IF($U477="Débito",-1,1))</f>
        <v/>
      </c>
      <c r="AA477" s="13" t="str">
        <f aca="false">IF($C477="","",IF(AND($U477="Débito",$F477&lt;&gt;""),$F477,$E477))</f>
        <v/>
      </c>
      <c r="AB477" s="13" t="str">
        <f aca="false">IF(OR($C477="",$T477="Mixta",$AA477=""),"",IF($V477="Subyacente",IF($J477="","",$J477-$K477),IF($T477="Put",$AA477-$K477,$AA477+$K477)))</f>
        <v/>
      </c>
      <c r="AC477" s="14" t="str">
        <f aca="false">IF(OR($C477="",$T477="Mixta",$J477="",$AA477=""),"",IF($T477="Put",($J477-$AA477)/$J477,($AA477-$J477)/$J477))</f>
        <v/>
      </c>
      <c r="AD477" s="12" t="str">
        <f aca="false">IF($C477="","",IF($Q477&lt;&gt;"",$Q477,IF($V477="Strike",N($E477)*$H477*$I477,IF($V477="Subyacente",IF($J477="","",$J477*$H477*$I477),IF($V477="Ancho",IF($F477="","",ABS($E477-$F477)*$H477*$I477-$K477*$H477*$I477),IF($V477="Prima",$K477*$H477*$I477,""))))))</f>
        <v/>
      </c>
      <c r="AE477" s="12" t="str">
        <f aca="false">IF(OR($C477="",$M477="Abierta",$M477=""),"",(N($K477)-IF(OR($M477="Cerrada",$M477="Rolada"),N($O477),0))*$H477*$I477*IF($U477="Débito",-1,1)-N($L477)-N($P477))</f>
        <v/>
      </c>
      <c r="AF477" s="14" t="str">
        <f aca="false">IF(OR($AE477="",$AD477=""),"",IF($AD477&lt;=0,"",$AE477/$AD477))</f>
        <v/>
      </c>
      <c r="AG477" s="14" t="str">
        <f aca="false">IF($AF477="","",$AF477*365/MAX(N($X477),1))</f>
        <v/>
      </c>
      <c r="AH477" s="14" t="str">
        <f aca="false">IF(OR($C477="",$U477&lt;&gt;"Crédito",$AD477=""),"",IF($AD477&lt;=0,"",($Z477-N($L477))/$AD477))</f>
        <v/>
      </c>
      <c r="AI477" s="14" t="str">
        <f aca="false">IF(OR($AH477="",$W477=""),"",$AH477*365/MAX($W477,1))</f>
        <v/>
      </c>
      <c r="AJ477" s="14" t="str">
        <f aca="false">IF(OR($AE477="",$U477&lt;&gt;"Crédito",N($K477)=0),"",(N($K477)-IF(OR($M477="Cerrada",$M477="Rolada"),N($O477),0))/$K477)</f>
        <v/>
      </c>
      <c r="AK477" s="15" t="str">
        <f aca="false">IF(OR($C477="",$N477=""),"",DATE(YEAR($N477),MONTH($N477),1))</f>
        <v/>
      </c>
      <c r="AL477" s="11" t="str">
        <f aca="false">IF($C477="","",IF($M477="Abierta",0,1))</f>
        <v/>
      </c>
      <c r="AM477" s="16" t="str">
        <f aca="false">IF(OR($AE477="",$AD477=""),"",$AD477*MAX(N($X477),1))</f>
        <v/>
      </c>
      <c r="AN477" s="10" t="str">
        <f aca="false">IF($C477="","",IF(OR($B477="",$D477="",$H477="",$K477="",$M477=""),"Faltan datos obligatorios",IF($T477="","Estrategia no reconocida",IF(AND($M477&lt;&gt;"Abierta",$N477=""),"Falta fecha cierre",IF(AND(OR($M477="Cerrada",$M477="Rolada"),$O477=""),"Falta prima cierre",IF(AND($N477&lt;&gt;"",$N477&lt;$B477),"Cierre anterior a apertura",IF(AND($M477="Asignada",$R477=""),"Asignada: falta ID lote acciones",IF(AND($R477&lt;&gt;"",ISNA(MATCH($R477,Acciones!$A$2:$A$201,0))),"El ID lote no existe en Acciones",IF($AD477="","Revisa capital en riesgo","OK")))))))))</f>
        <v/>
      </c>
    </row>
    <row r="478" customFormat="false" ht="15" hidden="false" customHeight="true" outlineLevel="0" collapsed="false">
      <c r="A478" s="5"/>
      <c r="B478" s="6"/>
      <c r="C478" s="7"/>
      <c r="D478" s="7"/>
      <c r="E478" s="8"/>
      <c r="F478" s="8"/>
      <c r="G478" s="6"/>
      <c r="H478" s="5"/>
      <c r="I478" s="5" t="n">
        <v>100</v>
      </c>
      <c r="J478" s="8"/>
      <c r="K478" s="8"/>
      <c r="L478" s="9"/>
      <c r="M478" s="7"/>
      <c r="N478" s="6"/>
      <c r="O478" s="8"/>
      <c r="P478" s="9"/>
      <c r="Q478" s="9"/>
      <c r="R478" s="7"/>
      <c r="S478" s="7"/>
      <c r="T478" s="10" t="str">
        <f aca="false">IF($C478="","",IFERROR(INDEX(Listas!$B$2:$B$20,MATCH($D478,Listas!$A$2:$A$20,0)),""))</f>
        <v/>
      </c>
      <c r="U478" s="10" t="str">
        <f aca="false">IF($C478="","",IFERROR(INDEX(Listas!$C$2:$C$20,MATCH($D478,Listas!$A$2:$A$20,0)),""))</f>
        <v/>
      </c>
      <c r="V478" s="10" t="str">
        <f aca="false">IF($C478="","",IFERROR(INDEX(Listas!$D$2:$D$20,MATCH($D478,Listas!$A$2:$A$20,0)),""))</f>
        <v/>
      </c>
      <c r="W478" s="11" t="str">
        <f aca="false">IF(OR($C478="",$B478="",$G478=""),"",$G478-$B478)</f>
        <v/>
      </c>
      <c r="X478" s="11" t="str">
        <f aca="true">IF(OR($C478="",$B478=""),"",IF($N478&lt;&gt;"",$N478,TODAY())-$B478)</f>
        <v/>
      </c>
      <c r="Y478" s="11" t="str">
        <f aca="true">IF(OR($C478="",$M478&lt;&gt;"Abierta",$G478=""),"",MAX($G478-TODAY(),0))</f>
        <v/>
      </c>
      <c r="Z478" s="12" t="str">
        <f aca="false">IF($C478="","",N($K478)*N($H478)*N($I478)*IF($U478="Débito",-1,1))</f>
        <v/>
      </c>
      <c r="AA478" s="13" t="str">
        <f aca="false">IF($C478="","",IF(AND($U478="Débito",$F478&lt;&gt;""),$F478,$E478))</f>
        <v/>
      </c>
      <c r="AB478" s="13" t="str">
        <f aca="false">IF(OR($C478="",$T478="Mixta",$AA478=""),"",IF($V478="Subyacente",IF($J478="","",$J478-$K478),IF($T478="Put",$AA478-$K478,$AA478+$K478)))</f>
        <v/>
      </c>
      <c r="AC478" s="14" t="str">
        <f aca="false">IF(OR($C478="",$T478="Mixta",$J478="",$AA478=""),"",IF($T478="Put",($J478-$AA478)/$J478,($AA478-$J478)/$J478))</f>
        <v/>
      </c>
      <c r="AD478" s="12" t="str">
        <f aca="false">IF($C478="","",IF($Q478&lt;&gt;"",$Q478,IF($V478="Strike",N($E478)*$H478*$I478,IF($V478="Subyacente",IF($J478="","",$J478*$H478*$I478),IF($V478="Ancho",IF($F478="","",ABS($E478-$F478)*$H478*$I478-$K478*$H478*$I478),IF($V478="Prima",$K478*$H478*$I478,""))))))</f>
        <v/>
      </c>
      <c r="AE478" s="12" t="str">
        <f aca="false">IF(OR($C478="",$M478="Abierta",$M478=""),"",(N($K478)-IF(OR($M478="Cerrada",$M478="Rolada"),N($O478),0))*$H478*$I478*IF($U478="Débito",-1,1)-N($L478)-N($P478))</f>
        <v/>
      </c>
      <c r="AF478" s="14" t="str">
        <f aca="false">IF(OR($AE478="",$AD478=""),"",IF($AD478&lt;=0,"",$AE478/$AD478))</f>
        <v/>
      </c>
      <c r="AG478" s="14" t="str">
        <f aca="false">IF($AF478="","",$AF478*365/MAX(N($X478),1))</f>
        <v/>
      </c>
      <c r="AH478" s="14" t="str">
        <f aca="false">IF(OR($C478="",$U478&lt;&gt;"Crédito",$AD478=""),"",IF($AD478&lt;=0,"",($Z478-N($L478))/$AD478))</f>
        <v/>
      </c>
      <c r="AI478" s="14" t="str">
        <f aca="false">IF(OR($AH478="",$W478=""),"",$AH478*365/MAX($W478,1))</f>
        <v/>
      </c>
      <c r="AJ478" s="14" t="str">
        <f aca="false">IF(OR($AE478="",$U478&lt;&gt;"Crédito",N($K478)=0),"",(N($K478)-IF(OR($M478="Cerrada",$M478="Rolada"),N($O478),0))/$K478)</f>
        <v/>
      </c>
      <c r="AK478" s="15" t="str">
        <f aca="false">IF(OR($C478="",$N478=""),"",DATE(YEAR($N478),MONTH($N478),1))</f>
        <v/>
      </c>
      <c r="AL478" s="11" t="str">
        <f aca="false">IF($C478="","",IF($M478="Abierta",0,1))</f>
        <v/>
      </c>
      <c r="AM478" s="16" t="str">
        <f aca="false">IF(OR($AE478="",$AD478=""),"",$AD478*MAX(N($X478),1))</f>
        <v/>
      </c>
      <c r="AN478" s="10" t="str">
        <f aca="false">IF($C478="","",IF(OR($B478="",$D478="",$H478="",$K478="",$M478=""),"Faltan datos obligatorios",IF($T478="","Estrategia no reconocida",IF(AND($M478&lt;&gt;"Abierta",$N478=""),"Falta fecha cierre",IF(AND(OR($M478="Cerrada",$M478="Rolada"),$O478=""),"Falta prima cierre",IF(AND($N478&lt;&gt;"",$N478&lt;$B478),"Cierre anterior a apertura",IF(AND($M478="Asignada",$R478=""),"Asignada: falta ID lote acciones",IF(AND($R478&lt;&gt;"",ISNA(MATCH($R478,Acciones!$A$2:$A$201,0))),"El ID lote no existe en Acciones",IF($AD478="","Revisa capital en riesgo","OK")))))))))</f>
        <v/>
      </c>
    </row>
    <row r="479" customFormat="false" ht="15" hidden="false" customHeight="true" outlineLevel="0" collapsed="false">
      <c r="A479" s="5"/>
      <c r="B479" s="6"/>
      <c r="C479" s="7"/>
      <c r="D479" s="7"/>
      <c r="E479" s="8"/>
      <c r="F479" s="8"/>
      <c r="G479" s="6"/>
      <c r="H479" s="5"/>
      <c r="I479" s="5" t="n">
        <v>100</v>
      </c>
      <c r="J479" s="8"/>
      <c r="K479" s="8"/>
      <c r="L479" s="9"/>
      <c r="M479" s="7"/>
      <c r="N479" s="6"/>
      <c r="O479" s="8"/>
      <c r="P479" s="9"/>
      <c r="Q479" s="9"/>
      <c r="R479" s="7"/>
      <c r="S479" s="7"/>
      <c r="T479" s="10" t="str">
        <f aca="false">IF($C479="","",IFERROR(INDEX(Listas!$B$2:$B$20,MATCH($D479,Listas!$A$2:$A$20,0)),""))</f>
        <v/>
      </c>
      <c r="U479" s="10" t="str">
        <f aca="false">IF($C479="","",IFERROR(INDEX(Listas!$C$2:$C$20,MATCH($D479,Listas!$A$2:$A$20,0)),""))</f>
        <v/>
      </c>
      <c r="V479" s="10" t="str">
        <f aca="false">IF($C479="","",IFERROR(INDEX(Listas!$D$2:$D$20,MATCH($D479,Listas!$A$2:$A$20,0)),""))</f>
        <v/>
      </c>
      <c r="W479" s="11" t="str">
        <f aca="false">IF(OR($C479="",$B479="",$G479=""),"",$G479-$B479)</f>
        <v/>
      </c>
      <c r="X479" s="11" t="str">
        <f aca="true">IF(OR($C479="",$B479=""),"",IF($N479&lt;&gt;"",$N479,TODAY())-$B479)</f>
        <v/>
      </c>
      <c r="Y479" s="11" t="str">
        <f aca="true">IF(OR($C479="",$M479&lt;&gt;"Abierta",$G479=""),"",MAX($G479-TODAY(),0))</f>
        <v/>
      </c>
      <c r="Z479" s="12" t="str">
        <f aca="false">IF($C479="","",N($K479)*N($H479)*N($I479)*IF($U479="Débito",-1,1))</f>
        <v/>
      </c>
      <c r="AA479" s="13" t="str">
        <f aca="false">IF($C479="","",IF(AND($U479="Débito",$F479&lt;&gt;""),$F479,$E479))</f>
        <v/>
      </c>
      <c r="AB479" s="13" t="str">
        <f aca="false">IF(OR($C479="",$T479="Mixta",$AA479=""),"",IF($V479="Subyacente",IF($J479="","",$J479-$K479),IF($T479="Put",$AA479-$K479,$AA479+$K479)))</f>
        <v/>
      </c>
      <c r="AC479" s="14" t="str">
        <f aca="false">IF(OR($C479="",$T479="Mixta",$J479="",$AA479=""),"",IF($T479="Put",($J479-$AA479)/$J479,($AA479-$J479)/$J479))</f>
        <v/>
      </c>
      <c r="AD479" s="12" t="str">
        <f aca="false">IF($C479="","",IF($Q479&lt;&gt;"",$Q479,IF($V479="Strike",N($E479)*$H479*$I479,IF($V479="Subyacente",IF($J479="","",$J479*$H479*$I479),IF($V479="Ancho",IF($F479="","",ABS($E479-$F479)*$H479*$I479-$K479*$H479*$I479),IF($V479="Prima",$K479*$H479*$I479,""))))))</f>
        <v/>
      </c>
      <c r="AE479" s="12" t="str">
        <f aca="false">IF(OR($C479="",$M479="Abierta",$M479=""),"",(N($K479)-IF(OR($M479="Cerrada",$M479="Rolada"),N($O479),0))*$H479*$I479*IF($U479="Débito",-1,1)-N($L479)-N($P479))</f>
        <v/>
      </c>
      <c r="AF479" s="14" t="str">
        <f aca="false">IF(OR($AE479="",$AD479=""),"",IF($AD479&lt;=0,"",$AE479/$AD479))</f>
        <v/>
      </c>
      <c r="AG479" s="14" t="str">
        <f aca="false">IF($AF479="","",$AF479*365/MAX(N($X479),1))</f>
        <v/>
      </c>
      <c r="AH479" s="14" t="str">
        <f aca="false">IF(OR($C479="",$U479&lt;&gt;"Crédito",$AD479=""),"",IF($AD479&lt;=0,"",($Z479-N($L479))/$AD479))</f>
        <v/>
      </c>
      <c r="AI479" s="14" t="str">
        <f aca="false">IF(OR($AH479="",$W479=""),"",$AH479*365/MAX($W479,1))</f>
        <v/>
      </c>
      <c r="AJ479" s="14" t="str">
        <f aca="false">IF(OR($AE479="",$U479&lt;&gt;"Crédito",N($K479)=0),"",(N($K479)-IF(OR($M479="Cerrada",$M479="Rolada"),N($O479),0))/$K479)</f>
        <v/>
      </c>
      <c r="AK479" s="15" t="str">
        <f aca="false">IF(OR($C479="",$N479=""),"",DATE(YEAR($N479),MONTH($N479),1))</f>
        <v/>
      </c>
      <c r="AL479" s="11" t="str">
        <f aca="false">IF($C479="","",IF($M479="Abierta",0,1))</f>
        <v/>
      </c>
      <c r="AM479" s="16" t="str">
        <f aca="false">IF(OR($AE479="",$AD479=""),"",$AD479*MAX(N($X479),1))</f>
        <v/>
      </c>
      <c r="AN479" s="10" t="str">
        <f aca="false">IF($C479="","",IF(OR($B479="",$D479="",$H479="",$K479="",$M479=""),"Faltan datos obligatorios",IF($T479="","Estrategia no reconocida",IF(AND($M479&lt;&gt;"Abierta",$N479=""),"Falta fecha cierre",IF(AND(OR($M479="Cerrada",$M479="Rolada"),$O479=""),"Falta prima cierre",IF(AND($N479&lt;&gt;"",$N479&lt;$B479),"Cierre anterior a apertura",IF(AND($M479="Asignada",$R479=""),"Asignada: falta ID lote acciones",IF(AND($R479&lt;&gt;"",ISNA(MATCH($R479,Acciones!$A$2:$A$201,0))),"El ID lote no existe en Acciones",IF($AD479="","Revisa capital en riesgo","OK")))))))))</f>
        <v/>
      </c>
    </row>
    <row r="480" customFormat="false" ht="15" hidden="false" customHeight="true" outlineLevel="0" collapsed="false">
      <c r="A480" s="5"/>
      <c r="B480" s="6"/>
      <c r="C480" s="7"/>
      <c r="D480" s="7"/>
      <c r="E480" s="8"/>
      <c r="F480" s="8"/>
      <c r="G480" s="6"/>
      <c r="H480" s="5"/>
      <c r="I480" s="5" t="n">
        <v>100</v>
      </c>
      <c r="J480" s="8"/>
      <c r="K480" s="8"/>
      <c r="L480" s="9"/>
      <c r="M480" s="7"/>
      <c r="N480" s="6"/>
      <c r="O480" s="8"/>
      <c r="P480" s="9"/>
      <c r="Q480" s="9"/>
      <c r="R480" s="7"/>
      <c r="S480" s="7"/>
      <c r="T480" s="10" t="str">
        <f aca="false">IF($C480="","",IFERROR(INDEX(Listas!$B$2:$B$20,MATCH($D480,Listas!$A$2:$A$20,0)),""))</f>
        <v/>
      </c>
      <c r="U480" s="10" t="str">
        <f aca="false">IF($C480="","",IFERROR(INDEX(Listas!$C$2:$C$20,MATCH($D480,Listas!$A$2:$A$20,0)),""))</f>
        <v/>
      </c>
      <c r="V480" s="10" t="str">
        <f aca="false">IF($C480="","",IFERROR(INDEX(Listas!$D$2:$D$20,MATCH($D480,Listas!$A$2:$A$20,0)),""))</f>
        <v/>
      </c>
      <c r="W480" s="11" t="str">
        <f aca="false">IF(OR($C480="",$B480="",$G480=""),"",$G480-$B480)</f>
        <v/>
      </c>
      <c r="X480" s="11" t="str">
        <f aca="true">IF(OR($C480="",$B480=""),"",IF($N480&lt;&gt;"",$N480,TODAY())-$B480)</f>
        <v/>
      </c>
      <c r="Y480" s="11" t="str">
        <f aca="true">IF(OR($C480="",$M480&lt;&gt;"Abierta",$G480=""),"",MAX($G480-TODAY(),0))</f>
        <v/>
      </c>
      <c r="Z480" s="12" t="str">
        <f aca="false">IF($C480="","",N($K480)*N($H480)*N($I480)*IF($U480="Débito",-1,1))</f>
        <v/>
      </c>
      <c r="AA480" s="13" t="str">
        <f aca="false">IF($C480="","",IF(AND($U480="Débito",$F480&lt;&gt;""),$F480,$E480))</f>
        <v/>
      </c>
      <c r="AB480" s="13" t="str">
        <f aca="false">IF(OR($C480="",$T480="Mixta",$AA480=""),"",IF($V480="Subyacente",IF($J480="","",$J480-$K480),IF($T480="Put",$AA480-$K480,$AA480+$K480)))</f>
        <v/>
      </c>
      <c r="AC480" s="14" t="str">
        <f aca="false">IF(OR($C480="",$T480="Mixta",$J480="",$AA480=""),"",IF($T480="Put",($J480-$AA480)/$J480,($AA480-$J480)/$J480))</f>
        <v/>
      </c>
      <c r="AD480" s="12" t="str">
        <f aca="false">IF($C480="","",IF($Q480&lt;&gt;"",$Q480,IF($V480="Strike",N($E480)*$H480*$I480,IF($V480="Subyacente",IF($J480="","",$J480*$H480*$I480),IF($V480="Ancho",IF($F480="","",ABS($E480-$F480)*$H480*$I480-$K480*$H480*$I480),IF($V480="Prima",$K480*$H480*$I480,""))))))</f>
        <v/>
      </c>
      <c r="AE480" s="12" t="str">
        <f aca="false">IF(OR($C480="",$M480="Abierta",$M480=""),"",(N($K480)-IF(OR($M480="Cerrada",$M480="Rolada"),N($O480),0))*$H480*$I480*IF($U480="Débito",-1,1)-N($L480)-N($P480))</f>
        <v/>
      </c>
      <c r="AF480" s="14" t="str">
        <f aca="false">IF(OR($AE480="",$AD480=""),"",IF($AD480&lt;=0,"",$AE480/$AD480))</f>
        <v/>
      </c>
      <c r="AG480" s="14" t="str">
        <f aca="false">IF($AF480="","",$AF480*365/MAX(N($X480),1))</f>
        <v/>
      </c>
      <c r="AH480" s="14" t="str">
        <f aca="false">IF(OR($C480="",$U480&lt;&gt;"Crédito",$AD480=""),"",IF($AD480&lt;=0,"",($Z480-N($L480))/$AD480))</f>
        <v/>
      </c>
      <c r="AI480" s="14" t="str">
        <f aca="false">IF(OR($AH480="",$W480=""),"",$AH480*365/MAX($W480,1))</f>
        <v/>
      </c>
      <c r="AJ480" s="14" t="str">
        <f aca="false">IF(OR($AE480="",$U480&lt;&gt;"Crédito",N($K480)=0),"",(N($K480)-IF(OR($M480="Cerrada",$M480="Rolada"),N($O480),0))/$K480)</f>
        <v/>
      </c>
      <c r="AK480" s="15" t="str">
        <f aca="false">IF(OR($C480="",$N480=""),"",DATE(YEAR($N480),MONTH($N480),1))</f>
        <v/>
      </c>
      <c r="AL480" s="11" t="str">
        <f aca="false">IF($C480="","",IF($M480="Abierta",0,1))</f>
        <v/>
      </c>
      <c r="AM480" s="16" t="str">
        <f aca="false">IF(OR($AE480="",$AD480=""),"",$AD480*MAX(N($X480),1))</f>
        <v/>
      </c>
      <c r="AN480" s="10" t="str">
        <f aca="false">IF($C480="","",IF(OR($B480="",$D480="",$H480="",$K480="",$M480=""),"Faltan datos obligatorios",IF($T480="","Estrategia no reconocida",IF(AND($M480&lt;&gt;"Abierta",$N480=""),"Falta fecha cierre",IF(AND(OR($M480="Cerrada",$M480="Rolada"),$O480=""),"Falta prima cierre",IF(AND($N480&lt;&gt;"",$N480&lt;$B480),"Cierre anterior a apertura",IF(AND($M480="Asignada",$R480=""),"Asignada: falta ID lote acciones",IF(AND($R480&lt;&gt;"",ISNA(MATCH($R480,Acciones!$A$2:$A$201,0))),"El ID lote no existe en Acciones",IF($AD480="","Revisa capital en riesgo","OK")))))))))</f>
        <v/>
      </c>
    </row>
    <row r="481" customFormat="false" ht="15" hidden="false" customHeight="true" outlineLevel="0" collapsed="false">
      <c r="A481" s="5"/>
      <c r="B481" s="6"/>
      <c r="C481" s="7"/>
      <c r="D481" s="7"/>
      <c r="E481" s="8"/>
      <c r="F481" s="8"/>
      <c r="G481" s="6"/>
      <c r="H481" s="5"/>
      <c r="I481" s="5" t="n">
        <v>100</v>
      </c>
      <c r="J481" s="8"/>
      <c r="K481" s="8"/>
      <c r="L481" s="9"/>
      <c r="M481" s="7"/>
      <c r="N481" s="6"/>
      <c r="O481" s="8"/>
      <c r="P481" s="9"/>
      <c r="Q481" s="9"/>
      <c r="R481" s="7"/>
      <c r="S481" s="7"/>
      <c r="T481" s="10" t="str">
        <f aca="false">IF($C481="","",IFERROR(INDEX(Listas!$B$2:$B$20,MATCH($D481,Listas!$A$2:$A$20,0)),""))</f>
        <v/>
      </c>
      <c r="U481" s="10" t="str">
        <f aca="false">IF($C481="","",IFERROR(INDEX(Listas!$C$2:$C$20,MATCH($D481,Listas!$A$2:$A$20,0)),""))</f>
        <v/>
      </c>
      <c r="V481" s="10" t="str">
        <f aca="false">IF($C481="","",IFERROR(INDEX(Listas!$D$2:$D$20,MATCH($D481,Listas!$A$2:$A$20,0)),""))</f>
        <v/>
      </c>
      <c r="W481" s="11" t="str">
        <f aca="false">IF(OR($C481="",$B481="",$G481=""),"",$G481-$B481)</f>
        <v/>
      </c>
      <c r="X481" s="11" t="str">
        <f aca="true">IF(OR($C481="",$B481=""),"",IF($N481&lt;&gt;"",$N481,TODAY())-$B481)</f>
        <v/>
      </c>
      <c r="Y481" s="11" t="str">
        <f aca="true">IF(OR($C481="",$M481&lt;&gt;"Abierta",$G481=""),"",MAX($G481-TODAY(),0))</f>
        <v/>
      </c>
      <c r="Z481" s="12" t="str">
        <f aca="false">IF($C481="","",N($K481)*N($H481)*N($I481)*IF($U481="Débito",-1,1))</f>
        <v/>
      </c>
      <c r="AA481" s="13" t="str">
        <f aca="false">IF($C481="","",IF(AND($U481="Débito",$F481&lt;&gt;""),$F481,$E481))</f>
        <v/>
      </c>
      <c r="AB481" s="13" t="str">
        <f aca="false">IF(OR($C481="",$T481="Mixta",$AA481=""),"",IF($V481="Subyacente",IF($J481="","",$J481-$K481),IF($T481="Put",$AA481-$K481,$AA481+$K481)))</f>
        <v/>
      </c>
      <c r="AC481" s="14" t="str">
        <f aca="false">IF(OR($C481="",$T481="Mixta",$J481="",$AA481=""),"",IF($T481="Put",($J481-$AA481)/$J481,($AA481-$J481)/$J481))</f>
        <v/>
      </c>
      <c r="AD481" s="12" t="str">
        <f aca="false">IF($C481="","",IF($Q481&lt;&gt;"",$Q481,IF($V481="Strike",N($E481)*$H481*$I481,IF($V481="Subyacente",IF($J481="","",$J481*$H481*$I481),IF($V481="Ancho",IF($F481="","",ABS($E481-$F481)*$H481*$I481-$K481*$H481*$I481),IF($V481="Prima",$K481*$H481*$I481,""))))))</f>
        <v/>
      </c>
      <c r="AE481" s="12" t="str">
        <f aca="false">IF(OR($C481="",$M481="Abierta",$M481=""),"",(N($K481)-IF(OR($M481="Cerrada",$M481="Rolada"),N($O481),0))*$H481*$I481*IF($U481="Débito",-1,1)-N($L481)-N($P481))</f>
        <v/>
      </c>
      <c r="AF481" s="14" t="str">
        <f aca="false">IF(OR($AE481="",$AD481=""),"",IF($AD481&lt;=0,"",$AE481/$AD481))</f>
        <v/>
      </c>
      <c r="AG481" s="14" t="str">
        <f aca="false">IF($AF481="","",$AF481*365/MAX(N($X481),1))</f>
        <v/>
      </c>
      <c r="AH481" s="14" t="str">
        <f aca="false">IF(OR($C481="",$U481&lt;&gt;"Crédito",$AD481=""),"",IF($AD481&lt;=0,"",($Z481-N($L481))/$AD481))</f>
        <v/>
      </c>
      <c r="AI481" s="14" t="str">
        <f aca="false">IF(OR($AH481="",$W481=""),"",$AH481*365/MAX($W481,1))</f>
        <v/>
      </c>
      <c r="AJ481" s="14" t="str">
        <f aca="false">IF(OR($AE481="",$U481&lt;&gt;"Crédito",N($K481)=0),"",(N($K481)-IF(OR($M481="Cerrada",$M481="Rolada"),N($O481),0))/$K481)</f>
        <v/>
      </c>
      <c r="AK481" s="15" t="str">
        <f aca="false">IF(OR($C481="",$N481=""),"",DATE(YEAR($N481),MONTH($N481),1))</f>
        <v/>
      </c>
      <c r="AL481" s="11" t="str">
        <f aca="false">IF($C481="","",IF($M481="Abierta",0,1))</f>
        <v/>
      </c>
      <c r="AM481" s="16" t="str">
        <f aca="false">IF(OR($AE481="",$AD481=""),"",$AD481*MAX(N($X481),1))</f>
        <v/>
      </c>
      <c r="AN481" s="10" t="str">
        <f aca="false">IF($C481="","",IF(OR($B481="",$D481="",$H481="",$K481="",$M481=""),"Faltan datos obligatorios",IF($T481="","Estrategia no reconocida",IF(AND($M481&lt;&gt;"Abierta",$N481=""),"Falta fecha cierre",IF(AND(OR($M481="Cerrada",$M481="Rolada"),$O481=""),"Falta prima cierre",IF(AND($N481&lt;&gt;"",$N481&lt;$B481),"Cierre anterior a apertura",IF(AND($M481="Asignada",$R481=""),"Asignada: falta ID lote acciones",IF(AND($R481&lt;&gt;"",ISNA(MATCH($R481,Acciones!$A$2:$A$201,0))),"El ID lote no existe en Acciones",IF($AD481="","Revisa capital en riesgo","OK")))))))))</f>
        <v/>
      </c>
    </row>
    <row r="482" customFormat="false" ht="15" hidden="false" customHeight="true" outlineLevel="0" collapsed="false">
      <c r="A482" s="5"/>
      <c r="B482" s="6"/>
      <c r="C482" s="7"/>
      <c r="D482" s="7"/>
      <c r="E482" s="8"/>
      <c r="F482" s="8"/>
      <c r="G482" s="6"/>
      <c r="H482" s="5"/>
      <c r="I482" s="5" t="n">
        <v>100</v>
      </c>
      <c r="J482" s="8"/>
      <c r="K482" s="8"/>
      <c r="L482" s="9"/>
      <c r="M482" s="7"/>
      <c r="N482" s="6"/>
      <c r="O482" s="8"/>
      <c r="P482" s="9"/>
      <c r="Q482" s="9"/>
      <c r="R482" s="7"/>
      <c r="S482" s="7"/>
      <c r="T482" s="10" t="str">
        <f aca="false">IF($C482="","",IFERROR(INDEX(Listas!$B$2:$B$20,MATCH($D482,Listas!$A$2:$A$20,0)),""))</f>
        <v/>
      </c>
      <c r="U482" s="10" t="str">
        <f aca="false">IF($C482="","",IFERROR(INDEX(Listas!$C$2:$C$20,MATCH($D482,Listas!$A$2:$A$20,0)),""))</f>
        <v/>
      </c>
      <c r="V482" s="10" t="str">
        <f aca="false">IF($C482="","",IFERROR(INDEX(Listas!$D$2:$D$20,MATCH($D482,Listas!$A$2:$A$20,0)),""))</f>
        <v/>
      </c>
      <c r="W482" s="11" t="str">
        <f aca="false">IF(OR($C482="",$B482="",$G482=""),"",$G482-$B482)</f>
        <v/>
      </c>
      <c r="X482" s="11" t="str">
        <f aca="true">IF(OR($C482="",$B482=""),"",IF($N482&lt;&gt;"",$N482,TODAY())-$B482)</f>
        <v/>
      </c>
      <c r="Y482" s="11" t="str">
        <f aca="true">IF(OR($C482="",$M482&lt;&gt;"Abierta",$G482=""),"",MAX($G482-TODAY(),0))</f>
        <v/>
      </c>
      <c r="Z482" s="12" t="str">
        <f aca="false">IF($C482="","",N($K482)*N($H482)*N($I482)*IF($U482="Débito",-1,1))</f>
        <v/>
      </c>
      <c r="AA482" s="13" t="str">
        <f aca="false">IF($C482="","",IF(AND($U482="Débito",$F482&lt;&gt;""),$F482,$E482))</f>
        <v/>
      </c>
      <c r="AB482" s="13" t="str">
        <f aca="false">IF(OR($C482="",$T482="Mixta",$AA482=""),"",IF($V482="Subyacente",IF($J482="","",$J482-$K482),IF($T482="Put",$AA482-$K482,$AA482+$K482)))</f>
        <v/>
      </c>
      <c r="AC482" s="14" t="str">
        <f aca="false">IF(OR($C482="",$T482="Mixta",$J482="",$AA482=""),"",IF($T482="Put",($J482-$AA482)/$J482,($AA482-$J482)/$J482))</f>
        <v/>
      </c>
      <c r="AD482" s="12" t="str">
        <f aca="false">IF($C482="","",IF($Q482&lt;&gt;"",$Q482,IF($V482="Strike",N($E482)*$H482*$I482,IF($V482="Subyacente",IF($J482="","",$J482*$H482*$I482),IF($V482="Ancho",IF($F482="","",ABS($E482-$F482)*$H482*$I482-$K482*$H482*$I482),IF($V482="Prima",$K482*$H482*$I482,""))))))</f>
        <v/>
      </c>
      <c r="AE482" s="12" t="str">
        <f aca="false">IF(OR($C482="",$M482="Abierta",$M482=""),"",(N($K482)-IF(OR($M482="Cerrada",$M482="Rolada"),N($O482),0))*$H482*$I482*IF($U482="Débito",-1,1)-N($L482)-N($P482))</f>
        <v/>
      </c>
      <c r="AF482" s="14" t="str">
        <f aca="false">IF(OR($AE482="",$AD482=""),"",IF($AD482&lt;=0,"",$AE482/$AD482))</f>
        <v/>
      </c>
      <c r="AG482" s="14" t="str">
        <f aca="false">IF($AF482="","",$AF482*365/MAX(N($X482),1))</f>
        <v/>
      </c>
      <c r="AH482" s="14" t="str">
        <f aca="false">IF(OR($C482="",$U482&lt;&gt;"Crédito",$AD482=""),"",IF($AD482&lt;=0,"",($Z482-N($L482))/$AD482))</f>
        <v/>
      </c>
      <c r="AI482" s="14" t="str">
        <f aca="false">IF(OR($AH482="",$W482=""),"",$AH482*365/MAX($W482,1))</f>
        <v/>
      </c>
      <c r="AJ482" s="14" t="str">
        <f aca="false">IF(OR($AE482="",$U482&lt;&gt;"Crédito",N($K482)=0),"",(N($K482)-IF(OR($M482="Cerrada",$M482="Rolada"),N($O482),0))/$K482)</f>
        <v/>
      </c>
      <c r="AK482" s="15" t="str">
        <f aca="false">IF(OR($C482="",$N482=""),"",DATE(YEAR($N482),MONTH($N482),1))</f>
        <v/>
      </c>
      <c r="AL482" s="11" t="str">
        <f aca="false">IF($C482="","",IF($M482="Abierta",0,1))</f>
        <v/>
      </c>
      <c r="AM482" s="16" t="str">
        <f aca="false">IF(OR($AE482="",$AD482=""),"",$AD482*MAX(N($X482),1))</f>
        <v/>
      </c>
      <c r="AN482" s="10" t="str">
        <f aca="false">IF($C482="","",IF(OR($B482="",$D482="",$H482="",$K482="",$M482=""),"Faltan datos obligatorios",IF($T482="","Estrategia no reconocida",IF(AND($M482&lt;&gt;"Abierta",$N482=""),"Falta fecha cierre",IF(AND(OR($M482="Cerrada",$M482="Rolada"),$O482=""),"Falta prima cierre",IF(AND($N482&lt;&gt;"",$N482&lt;$B482),"Cierre anterior a apertura",IF(AND($M482="Asignada",$R482=""),"Asignada: falta ID lote acciones",IF(AND($R482&lt;&gt;"",ISNA(MATCH($R482,Acciones!$A$2:$A$201,0))),"El ID lote no existe en Acciones",IF($AD482="","Revisa capital en riesgo","OK")))))))))</f>
        <v/>
      </c>
    </row>
    <row r="483" customFormat="false" ht="15" hidden="false" customHeight="true" outlineLevel="0" collapsed="false">
      <c r="A483" s="5"/>
      <c r="B483" s="6"/>
      <c r="C483" s="7"/>
      <c r="D483" s="7"/>
      <c r="E483" s="8"/>
      <c r="F483" s="8"/>
      <c r="G483" s="6"/>
      <c r="H483" s="5"/>
      <c r="I483" s="5" t="n">
        <v>100</v>
      </c>
      <c r="J483" s="8"/>
      <c r="K483" s="8"/>
      <c r="L483" s="9"/>
      <c r="M483" s="7"/>
      <c r="N483" s="6"/>
      <c r="O483" s="8"/>
      <c r="P483" s="9"/>
      <c r="Q483" s="9"/>
      <c r="R483" s="7"/>
      <c r="S483" s="7"/>
      <c r="T483" s="10" t="str">
        <f aca="false">IF($C483="","",IFERROR(INDEX(Listas!$B$2:$B$20,MATCH($D483,Listas!$A$2:$A$20,0)),""))</f>
        <v/>
      </c>
      <c r="U483" s="10" t="str">
        <f aca="false">IF($C483="","",IFERROR(INDEX(Listas!$C$2:$C$20,MATCH($D483,Listas!$A$2:$A$20,0)),""))</f>
        <v/>
      </c>
      <c r="V483" s="10" t="str">
        <f aca="false">IF($C483="","",IFERROR(INDEX(Listas!$D$2:$D$20,MATCH($D483,Listas!$A$2:$A$20,0)),""))</f>
        <v/>
      </c>
      <c r="W483" s="11" t="str">
        <f aca="false">IF(OR($C483="",$B483="",$G483=""),"",$G483-$B483)</f>
        <v/>
      </c>
      <c r="X483" s="11" t="str">
        <f aca="true">IF(OR($C483="",$B483=""),"",IF($N483&lt;&gt;"",$N483,TODAY())-$B483)</f>
        <v/>
      </c>
      <c r="Y483" s="11" t="str">
        <f aca="true">IF(OR($C483="",$M483&lt;&gt;"Abierta",$G483=""),"",MAX($G483-TODAY(),0))</f>
        <v/>
      </c>
      <c r="Z483" s="12" t="str">
        <f aca="false">IF($C483="","",N($K483)*N($H483)*N($I483)*IF($U483="Débito",-1,1))</f>
        <v/>
      </c>
      <c r="AA483" s="13" t="str">
        <f aca="false">IF($C483="","",IF(AND($U483="Débito",$F483&lt;&gt;""),$F483,$E483))</f>
        <v/>
      </c>
      <c r="AB483" s="13" t="str">
        <f aca="false">IF(OR($C483="",$T483="Mixta",$AA483=""),"",IF($V483="Subyacente",IF($J483="","",$J483-$K483),IF($T483="Put",$AA483-$K483,$AA483+$K483)))</f>
        <v/>
      </c>
      <c r="AC483" s="14" t="str">
        <f aca="false">IF(OR($C483="",$T483="Mixta",$J483="",$AA483=""),"",IF($T483="Put",($J483-$AA483)/$J483,($AA483-$J483)/$J483))</f>
        <v/>
      </c>
      <c r="AD483" s="12" t="str">
        <f aca="false">IF($C483="","",IF($Q483&lt;&gt;"",$Q483,IF($V483="Strike",N($E483)*$H483*$I483,IF($V483="Subyacente",IF($J483="","",$J483*$H483*$I483),IF($V483="Ancho",IF($F483="","",ABS($E483-$F483)*$H483*$I483-$K483*$H483*$I483),IF($V483="Prima",$K483*$H483*$I483,""))))))</f>
        <v/>
      </c>
      <c r="AE483" s="12" t="str">
        <f aca="false">IF(OR($C483="",$M483="Abierta",$M483=""),"",(N($K483)-IF(OR($M483="Cerrada",$M483="Rolada"),N($O483),0))*$H483*$I483*IF($U483="Débito",-1,1)-N($L483)-N($P483))</f>
        <v/>
      </c>
      <c r="AF483" s="14" t="str">
        <f aca="false">IF(OR($AE483="",$AD483=""),"",IF($AD483&lt;=0,"",$AE483/$AD483))</f>
        <v/>
      </c>
      <c r="AG483" s="14" t="str">
        <f aca="false">IF($AF483="","",$AF483*365/MAX(N($X483),1))</f>
        <v/>
      </c>
      <c r="AH483" s="14" t="str">
        <f aca="false">IF(OR($C483="",$U483&lt;&gt;"Crédito",$AD483=""),"",IF($AD483&lt;=0,"",($Z483-N($L483))/$AD483))</f>
        <v/>
      </c>
      <c r="AI483" s="14" t="str">
        <f aca="false">IF(OR($AH483="",$W483=""),"",$AH483*365/MAX($W483,1))</f>
        <v/>
      </c>
      <c r="AJ483" s="14" t="str">
        <f aca="false">IF(OR($AE483="",$U483&lt;&gt;"Crédito",N($K483)=0),"",(N($K483)-IF(OR($M483="Cerrada",$M483="Rolada"),N($O483),0))/$K483)</f>
        <v/>
      </c>
      <c r="AK483" s="15" t="str">
        <f aca="false">IF(OR($C483="",$N483=""),"",DATE(YEAR($N483),MONTH($N483),1))</f>
        <v/>
      </c>
      <c r="AL483" s="11" t="str">
        <f aca="false">IF($C483="","",IF($M483="Abierta",0,1))</f>
        <v/>
      </c>
      <c r="AM483" s="16" t="str">
        <f aca="false">IF(OR($AE483="",$AD483=""),"",$AD483*MAX(N($X483),1))</f>
        <v/>
      </c>
      <c r="AN483" s="10" t="str">
        <f aca="false">IF($C483="","",IF(OR($B483="",$D483="",$H483="",$K483="",$M483=""),"Faltan datos obligatorios",IF($T483="","Estrategia no reconocida",IF(AND($M483&lt;&gt;"Abierta",$N483=""),"Falta fecha cierre",IF(AND(OR($M483="Cerrada",$M483="Rolada"),$O483=""),"Falta prima cierre",IF(AND($N483&lt;&gt;"",$N483&lt;$B483),"Cierre anterior a apertura",IF(AND($M483="Asignada",$R483=""),"Asignada: falta ID lote acciones",IF(AND($R483&lt;&gt;"",ISNA(MATCH($R483,Acciones!$A$2:$A$201,0))),"El ID lote no existe en Acciones",IF($AD483="","Revisa capital en riesgo","OK")))))))))</f>
        <v/>
      </c>
    </row>
    <row r="484" customFormat="false" ht="15" hidden="false" customHeight="true" outlineLevel="0" collapsed="false">
      <c r="A484" s="5"/>
      <c r="B484" s="6"/>
      <c r="C484" s="7"/>
      <c r="D484" s="7"/>
      <c r="E484" s="8"/>
      <c r="F484" s="8"/>
      <c r="G484" s="6"/>
      <c r="H484" s="5"/>
      <c r="I484" s="5" t="n">
        <v>100</v>
      </c>
      <c r="J484" s="8"/>
      <c r="K484" s="8"/>
      <c r="L484" s="9"/>
      <c r="M484" s="7"/>
      <c r="N484" s="6"/>
      <c r="O484" s="8"/>
      <c r="P484" s="9"/>
      <c r="Q484" s="9"/>
      <c r="R484" s="7"/>
      <c r="S484" s="7"/>
      <c r="T484" s="10" t="str">
        <f aca="false">IF($C484="","",IFERROR(INDEX(Listas!$B$2:$B$20,MATCH($D484,Listas!$A$2:$A$20,0)),""))</f>
        <v/>
      </c>
      <c r="U484" s="10" t="str">
        <f aca="false">IF($C484="","",IFERROR(INDEX(Listas!$C$2:$C$20,MATCH($D484,Listas!$A$2:$A$20,0)),""))</f>
        <v/>
      </c>
      <c r="V484" s="10" t="str">
        <f aca="false">IF($C484="","",IFERROR(INDEX(Listas!$D$2:$D$20,MATCH($D484,Listas!$A$2:$A$20,0)),""))</f>
        <v/>
      </c>
      <c r="W484" s="11" t="str">
        <f aca="false">IF(OR($C484="",$B484="",$G484=""),"",$G484-$B484)</f>
        <v/>
      </c>
      <c r="X484" s="11" t="str">
        <f aca="true">IF(OR($C484="",$B484=""),"",IF($N484&lt;&gt;"",$N484,TODAY())-$B484)</f>
        <v/>
      </c>
      <c r="Y484" s="11" t="str">
        <f aca="true">IF(OR($C484="",$M484&lt;&gt;"Abierta",$G484=""),"",MAX($G484-TODAY(),0))</f>
        <v/>
      </c>
      <c r="Z484" s="12" t="str">
        <f aca="false">IF($C484="","",N($K484)*N($H484)*N($I484)*IF($U484="Débito",-1,1))</f>
        <v/>
      </c>
      <c r="AA484" s="13" t="str">
        <f aca="false">IF($C484="","",IF(AND($U484="Débito",$F484&lt;&gt;""),$F484,$E484))</f>
        <v/>
      </c>
      <c r="AB484" s="13" t="str">
        <f aca="false">IF(OR($C484="",$T484="Mixta",$AA484=""),"",IF($V484="Subyacente",IF($J484="","",$J484-$K484),IF($T484="Put",$AA484-$K484,$AA484+$K484)))</f>
        <v/>
      </c>
      <c r="AC484" s="14" t="str">
        <f aca="false">IF(OR($C484="",$T484="Mixta",$J484="",$AA484=""),"",IF($T484="Put",($J484-$AA484)/$J484,($AA484-$J484)/$J484))</f>
        <v/>
      </c>
      <c r="AD484" s="12" t="str">
        <f aca="false">IF($C484="","",IF($Q484&lt;&gt;"",$Q484,IF($V484="Strike",N($E484)*$H484*$I484,IF($V484="Subyacente",IF($J484="","",$J484*$H484*$I484),IF($V484="Ancho",IF($F484="","",ABS($E484-$F484)*$H484*$I484-$K484*$H484*$I484),IF($V484="Prima",$K484*$H484*$I484,""))))))</f>
        <v/>
      </c>
      <c r="AE484" s="12" t="str">
        <f aca="false">IF(OR($C484="",$M484="Abierta",$M484=""),"",(N($K484)-IF(OR($M484="Cerrada",$M484="Rolada"),N($O484),0))*$H484*$I484*IF($U484="Débito",-1,1)-N($L484)-N($P484))</f>
        <v/>
      </c>
      <c r="AF484" s="14" t="str">
        <f aca="false">IF(OR($AE484="",$AD484=""),"",IF($AD484&lt;=0,"",$AE484/$AD484))</f>
        <v/>
      </c>
      <c r="AG484" s="14" t="str">
        <f aca="false">IF($AF484="","",$AF484*365/MAX(N($X484),1))</f>
        <v/>
      </c>
      <c r="AH484" s="14" t="str">
        <f aca="false">IF(OR($C484="",$U484&lt;&gt;"Crédito",$AD484=""),"",IF($AD484&lt;=0,"",($Z484-N($L484))/$AD484))</f>
        <v/>
      </c>
      <c r="AI484" s="14" t="str">
        <f aca="false">IF(OR($AH484="",$W484=""),"",$AH484*365/MAX($W484,1))</f>
        <v/>
      </c>
      <c r="AJ484" s="14" t="str">
        <f aca="false">IF(OR($AE484="",$U484&lt;&gt;"Crédito",N($K484)=0),"",(N($K484)-IF(OR($M484="Cerrada",$M484="Rolada"),N($O484),0))/$K484)</f>
        <v/>
      </c>
      <c r="AK484" s="15" t="str">
        <f aca="false">IF(OR($C484="",$N484=""),"",DATE(YEAR($N484),MONTH($N484),1))</f>
        <v/>
      </c>
      <c r="AL484" s="11" t="str">
        <f aca="false">IF($C484="","",IF($M484="Abierta",0,1))</f>
        <v/>
      </c>
      <c r="AM484" s="16" t="str">
        <f aca="false">IF(OR($AE484="",$AD484=""),"",$AD484*MAX(N($X484),1))</f>
        <v/>
      </c>
      <c r="AN484" s="10" t="str">
        <f aca="false">IF($C484="","",IF(OR($B484="",$D484="",$H484="",$K484="",$M484=""),"Faltan datos obligatorios",IF($T484="","Estrategia no reconocida",IF(AND($M484&lt;&gt;"Abierta",$N484=""),"Falta fecha cierre",IF(AND(OR($M484="Cerrada",$M484="Rolada"),$O484=""),"Falta prima cierre",IF(AND($N484&lt;&gt;"",$N484&lt;$B484),"Cierre anterior a apertura",IF(AND($M484="Asignada",$R484=""),"Asignada: falta ID lote acciones",IF(AND($R484&lt;&gt;"",ISNA(MATCH($R484,Acciones!$A$2:$A$201,0))),"El ID lote no existe en Acciones",IF($AD484="","Revisa capital en riesgo","OK")))))))))</f>
        <v/>
      </c>
    </row>
    <row r="485" customFormat="false" ht="15" hidden="false" customHeight="true" outlineLevel="0" collapsed="false">
      <c r="A485" s="5"/>
      <c r="B485" s="6"/>
      <c r="C485" s="7"/>
      <c r="D485" s="7"/>
      <c r="E485" s="8"/>
      <c r="F485" s="8"/>
      <c r="G485" s="6"/>
      <c r="H485" s="5"/>
      <c r="I485" s="5" t="n">
        <v>100</v>
      </c>
      <c r="J485" s="8"/>
      <c r="K485" s="8"/>
      <c r="L485" s="9"/>
      <c r="M485" s="7"/>
      <c r="N485" s="6"/>
      <c r="O485" s="8"/>
      <c r="P485" s="9"/>
      <c r="Q485" s="9"/>
      <c r="R485" s="7"/>
      <c r="S485" s="7"/>
      <c r="T485" s="10" t="str">
        <f aca="false">IF($C485="","",IFERROR(INDEX(Listas!$B$2:$B$20,MATCH($D485,Listas!$A$2:$A$20,0)),""))</f>
        <v/>
      </c>
      <c r="U485" s="10" t="str">
        <f aca="false">IF($C485="","",IFERROR(INDEX(Listas!$C$2:$C$20,MATCH($D485,Listas!$A$2:$A$20,0)),""))</f>
        <v/>
      </c>
      <c r="V485" s="10" t="str">
        <f aca="false">IF($C485="","",IFERROR(INDEX(Listas!$D$2:$D$20,MATCH($D485,Listas!$A$2:$A$20,0)),""))</f>
        <v/>
      </c>
      <c r="W485" s="11" t="str">
        <f aca="false">IF(OR($C485="",$B485="",$G485=""),"",$G485-$B485)</f>
        <v/>
      </c>
      <c r="X485" s="11" t="str">
        <f aca="true">IF(OR($C485="",$B485=""),"",IF($N485&lt;&gt;"",$N485,TODAY())-$B485)</f>
        <v/>
      </c>
      <c r="Y485" s="11" t="str">
        <f aca="true">IF(OR($C485="",$M485&lt;&gt;"Abierta",$G485=""),"",MAX($G485-TODAY(),0))</f>
        <v/>
      </c>
      <c r="Z485" s="12" t="str">
        <f aca="false">IF($C485="","",N($K485)*N($H485)*N($I485)*IF($U485="Débito",-1,1))</f>
        <v/>
      </c>
      <c r="AA485" s="13" t="str">
        <f aca="false">IF($C485="","",IF(AND($U485="Débito",$F485&lt;&gt;""),$F485,$E485))</f>
        <v/>
      </c>
      <c r="AB485" s="13" t="str">
        <f aca="false">IF(OR($C485="",$T485="Mixta",$AA485=""),"",IF($V485="Subyacente",IF($J485="","",$J485-$K485),IF($T485="Put",$AA485-$K485,$AA485+$K485)))</f>
        <v/>
      </c>
      <c r="AC485" s="14" t="str">
        <f aca="false">IF(OR($C485="",$T485="Mixta",$J485="",$AA485=""),"",IF($T485="Put",($J485-$AA485)/$J485,($AA485-$J485)/$J485))</f>
        <v/>
      </c>
      <c r="AD485" s="12" t="str">
        <f aca="false">IF($C485="","",IF($Q485&lt;&gt;"",$Q485,IF($V485="Strike",N($E485)*$H485*$I485,IF($V485="Subyacente",IF($J485="","",$J485*$H485*$I485),IF($V485="Ancho",IF($F485="","",ABS($E485-$F485)*$H485*$I485-$K485*$H485*$I485),IF($V485="Prima",$K485*$H485*$I485,""))))))</f>
        <v/>
      </c>
      <c r="AE485" s="12" t="str">
        <f aca="false">IF(OR($C485="",$M485="Abierta",$M485=""),"",(N($K485)-IF(OR($M485="Cerrada",$M485="Rolada"),N($O485),0))*$H485*$I485*IF($U485="Débito",-1,1)-N($L485)-N($P485))</f>
        <v/>
      </c>
      <c r="AF485" s="14" t="str">
        <f aca="false">IF(OR($AE485="",$AD485=""),"",IF($AD485&lt;=0,"",$AE485/$AD485))</f>
        <v/>
      </c>
      <c r="AG485" s="14" t="str">
        <f aca="false">IF($AF485="","",$AF485*365/MAX(N($X485),1))</f>
        <v/>
      </c>
      <c r="AH485" s="14" t="str">
        <f aca="false">IF(OR($C485="",$U485&lt;&gt;"Crédito",$AD485=""),"",IF($AD485&lt;=0,"",($Z485-N($L485))/$AD485))</f>
        <v/>
      </c>
      <c r="AI485" s="14" t="str">
        <f aca="false">IF(OR($AH485="",$W485=""),"",$AH485*365/MAX($W485,1))</f>
        <v/>
      </c>
      <c r="AJ485" s="14" t="str">
        <f aca="false">IF(OR($AE485="",$U485&lt;&gt;"Crédito",N($K485)=0),"",(N($K485)-IF(OR($M485="Cerrada",$M485="Rolada"),N($O485),0))/$K485)</f>
        <v/>
      </c>
      <c r="AK485" s="15" t="str">
        <f aca="false">IF(OR($C485="",$N485=""),"",DATE(YEAR($N485),MONTH($N485),1))</f>
        <v/>
      </c>
      <c r="AL485" s="11" t="str">
        <f aca="false">IF($C485="","",IF($M485="Abierta",0,1))</f>
        <v/>
      </c>
      <c r="AM485" s="16" t="str">
        <f aca="false">IF(OR($AE485="",$AD485=""),"",$AD485*MAX(N($X485),1))</f>
        <v/>
      </c>
      <c r="AN485" s="10" t="str">
        <f aca="false">IF($C485="","",IF(OR($B485="",$D485="",$H485="",$K485="",$M485=""),"Faltan datos obligatorios",IF($T485="","Estrategia no reconocida",IF(AND($M485&lt;&gt;"Abierta",$N485=""),"Falta fecha cierre",IF(AND(OR($M485="Cerrada",$M485="Rolada"),$O485=""),"Falta prima cierre",IF(AND($N485&lt;&gt;"",$N485&lt;$B485),"Cierre anterior a apertura",IF(AND($M485="Asignada",$R485=""),"Asignada: falta ID lote acciones",IF(AND($R485&lt;&gt;"",ISNA(MATCH($R485,Acciones!$A$2:$A$201,0))),"El ID lote no existe en Acciones",IF($AD485="","Revisa capital en riesgo","OK")))))))))</f>
        <v/>
      </c>
    </row>
    <row r="486" customFormat="false" ht="15" hidden="false" customHeight="true" outlineLevel="0" collapsed="false">
      <c r="A486" s="5"/>
      <c r="B486" s="6"/>
      <c r="C486" s="7"/>
      <c r="D486" s="7"/>
      <c r="E486" s="8"/>
      <c r="F486" s="8"/>
      <c r="G486" s="6"/>
      <c r="H486" s="5"/>
      <c r="I486" s="5" t="n">
        <v>100</v>
      </c>
      <c r="J486" s="8"/>
      <c r="K486" s="8"/>
      <c r="L486" s="9"/>
      <c r="M486" s="7"/>
      <c r="N486" s="6"/>
      <c r="O486" s="8"/>
      <c r="P486" s="9"/>
      <c r="Q486" s="9"/>
      <c r="R486" s="7"/>
      <c r="S486" s="7"/>
      <c r="T486" s="10" t="str">
        <f aca="false">IF($C486="","",IFERROR(INDEX(Listas!$B$2:$B$20,MATCH($D486,Listas!$A$2:$A$20,0)),""))</f>
        <v/>
      </c>
      <c r="U486" s="10" t="str">
        <f aca="false">IF($C486="","",IFERROR(INDEX(Listas!$C$2:$C$20,MATCH($D486,Listas!$A$2:$A$20,0)),""))</f>
        <v/>
      </c>
      <c r="V486" s="10" t="str">
        <f aca="false">IF($C486="","",IFERROR(INDEX(Listas!$D$2:$D$20,MATCH($D486,Listas!$A$2:$A$20,0)),""))</f>
        <v/>
      </c>
      <c r="W486" s="11" t="str">
        <f aca="false">IF(OR($C486="",$B486="",$G486=""),"",$G486-$B486)</f>
        <v/>
      </c>
      <c r="X486" s="11" t="str">
        <f aca="true">IF(OR($C486="",$B486=""),"",IF($N486&lt;&gt;"",$N486,TODAY())-$B486)</f>
        <v/>
      </c>
      <c r="Y486" s="11" t="str">
        <f aca="true">IF(OR($C486="",$M486&lt;&gt;"Abierta",$G486=""),"",MAX($G486-TODAY(),0))</f>
        <v/>
      </c>
      <c r="Z486" s="12" t="str">
        <f aca="false">IF($C486="","",N($K486)*N($H486)*N($I486)*IF($U486="Débito",-1,1))</f>
        <v/>
      </c>
      <c r="AA486" s="13" t="str">
        <f aca="false">IF($C486="","",IF(AND($U486="Débito",$F486&lt;&gt;""),$F486,$E486))</f>
        <v/>
      </c>
      <c r="AB486" s="13" t="str">
        <f aca="false">IF(OR($C486="",$T486="Mixta",$AA486=""),"",IF($V486="Subyacente",IF($J486="","",$J486-$K486),IF($T486="Put",$AA486-$K486,$AA486+$K486)))</f>
        <v/>
      </c>
      <c r="AC486" s="14" t="str">
        <f aca="false">IF(OR($C486="",$T486="Mixta",$J486="",$AA486=""),"",IF($T486="Put",($J486-$AA486)/$J486,($AA486-$J486)/$J486))</f>
        <v/>
      </c>
      <c r="AD486" s="12" t="str">
        <f aca="false">IF($C486="","",IF($Q486&lt;&gt;"",$Q486,IF($V486="Strike",N($E486)*$H486*$I486,IF($V486="Subyacente",IF($J486="","",$J486*$H486*$I486),IF($V486="Ancho",IF($F486="","",ABS($E486-$F486)*$H486*$I486-$K486*$H486*$I486),IF($V486="Prima",$K486*$H486*$I486,""))))))</f>
        <v/>
      </c>
      <c r="AE486" s="12" t="str">
        <f aca="false">IF(OR($C486="",$M486="Abierta",$M486=""),"",(N($K486)-IF(OR($M486="Cerrada",$M486="Rolada"),N($O486),0))*$H486*$I486*IF($U486="Débito",-1,1)-N($L486)-N($P486))</f>
        <v/>
      </c>
      <c r="AF486" s="14" t="str">
        <f aca="false">IF(OR($AE486="",$AD486=""),"",IF($AD486&lt;=0,"",$AE486/$AD486))</f>
        <v/>
      </c>
      <c r="AG486" s="14" t="str">
        <f aca="false">IF($AF486="","",$AF486*365/MAX(N($X486),1))</f>
        <v/>
      </c>
      <c r="AH486" s="14" t="str">
        <f aca="false">IF(OR($C486="",$U486&lt;&gt;"Crédito",$AD486=""),"",IF($AD486&lt;=0,"",($Z486-N($L486))/$AD486))</f>
        <v/>
      </c>
      <c r="AI486" s="14" t="str">
        <f aca="false">IF(OR($AH486="",$W486=""),"",$AH486*365/MAX($W486,1))</f>
        <v/>
      </c>
      <c r="AJ486" s="14" t="str">
        <f aca="false">IF(OR($AE486="",$U486&lt;&gt;"Crédito",N($K486)=0),"",(N($K486)-IF(OR($M486="Cerrada",$M486="Rolada"),N($O486),0))/$K486)</f>
        <v/>
      </c>
      <c r="AK486" s="15" t="str">
        <f aca="false">IF(OR($C486="",$N486=""),"",DATE(YEAR($N486),MONTH($N486),1))</f>
        <v/>
      </c>
      <c r="AL486" s="11" t="str">
        <f aca="false">IF($C486="","",IF($M486="Abierta",0,1))</f>
        <v/>
      </c>
      <c r="AM486" s="16" t="str">
        <f aca="false">IF(OR($AE486="",$AD486=""),"",$AD486*MAX(N($X486),1))</f>
        <v/>
      </c>
      <c r="AN486" s="10" t="str">
        <f aca="false">IF($C486="","",IF(OR($B486="",$D486="",$H486="",$K486="",$M486=""),"Faltan datos obligatorios",IF($T486="","Estrategia no reconocida",IF(AND($M486&lt;&gt;"Abierta",$N486=""),"Falta fecha cierre",IF(AND(OR($M486="Cerrada",$M486="Rolada"),$O486=""),"Falta prima cierre",IF(AND($N486&lt;&gt;"",$N486&lt;$B486),"Cierre anterior a apertura",IF(AND($M486="Asignada",$R486=""),"Asignada: falta ID lote acciones",IF(AND($R486&lt;&gt;"",ISNA(MATCH($R486,Acciones!$A$2:$A$201,0))),"El ID lote no existe en Acciones",IF($AD486="","Revisa capital en riesgo","OK")))))))))</f>
        <v/>
      </c>
    </row>
    <row r="487" customFormat="false" ht="15" hidden="false" customHeight="true" outlineLevel="0" collapsed="false">
      <c r="A487" s="5"/>
      <c r="B487" s="6"/>
      <c r="C487" s="7"/>
      <c r="D487" s="7"/>
      <c r="E487" s="8"/>
      <c r="F487" s="8"/>
      <c r="G487" s="6"/>
      <c r="H487" s="5"/>
      <c r="I487" s="5" t="n">
        <v>100</v>
      </c>
      <c r="J487" s="8"/>
      <c r="K487" s="8"/>
      <c r="L487" s="9"/>
      <c r="M487" s="7"/>
      <c r="N487" s="6"/>
      <c r="O487" s="8"/>
      <c r="P487" s="9"/>
      <c r="Q487" s="9"/>
      <c r="R487" s="7"/>
      <c r="S487" s="7"/>
      <c r="T487" s="10" t="str">
        <f aca="false">IF($C487="","",IFERROR(INDEX(Listas!$B$2:$B$20,MATCH($D487,Listas!$A$2:$A$20,0)),""))</f>
        <v/>
      </c>
      <c r="U487" s="10" t="str">
        <f aca="false">IF($C487="","",IFERROR(INDEX(Listas!$C$2:$C$20,MATCH($D487,Listas!$A$2:$A$20,0)),""))</f>
        <v/>
      </c>
      <c r="V487" s="10" t="str">
        <f aca="false">IF($C487="","",IFERROR(INDEX(Listas!$D$2:$D$20,MATCH($D487,Listas!$A$2:$A$20,0)),""))</f>
        <v/>
      </c>
      <c r="W487" s="11" t="str">
        <f aca="false">IF(OR($C487="",$B487="",$G487=""),"",$G487-$B487)</f>
        <v/>
      </c>
      <c r="X487" s="11" t="str">
        <f aca="true">IF(OR($C487="",$B487=""),"",IF($N487&lt;&gt;"",$N487,TODAY())-$B487)</f>
        <v/>
      </c>
      <c r="Y487" s="11" t="str">
        <f aca="true">IF(OR($C487="",$M487&lt;&gt;"Abierta",$G487=""),"",MAX($G487-TODAY(),0))</f>
        <v/>
      </c>
      <c r="Z487" s="12" t="str">
        <f aca="false">IF($C487="","",N($K487)*N($H487)*N($I487)*IF($U487="Débito",-1,1))</f>
        <v/>
      </c>
      <c r="AA487" s="13" t="str">
        <f aca="false">IF($C487="","",IF(AND($U487="Débito",$F487&lt;&gt;""),$F487,$E487))</f>
        <v/>
      </c>
      <c r="AB487" s="13" t="str">
        <f aca="false">IF(OR($C487="",$T487="Mixta",$AA487=""),"",IF($V487="Subyacente",IF($J487="","",$J487-$K487),IF($T487="Put",$AA487-$K487,$AA487+$K487)))</f>
        <v/>
      </c>
      <c r="AC487" s="14" t="str">
        <f aca="false">IF(OR($C487="",$T487="Mixta",$J487="",$AA487=""),"",IF($T487="Put",($J487-$AA487)/$J487,($AA487-$J487)/$J487))</f>
        <v/>
      </c>
      <c r="AD487" s="12" t="str">
        <f aca="false">IF($C487="","",IF($Q487&lt;&gt;"",$Q487,IF($V487="Strike",N($E487)*$H487*$I487,IF($V487="Subyacente",IF($J487="","",$J487*$H487*$I487),IF($V487="Ancho",IF($F487="","",ABS($E487-$F487)*$H487*$I487-$K487*$H487*$I487),IF($V487="Prima",$K487*$H487*$I487,""))))))</f>
        <v/>
      </c>
      <c r="AE487" s="12" t="str">
        <f aca="false">IF(OR($C487="",$M487="Abierta",$M487=""),"",(N($K487)-IF(OR($M487="Cerrada",$M487="Rolada"),N($O487),0))*$H487*$I487*IF($U487="Débito",-1,1)-N($L487)-N($P487))</f>
        <v/>
      </c>
      <c r="AF487" s="14" t="str">
        <f aca="false">IF(OR($AE487="",$AD487=""),"",IF($AD487&lt;=0,"",$AE487/$AD487))</f>
        <v/>
      </c>
      <c r="AG487" s="14" t="str">
        <f aca="false">IF($AF487="","",$AF487*365/MAX(N($X487),1))</f>
        <v/>
      </c>
      <c r="AH487" s="14" t="str">
        <f aca="false">IF(OR($C487="",$U487&lt;&gt;"Crédito",$AD487=""),"",IF($AD487&lt;=0,"",($Z487-N($L487))/$AD487))</f>
        <v/>
      </c>
      <c r="AI487" s="14" t="str">
        <f aca="false">IF(OR($AH487="",$W487=""),"",$AH487*365/MAX($W487,1))</f>
        <v/>
      </c>
      <c r="AJ487" s="14" t="str">
        <f aca="false">IF(OR($AE487="",$U487&lt;&gt;"Crédito",N($K487)=0),"",(N($K487)-IF(OR($M487="Cerrada",$M487="Rolada"),N($O487),0))/$K487)</f>
        <v/>
      </c>
      <c r="AK487" s="15" t="str">
        <f aca="false">IF(OR($C487="",$N487=""),"",DATE(YEAR($N487),MONTH($N487),1))</f>
        <v/>
      </c>
      <c r="AL487" s="11" t="str">
        <f aca="false">IF($C487="","",IF($M487="Abierta",0,1))</f>
        <v/>
      </c>
      <c r="AM487" s="16" t="str">
        <f aca="false">IF(OR($AE487="",$AD487=""),"",$AD487*MAX(N($X487),1))</f>
        <v/>
      </c>
      <c r="AN487" s="10" t="str">
        <f aca="false">IF($C487="","",IF(OR($B487="",$D487="",$H487="",$K487="",$M487=""),"Faltan datos obligatorios",IF($T487="","Estrategia no reconocida",IF(AND($M487&lt;&gt;"Abierta",$N487=""),"Falta fecha cierre",IF(AND(OR($M487="Cerrada",$M487="Rolada"),$O487=""),"Falta prima cierre",IF(AND($N487&lt;&gt;"",$N487&lt;$B487),"Cierre anterior a apertura",IF(AND($M487="Asignada",$R487=""),"Asignada: falta ID lote acciones",IF(AND($R487&lt;&gt;"",ISNA(MATCH($R487,Acciones!$A$2:$A$201,0))),"El ID lote no existe en Acciones",IF($AD487="","Revisa capital en riesgo","OK")))))))))</f>
        <v/>
      </c>
    </row>
    <row r="488" customFormat="false" ht="15" hidden="false" customHeight="true" outlineLevel="0" collapsed="false">
      <c r="A488" s="5"/>
      <c r="B488" s="6"/>
      <c r="C488" s="7"/>
      <c r="D488" s="7"/>
      <c r="E488" s="8"/>
      <c r="F488" s="8"/>
      <c r="G488" s="6"/>
      <c r="H488" s="5"/>
      <c r="I488" s="5" t="n">
        <v>100</v>
      </c>
      <c r="J488" s="8"/>
      <c r="K488" s="8"/>
      <c r="L488" s="9"/>
      <c r="M488" s="7"/>
      <c r="N488" s="6"/>
      <c r="O488" s="8"/>
      <c r="P488" s="9"/>
      <c r="Q488" s="9"/>
      <c r="R488" s="7"/>
      <c r="S488" s="7"/>
      <c r="T488" s="10" t="str">
        <f aca="false">IF($C488="","",IFERROR(INDEX(Listas!$B$2:$B$20,MATCH($D488,Listas!$A$2:$A$20,0)),""))</f>
        <v/>
      </c>
      <c r="U488" s="10" t="str">
        <f aca="false">IF($C488="","",IFERROR(INDEX(Listas!$C$2:$C$20,MATCH($D488,Listas!$A$2:$A$20,0)),""))</f>
        <v/>
      </c>
      <c r="V488" s="10" t="str">
        <f aca="false">IF($C488="","",IFERROR(INDEX(Listas!$D$2:$D$20,MATCH($D488,Listas!$A$2:$A$20,0)),""))</f>
        <v/>
      </c>
      <c r="W488" s="11" t="str">
        <f aca="false">IF(OR($C488="",$B488="",$G488=""),"",$G488-$B488)</f>
        <v/>
      </c>
      <c r="X488" s="11" t="str">
        <f aca="true">IF(OR($C488="",$B488=""),"",IF($N488&lt;&gt;"",$N488,TODAY())-$B488)</f>
        <v/>
      </c>
      <c r="Y488" s="11" t="str">
        <f aca="true">IF(OR($C488="",$M488&lt;&gt;"Abierta",$G488=""),"",MAX($G488-TODAY(),0))</f>
        <v/>
      </c>
      <c r="Z488" s="12" t="str">
        <f aca="false">IF($C488="","",N($K488)*N($H488)*N($I488)*IF($U488="Débito",-1,1))</f>
        <v/>
      </c>
      <c r="AA488" s="13" t="str">
        <f aca="false">IF($C488="","",IF(AND($U488="Débito",$F488&lt;&gt;""),$F488,$E488))</f>
        <v/>
      </c>
      <c r="AB488" s="13" t="str">
        <f aca="false">IF(OR($C488="",$T488="Mixta",$AA488=""),"",IF($V488="Subyacente",IF($J488="","",$J488-$K488),IF($T488="Put",$AA488-$K488,$AA488+$K488)))</f>
        <v/>
      </c>
      <c r="AC488" s="14" t="str">
        <f aca="false">IF(OR($C488="",$T488="Mixta",$J488="",$AA488=""),"",IF($T488="Put",($J488-$AA488)/$J488,($AA488-$J488)/$J488))</f>
        <v/>
      </c>
      <c r="AD488" s="12" t="str">
        <f aca="false">IF($C488="","",IF($Q488&lt;&gt;"",$Q488,IF($V488="Strike",N($E488)*$H488*$I488,IF($V488="Subyacente",IF($J488="","",$J488*$H488*$I488),IF($V488="Ancho",IF($F488="","",ABS($E488-$F488)*$H488*$I488-$K488*$H488*$I488),IF($V488="Prima",$K488*$H488*$I488,""))))))</f>
        <v/>
      </c>
      <c r="AE488" s="12" t="str">
        <f aca="false">IF(OR($C488="",$M488="Abierta",$M488=""),"",(N($K488)-IF(OR($M488="Cerrada",$M488="Rolada"),N($O488),0))*$H488*$I488*IF($U488="Débito",-1,1)-N($L488)-N($P488))</f>
        <v/>
      </c>
      <c r="AF488" s="14" t="str">
        <f aca="false">IF(OR($AE488="",$AD488=""),"",IF($AD488&lt;=0,"",$AE488/$AD488))</f>
        <v/>
      </c>
      <c r="AG488" s="14" t="str">
        <f aca="false">IF($AF488="","",$AF488*365/MAX(N($X488),1))</f>
        <v/>
      </c>
      <c r="AH488" s="14" t="str">
        <f aca="false">IF(OR($C488="",$U488&lt;&gt;"Crédito",$AD488=""),"",IF($AD488&lt;=0,"",($Z488-N($L488))/$AD488))</f>
        <v/>
      </c>
      <c r="AI488" s="14" t="str">
        <f aca="false">IF(OR($AH488="",$W488=""),"",$AH488*365/MAX($W488,1))</f>
        <v/>
      </c>
      <c r="AJ488" s="14" t="str">
        <f aca="false">IF(OR($AE488="",$U488&lt;&gt;"Crédito",N($K488)=0),"",(N($K488)-IF(OR($M488="Cerrada",$M488="Rolada"),N($O488),0))/$K488)</f>
        <v/>
      </c>
      <c r="AK488" s="15" t="str">
        <f aca="false">IF(OR($C488="",$N488=""),"",DATE(YEAR($N488),MONTH($N488),1))</f>
        <v/>
      </c>
      <c r="AL488" s="11" t="str">
        <f aca="false">IF($C488="","",IF($M488="Abierta",0,1))</f>
        <v/>
      </c>
      <c r="AM488" s="16" t="str">
        <f aca="false">IF(OR($AE488="",$AD488=""),"",$AD488*MAX(N($X488),1))</f>
        <v/>
      </c>
      <c r="AN488" s="10" t="str">
        <f aca="false">IF($C488="","",IF(OR($B488="",$D488="",$H488="",$K488="",$M488=""),"Faltan datos obligatorios",IF($T488="","Estrategia no reconocida",IF(AND($M488&lt;&gt;"Abierta",$N488=""),"Falta fecha cierre",IF(AND(OR($M488="Cerrada",$M488="Rolada"),$O488=""),"Falta prima cierre",IF(AND($N488&lt;&gt;"",$N488&lt;$B488),"Cierre anterior a apertura",IF(AND($M488="Asignada",$R488=""),"Asignada: falta ID lote acciones",IF(AND($R488&lt;&gt;"",ISNA(MATCH($R488,Acciones!$A$2:$A$201,0))),"El ID lote no existe en Acciones",IF($AD488="","Revisa capital en riesgo","OK")))))))))</f>
        <v/>
      </c>
    </row>
    <row r="489" customFormat="false" ht="15" hidden="false" customHeight="true" outlineLevel="0" collapsed="false">
      <c r="A489" s="5"/>
      <c r="B489" s="6"/>
      <c r="C489" s="7"/>
      <c r="D489" s="7"/>
      <c r="E489" s="8"/>
      <c r="F489" s="8"/>
      <c r="G489" s="6"/>
      <c r="H489" s="5"/>
      <c r="I489" s="5" t="n">
        <v>100</v>
      </c>
      <c r="J489" s="8"/>
      <c r="K489" s="8"/>
      <c r="L489" s="9"/>
      <c r="M489" s="7"/>
      <c r="N489" s="6"/>
      <c r="O489" s="8"/>
      <c r="P489" s="9"/>
      <c r="Q489" s="9"/>
      <c r="R489" s="7"/>
      <c r="S489" s="7"/>
      <c r="T489" s="10" t="str">
        <f aca="false">IF($C489="","",IFERROR(INDEX(Listas!$B$2:$B$20,MATCH($D489,Listas!$A$2:$A$20,0)),""))</f>
        <v/>
      </c>
      <c r="U489" s="10" t="str">
        <f aca="false">IF($C489="","",IFERROR(INDEX(Listas!$C$2:$C$20,MATCH($D489,Listas!$A$2:$A$20,0)),""))</f>
        <v/>
      </c>
      <c r="V489" s="10" t="str">
        <f aca="false">IF($C489="","",IFERROR(INDEX(Listas!$D$2:$D$20,MATCH($D489,Listas!$A$2:$A$20,0)),""))</f>
        <v/>
      </c>
      <c r="W489" s="11" t="str">
        <f aca="false">IF(OR($C489="",$B489="",$G489=""),"",$G489-$B489)</f>
        <v/>
      </c>
      <c r="X489" s="11" t="str">
        <f aca="true">IF(OR($C489="",$B489=""),"",IF($N489&lt;&gt;"",$N489,TODAY())-$B489)</f>
        <v/>
      </c>
      <c r="Y489" s="11" t="str">
        <f aca="true">IF(OR($C489="",$M489&lt;&gt;"Abierta",$G489=""),"",MAX($G489-TODAY(),0))</f>
        <v/>
      </c>
      <c r="Z489" s="12" t="str">
        <f aca="false">IF($C489="","",N($K489)*N($H489)*N($I489)*IF($U489="Débito",-1,1))</f>
        <v/>
      </c>
      <c r="AA489" s="13" t="str">
        <f aca="false">IF($C489="","",IF(AND($U489="Débito",$F489&lt;&gt;""),$F489,$E489))</f>
        <v/>
      </c>
      <c r="AB489" s="13" t="str">
        <f aca="false">IF(OR($C489="",$T489="Mixta",$AA489=""),"",IF($V489="Subyacente",IF($J489="","",$J489-$K489),IF($T489="Put",$AA489-$K489,$AA489+$K489)))</f>
        <v/>
      </c>
      <c r="AC489" s="14" t="str">
        <f aca="false">IF(OR($C489="",$T489="Mixta",$J489="",$AA489=""),"",IF($T489="Put",($J489-$AA489)/$J489,($AA489-$J489)/$J489))</f>
        <v/>
      </c>
      <c r="AD489" s="12" t="str">
        <f aca="false">IF($C489="","",IF($Q489&lt;&gt;"",$Q489,IF($V489="Strike",N($E489)*$H489*$I489,IF($V489="Subyacente",IF($J489="","",$J489*$H489*$I489),IF($V489="Ancho",IF($F489="","",ABS($E489-$F489)*$H489*$I489-$K489*$H489*$I489),IF($V489="Prima",$K489*$H489*$I489,""))))))</f>
        <v/>
      </c>
      <c r="AE489" s="12" t="str">
        <f aca="false">IF(OR($C489="",$M489="Abierta",$M489=""),"",(N($K489)-IF(OR($M489="Cerrada",$M489="Rolada"),N($O489),0))*$H489*$I489*IF($U489="Débito",-1,1)-N($L489)-N($P489))</f>
        <v/>
      </c>
      <c r="AF489" s="14" t="str">
        <f aca="false">IF(OR($AE489="",$AD489=""),"",IF($AD489&lt;=0,"",$AE489/$AD489))</f>
        <v/>
      </c>
      <c r="AG489" s="14" t="str">
        <f aca="false">IF($AF489="","",$AF489*365/MAX(N($X489),1))</f>
        <v/>
      </c>
      <c r="AH489" s="14" t="str">
        <f aca="false">IF(OR($C489="",$U489&lt;&gt;"Crédito",$AD489=""),"",IF($AD489&lt;=0,"",($Z489-N($L489))/$AD489))</f>
        <v/>
      </c>
      <c r="AI489" s="14" t="str">
        <f aca="false">IF(OR($AH489="",$W489=""),"",$AH489*365/MAX($W489,1))</f>
        <v/>
      </c>
      <c r="AJ489" s="14" t="str">
        <f aca="false">IF(OR($AE489="",$U489&lt;&gt;"Crédito",N($K489)=0),"",(N($K489)-IF(OR($M489="Cerrada",$M489="Rolada"),N($O489),0))/$K489)</f>
        <v/>
      </c>
      <c r="AK489" s="15" t="str">
        <f aca="false">IF(OR($C489="",$N489=""),"",DATE(YEAR($N489),MONTH($N489),1))</f>
        <v/>
      </c>
      <c r="AL489" s="11" t="str">
        <f aca="false">IF($C489="","",IF($M489="Abierta",0,1))</f>
        <v/>
      </c>
      <c r="AM489" s="16" t="str">
        <f aca="false">IF(OR($AE489="",$AD489=""),"",$AD489*MAX(N($X489),1))</f>
        <v/>
      </c>
      <c r="AN489" s="10" t="str">
        <f aca="false">IF($C489="","",IF(OR($B489="",$D489="",$H489="",$K489="",$M489=""),"Faltan datos obligatorios",IF($T489="","Estrategia no reconocida",IF(AND($M489&lt;&gt;"Abierta",$N489=""),"Falta fecha cierre",IF(AND(OR($M489="Cerrada",$M489="Rolada"),$O489=""),"Falta prima cierre",IF(AND($N489&lt;&gt;"",$N489&lt;$B489),"Cierre anterior a apertura",IF(AND($M489="Asignada",$R489=""),"Asignada: falta ID lote acciones",IF(AND($R489&lt;&gt;"",ISNA(MATCH($R489,Acciones!$A$2:$A$201,0))),"El ID lote no existe en Acciones",IF($AD489="","Revisa capital en riesgo","OK")))))))))</f>
        <v/>
      </c>
    </row>
    <row r="490" customFormat="false" ht="15" hidden="false" customHeight="true" outlineLevel="0" collapsed="false">
      <c r="A490" s="5"/>
      <c r="B490" s="6"/>
      <c r="C490" s="7"/>
      <c r="D490" s="7"/>
      <c r="E490" s="8"/>
      <c r="F490" s="8"/>
      <c r="G490" s="6"/>
      <c r="H490" s="5"/>
      <c r="I490" s="5" t="n">
        <v>100</v>
      </c>
      <c r="J490" s="8"/>
      <c r="K490" s="8"/>
      <c r="L490" s="9"/>
      <c r="M490" s="7"/>
      <c r="N490" s="6"/>
      <c r="O490" s="8"/>
      <c r="P490" s="9"/>
      <c r="Q490" s="9"/>
      <c r="R490" s="7"/>
      <c r="S490" s="7"/>
      <c r="T490" s="10" t="str">
        <f aca="false">IF($C490="","",IFERROR(INDEX(Listas!$B$2:$B$20,MATCH($D490,Listas!$A$2:$A$20,0)),""))</f>
        <v/>
      </c>
      <c r="U490" s="10" t="str">
        <f aca="false">IF($C490="","",IFERROR(INDEX(Listas!$C$2:$C$20,MATCH($D490,Listas!$A$2:$A$20,0)),""))</f>
        <v/>
      </c>
      <c r="V490" s="10" t="str">
        <f aca="false">IF($C490="","",IFERROR(INDEX(Listas!$D$2:$D$20,MATCH($D490,Listas!$A$2:$A$20,0)),""))</f>
        <v/>
      </c>
      <c r="W490" s="11" t="str">
        <f aca="false">IF(OR($C490="",$B490="",$G490=""),"",$G490-$B490)</f>
        <v/>
      </c>
      <c r="X490" s="11" t="str">
        <f aca="true">IF(OR($C490="",$B490=""),"",IF($N490&lt;&gt;"",$N490,TODAY())-$B490)</f>
        <v/>
      </c>
      <c r="Y490" s="11" t="str">
        <f aca="true">IF(OR($C490="",$M490&lt;&gt;"Abierta",$G490=""),"",MAX($G490-TODAY(),0))</f>
        <v/>
      </c>
      <c r="Z490" s="12" t="str">
        <f aca="false">IF($C490="","",N($K490)*N($H490)*N($I490)*IF($U490="Débito",-1,1))</f>
        <v/>
      </c>
      <c r="AA490" s="13" t="str">
        <f aca="false">IF($C490="","",IF(AND($U490="Débito",$F490&lt;&gt;""),$F490,$E490))</f>
        <v/>
      </c>
      <c r="AB490" s="13" t="str">
        <f aca="false">IF(OR($C490="",$T490="Mixta",$AA490=""),"",IF($V490="Subyacente",IF($J490="","",$J490-$K490),IF($T490="Put",$AA490-$K490,$AA490+$K490)))</f>
        <v/>
      </c>
      <c r="AC490" s="14" t="str">
        <f aca="false">IF(OR($C490="",$T490="Mixta",$J490="",$AA490=""),"",IF($T490="Put",($J490-$AA490)/$J490,($AA490-$J490)/$J490))</f>
        <v/>
      </c>
      <c r="AD490" s="12" t="str">
        <f aca="false">IF($C490="","",IF($Q490&lt;&gt;"",$Q490,IF($V490="Strike",N($E490)*$H490*$I490,IF($V490="Subyacente",IF($J490="","",$J490*$H490*$I490),IF($V490="Ancho",IF($F490="","",ABS($E490-$F490)*$H490*$I490-$K490*$H490*$I490),IF($V490="Prima",$K490*$H490*$I490,""))))))</f>
        <v/>
      </c>
      <c r="AE490" s="12" t="str">
        <f aca="false">IF(OR($C490="",$M490="Abierta",$M490=""),"",(N($K490)-IF(OR($M490="Cerrada",$M490="Rolada"),N($O490),0))*$H490*$I490*IF($U490="Débito",-1,1)-N($L490)-N($P490))</f>
        <v/>
      </c>
      <c r="AF490" s="14" t="str">
        <f aca="false">IF(OR($AE490="",$AD490=""),"",IF($AD490&lt;=0,"",$AE490/$AD490))</f>
        <v/>
      </c>
      <c r="AG490" s="14" t="str">
        <f aca="false">IF($AF490="","",$AF490*365/MAX(N($X490),1))</f>
        <v/>
      </c>
      <c r="AH490" s="14" t="str">
        <f aca="false">IF(OR($C490="",$U490&lt;&gt;"Crédito",$AD490=""),"",IF($AD490&lt;=0,"",($Z490-N($L490))/$AD490))</f>
        <v/>
      </c>
      <c r="AI490" s="14" t="str">
        <f aca="false">IF(OR($AH490="",$W490=""),"",$AH490*365/MAX($W490,1))</f>
        <v/>
      </c>
      <c r="AJ490" s="14" t="str">
        <f aca="false">IF(OR($AE490="",$U490&lt;&gt;"Crédito",N($K490)=0),"",(N($K490)-IF(OR($M490="Cerrada",$M490="Rolada"),N($O490),0))/$K490)</f>
        <v/>
      </c>
      <c r="AK490" s="15" t="str">
        <f aca="false">IF(OR($C490="",$N490=""),"",DATE(YEAR($N490),MONTH($N490),1))</f>
        <v/>
      </c>
      <c r="AL490" s="11" t="str">
        <f aca="false">IF($C490="","",IF($M490="Abierta",0,1))</f>
        <v/>
      </c>
      <c r="AM490" s="16" t="str">
        <f aca="false">IF(OR($AE490="",$AD490=""),"",$AD490*MAX(N($X490),1))</f>
        <v/>
      </c>
      <c r="AN490" s="10" t="str">
        <f aca="false">IF($C490="","",IF(OR($B490="",$D490="",$H490="",$K490="",$M490=""),"Faltan datos obligatorios",IF($T490="","Estrategia no reconocida",IF(AND($M490&lt;&gt;"Abierta",$N490=""),"Falta fecha cierre",IF(AND(OR($M490="Cerrada",$M490="Rolada"),$O490=""),"Falta prima cierre",IF(AND($N490&lt;&gt;"",$N490&lt;$B490),"Cierre anterior a apertura",IF(AND($M490="Asignada",$R490=""),"Asignada: falta ID lote acciones",IF(AND($R490&lt;&gt;"",ISNA(MATCH($R490,Acciones!$A$2:$A$201,0))),"El ID lote no existe en Acciones",IF($AD490="","Revisa capital en riesgo","OK")))))))))</f>
        <v/>
      </c>
    </row>
    <row r="491" customFormat="false" ht="15" hidden="false" customHeight="true" outlineLevel="0" collapsed="false">
      <c r="A491" s="5"/>
      <c r="B491" s="6"/>
      <c r="C491" s="7"/>
      <c r="D491" s="7"/>
      <c r="E491" s="8"/>
      <c r="F491" s="8"/>
      <c r="G491" s="6"/>
      <c r="H491" s="5"/>
      <c r="I491" s="5" t="n">
        <v>100</v>
      </c>
      <c r="J491" s="8"/>
      <c r="K491" s="8"/>
      <c r="L491" s="9"/>
      <c r="M491" s="7"/>
      <c r="N491" s="6"/>
      <c r="O491" s="8"/>
      <c r="P491" s="9"/>
      <c r="Q491" s="9"/>
      <c r="R491" s="7"/>
      <c r="S491" s="7"/>
      <c r="T491" s="10" t="str">
        <f aca="false">IF($C491="","",IFERROR(INDEX(Listas!$B$2:$B$20,MATCH($D491,Listas!$A$2:$A$20,0)),""))</f>
        <v/>
      </c>
      <c r="U491" s="10" t="str">
        <f aca="false">IF($C491="","",IFERROR(INDEX(Listas!$C$2:$C$20,MATCH($D491,Listas!$A$2:$A$20,0)),""))</f>
        <v/>
      </c>
      <c r="V491" s="10" t="str">
        <f aca="false">IF($C491="","",IFERROR(INDEX(Listas!$D$2:$D$20,MATCH($D491,Listas!$A$2:$A$20,0)),""))</f>
        <v/>
      </c>
      <c r="W491" s="11" t="str">
        <f aca="false">IF(OR($C491="",$B491="",$G491=""),"",$G491-$B491)</f>
        <v/>
      </c>
      <c r="X491" s="11" t="str">
        <f aca="true">IF(OR($C491="",$B491=""),"",IF($N491&lt;&gt;"",$N491,TODAY())-$B491)</f>
        <v/>
      </c>
      <c r="Y491" s="11" t="str">
        <f aca="true">IF(OR($C491="",$M491&lt;&gt;"Abierta",$G491=""),"",MAX($G491-TODAY(),0))</f>
        <v/>
      </c>
      <c r="Z491" s="12" t="str">
        <f aca="false">IF($C491="","",N($K491)*N($H491)*N($I491)*IF($U491="Débito",-1,1))</f>
        <v/>
      </c>
      <c r="AA491" s="13" t="str">
        <f aca="false">IF($C491="","",IF(AND($U491="Débito",$F491&lt;&gt;""),$F491,$E491))</f>
        <v/>
      </c>
      <c r="AB491" s="13" t="str">
        <f aca="false">IF(OR($C491="",$T491="Mixta",$AA491=""),"",IF($V491="Subyacente",IF($J491="","",$J491-$K491),IF($T491="Put",$AA491-$K491,$AA491+$K491)))</f>
        <v/>
      </c>
      <c r="AC491" s="14" t="str">
        <f aca="false">IF(OR($C491="",$T491="Mixta",$J491="",$AA491=""),"",IF($T491="Put",($J491-$AA491)/$J491,($AA491-$J491)/$J491))</f>
        <v/>
      </c>
      <c r="AD491" s="12" t="str">
        <f aca="false">IF($C491="","",IF($Q491&lt;&gt;"",$Q491,IF($V491="Strike",N($E491)*$H491*$I491,IF($V491="Subyacente",IF($J491="","",$J491*$H491*$I491),IF($V491="Ancho",IF($F491="","",ABS($E491-$F491)*$H491*$I491-$K491*$H491*$I491),IF($V491="Prima",$K491*$H491*$I491,""))))))</f>
        <v/>
      </c>
      <c r="AE491" s="12" t="str">
        <f aca="false">IF(OR($C491="",$M491="Abierta",$M491=""),"",(N($K491)-IF(OR($M491="Cerrada",$M491="Rolada"),N($O491),0))*$H491*$I491*IF($U491="Débito",-1,1)-N($L491)-N($P491))</f>
        <v/>
      </c>
      <c r="AF491" s="14" t="str">
        <f aca="false">IF(OR($AE491="",$AD491=""),"",IF($AD491&lt;=0,"",$AE491/$AD491))</f>
        <v/>
      </c>
      <c r="AG491" s="14" t="str">
        <f aca="false">IF($AF491="","",$AF491*365/MAX(N($X491),1))</f>
        <v/>
      </c>
      <c r="AH491" s="14" t="str">
        <f aca="false">IF(OR($C491="",$U491&lt;&gt;"Crédito",$AD491=""),"",IF($AD491&lt;=0,"",($Z491-N($L491))/$AD491))</f>
        <v/>
      </c>
      <c r="AI491" s="14" t="str">
        <f aca="false">IF(OR($AH491="",$W491=""),"",$AH491*365/MAX($W491,1))</f>
        <v/>
      </c>
      <c r="AJ491" s="14" t="str">
        <f aca="false">IF(OR($AE491="",$U491&lt;&gt;"Crédito",N($K491)=0),"",(N($K491)-IF(OR($M491="Cerrada",$M491="Rolada"),N($O491),0))/$K491)</f>
        <v/>
      </c>
      <c r="AK491" s="15" t="str">
        <f aca="false">IF(OR($C491="",$N491=""),"",DATE(YEAR($N491),MONTH($N491),1))</f>
        <v/>
      </c>
      <c r="AL491" s="11" t="str">
        <f aca="false">IF($C491="","",IF($M491="Abierta",0,1))</f>
        <v/>
      </c>
      <c r="AM491" s="16" t="str">
        <f aca="false">IF(OR($AE491="",$AD491=""),"",$AD491*MAX(N($X491),1))</f>
        <v/>
      </c>
      <c r="AN491" s="10" t="str">
        <f aca="false">IF($C491="","",IF(OR($B491="",$D491="",$H491="",$K491="",$M491=""),"Faltan datos obligatorios",IF($T491="","Estrategia no reconocida",IF(AND($M491&lt;&gt;"Abierta",$N491=""),"Falta fecha cierre",IF(AND(OR($M491="Cerrada",$M491="Rolada"),$O491=""),"Falta prima cierre",IF(AND($N491&lt;&gt;"",$N491&lt;$B491),"Cierre anterior a apertura",IF(AND($M491="Asignada",$R491=""),"Asignada: falta ID lote acciones",IF(AND($R491&lt;&gt;"",ISNA(MATCH($R491,Acciones!$A$2:$A$201,0))),"El ID lote no existe en Acciones",IF($AD491="","Revisa capital en riesgo","OK")))))))))</f>
        <v/>
      </c>
    </row>
    <row r="492" customFormat="false" ht="15" hidden="false" customHeight="true" outlineLevel="0" collapsed="false">
      <c r="A492" s="5"/>
      <c r="B492" s="6"/>
      <c r="C492" s="7"/>
      <c r="D492" s="7"/>
      <c r="E492" s="8"/>
      <c r="F492" s="8"/>
      <c r="G492" s="6"/>
      <c r="H492" s="5"/>
      <c r="I492" s="5" t="n">
        <v>100</v>
      </c>
      <c r="J492" s="8"/>
      <c r="K492" s="8"/>
      <c r="L492" s="9"/>
      <c r="M492" s="7"/>
      <c r="N492" s="6"/>
      <c r="O492" s="8"/>
      <c r="P492" s="9"/>
      <c r="Q492" s="9"/>
      <c r="R492" s="7"/>
      <c r="S492" s="7"/>
      <c r="T492" s="10" t="str">
        <f aca="false">IF($C492="","",IFERROR(INDEX(Listas!$B$2:$B$20,MATCH($D492,Listas!$A$2:$A$20,0)),""))</f>
        <v/>
      </c>
      <c r="U492" s="10" t="str">
        <f aca="false">IF($C492="","",IFERROR(INDEX(Listas!$C$2:$C$20,MATCH($D492,Listas!$A$2:$A$20,0)),""))</f>
        <v/>
      </c>
      <c r="V492" s="10" t="str">
        <f aca="false">IF($C492="","",IFERROR(INDEX(Listas!$D$2:$D$20,MATCH($D492,Listas!$A$2:$A$20,0)),""))</f>
        <v/>
      </c>
      <c r="W492" s="11" t="str">
        <f aca="false">IF(OR($C492="",$B492="",$G492=""),"",$G492-$B492)</f>
        <v/>
      </c>
      <c r="X492" s="11" t="str">
        <f aca="true">IF(OR($C492="",$B492=""),"",IF($N492&lt;&gt;"",$N492,TODAY())-$B492)</f>
        <v/>
      </c>
      <c r="Y492" s="11" t="str">
        <f aca="true">IF(OR($C492="",$M492&lt;&gt;"Abierta",$G492=""),"",MAX($G492-TODAY(),0))</f>
        <v/>
      </c>
      <c r="Z492" s="12" t="str">
        <f aca="false">IF($C492="","",N($K492)*N($H492)*N($I492)*IF($U492="Débito",-1,1))</f>
        <v/>
      </c>
      <c r="AA492" s="13" t="str">
        <f aca="false">IF($C492="","",IF(AND($U492="Débito",$F492&lt;&gt;""),$F492,$E492))</f>
        <v/>
      </c>
      <c r="AB492" s="13" t="str">
        <f aca="false">IF(OR($C492="",$T492="Mixta",$AA492=""),"",IF($V492="Subyacente",IF($J492="","",$J492-$K492),IF($T492="Put",$AA492-$K492,$AA492+$K492)))</f>
        <v/>
      </c>
      <c r="AC492" s="14" t="str">
        <f aca="false">IF(OR($C492="",$T492="Mixta",$J492="",$AA492=""),"",IF($T492="Put",($J492-$AA492)/$J492,($AA492-$J492)/$J492))</f>
        <v/>
      </c>
      <c r="AD492" s="12" t="str">
        <f aca="false">IF($C492="","",IF($Q492&lt;&gt;"",$Q492,IF($V492="Strike",N($E492)*$H492*$I492,IF($V492="Subyacente",IF($J492="","",$J492*$H492*$I492),IF($V492="Ancho",IF($F492="","",ABS($E492-$F492)*$H492*$I492-$K492*$H492*$I492),IF($V492="Prima",$K492*$H492*$I492,""))))))</f>
        <v/>
      </c>
      <c r="AE492" s="12" t="str">
        <f aca="false">IF(OR($C492="",$M492="Abierta",$M492=""),"",(N($K492)-IF(OR($M492="Cerrada",$M492="Rolada"),N($O492),0))*$H492*$I492*IF($U492="Débito",-1,1)-N($L492)-N($P492))</f>
        <v/>
      </c>
      <c r="AF492" s="14" t="str">
        <f aca="false">IF(OR($AE492="",$AD492=""),"",IF($AD492&lt;=0,"",$AE492/$AD492))</f>
        <v/>
      </c>
      <c r="AG492" s="14" t="str">
        <f aca="false">IF($AF492="","",$AF492*365/MAX(N($X492),1))</f>
        <v/>
      </c>
      <c r="AH492" s="14" t="str">
        <f aca="false">IF(OR($C492="",$U492&lt;&gt;"Crédito",$AD492=""),"",IF($AD492&lt;=0,"",($Z492-N($L492))/$AD492))</f>
        <v/>
      </c>
      <c r="AI492" s="14" t="str">
        <f aca="false">IF(OR($AH492="",$W492=""),"",$AH492*365/MAX($W492,1))</f>
        <v/>
      </c>
      <c r="AJ492" s="14" t="str">
        <f aca="false">IF(OR($AE492="",$U492&lt;&gt;"Crédito",N($K492)=0),"",(N($K492)-IF(OR($M492="Cerrada",$M492="Rolada"),N($O492),0))/$K492)</f>
        <v/>
      </c>
      <c r="AK492" s="15" t="str">
        <f aca="false">IF(OR($C492="",$N492=""),"",DATE(YEAR($N492),MONTH($N492),1))</f>
        <v/>
      </c>
      <c r="AL492" s="11" t="str">
        <f aca="false">IF($C492="","",IF($M492="Abierta",0,1))</f>
        <v/>
      </c>
      <c r="AM492" s="16" t="str">
        <f aca="false">IF(OR($AE492="",$AD492=""),"",$AD492*MAX(N($X492),1))</f>
        <v/>
      </c>
      <c r="AN492" s="10" t="str">
        <f aca="false">IF($C492="","",IF(OR($B492="",$D492="",$H492="",$K492="",$M492=""),"Faltan datos obligatorios",IF($T492="","Estrategia no reconocida",IF(AND($M492&lt;&gt;"Abierta",$N492=""),"Falta fecha cierre",IF(AND(OR($M492="Cerrada",$M492="Rolada"),$O492=""),"Falta prima cierre",IF(AND($N492&lt;&gt;"",$N492&lt;$B492),"Cierre anterior a apertura",IF(AND($M492="Asignada",$R492=""),"Asignada: falta ID lote acciones",IF(AND($R492&lt;&gt;"",ISNA(MATCH($R492,Acciones!$A$2:$A$201,0))),"El ID lote no existe en Acciones",IF($AD492="","Revisa capital en riesgo","OK")))))))))</f>
        <v/>
      </c>
    </row>
    <row r="493" customFormat="false" ht="15" hidden="false" customHeight="true" outlineLevel="0" collapsed="false">
      <c r="A493" s="5"/>
      <c r="B493" s="6"/>
      <c r="C493" s="7"/>
      <c r="D493" s="7"/>
      <c r="E493" s="8"/>
      <c r="F493" s="8"/>
      <c r="G493" s="6"/>
      <c r="H493" s="5"/>
      <c r="I493" s="5" t="n">
        <v>100</v>
      </c>
      <c r="J493" s="8"/>
      <c r="K493" s="8"/>
      <c r="L493" s="9"/>
      <c r="M493" s="7"/>
      <c r="N493" s="6"/>
      <c r="O493" s="8"/>
      <c r="P493" s="9"/>
      <c r="Q493" s="9"/>
      <c r="R493" s="7"/>
      <c r="S493" s="7"/>
      <c r="T493" s="10" t="str">
        <f aca="false">IF($C493="","",IFERROR(INDEX(Listas!$B$2:$B$20,MATCH($D493,Listas!$A$2:$A$20,0)),""))</f>
        <v/>
      </c>
      <c r="U493" s="10" t="str">
        <f aca="false">IF($C493="","",IFERROR(INDEX(Listas!$C$2:$C$20,MATCH($D493,Listas!$A$2:$A$20,0)),""))</f>
        <v/>
      </c>
      <c r="V493" s="10" t="str">
        <f aca="false">IF($C493="","",IFERROR(INDEX(Listas!$D$2:$D$20,MATCH($D493,Listas!$A$2:$A$20,0)),""))</f>
        <v/>
      </c>
      <c r="W493" s="11" t="str">
        <f aca="false">IF(OR($C493="",$B493="",$G493=""),"",$G493-$B493)</f>
        <v/>
      </c>
      <c r="X493" s="11" t="str">
        <f aca="true">IF(OR($C493="",$B493=""),"",IF($N493&lt;&gt;"",$N493,TODAY())-$B493)</f>
        <v/>
      </c>
      <c r="Y493" s="11" t="str">
        <f aca="true">IF(OR($C493="",$M493&lt;&gt;"Abierta",$G493=""),"",MAX($G493-TODAY(),0))</f>
        <v/>
      </c>
      <c r="Z493" s="12" t="str">
        <f aca="false">IF($C493="","",N($K493)*N($H493)*N($I493)*IF($U493="Débito",-1,1))</f>
        <v/>
      </c>
      <c r="AA493" s="13" t="str">
        <f aca="false">IF($C493="","",IF(AND($U493="Débito",$F493&lt;&gt;""),$F493,$E493))</f>
        <v/>
      </c>
      <c r="AB493" s="13" t="str">
        <f aca="false">IF(OR($C493="",$T493="Mixta",$AA493=""),"",IF($V493="Subyacente",IF($J493="","",$J493-$K493),IF($T493="Put",$AA493-$K493,$AA493+$K493)))</f>
        <v/>
      </c>
      <c r="AC493" s="14" t="str">
        <f aca="false">IF(OR($C493="",$T493="Mixta",$J493="",$AA493=""),"",IF($T493="Put",($J493-$AA493)/$J493,($AA493-$J493)/$J493))</f>
        <v/>
      </c>
      <c r="AD493" s="12" t="str">
        <f aca="false">IF($C493="","",IF($Q493&lt;&gt;"",$Q493,IF($V493="Strike",N($E493)*$H493*$I493,IF($V493="Subyacente",IF($J493="","",$J493*$H493*$I493),IF($V493="Ancho",IF($F493="","",ABS($E493-$F493)*$H493*$I493-$K493*$H493*$I493),IF($V493="Prima",$K493*$H493*$I493,""))))))</f>
        <v/>
      </c>
      <c r="AE493" s="12" t="str">
        <f aca="false">IF(OR($C493="",$M493="Abierta",$M493=""),"",(N($K493)-IF(OR($M493="Cerrada",$M493="Rolada"),N($O493),0))*$H493*$I493*IF($U493="Débito",-1,1)-N($L493)-N($P493))</f>
        <v/>
      </c>
      <c r="AF493" s="14" t="str">
        <f aca="false">IF(OR($AE493="",$AD493=""),"",IF($AD493&lt;=0,"",$AE493/$AD493))</f>
        <v/>
      </c>
      <c r="AG493" s="14" t="str">
        <f aca="false">IF($AF493="","",$AF493*365/MAX(N($X493),1))</f>
        <v/>
      </c>
      <c r="AH493" s="14" t="str">
        <f aca="false">IF(OR($C493="",$U493&lt;&gt;"Crédito",$AD493=""),"",IF($AD493&lt;=0,"",($Z493-N($L493))/$AD493))</f>
        <v/>
      </c>
      <c r="AI493" s="14" t="str">
        <f aca="false">IF(OR($AH493="",$W493=""),"",$AH493*365/MAX($W493,1))</f>
        <v/>
      </c>
      <c r="AJ493" s="14" t="str">
        <f aca="false">IF(OR($AE493="",$U493&lt;&gt;"Crédito",N($K493)=0),"",(N($K493)-IF(OR($M493="Cerrada",$M493="Rolada"),N($O493),0))/$K493)</f>
        <v/>
      </c>
      <c r="AK493" s="15" t="str">
        <f aca="false">IF(OR($C493="",$N493=""),"",DATE(YEAR($N493),MONTH($N493),1))</f>
        <v/>
      </c>
      <c r="AL493" s="11" t="str">
        <f aca="false">IF($C493="","",IF($M493="Abierta",0,1))</f>
        <v/>
      </c>
      <c r="AM493" s="16" t="str">
        <f aca="false">IF(OR($AE493="",$AD493=""),"",$AD493*MAX(N($X493),1))</f>
        <v/>
      </c>
      <c r="AN493" s="10" t="str">
        <f aca="false">IF($C493="","",IF(OR($B493="",$D493="",$H493="",$K493="",$M493=""),"Faltan datos obligatorios",IF($T493="","Estrategia no reconocida",IF(AND($M493&lt;&gt;"Abierta",$N493=""),"Falta fecha cierre",IF(AND(OR($M493="Cerrada",$M493="Rolada"),$O493=""),"Falta prima cierre",IF(AND($N493&lt;&gt;"",$N493&lt;$B493),"Cierre anterior a apertura",IF(AND($M493="Asignada",$R493=""),"Asignada: falta ID lote acciones",IF(AND($R493&lt;&gt;"",ISNA(MATCH($R493,Acciones!$A$2:$A$201,0))),"El ID lote no existe en Acciones",IF($AD493="","Revisa capital en riesgo","OK")))))))))</f>
        <v/>
      </c>
    </row>
    <row r="494" customFormat="false" ht="15" hidden="false" customHeight="true" outlineLevel="0" collapsed="false">
      <c r="A494" s="5"/>
      <c r="B494" s="6"/>
      <c r="C494" s="7"/>
      <c r="D494" s="7"/>
      <c r="E494" s="8"/>
      <c r="F494" s="8"/>
      <c r="G494" s="6"/>
      <c r="H494" s="5"/>
      <c r="I494" s="5" t="n">
        <v>100</v>
      </c>
      <c r="J494" s="8"/>
      <c r="K494" s="8"/>
      <c r="L494" s="9"/>
      <c r="M494" s="7"/>
      <c r="N494" s="6"/>
      <c r="O494" s="8"/>
      <c r="P494" s="9"/>
      <c r="Q494" s="9"/>
      <c r="R494" s="7"/>
      <c r="S494" s="7"/>
      <c r="T494" s="10" t="str">
        <f aca="false">IF($C494="","",IFERROR(INDEX(Listas!$B$2:$B$20,MATCH($D494,Listas!$A$2:$A$20,0)),""))</f>
        <v/>
      </c>
      <c r="U494" s="10" t="str">
        <f aca="false">IF($C494="","",IFERROR(INDEX(Listas!$C$2:$C$20,MATCH($D494,Listas!$A$2:$A$20,0)),""))</f>
        <v/>
      </c>
      <c r="V494" s="10" t="str">
        <f aca="false">IF($C494="","",IFERROR(INDEX(Listas!$D$2:$D$20,MATCH($D494,Listas!$A$2:$A$20,0)),""))</f>
        <v/>
      </c>
      <c r="W494" s="11" t="str">
        <f aca="false">IF(OR($C494="",$B494="",$G494=""),"",$G494-$B494)</f>
        <v/>
      </c>
      <c r="X494" s="11" t="str">
        <f aca="true">IF(OR($C494="",$B494=""),"",IF($N494&lt;&gt;"",$N494,TODAY())-$B494)</f>
        <v/>
      </c>
      <c r="Y494" s="11" t="str">
        <f aca="true">IF(OR($C494="",$M494&lt;&gt;"Abierta",$G494=""),"",MAX($G494-TODAY(),0))</f>
        <v/>
      </c>
      <c r="Z494" s="12" t="str">
        <f aca="false">IF($C494="","",N($K494)*N($H494)*N($I494)*IF($U494="Débito",-1,1))</f>
        <v/>
      </c>
      <c r="AA494" s="13" t="str">
        <f aca="false">IF($C494="","",IF(AND($U494="Débito",$F494&lt;&gt;""),$F494,$E494))</f>
        <v/>
      </c>
      <c r="AB494" s="13" t="str">
        <f aca="false">IF(OR($C494="",$T494="Mixta",$AA494=""),"",IF($V494="Subyacente",IF($J494="","",$J494-$K494),IF($T494="Put",$AA494-$K494,$AA494+$K494)))</f>
        <v/>
      </c>
      <c r="AC494" s="14" t="str">
        <f aca="false">IF(OR($C494="",$T494="Mixta",$J494="",$AA494=""),"",IF($T494="Put",($J494-$AA494)/$J494,($AA494-$J494)/$J494))</f>
        <v/>
      </c>
      <c r="AD494" s="12" t="str">
        <f aca="false">IF($C494="","",IF($Q494&lt;&gt;"",$Q494,IF($V494="Strike",N($E494)*$H494*$I494,IF($V494="Subyacente",IF($J494="","",$J494*$H494*$I494),IF($V494="Ancho",IF($F494="","",ABS($E494-$F494)*$H494*$I494-$K494*$H494*$I494),IF($V494="Prima",$K494*$H494*$I494,""))))))</f>
        <v/>
      </c>
      <c r="AE494" s="12" t="str">
        <f aca="false">IF(OR($C494="",$M494="Abierta",$M494=""),"",(N($K494)-IF(OR($M494="Cerrada",$M494="Rolada"),N($O494),0))*$H494*$I494*IF($U494="Débito",-1,1)-N($L494)-N($P494))</f>
        <v/>
      </c>
      <c r="AF494" s="14" t="str">
        <f aca="false">IF(OR($AE494="",$AD494=""),"",IF($AD494&lt;=0,"",$AE494/$AD494))</f>
        <v/>
      </c>
      <c r="AG494" s="14" t="str">
        <f aca="false">IF($AF494="","",$AF494*365/MAX(N($X494),1))</f>
        <v/>
      </c>
      <c r="AH494" s="14" t="str">
        <f aca="false">IF(OR($C494="",$U494&lt;&gt;"Crédito",$AD494=""),"",IF($AD494&lt;=0,"",($Z494-N($L494))/$AD494))</f>
        <v/>
      </c>
      <c r="AI494" s="14" t="str">
        <f aca="false">IF(OR($AH494="",$W494=""),"",$AH494*365/MAX($W494,1))</f>
        <v/>
      </c>
      <c r="AJ494" s="14" t="str">
        <f aca="false">IF(OR($AE494="",$U494&lt;&gt;"Crédito",N($K494)=0),"",(N($K494)-IF(OR($M494="Cerrada",$M494="Rolada"),N($O494),0))/$K494)</f>
        <v/>
      </c>
      <c r="AK494" s="15" t="str">
        <f aca="false">IF(OR($C494="",$N494=""),"",DATE(YEAR($N494),MONTH($N494),1))</f>
        <v/>
      </c>
      <c r="AL494" s="11" t="str">
        <f aca="false">IF($C494="","",IF($M494="Abierta",0,1))</f>
        <v/>
      </c>
      <c r="AM494" s="16" t="str">
        <f aca="false">IF(OR($AE494="",$AD494=""),"",$AD494*MAX(N($X494),1))</f>
        <v/>
      </c>
      <c r="AN494" s="10" t="str">
        <f aca="false">IF($C494="","",IF(OR($B494="",$D494="",$H494="",$K494="",$M494=""),"Faltan datos obligatorios",IF($T494="","Estrategia no reconocida",IF(AND($M494&lt;&gt;"Abierta",$N494=""),"Falta fecha cierre",IF(AND(OR($M494="Cerrada",$M494="Rolada"),$O494=""),"Falta prima cierre",IF(AND($N494&lt;&gt;"",$N494&lt;$B494),"Cierre anterior a apertura",IF(AND($M494="Asignada",$R494=""),"Asignada: falta ID lote acciones",IF(AND($R494&lt;&gt;"",ISNA(MATCH($R494,Acciones!$A$2:$A$201,0))),"El ID lote no existe en Acciones",IF($AD494="","Revisa capital en riesgo","OK")))))))))</f>
        <v/>
      </c>
    </row>
    <row r="495" customFormat="false" ht="15" hidden="false" customHeight="true" outlineLevel="0" collapsed="false">
      <c r="A495" s="5"/>
      <c r="B495" s="6"/>
      <c r="C495" s="7"/>
      <c r="D495" s="7"/>
      <c r="E495" s="8"/>
      <c r="F495" s="8"/>
      <c r="G495" s="6"/>
      <c r="H495" s="5"/>
      <c r="I495" s="5" t="n">
        <v>100</v>
      </c>
      <c r="J495" s="8"/>
      <c r="K495" s="8"/>
      <c r="L495" s="9"/>
      <c r="M495" s="7"/>
      <c r="N495" s="6"/>
      <c r="O495" s="8"/>
      <c r="P495" s="9"/>
      <c r="Q495" s="9"/>
      <c r="R495" s="7"/>
      <c r="S495" s="7"/>
      <c r="T495" s="10" t="str">
        <f aca="false">IF($C495="","",IFERROR(INDEX(Listas!$B$2:$B$20,MATCH($D495,Listas!$A$2:$A$20,0)),""))</f>
        <v/>
      </c>
      <c r="U495" s="10" t="str">
        <f aca="false">IF($C495="","",IFERROR(INDEX(Listas!$C$2:$C$20,MATCH($D495,Listas!$A$2:$A$20,0)),""))</f>
        <v/>
      </c>
      <c r="V495" s="10" t="str">
        <f aca="false">IF($C495="","",IFERROR(INDEX(Listas!$D$2:$D$20,MATCH($D495,Listas!$A$2:$A$20,0)),""))</f>
        <v/>
      </c>
      <c r="W495" s="11" t="str">
        <f aca="false">IF(OR($C495="",$B495="",$G495=""),"",$G495-$B495)</f>
        <v/>
      </c>
      <c r="X495" s="11" t="str">
        <f aca="true">IF(OR($C495="",$B495=""),"",IF($N495&lt;&gt;"",$N495,TODAY())-$B495)</f>
        <v/>
      </c>
      <c r="Y495" s="11" t="str">
        <f aca="true">IF(OR($C495="",$M495&lt;&gt;"Abierta",$G495=""),"",MAX($G495-TODAY(),0))</f>
        <v/>
      </c>
      <c r="Z495" s="12" t="str">
        <f aca="false">IF($C495="","",N($K495)*N($H495)*N($I495)*IF($U495="Débito",-1,1))</f>
        <v/>
      </c>
      <c r="AA495" s="13" t="str">
        <f aca="false">IF($C495="","",IF(AND($U495="Débito",$F495&lt;&gt;""),$F495,$E495))</f>
        <v/>
      </c>
      <c r="AB495" s="13" t="str">
        <f aca="false">IF(OR($C495="",$T495="Mixta",$AA495=""),"",IF($V495="Subyacente",IF($J495="","",$J495-$K495),IF($T495="Put",$AA495-$K495,$AA495+$K495)))</f>
        <v/>
      </c>
      <c r="AC495" s="14" t="str">
        <f aca="false">IF(OR($C495="",$T495="Mixta",$J495="",$AA495=""),"",IF($T495="Put",($J495-$AA495)/$J495,($AA495-$J495)/$J495))</f>
        <v/>
      </c>
      <c r="AD495" s="12" t="str">
        <f aca="false">IF($C495="","",IF($Q495&lt;&gt;"",$Q495,IF($V495="Strike",N($E495)*$H495*$I495,IF($V495="Subyacente",IF($J495="","",$J495*$H495*$I495),IF($V495="Ancho",IF($F495="","",ABS($E495-$F495)*$H495*$I495-$K495*$H495*$I495),IF($V495="Prima",$K495*$H495*$I495,""))))))</f>
        <v/>
      </c>
      <c r="AE495" s="12" t="str">
        <f aca="false">IF(OR($C495="",$M495="Abierta",$M495=""),"",(N($K495)-IF(OR($M495="Cerrada",$M495="Rolada"),N($O495),0))*$H495*$I495*IF($U495="Débito",-1,1)-N($L495)-N($P495))</f>
        <v/>
      </c>
      <c r="AF495" s="14" t="str">
        <f aca="false">IF(OR($AE495="",$AD495=""),"",IF($AD495&lt;=0,"",$AE495/$AD495))</f>
        <v/>
      </c>
      <c r="AG495" s="14" t="str">
        <f aca="false">IF($AF495="","",$AF495*365/MAX(N($X495),1))</f>
        <v/>
      </c>
      <c r="AH495" s="14" t="str">
        <f aca="false">IF(OR($C495="",$U495&lt;&gt;"Crédito",$AD495=""),"",IF($AD495&lt;=0,"",($Z495-N($L495))/$AD495))</f>
        <v/>
      </c>
      <c r="AI495" s="14" t="str">
        <f aca="false">IF(OR($AH495="",$W495=""),"",$AH495*365/MAX($W495,1))</f>
        <v/>
      </c>
      <c r="AJ495" s="14" t="str">
        <f aca="false">IF(OR($AE495="",$U495&lt;&gt;"Crédito",N($K495)=0),"",(N($K495)-IF(OR($M495="Cerrada",$M495="Rolada"),N($O495),0))/$K495)</f>
        <v/>
      </c>
      <c r="AK495" s="15" t="str">
        <f aca="false">IF(OR($C495="",$N495=""),"",DATE(YEAR($N495),MONTH($N495),1))</f>
        <v/>
      </c>
      <c r="AL495" s="11" t="str">
        <f aca="false">IF($C495="","",IF($M495="Abierta",0,1))</f>
        <v/>
      </c>
      <c r="AM495" s="16" t="str">
        <f aca="false">IF(OR($AE495="",$AD495=""),"",$AD495*MAX(N($X495),1))</f>
        <v/>
      </c>
      <c r="AN495" s="10" t="str">
        <f aca="false">IF($C495="","",IF(OR($B495="",$D495="",$H495="",$K495="",$M495=""),"Faltan datos obligatorios",IF($T495="","Estrategia no reconocida",IF(AND($M495&lt;&gt;"Abierta",$N495=""),"Falta fecha cierre",IF(AND(OR($M495="Cerrada",$M495="Rolada"),$O495=""),"Falta prima cierre",IF(AND($N495&lt;&gt;"",$N495&lt;$B495),"Cierre anterior a apertura",IF(AND($M495="Asignada",$R495=""),"Asignada: falta ID lote acciones",IF(AND($R495&lt;&gt;"",ISNA(MATCH($R495,Acciones!$A$2:$A$201,0))),"El ID lote no existe en Acciones",IF($AD495="","Revisa capital en riesgo","OK")))))))))</f>
        <v/>
      </c>
    </row>
    <row r="496" customFormat="false" ht="15" hidden="false" customHeight="true" outlineLevel="0" collapsed="false">
      <c r="A496" s="5"/>
      <c r="B496" s="6"/>
      <c r="C496" s="7"/>
      <c r="D496" s="7"/>
      <c r="E496" s="8"/>
      <c r="F496" s="8"/>
      <c r="G496" s="6"/>
      <c r="H496" s="5"/>
      <c r="I496" s="5" t="n">
        <v>100</v>
      </c>
      <c r="J496" s="8"/>
      <c r="K496" s="8"/>
      <c r="L496" s="9"/>
      <c r="M496" s="7"/>
      <c r="N496" s="6"/>
      <c r="O496" s="8"/>
      <c r="P496" s="9"/>
      <c r="Q496" s="9"/>
      <c r="R496" s="7"/>
      <c r="S496" s="7"/>
      <c r="T496" s="10" t="str">
        <f aca="false">IF($C496="","",IFERROR(INDEX(Listas!$B$2:$B$20,MATCH($D496,Listas!$A$2:$A$20,0)),""))</f>
        <v/>
      </c>
      <c r="U496" s="10" t="str">
        <f aca="false">IF($C496="","",IFERROR(INDEX(Listas!$C$2:$C$20,MATCH($D496,Listas!$A$2:$A$20,0)),""))</f>
        <v/>
      </c>
      <c r="V496" s="10" t="str">
        <f aca="false">IF($C496="","",IFERROR(INDEX(Listas!$D$2:$D$20,MATCH($D496,Listas!$A$2:$A$20,0)),""))</f>
        <v/>
      </c>
      <c r="W496" s="11" t="str">
        <f aca="false">IF(OR($C496="",$B496="",$G496=""),"",$G496-$B496)</f>
        <v/>
      </c>
      <c r="X496" s="11" t="str">
        <f aca="true">IF(OR($C496="",$B496=""),"",IF($N496&lt;&gt;"",$N496,TODAY())-$B496)</f>
        <v/>
      </c>
      <c r="Y496" s="11" t="str">
        <f aca="true">IF(OR($C496="",$M496&lt;&gt;"Abierta",$G496=""),"",MAX($G496-TODAY(),0))</f>
        <v/>
      </c>
      <c r="Z496" s="12" t="str">
        <f aca="false">IF($C496="","",N($K496)*N($H496)*N($I496)*IF($U496="Débito",-1,1))</f>
        <v/>
      </c>
      <c r="AA496" s="13" t="str">
        <f aca="false">IF($C496="","",IF(AND($U496="Débito",$F496&lt;&gt;""),$F496,$E496))</f>
        <v/>
      </c>
      <c r="AB496" s="13" t="str">
        <f aca="false">IF(OR($C496="",$T496="Mixta",$AA496=""),"",IF($V496="Subyacente",IF($J496="","",$J496-$K496),IF($T496="Put",$AA496-$K496,$AA496+$K496)))</f>
        <v/>
      </c>
      <c r="AC496" s="14" t="str">
        <f aca="false">IF(OR($C496="",$T496="Mixta",$J496="",$AA496=""),"",IF($T496="Put",($J496-$AA496)/$J496,($AA496-$J496)/$J496))</f>
        <v/>
      </c>
      <c r="AD496" s="12" t="str">
        <f aca="false">IF($C496="","",IF($Q496&lt;&gt;"",$Q496,IF($V496="Strike",N($E496)*$H496*$I496,IF($V496="Subyacente",IF($J496="","",$J496*$H496*$I496),IF($V496="Ancho",IF($F496="","",ABS($E496-$F496)*$H496*$I496-$K496*$H496*$I496),IF($V496="Prima",$K496*$H496*$I496,""))))))</f>
        <v/>
      </c>
      <c r="AE496" s="12" t="str">
        <f aca="false">IF(OR($C496="",$M496="Abierta",$M496=""),"",(N($K496)-IF(OR($M496="Cerrada",$M496="Rolada"),N($O496),0))*$H496*$I496*IF($U496="Débito",-1,1)-N($L496)-N($P496))</f>
        <v/>
      </c>
      <c r="AF496" s="14" t="str">
        <f aca="false">IF(OR($AE496="",$AD496=""),"",IF($AD496&lt;=0,"",$AE496/$AD496))</f>
        <v/>
      </c>
      <c r="AG496" s="14" t="str">
        <f aca="false">IF($AF496="","",$AF496*365/MAX(N($X496),1))</f>
        <v/>
      </c>
      <c r="AH496" s="14" t="str">
        <f aca="false">IF(OR($C496="",$U496&lt;&gt;"Crédito",$AD496=""),"",IF($AD496&lt;=0,"",($Z496-N($L496))/$AD496))</f>
        <v/>
      </c>
      <c r="AI496" s="14" t="str">
        <f aca="false">IF(OR($AH496="",$W496=""),"",$AH496*365/MAX($W496,1))</f>
        <v/>
      </c>
      <c r="AJ496" s="14" t="str">
        <f aca="false">IF(OR($AE496="",$U496&lt;&gt;"Crédito",N($K496)=0),"",(N($K496)-IF(OR($M496="Cerrada",$M496="Rolada"),N($O496),0))/$K496)</f>
        <v/>
      </c>
      <c r="AK496" s="15" t="str">
        <f aca="false">IF(OR($C496="",$N496=""),"",DATE(YEAR($N496),MONTH($N496),1))</f>
        <v/>
      </c>
      <c r="AL496" s="11" t="str">
        <f aca="false">IF($C496="","",IF($M496="Abierta",0,1))</f>
        <v/>
      </c>
      <c r="AM496" s="16" t="str">
        <f aca="false">IF(OR($AE496="",$AD496=""),"",$AD496*MAX(N($X496),1))</f>
        <v/>
      </c>
      <c r="AN496" s="10" t="str">
        <f aca="false">IF($C496="","",IF(OR($B496="",$D496="",$H496="",$K496="",$M496=""),"Faltan datos obligatorios",IF($T496="","Estrategia no reconocida",IF(AND($M496&lt;&gt;"Abierta",$N496=""),"Falta fecha cierre",IF(AND(OR($M496="Cerrada",$M496="Rolada"),$O496=""),"Falta prima cierre",IF(AND($N496&lt;&gt;"",$N496&lt;$B496),"Cierre anterior a apertura",IF(AND($M496="Asignada",$R496=""),"Asignada: falta ID lote acciones",IF(AND($R496&lt;&gt;"",ISNA(MATCH($R496,Acciones!$A$2:$A$201,0))),"El ID lote no existe en Acciones",IF($AD496="","Revisa capital en riesgo","OK")))))))))</f>
        <v/>
      </c>
    </row>
    <row r="497" customFormat="false" ht="15" hidden="false" customHeight="true" outlineLevel="0" collapsed="false">
      <c r="A497" s="5"/>
      <c r="B497" s="6"/>
      <c r="C497" s="7"/>
      <c r="D497" s="7"/>
      <c r="E497" s="8"/>
      <c r="F497" s="8"/>
      <c r="G497" s="6"/>
      <c r="H497" s="5"/>
      <c r="I497" s="5" t="n">
        <v>100</v>
      </c>
      <c r="J497" s="8"/>
      <c r="K497" s="8"/>
      <c r="L497" s="9"/>
      <c r="M497" s="7"/>
      <c r="N497" s="6"/>
      <c r="O497" s="8"/>
      <c r="P497" s="9"/>
      <c r="Q497" s="9"/>
      <c r="R497" s="7"/>
      <c r="S497" s="7"/>
      <c r="T497" s="10" t="str">
        <f aca="false">IF($C497="","",IFERROR(INDEX(Listas!$B$2:$B$20,MATCH($D497,Listas!$A$2:$A$20,0)),""))</f>
        <v/>
      </c>
      <c r="U497" s="10" t="str">
        <f aca="false">IF($C497="","",IFERROR(INDEX(Listas!$C$2:$C$20,MATCH($D497,Listas!$A$2:$A$20,0)),""))</f>
        <v/>
      </c>
      <c r="V497" s="10" t="str">
        <f aca="false">IF($C497="","",IFERROR(INDEX(Listas!$D$2:$D$20,MATCH($D497,Listas!$A$2:$A$20,0)),""))</f>
        <v/>
      </c>
      <c r="W497" s="11" t="str">
        <f aca="false">IF(OR($C497="",$B497="",$G497=""),"",$G497-$B497)</f>
        <v/>
      </c>
      <c r="X497" s="11" t="str">
        <f aca="true">IF(OR($C497="",$B497=""),"",IF($N497&lt;&gt;"",$N497,TODAY())-$B497)</f>
        <v/>
      </c>
      <c r="Y497" s="11" t="str">
        <f aca="true">IF(OR($C497="",$M497&lt;&gt;"Abierta",$G497=""),"",MAX($G497-TODAY(),0))</f>
        <v/>
      </c>
      <c r="Z497" s="12" t="str">
        <f aca="false">IF($C497="","",N($K497)*N($H497)*N($I497)*IF($U497="Débito",-1,1))</f>
        <v/>
      </c>
      <c r="AA497" s="13" t="str">
        <f aca="false">IF($C497="","",IF(AND($U497="Débito",$F497&lt;&gt;""),$F497,$E497))</f>
        <v/>
      </c>
      <c r="AB497" s="13" t="str">
        <f aca="false">IF(OR($C497="",$T497="Mixta",$AA497=""),"",IF($V497="Subyacente",IF($J497="","",$J497-$K497),IF($T497="Put",$AA497-$K497,$AA497+$K497)))</f>
        <v/>
      </c>
      <c r="AC497" s="14" t="str">
        <f aca="false">IF(OR($C497="",$T497="Mixta",$J497="",$AA497=""),"",IF($T497="Put",($J497-$AA497)/$J497,($AA497-$J497)/$J497))</f>
        <v/>
      </c>
      <c r="AD497" s="12" t="str">
        <f aca="false">IF($C497="","",IF($Q497&lt;&gt;"",$Q497,IF($V497="Strike",N($E497)*$H497*$I497,IF($V497="Subyacente",IF($J497="","",$J497*$H497*$I497),IF($V497="Ancho",IF($F497="","",ABS($E497-$F497)*$H497*$I497-$K497*$H497*$I497),IF($V497="Prima",$K497*$H497*$I497,""))))))</f>
        <v/>
      </c>
      <c r="AE497" s="12" t="str">
        <f aca="false">IF(OR($C497="",$M497="Abierta",$M497=""),"",(N($K497)-IF(OR($M497="Cerrada",$M497="Rolada"),N($O497),0))*$H497*$I497*IF($U497="Débito",-1,1)-N($L497)-N($P497))</f>
        <v/>
      </c>
      <c r="AF497" s="14" t="str">
        <f aca="false">IF(OR($AE497="",$AD497=""),"",IF($AD497&lt;=0,"",$AE497/$AD497))</f>
        <v/>
      </c>
      <c r="AG497" s="14" t="str">
        <f aca="false">IF($AF497="","",$AF497*365/MAX(N($X497),1))</f>
        <v/>
      </c>
      <c r="AH497" s="14" t="str">
        <f aca="false">IF(OR($C497="",$U497&lt;&gt;"Crédito",$AD497=""),"",IF($AD497&lt;=0,"",($Z497-N($L497))/$AD497))</f>
        <v/>
      </c>
      <c r="AI497" s="14" t="str">
        <f aca="false">IF(OR($AH497="",$W497=""),"",$AH497*365/MAX($W497,1))</f>
        <v/>
      </c>
      <c r="AJ497" s="14" t="str">
        <f aca="false">IF(OR($AE497="",$U497&lt;&gt;"Crédito",N($K497)=0),"",(N($K497)-IF(OR($M497="Cerrada",$M497="Rolada"),N($O497),0))/$K497)</f>
        <v/>
      </c>
      <c r="AK497" s="15" t="str">
        <f aca="false">IF(OR($C497="",$N497=""),"",DATE(YEAR($N497),MONTH($N497),1))</f>
        <v/>
      </c>
      <c r="AL497" s="11" t="str">
        <f aca="false">IF($C497="","",IF($M497="Abierta",0,1))</f>
        <v/>
      </c>
      <c r="AM497" s="16" t="str">
        <f aca="false">IF(OR($AE497="",$AD497=""),"",$AD497*MAX(N($X497),1))</f>
        <v/>
      </c>
      <c r="AN497" s="10" t="str">
        <f aca="false">IF($C497="","",IF(OR($B497="",$D497="",$H497="",$K497="",$M497=""),"Faltan datos obligatorios",IF($T497="","Estrategia no reconocida",IF(AND($M497&lt;&gt;"Abierta",$N497=""),"Falta fecha cierre",IF(AND(OR($M497="Cerrada",$M497="Rolada"),$O497=""),"Falta prima cierre",IF(AND($N497&lt;&gt;"",$N497&lt;$B497),"Cierre anterior a apertura",IF(AND($M497="Asignada",$R497=""),"Asignada: falta ID lote acciones",IF(AND($R497&lt;&gt;"",ISNA(MATCH($R497,Acciones!$A$2:$A$201,0))),"El ID lote no existe en Acciones",IF($AD497="","Revisa capital en riesgo","OK")))))))))</f>
        <v/>
      </c>
    </row>
    <row r="498" customFormat="false" ht="15" hidden="false" customHeight="true" outlineLevel="0" collapsed="false">
      <c r="A498" s="5"/>
      <c r="B498" s="6"/>
      <c r="C498" s="7"/>
      <c r="D498" s="7"/>
      <c r="E498" s="8"/>
      <c r="F498" s="8"/>
      <c r="G498" s="6"/>
      <c r="H498" s="5"/>
      <c r="I498" s="5" t="n">
        <v>100</v>
      </c>
      <c r="J498" s="8"/>
      <c r="K498" s="8"/>
      <c r="L498" s="9"/>
      <c r="M498" s="7"/>
      <c r="N498" s="6"/>
      <c r="O498" s="8"/>
      <c r="P498" s="9"/>
      <c r="Q498" s="9"/>
      <c r="R498" s="7"/>
      <c r="S498" s="7"/>
      <c r="T498" s="10" t="str">
        <f aca="false">IF($C498="","",IFERROR(INDEX(Listas!$B$2:$B$20,MATCH($D498,Listas!$A$2:$A$20,0)),""))</f>
        <v/>
      </c>
      <c r="U498" s="10" t="str">
        <f aca="false">IF($C498="","",IFERROR(INDEX(Listas!$C$2:$C$20,MATCH($D498,Listas!$A$2:$A$20,0)),""))</f>
        <v/>
      </c>
      <c r="V498" s="10" t="str">
        <f aca="false">IF($C498="","",IFERROR(INDEX(Listas!$D$2:$D$20,MATCH($D498,Listas!$A$2:$A$20,0)),""))</f>
        <v/>
      </c>
      <c r="W498" s="11" t="str">
        <f aca="false">IF(OR($C498="",$B498="",$G498=""),"",$G498-$B498)</f>
        <v/>
      </c>
      <c r="X498" s="11" t="str">
        <f aca="true">IF(OR($C498="",$B498=""),"",IF($N498&lt;&gt;"",$N498,TODAY())-$B498)</f>
        <v/>
      </c>
      <c r="Y498" s="11" t="str">
        <f aca="true">IF(OR($C498="",$M498&lt;&gt;"Abierta",$G498=""),"",MAX($G498-TODAY(),0))</f>
        <v/>
      </c>
      <c r="Z498" s="12" t="str">
        <f aca="false">IF($C498="","",N($K498)*N($H498)*N($I498)*IF($U498="Débito",-1,1))</f>
        <v/>
      </c>
      <c r="AA498" s="13" t="str">
        <f aca="false">IF($C498="","",IF(AND($U498="Débito",$F498&lt;&gt;""),$F498,$E498))</f>
        <v/>
      </c>
      <c r="AB498" s="13" t="str">
        <f aca="false">IF(OR($C498="",$T498="Mixta",$AA498=""),"",IF($V498="Subyacente",IF($J498="","",$J498-$K498),IF($T498="Put",$AA498-$K498,$AA498+$K498)))</f>
        <v/>
      </c>
      <c r="AC498" s="14" t="str">
        <f aca="false">IF(OR($C498="",$T498="Mixta",$J498="",$AA498=""),"",IF($T498="Put",($J498-$AA498)/$J498,($AA498-$J498)/$J498))</f>
        <v/>
      </c>
      <c r="AD498" s="12" t="str">
        <f aca="false">IF($C498="","",IF($Q498&lt;&gt;"",$Q498,IF($V498="Strike",N($E498)*$H498*$I498,IF($V498="Subyacente",IF($J498="","",$J498*$H498*$I498),IF($V498="Ancho",IF($F498="","",ABS($E498-$F498)*$H498*$I498-$K498*$H498*$I498),IF($V498="Prima",$K498*$H498*$I498,""))))))</f>
        <v/>
      </c>
      <c r="AE498" s="12" t="str">
        <f aca="false">IF(OR($C498="",$M498="Abierta",$M498=""),"",(N($K498)-IF(OR($M498="Cerrada",$M498="Rolada"),N($O498),0))*$H498*$I498*IF($U498="Débito",-1,1)-N($L498)-N($P498))</f>
        <v/>
      </c>
      <c r="AF498" s="14" t="str">
        <f aca="false">IF(OR($AE498="",$AD498=""),"",IF($AD498&lt;=0,"",$AE498/$AD498))</f>
        <v/>
      </c>
      <c r="AG498" s="14" t="str">
        <f aca="false">IF($AF498="","",$AF498*365/MAX(N($X498),1))</f>
        <v/>
      </c>
      <c r="AH498" s="14" t="str">
        <f aca="false">IF(OR($C498="",$U498&lt;&gt;"Crédito",$AD498=""),"",IF($AD498&lt;=0,"",($Z498-N($L498))/$AD498))</f>
        <v/>
      </c>
      <c r="AI498" s="14" t="str">
        <f aca="false">IF(OR($AH498="",$W498=""),"",$AH498*365/MAX($W498,1))</f>
        <v/>
      </c>
      <c r="AJ498" s="14" t="str">
        <f aca="false">IF(OR($AE498="",$U498&lt;&gt;"Crédito",N($K498)=0),"",(N($K498)-IF(OR($M498="Cerrada",$M498="Rolada"),N($O498),0))/$K498)</f>
        <v/>
      </c>
      <c r="AK498" s="15" t="str">
        <f aca="false">IF(OR($C498="",$N498=""),"",DATE(YEAR($N498),MONTH($N498),1))</f>
        <v/>
      </c>
      <c r="AL498" s="11" t="str">
        <f aca="false">IF($C498="","",IF($M498="Abierta",0,1))</f>
        <v/>
      </c>
      <c r="AM498" s="16" t="str">
        <f aca="false">IF(OR($AE498="",$AD498=""),"",$AD498*MAX(N($X498),1))</f>
        <v/>
      </c>
      <c r="AN498" s="10" t="str">
        <f aca="false">IF($C498="","",IF(OR($B498="",$D498="",$H498="",$K498="",$M498=""),"Faltan datos obligatorios",IF($T498="","Estrategia no reconocida",IF(AND($M498&lt;&gt;"Abierta",$N498=""),"Falta fecha cierre",IF(AND(OR($M498="Cerrada",$M498="Rolada"),$O498=""),"Falta prima cierre",IF(AND($N498&lt;&gt;"",$N498&lt;$B498),"Cierre anterior a apertura",IF(AND($M498="Asignada",$R498=""),"Asignada: falta ID lote acciones",IF(AND($R498&lt;&gt;"",ISNA(MATCH($R498,Acciones!$A$2:$A$201,0))),"El ID lote no existe en Acciones",IF($AD498="","Revisa capital en riesgo","OK")))))))))</f>
        <v/>
      </c>
    </row>
    <row r="499" customFormat="false" ht="15" hidden="false" customHeight="true" outlineLevel="0" collapsed="false">
      <c r="A499" s="5"/>
      <c r="B499" s="6"/>
      <c r="C499" s="7"/>
      <c r="D499" s="7"/>
      <c r="E499" s="8"/>
      <c r="F499" s="8"/>
      <c r="G499" s="6"/>
      <c r="H499" s="5"/>
      <c r="I499" s="5" t="n">
        <v>100</v>
      </c>
      <c r="J499" s="8"/>
      <c r="K499" s="8"/>
      <c r="L499" s="9"/>
      <c r="M499" s="7"/>
      <c r="N499" s="6"/>
      <c r="O499" s="8"/>
      <c r="P499" s="9"/>
      <c r="Q499" s="9"/>
      <c r="R499" s="7"/>
      <c r="S499" s="7"/>
      <c r="T499" s="10" t="str">
        <f aca="false">IF($C499="","",IFERROR(INDEX(Listas!$B$2:$B$20,MATCH($D499,Listas!$A$2:$A$20,0)),""))</f>
        <v/>
      </c>
      <c r="U499" s="10" t="str">
        <f aca="false">IF($C499="","",IFERROR(INDEX(Listas!$C$2:$C$20,MATCH($D499,Listas!$A$2:$A$20,0)),""))</f>
        <v/>
      </c>
      <c r="V499" s="10" t="str">
        <f aca="false">IF($C499="","",IFERROR(INDEX(Listas!$D$2:$D$20,MATCH($D499,Listas!$A$2:$A$20,0)),""))</f>
        <v/>
      </c>
      <c r="W499" s="11" t="str">
        <f aca="false">IF(OR($C499="",$B499="",$G499=""),"",$G499-$B499)</f>
        <v/>
      </c>
      <c r="X499" s="11" t="str">
        <f aca="true">IF(OR($C499="",$B499=""),"",IF($N499&lt;&gt;"",$N499,TODAY())-$B499)</f>
        <v/>
      </c>
      <c r="Y499" s="11" t="str">
        <f aca="true">IF(OR($C499="",$M499&lt;&gt;"Abierta",$G499=""),"",MAX($G499-TODAY(),0))</f>
        <v/>
      </c>
      <c r="Z499" s="12" t="str">
        <f aca="false">IF($C499="","",N($K499)*N($H499)*N($I499)*IF($U499="Débito",-1,1))</f>
        <v/>
      </c>
      <c r="AA499" s="13" t="str">
        <f aca="false">IF($C499="","",IF(AND($U499="Débito",$F499&lt;&gt;""),$F499,$E499))</f>
        <v/>
      </c>
      <c r="AB499" s="13" t="str">
        <f aca="false">IF(OR($C499="",$T499="Mixta",$AA499=""),"",IF($V499="Subyacente",IF($J499="","",$J499-$K499),IF($T499="Put",$AA499-$K499,$AA499+$K499)))</f>
        <v/>
      </c>
      <c r="AC499" s="14" t="str">
        <f aca="false">IF(OR($C499="",$T499="Mixta",$J499="",$AA499=""),"",IF($T499="Put",($J499-$AA499)/$J499,($AA499-$J499)/$J499))</f>
        <v/>
      </c>
      <c r="AD499" s="12" t="str">
        <f aca="false">IF($C499="","",IF($Q499&lt;&gt;"",$Q499,IF($V499="Strike",N($E499)*$H499*$I499,IF($V499="Subyacente",IF($J499="","",$J499*$H499*$I499),IF($V499="Ancho",IF($F499="","",ABS($E499-$F499)*$H499*$I499-$K499*$H499*$I499),IF($V499="Prima",$K499*$H499*$I499,""))))))</f>
        <v/>
      </c>
      <c r="AE499" s="12" t="str">
        <f aca="false">IF(OR($C499="",$M499="Abierta",$M499=""),"",(N($K499)-IF(OR($M499="Cerrada",$M499="Rolada"),N($O499),0))*$H499*$I499*IF($U499="Débito",-1,1)-N($L499)-N($P499))</f>
        <v/>
      </c>
      <c r="AF499" s="14" t="str">
        <f aca="false">IF(OR($AE499="",$AD499=""),"",IF($AD499&lt;=0,"",$AE499/$AD499))</f>
        <v/>
      </c>
      <c r="AG499" s="14" t="str">
        <f aca="false">IF($AF499="","",$AF499*365/MAX(N($X499),1))</f>
        <v/>
      </c>
      <c r="AH499" s="14" t="str">
        <f aca="false">IF(OR($C499="",$U499&lt;&gt;"Crédito",$AD499=""),"",IF($AD499&lt;=0,"",($Z499-N($L499))/$AD499))</f>
        <v/>
      </c>
      <c r="AI499" s="14" t="str">
        <f aca="false">IF(OR($AH499="",$W499=""),"",$AH499*365/MAX($W499,1))</f>
        <v/>
      </c>
      <c r="AJ499" s="14" t="str">
        <f aca="false">IF(OR($AE499="",$U499&lt;&gt;"Crédito",N($K499)=0),"",(N($K499)-IF(OR($M499="Cerrada",$M499="Rolada"),N($O499),0))/$K499)</f>
        <v/>
      </c>
      <c r="AK499" s="15" t="str">
        <f aca="false">IF(OR($C499="",$N499=""),"",DATE(YEAR($N499),MONTH($N499),1))</f>
        <v/>
      </c>
      <c r="AL499" s="11" t="str">
        <f aca="false">IF($C499="","",IF($M499="Abierta",0,1))</f>
        <v/>
      </c>
      <c r="AM499" s="16" t="str">
        <f aca="false">IF(OR($AE499="",$AD499=""),"",$AD499*MAX(N($X499),1))</f>
        <v/>
      </c>
      <c r="AN499" s="10" t="str">
        <f aca="false">IF($C499="","",IF(OR($B499="",$D499="",$H499="",$K499="",$M499=""),"Faltan datos obligatorios",IF($T499="","Estrategia no reconocida",IF(AND($M499&lt;&gt;"Abierta",$N499=""),"Falta fecha cierre",IF(AND(OR($M499="Cerrada",$M499="Rolada"),$O499=""),"Falta prima cierre",IF(AND($N499&lt;&gt;"",$N499&lt;$B499),"Cierre anterior a apertura",IF(AND($M499="Asignada",$R499=""),"Asignada: falta ID lote acciones",IF(AND($R499&lt;&gt;"",ISNA(MATCH($R499,Acciones!$A$2:$A$201,0))),"El ID lote no existe en Acciones",IF($AD499="","Revisa capital en riesgo","OK")))))))))</f>
        <v/>
      </c>
    </row>
    <row r="500" customFormat="false" ht="15" hidden="false" customHeight="true" outlineLevel="0" collapsed="false">
      <c r="A500" s="5"/>
      <c r="B500" s="6"/>
      <c r="C500" s="7"/>
      <c r="D500" s="7"/>
      <c r="E500" s="8"/>
      <c r="F500" s="8"/>
      <c r="G500" s="6"/>
      <c r="H500" s="5"/>
      <c r="I500" s="5" t="n">
        <v>100</v>
      </c>
      <c r="J500" s="8"/>
      <c r="K500" s="8"/>
      <c r="L500" s="9"/>
      <c r="M500" s="7"/>
      <c r="N500" s="6"/>
      <c r="O500" s="8"/>
      <c r="P500" s="9"/>
      <c r="Q500" s="9"/>
      <c r="R500" s="7"/>
      <c r="S500" s="7"/>
      <c r="T500" s="10" t="str">
        <f aca="false">IF($C500="","",IFERROR(INDEX(Listas!$B$2:$B$20,MATCH($D500,Listas!$A$2:$A$20,0)),""))</f>
        <v/>
      </c>
      <c r="U500" s="10" t="str">
        <f aca="false">IF($C500="","",IFERROR(INDEX(Listas!$C$2:$C$20,MATCH($D500,Listas!$A$2:$A$20,0)),""))</f>
        <v/>
      </c>
      <c r="V500" s="10" t="str">
        <f aca="false">IF($C500="","",IFERROR(INDEX(Listas!$D$2:$D$20,MATCH($D500,Listas!$A$2:$A$20,0)),""))</f>
        <v/>
      </c>
      <c r="W500" s="11" t="str">
        <f aca="false">IF(OR($C500="",$B500="",$G500=""),"",$G500-$B500)</f>
        <v/>
      </c>
      <c r="X500" s="11" t="str">
        <f aca="true">IF(OR($C500="",$B500=""),"",IF($N500&lt;&gt;"",$N500,TODAY())-$B500)</f>
        <v/>
      </c>
      <c r="Y500" s="11" t="str">
        <f aca="true">IF(OR($C500="",$M500&lt;&gt;"Abierta",$G500=""),"",MAX($G500-TODAY(),0))</f>
        <v/>
      </c>
      <c r="Z500" s="12" t="str">
        <f aca="false">IF($C500="","",N($K500)*N($H500)*N($I500)*IF($U500="Débito",-1,1))</f>
        <v/>
      </c>
      <c r="AA500" s="13" t="str">
        <f aca="false">IF($C500="","",IF(AND($U500="Débito",$F500&lt;&gt;""),$F500,$E500))</f>
        <v/>
      </c>
      <c r="AB500" s="13" t="str">
        <f aca="false">IF(OR($C500="",$T500="Mixta",$AA500=""),"",IF($V500="Subyacente",IF($J500="","",$J500-$K500),IF($T500="Put",$AA500-$K500,$AA500+$K500)))</f>
        <v/>
      </c>
      <c r="AC500" s="14" t="str">
        <f aca="false">IF(OR($C500="",$T500="Mixta",$J500="",$AA500=""),"",IF($T500="Put",($J500-$AA500)/$J500,($AA500-$J500)/$J500))</f>
        <v/>
      </c>
      <c r="AD500" s="12" t="str">
        <f aca="false">IF($C500="","",IF($Q500&lt;&gt;"",$Q500,IF($V500="Strike",N($E500)*$H500*$I500,IF($V500="Subyacente",IF($J500="","",$J500*$H500*$I500),IF($V500="Ancho",IF($F500="","",ABS($E500-$F500)*$H500*$I500-$K500*$H500*$I500),IF($V500="Prima",$K500*$H500*$I500,""))))))</f>
        <v/>
      </c>
      <c r="AE500" s="12" t="str">
        <f aca="false">IF(OR($C500="",$M500="Abierta",$M500=""),"",(N($K500)-IF(OR($M500="Cerrada",$M500="Rolada"),N($O500),0))*$H500*$I500*IF($U500="Débito",-1,1)-N($L500)-N($P500))</f>
        <v/>
      </c>
      <c r="AF500" s="14" t="str">
        <f aca="false">IF(OR($AE500="",$AD500=""),"",IF($AD500&lt;=0,"",$AE500/$AD500))</f>
        <v/>
      </c>
      <c r="AG500" s="14" t="str">
        <f aca="false">IF($AF500="","",$AF500*365/MAX(N($X500),1))</f>
        <v/>
      </c>
      <c r="AH500" s="14" t="str">
        <f aca="false">IF(OR($C500="",$U500&lt;&gt;"Crédito",$AD500=""),"",IF($AD500&lt;=0,"",($Z500-N($L500))/$AD500))</f>
        <v/>
      </c>
      <c r="AI500" s="14" t="str">
        <f aca="false">IF(OR($AH500="",$W500=""),"",$AH500*365/MAX($W500,1))</f>
        <v/>
      </c>
      <c r="AJ500" s="14" t="str">
        <f aca="false">IF(OR($AE500="",$U500&lt;&gt;"Crédito",N($K500)=0),"",(N($K500)-IF(OR($M500="Cerrada",$M500="Rolada"),N($O500),0))/$K500)</f>
        <v/>
      </c>
      <c r="AK500" s="15" t="str">
        <f aca="false">IF(OR($C500="",$N500=""),"",DATE(YEAR($N500),MONTH($N500),1))</f>
        <v/>
      </c>
      <c r="AL500" s="11" t="str">
        <f aca="false">IF($C500="","",IF($M500="Abierta",0,1))</f>
        <v/>
      </c>
      <c r="AM500" s="16" t="str">
        <f aca="false">IF(OR($AE500="",$AD500=""),"",$AD500*MAX(N($X500),1))</f>
        <v/>
      </c>
      <c r="AN500" s="10" t="str">
        <f aca="false">IF($C500="","",IF(OR($B500="",$D500="",$H500="",$K500="",$M500=""),"Faltan datos obligatorios",IF($T500="","Estrategia no reconocida",IF(AND($M500&lt;&gt;"Abierta",$N500=""),"Falta fecha cierre",IF(AND(OR($M500="Cerrada",$M500="Rolada"),$O500=""),"Falta prima cierre",IF(AND($N500&lt;&gt;"",$N500&lt;$B500),"Cierre anterior a apertura",IF(AND($M500="Asignada",$R500=""),"Asignada: falta ID lote acciones",IF(AND($R500&lt;&gt;"",ISNA(MATCH($R500,Acciones!$A$2:$A$201,0))),"El ID lote no existe en Acciones",IF($AD500="","Revisa capital en riesgo","OK")))))))))</f>
        <v/>
      </c>
    </row>
    <row r="501" customFormat="false" ht="15" hidden="false" customHeight="true" outlineLevel="0" collapsed="false">
      <c r="A501" s="5"/>
      <c r="B501" s="6"/>
      <c r="C501" s="7"/>
      <c r="D501" s="7"/>
      <c r="E501" s="8"/>
      <c r="F501" s="8"/>
      <c r="G501" s="6"/>
      <c r="H501" s="5"/>
      <c r="I501" s="5" t="n">
        <v>100</v>
      </c>
      <c r="J501" s="8"/>
      <c r="K501" s="8"/>
      <c r="L501" s="9"/>
      <c r="M501" s="7"/>
      <c r="N501" s="6"/>
      <c r="O501" s="8"/>
      <c r="P501" s="9"/>
      <c r="Q501" s="9"/>
      <c r="R501" s="7"/>
      <c r="S501" s="7"/>
      <c r="T501" s="10" t="str">
        <f aca="false">IF($C501="","",IFERROR(INDEX(Listas!$B$2:$B$20,MATCH($D501,Listas!$A$2:$A$20,0)),""))</f>
        <v/>
      </c>
      <c r="U501" s="10" t="str">
        <f aca="false">IF($C501="","",IFERROR(INDEX(Listas!$C$2:$C$20,MATCH($D501,Listas!$A$2:$A$20,0)),""))</f>
        <v/>
      </c>
      <c r="V501" s="10" t="str">
        <f aca="false">IF($C501="","",IFERROR(INDEX(Listas!$D$2:$D$20,MATCH($D501,Listas!$A$2:$A$20,0)),""))</f>
        <v/>
      </c>
      <c r="W501" s="11" t="str">
        <f aca="false">IF(OR($C501="",$B501="",$G501=""),"",$G501-$B501)</f>
        <v/>
      </c>
      <c r="X501" s="11" t="str">
        <f aca="true">IF(OR($C501="",$B501=""),"",IF($N501&lt;&gt;"",$N501,TODAY())-$B501)</f>
        <v/>
      </c>
      <c r="Y501" s="11" t="str">
        <f aca="true">IF(OR($C501="",$M501&lt;&gt;"Abierta",$G501=""),"",MAX($G501-TODAY(),0))</f>
        <v/>
      </c>
      <c r="Z501" s="12" t="str">
        <f aca="false">IF($C501="","",N($K501)*N($H501)*N($I501)*IF($U501="Débito",-1,1))</f>
        <v/>
      </c>
      <c r="AA501" s="13" t="str">
        <f aca="false">IF($C501="","",IF(AND($U501="Débito",$F501&lt;&gt;""),$F501,$E501))</f>
        <v/>
      </c>
      <c r="AB501" s="13" t="str">
        <f aca="false">IF(OR($C501="",$T501="Mixta",$AA501=""),"",IF($V501="Subyacente",IF($J501="","",$J501-$K501),IF($T501="Put",$AA501-$K501,$AA501+$K501)))</f>
        <v/>
      </c>
      <c r="AC501" s="14" t="str">
        <f aca="false">IF(OR($C501="",$T501="Mixta",$J501="",$AA501=""),"",IF($T501="Put",($J501-$AA501)/$J501,($AA501-$J501)/$J501))</f>
        <v/>
      </c>
      <c r="AD501" s="12" t="str">
        <f aca="false">IF($C501="","",IF($Q501&lt;&gt;"",$Q501,IF($V501="Strike",N($E501)*$H501*$I501,IF($V501="Subyacente",IF($J501="","",$J501*$H501*$I501),IF($V501="Ancho",IF($F501="","",ABS($E501-$F501)*$H501*$I501-$K501*$H501*$I501),IF($V501="Prima",$K501*$H501*$I501,""))))))</f>
        <v/>
      </c>
      <c r="AE501" s="12" t="str">
        <f aca="false">IF(OR($C501="",$M501="Abierta",$M501=""),"",(N($K501)-IF(OR($M501="Cerrada",$M501="Rolada"),N($O501),0))*$H501*$I501*IF($U501="Débito",-1,1)-N($L501)-N($P501))</f>
        <v/>
      </c>
      <c r="AF501" s="14" t="str">
        <f aca="false">IF(OR($AE501="",$AD501=""),"",IF($AD501&lt;=0,"",$AE501/$AD501))</f>
        <v/>
      </c>
      <c r="AG501" s="14" t="str">
        <f aca="false">IF($AF501="","",$AF501*365/MAX(N($X501),1))</f>
        <v/>
      </c>
      <c r="AH501" s="14" t="str">
        <f aca="false">IF(OR($C501="",$U501&lt;&gt;"Crédito",$AD501=""),"",IF($AD501&lt;=0,"",($Z501-N($L501))/$AD501))</f>
        <v/>
      </c>
      <c r="AI501" s="14" t="str">
        <f aca="false">IF(OR($AH501="",$W501=""),"",$AH501*365/MAX($W501,1))</f>
        <v/>
      </c>
      <c r="AJ501" s="14" t="str">
        <f aca="false">IF(OR($AE501="",$U501&lt;&gt;"Crédito",N($K501)=0),"",(N($K501)-IF(OR($M501="Cerrada",$M501="Rolada"),N($O501),0))/$K501)</f>
        <v/>
      </c>
      <c r="AK501" s="15" t="str">
        <f aca="false">IF(OR($C501="",$N501=""),"",DATE(YEAR($N501),MONTH($N501),1))</f>
        <v/>
      </c>
      <c r="AL501" s="11" t="str">
        <f aca="false">IF($C501="","",IF($M501="Abierta",0,1))</f>
        <v/>
      </c>
      <c r="AM501" s="16" t="str">
        <f aca="false">IF(OR($AE501="",$AD501=""),"",$AD501*MAX(N($X501),1))</f>
        <v/>
      </c>
      <c r="AN501" s="10" t="str">
        <f aca="false">IF($C501="","",IF(OR($B501="",$D501="",$H501="",$K501="",$M501=""),"Faltan datos obligatorios",IF($T501="","Estrategia no reconocida",IF(AND($M501&lt;&gt;"Abierta",$N501=""),"Falta fecha cierre",IF(AND(OR($M501="Cerrada",$M501="Rolada"),$O501=""),"Falta prima cierre",IF(AND($N501&lt;&gt;"",$N501&lt;$B501),"Cierre anterior a apertura",IF(AND($M501="Asignada",$R501=""),"Asignada: falta ID lote acciones",IF(AND($R501&lt;&gt;"",ISNA(MATCH($R501,Acciones!$A$2:$A$201,0))),"El ID lote no existe en Acciones",IF($AD501="","Revisa capital en riesgo","OK")))))))))</f>
        <v/>
      </c>
    </row>
    <row r="502" customFormat="false" ht="15" hidden="false" customHeight="true" outlineLevel="0" collapsed="false">
      <c r="A502" s="5"/>
      <c r="B502" s="6"/>
      <c r="C502" s="7"/>
      <c r="D502" s="7"/>
      <c r="E502" s="8"/>
      <c r="F502" s="8"/>
      <c r="G502" s="6"/>
      <c r="H502" s="5"/>
      <c r="I502" s="5" t="n">
        <v>100</v>
      </c>
      <c r="J502" s="8"/>
      <c r="K502" s="8"/>
      <c r="L502" s="9"/>
      <c r="M502" s="7"/>
      <c r="N502" s="6"/>
      <c r="O502" s="8"/>
      <c r="P502" s="9"/>
      <c r="Q502" s="9"/>
      <c r="R502" s="7"/>
      <c r="S502" s="7"/>
      <c r="T502" s="10" t="str">
        <f aca="false">IF($C502="","",IFERROR(INDEX(Listas!$B$2:$B$20,MATCH($D502,Listas!$A$2:$A$20,0)),""))</f>
        <v/>
      </c>
      <c r="U502" s="10" t="str">
        <f aca="false">IF($C502="","",IFERROR(INDEX(Listas!$C$2:$C$20,MATCH($D502,Listas!$A$2:$A$20,0)),""))</f>
        <v/>
      </c>
      <c r="V502" s="10" t="str">
        <f aca="false">IF($C502="","",IFERROR(INDEX(Listas!$D$2:$D$20,MATCH($D502,Listas!$A$2:$A$20,0)),""))</f>
        <v/>
      </c>
      <c r="W502" s="11" t="str">
        <f aca="false">IF(OR($C502="",$B502="",$G502=""),"",$G502-$B502)</f>
        <v/>
      </c>
      <c r="X502" s="11" t="str">
        <f aca="true">IF(OR($C502="",$B502=""),"",IF($N502&lt;&gt;"",$N502,TODAY())-$B502)</f>
        <v/>
      </c>
      <c r="Y502" s="11" t="str">
        <f aca="true">IF(OR($C502="",$M502&lt;&gt;"Abierta",$G502=""),"",MAX($G502-TODAY(),0))</f>
        <v/>
      </c>
      <c r="Z502" s="12" t="str">
        <f aca="false">IF($C502="","",N($K502)*N($H502)*N($I502)*IF($U502="Débito",-1,1))</f>
        <v/>
      </c>
      <c r="AA502" s="13" t="str">
        <f aca="false">IF($C502="","",IF(AND($U502="Débito",$F502&lt;&gt;""),$F502,$E502))</f>
        <v/>
      </c>
      <c r="AB502" s="13" t="str">
        <f aca="false">IF(OR($C502="",$T502="Mixta",$AA502=""),"",IF($V502="Subyacente",IF($J502="","",$J502-$K502),IF($T502="Put",$AA502-$K502,$AA502+$K502)))</f>
        <v/>
      </c>
      <c r="AC502" s="14" t="str">
        <f aca="false">IF(OR($C502="",$T502="Mixta",$J502="",$AA502=""),"",IF($T502="Put",($J502-$AA502)/$J502,($AA502-$J502)/$J502))</f>
        <v/>
      </c>
      <c r="AD502" s="12" t="str">
        <f aca="false">IF($C502="","",IF($Q502&lt;&gt;"",$Q502,IF($V502="Strike",N($E502)*$H502*$I502,IF($V502="Subyacente",IF($J502="","",$J502*$H502*$I502),IF($V502="Ancho",IF($F502="","",ABS($E502-$F502)*$H502*$I502-$K502*$H502*$I502),IF($V502="Prima",$K502*$H502*$I502,""))))))</f>
        <v/>
      </c>
      <c r="AE502" s="12" t="str">
        <f aca="false">IF(OR($C502="",$M502="Abierta",$M502=""),"",(N($K502)-IF(OR($M502="Cerrada",$M502="Rolada"),N($O502),0))*$H502*$I502*IF($U502="Débito",-1,1)-N($L502)-N($P502))</f>
        <v/>
      </c>
      <c r="AF502" s="14" t="str">
        <f aca="false">IF(OR($AE502="",$AD502=""),"",IF($AD502&lt;=0,"",$AE502/$AD502))</f>
        <v/>
      </c>
      <c r="AG502" s="14" t="str">
        <f aca="false">IF($AF502="","",$AF502*365/MAX(N($X502),1))</f>
        <v/>
      </c>
      <c r="AH502" s="14" t="str">
        <f aca="false">IF(OR($C502="",$U502&lt;&gt;"Crédito",$AD502=""),"",IF($AD502&lt;=0,"",($Z502-N($L502))/$AD502))</f>
        <v/>
      </c>
      <c r="AI502" s="14" t="str">
        <f aca="false">IF(OR($AH502="",$W502=""),"",$AH502*365/MAX($W502,1))</f>
        <v/>
      </c>
      <c r="AJ502" s="14" t="str">
        <f aca="false">IF(OR($AE502="",$U502&lt;&gt;"Crédito",N($K502)=0),"",(N($K502)-IF(OR($M502="Cerrada",$M502="Rolada"),N($O502),0))/$K502)</f>
        <v/>
      </c>
      <c r="AK502" s="15" t="str">
        <f aca="false">IF(OR($C502="",$N502=""),"",DATE(YEAR($N502),MONTH($N502),1))</f>
        <v/>
      </c>
      <c r="AL502" s="11" t="str">
        <f aca="false">IF($C502="","",IF($M502="Abierta",0,1))</f>
        <v/>
      </c>
      <c r="AM502" s="16" t="str">
        <f aca="false">IF(OR($AE502="",$AD502=""),"",$AD502*MAX(N($X502),1))</f>
        <v/>
      </c>
      <c r="AN502" s="10" t="str">
        <f aca="false">IF($C502="","",IF(OR($B502="",$D502="",$H502="",$K502="",$M502=""),"Faltan datos obligatorios",IF($T502="","Estrategia no reconocida",IF(AND($M502&lt;&gt;"Abierta",$N502=""),"Falta fecha cierre",IF(AND(OR($M502="Cerrada",$M502="Rolada"),$O502=""),"Falta prima cierre",IF(AND($N502&lt;&gt;"",$N502&lt;$B502),"Cierre anterior a apertura",IF(AND($M502="Asignada",$R502=""),"Asignada: falta ID lote acciones",IF(AND($R502&lt;&gt;"",ISNA(MATCH($R502,Acciones!$A$2:$A$201,0))),"El ID lote no existe en Acciones",IF($AD502="","Revisa capital en riesgo","OK")))))))))</f>
        <v/>
      </c>
    </row>
    <row r="503" customFormat="false" ht="15" hidden="false" customHeight="true" outlineLevel="0" collapsed="false">
      <c r="A503" s="5"/>
      <c r="B503" s="6"/>
      <c r="C503" s="7"/>
      <c r="D503" s="7"/>
      <c r="E503" s="8"/>
      <c r="F503" s="8"/>
      <c r="G503" s="6"/>
      <c r="H503" s="5"/>
      <c r="I503" s="5" t="n">
        <v>100</v>
      </c>
      <c r="J503" s="8"/>
      <c r="K503" s="8"/>
      <c r="L503" s="9"/>
      <c r="M503" s="7"/>
      <c r="N503" s="6"/>
      <c r="O503" s="8"/>
      <c r="P503" s="9"/>
      <c r="Q503" s="9"/>
      <c r="R503" s="7"/>
      <c r="S503" s="7"/>
      <c r="T503" s="10" t="str">
        <f aca="false">IF($C503="","",IFERROR(INDEX(Listas!$B$2:$B$20,MATCH($D503,Listas!$A$2:$A$20,0)),""))</f>
        <v/>
      </c>
      <c r="U503" s="10" t="str">
        <f aca="false">IF($C503="","",IFERROR(INDEX(Listas!$C$2:$C$20,MATCH($D503,Listas!$A$2:$A$20,0)),""))</f>
        <v/>
      </c>
      <c r="V503" s="10" t="str">
        <f aca="false">IF($C503="","",IFERROR(INDEX(Listas!$D$2:$D$20,MATCH($D503,Listas!$A$2:$A$20,0)),""))</f>
        <v/>
      </c>
      <c r="W503" s="11" t="str">
        <f aca="false">IF(OR($C503="",$B503="",$G503=""),"",$G503-$B503)</f>
        <v/>
      </c>
      <c r="X503" s="11" t="str">
        <f aca="true">IF(OR($C503="",$B503=""),"",IF($N503&lt;&gt;"",$N503,TODAY())-$B503)</f>
        <v/>
      </c>
      <c r="Y503" s="11" t="str">
        <f aca="true">IF(OR($C503="",$M503&lt;&gt;"Abierta",$G503=""),"",MAX($G503-TODAY(),0))</f>
        <v/>
      </c>
      <c r="Z503" s="12" t="str">
        <f aca="false">IF($C503="","",N($K503)*N($H503)*N($I503)*IF($U503="Débito",-1,1))</f>
        <v/>
      </c>
      <c r="AA503" s="13" t="str">
        <f aca="false">IF($C503="","",IF(AND($U503="Débito",$F503&lt;&gt;""),$F503,$E503))</f>
        <v/>
      </c>
      <c r="AB503" s="13" t="str">
        <f aca="false">IF(OR($C503="",$T503="Mixta",$AA503=""),"",IF($V503="Subyacente",IF($J503="","",$J503-$K503),IF($T503="Put",$AA503-$K503,$AA503+$K503)))</f>
        <v/>
      </c>
      <c r="AC503" s="14" t="str">
        <f aca="false">IF(OR($C503="",$T503="Mixta",$J503="",$AA503=""),"",IF($T503="Put",($J503-$AA503)/$J503,($AA503-$J503)/$J503))</f>
        <v/>
      </c>
      <c r="AD503" s="12" t="str">
        <f aca="false">IF($C503="","",IF($Q503&lt;&gt;"",$Q503,IF($V503="Strike",N($E503)*$H503*$I503,IF($V503="Subyacente",IF($J503="","",$J503*$H503*$I503),IF($V503="Ancho",IF($F503="","",ABS($E503-$F503)*$H503*$I503-$K503*$H503*$I503),IF($V503="Prima",$K503*$H503*$I503,""))))))</f>
        <v/>
      </c>
      <c r="AE503" s="12" t="str">
        <f aca="false">IF(OR($C503="",$M503="Abierta",$M503=""),"",(N($K503)-IF(OR($M503="Cerrada",$M503="Rolada"),N($O503),0))*$H503*$I503*IF($U503="Débito",-1,1)-N($L503)-N($P503))</f>
        <v/>
      </c>
      <c r="AF503" s="14" t="str">
        <f aca="false">IF(OR($AE503="",$AD503=""),"",IF($AD503&lt;=0,"",$AE503/$AD503))</f>
        <v/>
      </c>
      <c r="AG503" s="14" t="str">
        <f aca="false">IF($AF503="","",$AF503*365/MAX(N($X503),1))</f>
        <v/>
      </c>
      <c r="AH503" s="14" t="str">
        <f aca="false">IF(OR($C503="",$U503&lt;&gt;"Crédito",$AD503=""),"",IF($AD503&lt;=0,"",($Z503-N($L503))/$AD503))</f>
        <v/>
      </c>
      <c r="AI503" s="14" t="str">
        <f aca="false">IF(OR($AH503="",$W503=""),"",$AH503*365/MAX($W503,1))</f>
        <v/>
      </c>
      <c r="AJ503" s="14" t="str">
        <f aca="false">IF(OR($AE503="",$U503&lt;&gt;"Crédito",N($K503)=0),"",(N($K503)-IF(OR($M503="Cerrada",$M503="Rolada"),N($O503),0))/$K503)</f>
        <v/>
      </c>
      <c r="AK503" s="15" t="str">
        <f aca="false">IF(OR($C503="",$N503=""),"",DATE(YEAR($N503),MONTH($N503),1))</f>
        <v/>
      </c>
      <c r="AL503" s="11" t="str">
        <f aca="false">IF($C503="","",IF($M503="Abierta",0,1))</f>
        <v/>
      </c>
      <c r="AM503" s="16" t="str">
        <f aca="false">IF(OR($AE503="",$AD503=""),"",$AD503*MAX(N($X503),1))</f>
        <v/>
      </c>
      <c r="AN503" s="10" t="str">
        <f aca="false">IF($C503="","",IF(OR($B503="",$D503="",$H503="",$K503="",$M503=""),"Faltan datos obligatorios",IF($T503="","Estrategia no reconocida",IF(AND($M503&lt;&gt;"Abierta",$N503=""),"Falta fecha cierre",IF(AND(OR($M503="Cerrada",$M503="Rolada"),$O503=""),"Falta prima cierre",IF(AND($N503&lt;&gt;"",$N503&lt;$B503),"Cierre anterior a apertura",IF(AND($M503="Asignada",$R503=""),"Asignada: falta ID lote acciones",IF(AND($R503&lt;&gt;"",ISNA(MATCH($R503,Acciones!$A$2:$A$201,0))),"El ID lote no existe en Acciones",IF($AD503="","Revisa capital en riesgo","OK")))))))))</f>
        <v/>
      </c>
    </row>
    <row r="504" customFormat="false" ht="15" hidden="false" customHeight="true" outlineLevel="0" collapsed="false">
      <c r="A504" s="5"/>
      <c r="B504" s="6"/>
      <c r="C504" s="7"/>
      <c r="D504" s="7"/>
      <c r="E504" s="8"/>
      <c r="F504" s="8"/>
      <c r="G504" s="6"/>
      <c r="H504" s="5"/>
      <c r="I504" s="5" t="n">
        <v>100</v>
      </c>
      <c r="J504" s="8"/>
      <c r="K504" s="8"/>
      <c r="L504" s="9"/>
      <c r="M504" s="7"/>
      <c r="N504" s="6"/>
      <c r="O504" s="8"/>
      <c r="P504" s="9"/>
      <c r="Q504" s="9"/>
      <c r="R504" s="7"/>
      <c r="S504" s="7"/>
      <c r="T504" s="10" t="str">
        <f aca="false">IF($C504="","",IFERROR(INDEX(Listas!$B$2:$B$20,MATCH($D504,Listas!$A$2:$A$20,0)),""))</f>
        <v/>
      </c>
      <c r="U504" s="10" t="str">
        <f aca="false">IF($C504="","",IFERROR(INDEX(Listas!$C$2:$C$20,MATCH($D504,Listas!$A$2:$A$20,0)),""))</f>
        <v/>
      </c>
      <c r="V504" s="10" t="str">
        <f aca="false">IF($C504="","",IFERROR(INDEX(Listas!$D$2:$D$20,MATCH($D504,Listas!$A$2:$A$20,0)),""))</f>
        <v/>
      </c>
      <c r="W504" s="11" t="str">
        <f aca="false">IF(OR($C504="",$B504="",$G504=""),"",$G504-$B504)</f>
        <v/>
      </c>
      <c r="X504" s="11" t="str">
        <f aca="true">IF(OR($C504="",$B504=""),"",IF($N504&lt;&gt;"",$N504,TODAY())-$B504)</f>
        <v/>
      </c>
      <c r="Y504" s="11" t="str">
        <f aca="true">IF(OR($C504="",$M504&lt;&gt;"Abierta",$G504=""),"",MAX($G504-TODAY(),0))</f>
        <v/>
      </c>
      <c r="Z504" s="12" t="str">
        <f aca="false">IF($C504="","",N($K504)*N($H504)*N($I504)*IF($U504="Débito",-1,1))</f>
        <v/>
      </c>
      <c r="AA504" s="13" t="str">
        <f aca="false">IF($C504="","",IF(AND($U504="Débito",$F504&lt;&gt;""),$F504,$E504))</f>
        <v/>
      </c>
      <c r="AB504" s="13" t="str">
        <f aca="false">IF(OR($C504="",$T504="Mixta",$AA504=""),"",IF($V504="Subyacente",IF($J504="","",$J504-$K504),IF($T504="Put",$AA504-$K504,$AA504+$K504)))</f>
        <v/>
      </c>
      <c r="AC504" s="14" t="str">
        <f aca="false">IF(OR($C504="",$T504="Mixta",$J504="",$AA504=""),"",IF($T504="Put",($J504-$AA504)/$J504,($AA504-$J504)/$J504))</f>
        <v/>
      </c>
      <c r="AD504" s="12" t="str">
        <f aca="false">IF($C504="","",IF($Q504&lt;&gt;"",$Q504,IF($V504="Strike",N($E504)*$H504*$I504,IF($V504="Subyacente",IF($J504="","",$J504*$H504*$I504),IF($V504="Ancho",IF($F504="","",ABS($E504-$F504)*$H504*$I504-$K504*$H504*$I504),IF($V504="Prima",$K504*$H504*$I504,""))))))</f>
        <v/>
      </c>
      <c r="AE504" s="12" t="str">
        <f aca="false">IF(OR($C504="",$M504="Abierta",$M504=""),"",(N($K504)-IF(OR($M504="Cerrada",$M504="Rolada"),N($O504),0))*$H504*$I504*IF($U504="Débito",-1,1)-N($L504)-N($P504))</f>
        <v/>
      </c>
      <c r="AF504" s="14" t="str">
        <f aca="false">IF(OR($AE504="",$AD504=""),"",IF($AD504&lt;=0,"",$AE504/$AD504))</f>
        <v/>
      </c>
      <c r="AG504" s="14" t="str">
        <f aca="false">IF($AF504="","",$AF504*365/MAX(N($X504),1))</f>
        <v/>
      </c>
      <c r="AH504" s="14" t="str">
        <f aca="false">IF(OR($C504="",$U504&lt;&gt;"Crédito",$AD504=""),"",IF($AD504&lt;=0,"",($Z504-N($L504))/$AD504))</f>
        <v/>
      </c>
      <c r="AI504" s="14" t="str">
        <f aca="false">IF(OR($AH504="",$W504=""),"",$AH504*365/MAX($W504,1))</f>
        <v/>
      </c>
      <c r="AJ504" s="14" t="str">
        <f aca="false">IF(OR($AE504="",$U504&lt;&gt;"Crédito",N($K504)=0),"",(N($K504)-IF(OR($M504="Cerrada",$M504="Rolada"),N($O504),0))/$K504)</f>
        <v/>
      </c>
      <c r="AK504" s="15" t="str">
        <f aca="false">IF(OR($C504="",$N504=""),"",DATE(YEAR($N504),MONTH($N504),1))</f>
        <v/>
      </c>
      <c r="AL504" s="11" t="str">
        <f aca="false">IF($C504="","",IF($M504="Abierta",0,1))</f>
        <v/>
      </c>
      <c r="AM504" s="16" t="str">
        <f aca="false">IF(OR($AE504="",$AD504=""),"",$AD504*MAX(N($X504),1))</f>
        <v/>
      </c>
      <c r="AN504" s="10" t="str">
        <f aca="false">IF($C504="","",IF(OR($B504="",$D504="",$H504="",$K504="",$M504=""),"Faltan datos obligatorios",IF($T504="","Estrategia no reconocida",IF(AND($M504&lt;&gt;"Abierta",$N504=""),"Falta fecha cierre",IF(AND(OR($M504="Cerrada",$M504="Rolada"),$O504=""),"Falta prima cierre",IF(AND($N504&lt;&gt;"",$N504&lt;$B504),"Cierre anterior a apertura",IF(AND($M504="Asignada",$R504=""),"Asignada: falta ID lote acciones",IF(AND($R504&lt;&gt;"",ISNA(MATCH($R504,Acciones!$A$2:$A$201,0))),"El ID lote no existe en Acciones",IF($AD504="","Revisa capital en riesgo","OK")))))))))</f>
        <v/>
      </c>
    </row>
    <row r="505" customFormat="false" ht="15" hidden="false" customHeight="true" outlineLevel="0" collapsed="false">
      <c r="A505" s="5"/>
      <c r="B505" s="6"/>
      <c r="C505" s="7"/>
      <c r="D505" s="7"/>
      <c r="E505" s="8"/>
      <c r="F505" s="8"/>
      <c r="G505" s="6"/>
      <c r="H505" s="5"/>
      <c r="I505" s="5" t="n">
        <v>100</v>
      </c>
      <c r="J505" s="8"/>
      <c r="K505" s="8"/>
      <c r="L505" s="9"/>
      <c r="M505" s="7"/>
      <c r="N505" s="6"/>
      <c r="O505" s="8"/>
      <c r="P505" s="9"/>
      <c r="Q505" s="9"/>
      <c r="R505" s="7"/>
      <c r="S505" s="7"/>
      <c r="T505" s="10" t="str">
        <f aca="false">IF($C505="","",IFERROR(INDEX(Listas!$B$2:$B$20,MATCH($D505,Listas!$A$2:$A$20,0)),""))</f>
        <v/>
      </c>
      <c r="U505" s="10" t="str">
        <f aca="false">IF($C505="","",IFERROR(INDEX(Listas!$C$2:$C$20,MATCH($D505,Listas!$A$2:$A$20,0)),""))</f>
        <v/>
      </c>
      <c r="V505" s="10" t="str">
        <f aca="false">IF($C505="","",IFERROR(INDEX(Listas!$D$2:$D$20,MATCH($D505,Listas!$A$2:$A$20,0)),""))</f>
        <v/>
      </c>
      <c r="W505" s="11" t="str">
        <f aca="false">IF(OR($C505="",$B505="",$G505=""),"",$G505-$B505)</f>
        <v/>
      </c>
      <c r="X505" s="11" t="str">
        <f aca="true">IF(OR($C505="",$B505=""),"",IF($N505&lt;&gt;"",$N505,TODAY())-$B505)</f>
        <v/>
      </c>
      <c r="Y505" s="11" t="str">
        <f aca="true">IF(OR($C505="",$M505&lt;&gt;"Abierta",$G505=""),"",MAX($G505-TODAY(),0))</f>
        <v/>
      </c>
      <c r="Z505" s="12" t="str">
        <f aca="false">IF($C505="","",N($K505)*N($H505)*N($I505)*IF($U505="Débito",-1,1))</f>
        <v/>
      </c>
      <c r="AA505" s="13" t="str">
        <f aca="false">IF($C505="","",IF(AND($U505="Débito",$F505&lt;&gt;""),$F505,$E505))</f>
        <v/>
      </c>
      <c r="AB505" s="13" t="str">
        <f aca="false">IF(OR($C505="",$T505="Mixta",$AA505=""),"",IF($V505="Subyacente",IF($J505="","",$J505-$K505),IF($T505="Put",$AA505-$K505,$AA505+$K505)))</f>
        <v/>
      </c>
      <c r="AC505" s="14" t="str">
        <f aca="false">IF(OR($C505="",$T505="Mixta",$J505="",$AA505=""),"",IF($T505="Put",($J505-$AA505)/$J505,($AA505-$J505)/$J505))</f>
        <v/>
      </c>
      <c r="AD505" s="12" t="str">
        <f aca="false">IF($C505="","",IF($Q505&lt;&gt;"",$Q505,IF($V505="Strike",N($E505)*$H505*$I505,IF($V505="Subyacente",IF($J505="","",$J505*$H505*$I505),IF($V505="Ancho",IF($F505="","",ABS($E505-$F505)*$H505*$I505-$K505*$H505*$I505),IF($V505="Prima",$K505*$H505*$I505,""))))))</f>
        <v/>
      </c>
      <c r="AE505" s="12" t="str">
        <f aca="false">IF(OR($C505="",$M505="Abierta",$M505=""),"",(N($K505)-IF(OR($M505="Cerrada",$M505="Rolada"),N($O505),0))*$H505*$I505*IF($U505="Débito",-1,1)-N($L505)-N($P505))</f>
        <v/>
      </c>
      <c r="AF505" s="14" t="str">
        <f aca="false">IF(OR($AE505="",$AD505=""),"",IF($AD505&lt;=0,"",$AE505/$AD505))</f>
        <v/>
      </c>
      <c r="AG505" s="14" t="str">
        <f aca="false">IF($AF505="","",$AF505*365/MAX(N($X505),1))</f>
        <v/>
      </c>
      <c r="AH505" s="14" t="str">
        <f aca="false">IF(OR($C505="",$U505&lt;&gt;"Crédito",$AD505=""),"",IF($AD505&lt;=0,"",($Z505-N($L505))/$AD505))</f>
        <v/>
      </c>
      <c r="AI505" s="14" t="str">
        <f aca="false">IF(OR($AH505="",$W505=""),"",$AH505*365/MAX($W505,1))</f>
        <v/>
      </c>
      <c r="AJ505" s="14" t="str">
        <f aca="false">IF(OR($AE505="",$U505&lt;&gt;"Crédito",N($K505)=0),"",(N($K505)-IF(OR($M505="Cerrada",$M505="Rolada"),N($O505),0))/$K505)</f>
        <v/>
      </c>
      <c r="AK505" s="15" t="str">
        <f aca="false">IF(OR($C505="",$N505=""),"",DATE(YEAR($N505),MONTH($N505),1))</f>
        <v/>
      </c>
      <c r="AL505" s="11" t="str">
        <f aca="false">IF($C505="","",IF($M505="Abierta",0,1))</f>
        <v/>
      </c>
      <c r="AM505" s="16" t="str">
        <f aca="false">IF(OR($AE505="",$AD505=""),"",$AD505*MAX(N($X505),1))</f>
        <v/>
      </c>
      <c r="AN505" s="10" t="str">
        <f aca="false">IF($C505="","",IF(OR($B505="",$D505="",$H505="",$K505="",$M505=""),"Faltan datos obligatorios",IF($T505="","Estrategia no reconocida",IF(AND($M505&lt;&gt;"Abierta",$N505=""),"Falta fecha cierre",IF(AND(OR($M505="Cerrada",$M505="Rolada"),$O505=""),"Falta prima cierre",IF(AND($N505&lt;&gt;"",$N505&lt;$B505),"Cierre anterior a apertura",IF(AND($M505="Asignada",$R505=""),"Asignada: falta ID lote acciones",IF(AND($R505&lt;&gt;"",ISNA(MATCH($R505,Acciones!$A$2:$A$201,0))),"El ID lote no existe en Acciones",IF($AD505="","Revisa capital en riesgo","OK")))))))))</f>
        <v/>
      </c>
    </row>
    <row r="506" customFormat="false" ht="15" hidden="false" customHeight="true" outlineLevel="0" collapsed="false">
      <c r="A506" s="5"/>
      <c r="B506" s="6"/>
      <c r="C506" s="7"/>
      <c r="D506" s="7"/>
      <c r="E506" s="8"/>
      <c r="F506" s="8"/>
      <c r="G506" s="6"/>
      <c r="H506" s="5"/>
      <c r="I506" s="5" t="n">
        <v>100</v>
      </c>
      <c r="J506" s="8"/>
      <c r="K506" s="8"/>
      <c r="L506" s="9"/>
      <c r="M506" s="7"/>
      <c r="N506" s="6"/>
      <c r="O506" s="8"/>
      <c r="P506" s="9"/>
      <c r="Q506" s="9"/>
      <c r="R506" s="7"/>
      <c r="S506" s="7"/>
      <c r="T506" s="10" t="str">
        <f aca="false">IF($C506="","",IFERROR(INDEX(Listas!$B$2:$B$20,MATCH($D506,Listas!$A$2:$A$20,0)),""))</f>
        <v/>
      </c>
      <c r="U506" s="10" t="str">
        <f aca="false">IF($C506="","",IFERROR(INDEX(Listas!$C$2:$C$20,MATCH($D506,Listas!$A$2:$A$20,0)),""))</f>
        <v/>
      </c>
      <c r="V506" s="10" t="str">
        <f aca="false">IF($C506="","",IFERROR(INDEX(Listas!$D$2:$D$20,MATCH($D506,Listas!$A$2:$A$20,0)),""))</f>
        <v/>
      </c>
      <c r="W506" s="11" t="str">
        <f aca="false">IF(OR($C506="",$B506="",$G506=""),"",$G506-$B506)</f>
        <v/>
      </c>
      <c r="X506" s="11" t="str">
        <f aca="true">IF(OR($C506="",$B506=""),"",IF($N506&lt;&gt;"",$N506,TODAY())-$B506)</f>
        <v/>
      </c>
      <c r="Y506" s="11" t="str">
        <f aca="true">IF(OR($C506="",$M506&lt;&gt;"Abierta",$G506=""),"",MAX($G506-TODAY(),0))</f>
        <v/>
      </c>
      <c r="Z506" s="12" t="str">
        <f aca="false">IF($C506="","",N($K506)*N($H506)*N($I506)*IF($U506="Débito",-1,1))</f>
        <v/>
      </c>
      <c r="AA506" s="13" t="str">
        <f aca="false">IF($C506="","",IF(AND($U506="Débito",$F506&lt;&gt;""),$F506,$E506))</f>
        <v/>
      </c>
      <c r="AB506" s="13" t="str">
        <f aca="false">IF(OR($C506="",$T506="Mixta",$AA506=""),"",IF($V506="Subyacente",IF($J506="","",$J506-$K506),IF($T506="Put",$AA506-$K506,$AA506+$K506)))</f>
        <v/>
      </c>
      <c r="AC506" s="14" t="str">
        <f aca="false">IF(OR($C506="",$T506="Mixta",$J506="",$AA506=""),"",IF($T506="Put",($J506-$AA506)/$J506,($AA506-$J506)/$J506))</f>
        <v/>
      </c>
      <c r="AD506" s="12" t="str">
        <f aca="false">IF($C506="","",IF($Q506&lt;&gt;"",$Q506,IF($V506="Strike",N($E506)*$H506*$I506,IF($V506="Subyacente",IF($J506="","",$J506*$H506*$I506),IF($V506="Ancho",IF($F506="","",ABS($E506-$F506)*$H506*$I506-$K506*$H506*$I506),IF($V506="Prima",$K506*$H506*$I506,""))))))</f>
        <v/>
      </c>
      <c r="AE506" s="12" t="str">
        <f aca="false">IF(OR($C506="",$M506="Abierta",$M506=""),"",(N($K506)-IF(OR($M506="Cerrada",$M506="Rolada"),N($O506),0))*$H506*$I506*IF($U506="Débito",-1,1)-N($L506)-N($P506))</f>
        <v/>
      </c>
      <c r="AF506" s="14" t="str">
        <f aca="false">IF(OR($AE506="",$AD506=""),"",IF($AD506&lt;=0,"",$AE506/$AD506))</f>
        <v/>
      </c>
      <c r="AG506" s="14" t="str">
        <f aca="false">IF($AF506="","",$AF506*365/MAX(N($X506),1))</f>
        <v/>
      </c>
      <c r="AH506" s="14" t="str">
        <f aca="false">IF(OR($C506="",$U506&lt;&gt;"Crédito",$AD506=""),"",IF($AD506&lt;=0,"",($Z506-N($L506))/$AD506))</f>
        <v/>
      </c>
      <c r="AI506" s="14" t="str">
        <f aca="false">IF(OR($AH506="",$W506=""),"",$AH506*365/MAX($W506,1))</f>
        <v/>
      </c>
      <c r="AJ506" s="14" t="str">
        <f aca="false">IF(OR($AE506="",$U506&lt;&gt;"Crédito",N($K506)=0),"",(N($K506)-IF(OR($M506="Cerrada",$M506="Rolada"),N($O506),0))/$K506)</f>
        <v/>
      </c>
      <c r="AK506" s="15" t="str">
        <f aca="false">IF(OR($C506="",$N506=""),"",DATE(YEAR($N506),MONTH($N506),1))</f>
        <v/>
      </c>
      <c r="AL506" s="11" t="str">
        <f aca="false">IF($C506="","",IF($M506="Abierta",0,1))</f>
        <v/>
      </c>
      <c r="AM506" s="16" t="str">
        <f aca="false">IF(OR($AE506="",$AD506=""),"",$AD506*MAX(N($X506),1))</f>
        <v/>
      </c>
      <c r="AN506" s="10" t="str">
        <f aca="false">IF($C506="","",IF(OR($B506="",$D506="",$H506="",$K506="",$M506=""),"Faltan datos obligatorios",IF($T506="","Estrategia no reconocida",IF(AND($M506&lt;&gt;"Abierta",$N506=""),"Falta fecha cierre",IF(AND(OR($M506="Cerrada",$M506="Rolada"),$O506=""),"Falta prima cierre",IF(AND($N506&lt;&gt;"",$N506&lt;$B506),"Cierre anterior a apertura",IF(AND($M506="Asignada",$R506=""),"Asignada: falta ID lote acciones",IF(AND($R506&lt;&gt;"",ISNA(MATCH($R506,Acciones!$A$2:$A$201,0))),"El ID lote no existe en Acciones",IF($AD506="","Revisa capital en riesgo","OK")))))))))</f>
        <v/>
      </c>
    </row>
    <row r="507" customFormat="false" ht="15" hidden="false" customHeight="true" outlineLevel="0" collapsed="false">
      <c r="A507" s="5"/>
      <c r="B507" s="6"/>
      <c r="C507" s="7"/>
      <c r="D507" s="7"/>
      <c r="E507" s="8"/>
      <c r="F507" s="8"/>
      <c r="G507" s="6"/>
      <c r="H507" s="5"/>
      <c r="I507" s="5" t="n">
        <v>100</v>
      </c>
      <c r="J507" s="8"/>
      <c r="K507" s="8"/>
      <c r="L507" s="9"/>
      <c r="M507" s="7"/>
      <c r="N507" s="6"/>
      <c r="O507" s="8"/>
      <c r="P507" s="9"/>
      <c r="Q507" s="9"/>
      <c r="R507" s="7"/>
      <c r="S507" s="7"/>
      <c r="T507" s="10" t="str">
        <f aca="false">IF($C507="","",IFERROR(INDEX(Listas!$B$2:$B$20,MATCH($D507,Listas!$A$2:$A$20,0)),""))</f>
        <v/>
      </c>
      <c r="U507" s="10" t="str">
        <f aca="false">IF($C507="","",IFERROR(INDEX(Listas!$C$2:$C$20,MATCH($D507,Listas!$A$2:$A$20,0)),""))</f>
        <v/>
      </c>
      <c r="V507" s="10" t="str">
        <f aca="false">IF($C507="","",IFERROR(INDEX(Listas!$D$2:$D$20,MATCH($D507,Listas!$A$2:$A$20,0)),""))</f>
        <v/>
      </c>
      <c r="W507" s="11" t="str">
        <f aca="false">IF(OR($C507="",$B507="",$G507=""),"",$G507-$B507)</f>
        <v/>
      </c>
      <c r="X507" s="11" t="str">
        <f aca="true">IF(OR($C507="",$B507=""),"",IF($N507&lt;&gt;"",$N507,TODAY())-$B507)</f>
        <v/>
      </c>
      <c r="Y507" s="11" t="str">
        <f aca="true">IF(OR($C507="",$M507&lt;&gt;"Abierta",$G507=""),"",MAX($G507-TODAY(),0))</f>
        <v/>
      </c>
      <c r="Z507" s="12" t="str">
        <f aca="false">IF($C507="","",N($K507)*N($H507)*N($I507)*IF($U507="Débito",-1,1))</f>
        <v/>
      </c>
      <c r="AA507" s="13" t="str">
        <f aca="false">IF($C507="","",IF(AND($U507="Débito",$F507&lt;&gt;""),$F507,$E507))</f>
        <v/>
      </c>
      <c r="AB507" s="13" t="str">
        <f aca="false">IF(OR($C507="",$T507="Mixta",$AA507=""),"",IF($V507="Subyacente",IF($J507="","",$J507-$K507),IF($T507="Put",$AA507-$K507,$AA507+$K507)))</f>
        <v/>
      </c>
      <c r="AC507" s="14" t="str">
        <f aca="false">IF(OR($C507="",$T507="Mixta",$J507="",$AA507=""),"",IF($T507="Put",($J507-$AA507)/$J507,($AA507-$J507)/$J507))</f>
        <v/>
      </c>
      <c r="AD507" s="12" t="str">
        <f aca="false">IF($C507="","",IF($Q507&lt;&gt;"",$Q507,IF($V507="Strike",N($E507)*$H507*$I507,IF($V507="Subyacente",IF($J507="","",$J507*$H507*$I507),IF($V507="Ancho",IF($F507="","",ABS($E507-$F507)*$H507*$I507-$K507*$H507*$I507),IF($V507="Prima",$K507*$H507*$I507,""))))))</f>
        <v/>
      </c>
      <c r="AE507" s="12" t="str">
        <f aca="false">IF(OR($C507="",$M507="Abierta",$M507=""),"",(N($K507)-IF(OR($M507="Cerrada",$M507="Rolada"),N($O507),0))*$H507*$I507*IF($U507="Débito",-1,1)-N($L507)-N($P507))</f>
        <v/>
      </c>
      <c r="AF507" s="14" t="str">
        <f aca="false">IF(OR($AE507="",$AD507=""),"",IF($AD507&lt;=0,"",$AE507/$AD507))</f>
        <v/>
      </c>
      <c r="AG507" s="14" t="str">
        <f aca="false">IF($AF507="","",$AF507*365/MAX(N($X507),1))</f>
        <v/>
      </c>
      <c r="AH507" s="14" t="str">
        <f aca="false">IF(OR($C507="",$U507&lt;&gt;"Crédito",$AD507=""),"",IF($AD507&lt;=0,"",($Z507-N($L507))/$AD507))</f>
        <v/>
      </c>
      <c r="AI507" s="14" t="str">
        <f aca="false">IF(OR($AH507="",$W507=""),"",$AH507*365/MAX($W507,1))</f>
        <v/>
      </c>
      <c r="AJ507" s="14" t="str">
        <f aca="false">IF(OR($AE507="",$U507&lt;&gt;"Crédito",N($K507)=0),"",(N($K507)-IF(OR($M507="Cerrada",$M507="Rolada"),N($O507),0))/$K507)</f>
        <v/>
      </c>
      <c r="AK507" s="15" t="str">
        <f aca="false">IF(OR($C507="",$N507=""),"",DATE(YEAR($N507),MONTH($N507),1))</f>
        <v/>
      </c>
      <c r="AL507" s="11" t="str">
        <f aca="false">IF($C507="","",IF($M507="Abierta",0,1))</f>
        <v/>
      </c>
      <c r="AM507" s="16" t="str">
        <f aca="false">IF(OR($AE507="",$AD507=""),"",$AD507*MAX(N($X507),1))</f>
        <v/>
      </c>
      <c r="AN507" s="10" t="str">
        <f aca="false">IF($C507="","",IF(OR($B507="",$D507="",$H507="",$K507="",$M507=""),"Faltan datos obligatorios",IF($T507="","Estrategia no reconocida",IF(AND($M507&lt;&gt;"Abierta",$N507=""),"Falta fecha cierre",IF(AND(OR($M507="Cerrada",$M507="Rolada"),$O507=""),"Falta prima cierre",IF(AND($N507&lt;&gt;"",$N507&lt;$B507),"Cierre anterior a apertura",IF(AND($M507="Asignada",$R507=""),"Asignada: falta ID lote acciones",IF(AND($R507&lt;&gt;"",ISNA(MATCH($R507,Acciones!$A$2:$A$201,0))),"El ID lote no existe en Acciones",IF($AD507="","Revisa capital en riesgo","OK")))))))))</f>
        <v/>
      </c>
    </row>
    <row r="508" customFormat="false" ht="15" hidden="false" customHeight="true" outlineLevel="0" collapsed="false">
      <c r="A508" s="5"/>
      <c r="B508" s="6"/>
      <c r="C508" s="7"/>
      <c r="D508" s="7"/>
      <c r="E508" s="8"/>
      <c r="F508" s="8"/>
      <c r="G508" s="6"/>
      <c r="H508" s="5"/>
      <c r="I508" s="5" t="n">
        <v>100</v>
      </c>
      <c r="J508" s="8"/>
      <c r="K508" s="8"/>
      <c r="L508" s="9"/>
      <c r="M508" s="7"/>
      <c r="N508" s="6"/>
      <c r="O508" s="8"/>
      <c r="P508" s="9"/>
      <c r="Q508" s="9"/>
      <c r="R508" s="7"/>
      <c r="S508" s="7"/>
      <c r="T508" s="10" t="str">
        <f aca="false">IF($C508="","",IFERROR(INDEX(Listas!$B$2:$B$20,MATCH($D508,Listas!$A$2:$A$20,0)),""))</f>
        <v/>
      </c>
      <c r="U508" s="10" t="str">
        <f aca="false">IF($C508="","",IFERROR(INDEX(Listas!$C$2:$C$20,MATCH($D508,Listas!$A$2:$A$20,0)),""))</f>
        <v/>
      </c>
      <c r="V508" s="10" t="str">
        <f aca="false">IF($C508="","",IFERROR(INDEX(Listas!$D$2:$D$20,MATCH($D508,Listas!$A$2:$A$20,0)),""))</f>
        <v/>
      </c>
      <c r="W508" s="11" t="str">
        <f aca="false">IF(OR($C508="",$B508="",$G508=""),"",$G508-$B508)</f>
        <v/>
      </c>
      <c r="X508" s="11" t="str">
        <f aca="true">IF(OR($C508="",$B508=""),"",IF($N508&lt;&gt;"",$N508,TODAY())-$B508)</f>
        <v/>
      </c>
      <c r="Y508" s="11" t="str">
        <f aca="true">IF(OR($C508="",$M508&lt;&gt;"Abierta",$G508=""),"",MAX($G508-TODAY(),0))</f>
        <v/>
      </c>
      <c r="Z508" s="12" t="str">
        <f aca="false">IF($C508="","",N($K508)*N($H508)*N($I508)*IF($U508="Débito",-1,1))</f>
        <v/>
      </c>
      <c r="AA508" s="13" t="str">
        <f aca="false">IF($C508="","",IF(AND($U508="Débito",$F508&lt;&gt;""),$F508,$E508))</f>
        <v/>
      </c>
      <c r="AB508" s="13" t="str">
        <f aca="false">IF(OR($C508="",$T508="Mixta",$AA508=""),"",IF($V508="Subyacente",IF($J508="","",$J508-$K508),IF($T508="Put",$AA508-$K508,$AA508+$K508)))</f>
        <v/>
      </c>
      <c r="AC508" s="14" t="str">
        <f aca="false">IF(OR($C508="",$T508="Mixta",$J508="",$AA508=""),"",IF($T508="Put",($J508-$AA508)/$J508,($AA508-$J508)/$J508))</f>
        <v/>
      </c>
      <c r="AD508" s="12" t="str">
        <f aca="false">IF($C508="","",IF($Q508&lt;&gt;"",$Q508,IF($V508="Strike",N($E508)*$H508*$I508,IF($V508="Subyacente",IF($J508="","",$J508*$H508*$I508),IF($V508="Ancho",IF($F508="","",ABS($E508-$F508)*$H508*$I508-$K508*$H508*$I508),IF($V508="Prima",$K508*$H508*$I508,""))))))</f>
        <v/>
      </c>
      <c r="AE508" s="12" t="str">
        <f aca="false">IF(OR($C508="",$M508="Abierta",$M508=""),"",(N($K508)-IF(OR($M508="Cerrada",$M508="Rolada"),N($O508),0))*$H508*$I508*IF($U508="Débito",-1,1)-N($L508)-N($P508))</f>
        <v/>
      </c>
      <c r="AF508" s="14" t="str">
        <f aca="false">IF(OR($AE508="",$AD508=""),"",IF($AD508&lt;=0,"",$AE508/$AD508))</f>
        <v/>
      </c>
      <c r="AG508" s="14" t="str">
        <f aca="false">IF($AF508="","",$AF508*365/MAX(N($X508),1))</f>
        <v/>
      </c>
      <c r="AH508" s="14" t="str">
        <f aca="false">IF(OR($C508="",$U508&lt;&gt;"Crédito",$AD508=""),"",IF($AD508&lt;=0,"",($Z508-N($L508))/$AD508))</f>
        <v/>
      </c>
      <c r="AI508" s="14" t="str">
        <f aca="false">IF(OR($AH508="",$W508=""),"",$AH508*365/MAX($W508,1))</f>
        <v/>
      </c>
      <c r="AJ508" s="14" t="str">
        <f aca="false">IF(OR($AE508="",$U508&lt;&gt;"Crédito",N($K508)=0),"",(N($K508)-IF(OR($M508="Cerrada",$M508="Rolada"),N($O508),0))/$K508)</f>
        <v/>
      </c>
      <c r="AK508" s="15" t="str">
        <f aca="false">IF(OR($C508="",$N508=""),"",DATE(YEAR($N508),MONTH($N508),1))</f>
        <v/>
      </c>
      <c r="AL508" s="11" t="str">
        <f aca="false">IF($C508="","",IF($M508="Abierta",0,1))</f>
        <v/>
      </c>
      <c r="AM508" s="16" t="str">
        <f aca="false">IF(OR($AE508="",$AD508=""),"",$AD508*MAX(N($X508),1))</f>
        <v/>
      </c>
      <c r="AN508" s="10" t="str">
        <f aca="false">IF($C508="","",IF(OR($B508="",$D508="",$H508="",$K508="",$M508=""),"Faltan datos obligatorios",IF($T508="","Estrategia no reconocida",IF(AND($M508&lt;&gt;"Abierta",$N508=""),"Falta fecha cierre",IF(AND(OR($M508="Cerrada",$M508="Rolada"),$O508=""),"Falta prima cierre",IF(AND($N508&lt;&gt;"",$N508&lt;$B508),"Cierre anterior a apertura",IF(AND($M508="Asignada",$R508=""),"Asignada: falta ID lote acciones",IF(AND($R508&lt;&gt;"",ISNA(MATCH($R508,Acciones!$A$2:$A$201,0))),"El ID lote no existe en Acciones",IF($AD508="","Revisa capital en riesgo","OK")))))))))</f>
        <v/>
      </c>
    </row>
    <row r="509" customFormat="false" ht="15" hidden="false" customHeight="true" outlineLevel="0" collapsed="false">
      <c r="A509" s="5"/>
      <c r="B509" s="6"/>
      <c r="C509" s="7"/>
      <c r="D509" s="7"/>
      <c r="E509" s="8"/>
      <c r="F509" s="8"/>
      <c r="G509" s="6"/>
      <c r="H509" s="5"/>
      <c r="I509" s="5" t="n">
        <v>100</v>
      </c>
      <c r="J509" s="8"/>
      <c r="K509" s="8"/>
      <c r="L509" s="9"/>
      <c r="M509" s="7"/>
      <c r="N509" s="6"/>
      <c r="O509" s="8"/>
      <c r="P509" s="9"/>
      <c r="Q509" s="9"/>
      <c r="R509" s="7"/>
      <c r="S509" s="7"/>
      <c r="T509" s="10" t="str">
        <f aca="false">IF($C509="","",IFERROR(INDEX(Listas!$B$2:$B$20,MATCH($D509,Listas!$A$2:$A$20,0)),""))</f>
        <v/>
      </c>
      <c r="U509" s="10" t="str">
        <f aca="false">IF($C509="","",IFERROR(INDEX(Listas!$C$2:$C$20,MATCH($D509,Listas!$A$2:$A$20,0)),""))</f>
        <v/>
      </c>
      <c r="V509" s="10" t="str">
        <f aca="false">IF($C509="","",IFERROR(INDEX(Listas!$D$2:$D$20,MATCH($D509,Listas!$A$2:$A$20,0)),""))</f>
        <v/>
      </c>
      <c r="W509" s="11" t="str">
        <f aca="false">IF(OR($C509="",$B509="",$G509=""),"",$G509-$B509)</f>
        <v/>
      </c>
      <c r="X509" s="11" t="str">
        <f aca="true">IF(OR($C509="",$B509=""),"",IF($N509&lt;&gt;"",$N509,TODAY())-$B509)</f>
        <v/>
      </c>
      <c r="Y509" s="11" t="str">
        <f aca="true">IF(OR($C509="",$M509&lt;&gt;"Abierta",$G509=""),"",MAX($G509-TODAY(),0))</f>
        <v/>
      </c>
      <c r="Z509" s="12" t="str">
        <f aca="false">IF($C509="","",N($K509)*N($H509)*N($I509)*IF($U509="Débito",-1,1))</f>
        <v/>
      </c>
      <c r="AA509" s="13" t="str">
        <f aca="false">IF($C509="","",IF(AND($U509="Débito",$F509&lt;&gt;""),$F509,$E509))</f>
        <v/>
      </c>
      <c r="AB509" s="13" t="str">
        <f aca="false">IF(OR($C509="",$T509="Mixta",$AA509=""),"",IF($V509="Subyacente",IF($J509="","",$J509-$K509),IF($T509="Put",$AA509-$K509,$AA509+$K509)))</f>
        <v/>
      </c>
      <c r="AC509" s="14" t="str">
        <f aca="false">IF(OR($C509="",$T509="Mixta",$J509="",$AA509=""),"",IF($T509="Put",($J509-$AA509)/$J509,($AA509-$J509)/$J509))</f>
        <v/>
      </c>
      <c r="AD509" s="12" t="str">
        <f aca="false">IF($C509="","",IF($Q509&lt;&gt;"",$Q509,IF($V509="Strike",N($E509)*$H509*$I509,IF($V509="Subyacente",IF($J509="","",$J509*$H509*$I509),IF($V509="Ancho",IF($F509="","",ABS($E509-$F509)*$H509*$I509-$K509*$H509*$I509),IF($V509="Prima",$K509*$H509*$I509,""))))))</f>
        <v/>
      </c>
      <c r="AE509" s="12" t="str">
        <f aca="false">IF(OR($C509="",$M509="Abierta",$M509=""),"",(N($K509)-IF(OR($M509="Cerrada",$M509="Rolada"),N($O509),0))*$H509*$I509*IF($U509="Débito",-1,1)-N($L509)-N($P509))</f>
        <v/>
      </c>
      <c r="AF509" s="14" t="str">
        <f aca="false">IF(OR($AE509="",$AD509=""),"",IF($AD509&lt;=0,"",$AE509/$AD509))</f>
        <v/>
      </c>
      <c r="AG509" s="14" t="str">
        <f aca="false">IF($AF509="","",$AF509*365/MAX(N($X509),1))</f>
        <v/>
      </c>
      <c r="AH509" s="14" t="str">
        <f aca="false">IF(OR($C509="",$U509&lt;&gt;"Crédito",$AD509=""),"",IF($AD509&lt;=0,"",($Z509-N($L509))/$AD509))</f>
        <v/>
      </c>
      <c r="AI509" s="14" t="str">
        <f aca="false">IF(OR($AH509="",$W509=""),"",$AH509*365/MAX($W509,1))</f>
        <v/>
      </c>
      <c r="AJ509" s="14" t="str">
        <f aca="false">IF(OR($AE509="",$U509&lt;&gt;"Crédito",N($K509)=0),"",(N($K509)-IF(OR($M509="Cerrada",$M509="Rolada"),N($O509),0))/$K509)</f>
        <v/>
      </c>
      <c r="AK509" s="15" t="str">
        <f aca="false">IF(OR($C509="",$N509=""),"",DATE(YEAR($N509),MONTH($N509),1))</f>
        <v/>
      </c>
      <c r="AL509" s="11" t="str">
        <f aca="false">IF($C509="","",IF($M509="Abierta",0,1))</f>
        <v/>
      </c>
      <c r="AM509" s="16" t="str">
        <f aca="false">IF(OR($AE509="",$AD509=""),"",$AD509*MAX(N($X509),1))</f>
        <v/>
      </c>
      <c r="AN509" s="10" t="str">
        <f aca="false">IF($C509="","",IF(OR($B509="",$D509="",$H509="",$K509="",$M509=""),"Faltan datos obligatorios",IF($T509="","Estrategia no reconocida",IF(AND($M509&lt;&gt;"Abierta",$N509=""),"Falta fecha cierre",IF(AND(OR($M509="Cerrada",$M509="Rolada"),$O509=""),"Falta prima cierre",IF(AND($N509&lt;&gt;"",$N509&lt;$B509),"Cierre anterior a apertura",IF(AND($M509="Asignada",$R509=""),"Asignada: falta ID lote acciones",IF(AND($R509&lt;&gt;"",ISNA(MATCH($R509,Acciones!$A$2:$A$201,0))),"El ID lote no existe en Acciones",IF($AD509="","Revisa capital en riesgo","OK")))))))))</f>
        <v/>
      </c>
    </row>
    <row r="510" customFormat="false" ht="15" hidden="false" customHeight="true" outlineLevel="0" collapsed="false">
      <c r="A510" s="5"/>
      <c r="B510" s="6"/>
      <c r="C510" s="7"/>
      <c r="D510" s="7"/>
      <c r="E510" s="8"/>
      <c r="F510" s="8"/>
      <c r="G510" s="6"/>
      <c r="H510" s="5"/>
      <c r="I510" s="5" t="n">
        <v>100</v>
      </c>
      <c r="J510" s="8"/>
      <c r="K510" s="8"/>
      <c r="L510" s="9"/>
      <c r="M510" s="7"/>
      <c r="N510" s="6"/>
      <c r="O510" s="8"/>
      <c r="P510" s="9"/>
      <c r="Q510" s="9"/>
      <c r="R510" s="7"/>
      <c r="S510" s="7"/>
      <c r="T510" s="10" t="str">
        <f aca="false">IF($C510="","",IFERROR(INDEX(Listas!$B$2:$B$20,MATCH($D510,Listas!$A$2:$A$20,0)),""))</f>
        <v/>
      </c>
      <c r="U510" s="10" t="str">
        <f aca="false">IF($C510="","",IFERROR(INDEX(Listas!$C$2:$C$20,MATCH($D510,Listas!$A$2:$A$20,0)),""))</f>
        <v/>
      </c>
      <c r="V510" s="10" t="str">
        <f aca="false">IF($C510="","",IFERROR(INDEX(Listas!$D$2:$D$20,MATCH($D510,Listas!$A$2:$A$20,0)),""))</f>
        <v/>
      </c>
      <c r="W510" s="11" t="str">
        <f aca="false">IF(OR($C510="",$B510="",$G510=""),"",$G510-$B510)</f>
        <v/>
      </c>
      <c r="X510" s="11" t="str">
        <f aca="true">IF(OR($C510="",$B510=""),"",IF($N510&lt;&gt;"",$N510,TODAY())-$B510)</f>
        <v/>
      </c>
      <c r="Y510" s="11" t="str">
        <f aca="true">IF(OR($C510="",$M510&lt;&gt;"Abierta",$G510=""),"",MAX($G510-TODAY(),0))</f>
        <v/>
      </c>
      <c r="Z510" s="12" t="str">
        <f aca="false">IF($C510="","",N($K510)*N($H510)*N($I510)*IF($U510="Débito",-1,1))</f>
        <v/>
      </c>
      <c r="AA510" s="13" t="str">
        <f aca="false">IF($C510="","",IF(AND($U510="Débito",$F510&lt;&gt;""),$F510,$E510))</f>
        <v/>
      </c>
      <c r="AB510" s="13" t="str">
        <f aca="false">IF(OR($C510="",$T510="Mixta",$AA510=""),"",IF($V510="Subyacente",IF($J510="","",$J510-$K510),IF($T510="Put",$AA510-$K510,$AA510+$K510)))</f>
        <v/>
      </c>
      <c r="AC510" s="14" t="str">
        <f aca="false">IF(OR($C510="",$T510="Mixta",$J510="",$AA510=""),"",IF($T510="Put",($J510-$AA510)/$J510,($AA510-$J510)/$J510))</f>
        <v/>
      </c>
      <c r="AD510" s="12" t="str">
        <f aca="false">IF($C510="","",IF($Q510&lt;&gt;"",$Q510,IF($V510="Strike",N($E510)*$H510*$I510,IF($V510="Subyacente",IF($J510="","",$J510*$H510*$I510),IF($V510="Ancho",IF($F510="","",ABS($E510-$F510)*$H510*$I510-$K510*$H510*$I510),IF($V510="Prima",$K510*$H510*$I510,""))))))</f>
        <v/>
      </c>
      <c r="AE510" s="12" t="str">
        <f aca="false">IF(OR($C510="",$M510="Abierta",$M510=""),"",(N($K510)-IF(OR($M510="Cerrada",$M510="Rolada"),N($O510),0))*$H510*$I510*IF($U510="Débito",-1,1)-N($L510)-N($P510))</f>
        <v/>
      </c>
      <c r="AF510" s="14" t="str">
        <f aca="false">IF(OR($AE510="",$AD510=""),"",IF($AD510&lt;=0,"",$AE510/$AD510))</f>
        <v/>
      </c>
      <c r="AG510" s="14" t="str">
        <f aca="false">IF($AF510="","",$AF510*365/MAX(N($X510),1))</f>
        <v/>
      </c>
      <c r="AH510" s="14" t="str">
        <f aca="false">IF(OR($C510="",$U510&lt;&gt;"Crédito",$AD510=""),"",IF($AD510&lt;=0,"",($Z510-N($L510))/$AD510))</f>
        <v/>
      </c>
      <c r="AI510" s="14" t="str">
        <f aca="false">IF(OR($AH510="",$W510=""),"",$AH510*365/MAX($W510,1))</f>
        <v/>
      </c>
      <c r="AJ510" s="14" t="str">
        <f aca="false">IF(OR($AE510="",$U510&lt;&gt;"Crédito",N($K510)=0),"",(N($K510)-IF(OR($M510="Cerrada",$M510="Rolada"),N($O510),0))/$K510)</f>
        <v/>
      </c>
      <c r="AK510" s="15" t="str">
        <f aca="false">IF(OR($C510="",$N510=""),"",DATE(YEAR($N510),MONTH($N510),1))</f>
        <v/>
      </c>
      <c r="AL510" s="11" t="str">
        <f aca="false">IF($C510="","",IF($M510="Abierta",0,1))</f>
        <v/>
      </c>
      <c r="AM510" s="16" t="str">
        <f aca="false">IF(OR($AE510="",$AD510=""),"",$AD510*MAX(N($X510),1))</f>
        <v/>
      </c>
      <c r="AN510" s="10" t="str">
        <f aca="false">IF($C510="","",IF(OR($B510="",$D510="",$H510="",$K510="",$M510=""),"Faltan datos obligatorios",IF($T510="","Estrategia no reconocida",IF(AND($M510&lt;&gt;"Abierta",$N510=""),"Falta fecha cierre",IF(AND(OR($M510="Cerrada",$M510="Rolada"),$O510=""),"Falta prima cierre",IF(AND($N510&lt;&gt;"",$N510&lt;$B510),"Cierre anterior a apertura",IF(AND($M510="Asignada",$R510=""),"Asignada: falta ID lote acciones",IF(AND($R510&lt;&gt;"",ISNA(MATCH($R510,Acciones!$A$2:$A$201,0))),"El ID lote no existe en Acciones",IF($AD510="","Revisa capital en riesgo","OK")))))))))</f>
        <v/>
      </c>
    </row>
    <row r="511" customFormat="false" ht="15" hidden="false" customHeight="true" outlineLevel="0" collapsed="false">
      <c r="A511" s="5"/>
      <c r="B511" s="6"/>
      <c r="C511" s="7"/>
      <c r="D511" s="7"/>
      <c r="E511" s="8"/>
      <c r="F511" s="8"/>
      <c r="G511" s="6"/>
      <c r="H511" s="5"/>
      <c r="I511" s="5" t="n">
        <v>100</v>
      </c>
      <c r="J511" s="8"/>
      <c r="K511" s="8"/>
      <c r="L511" s="9"/>
      <c r="M511" s="7"/>
      <c r="N511" s="6"/>
      <c r="O511" s="8"/>
      <c r="P511" s="9"/>
      <c r="Q511" s="9"/>
      <c r="R511" s="7"/>
      <c r="S511" s="7"/>
      <c r="T511" s="10" t="str">
        <f aca="false">IF($C511="","",IFERROR(INDEX(Listas!$B$2:$B$20,MATCH($D511,Listas!$A$2:$A$20,0)),""))</f>
        <v/>
      </c>
      <c r="U511" s="10" t="str">
        <f aca="false">IF($C511="","",IFERROR(INDEX(Listas!$C$2:$C$20,MATCH($D511,Listas!$A$2:$A$20,0)),""))</f>
        <v/>
      </c>
      <c r="V511" s="10" t="str">
        <f aca="false">IF($C511="","",IFERROR(INDEX(Listas!$D$2:$D$20,MATCH($D511,Listas!$A$2:$A$20,0)),""))</f>
        <v/>
      </c>
      <c r="W511" s="11" t="str">
        <f aca="false">IF(OR($C511="",$B511="",$G511=""),"",$G511-$B511)</f>
        <v/>
      </c>
      <c r="X511" s="11" t="str">
        <f aca="true">IF(OR($C511="",$B511=""),"",IF($N511&lt;&gt;"",$N511,TODAY())-$B511)</f>
        <v/>
      </c>
      <c r="Y511" s="11" t="str">
        <f aca="true">IF(OR($C511="",$M511&lt;&gt;"Abierta",$G511=""),"",MAX($G511-TODAY(),0))</f>
        <v/>
      </c>
      <c r="Z511" s="12" t="str">
        <f aca="false">IF($C511="","",N($K511)*N($H511)*N($I511)*IF($U511="Débito",-1,1))</f>
        <v/>
      </c>
      <c r="AA511" s="13" t="str">
        <f aca="false">IF($C511="","",IF(AND($U511="Débito",$F511&lt;&gt;""),$F511,$E511))</f>
        <v/>
      </c>
      <c r="AB511" s="13" t="str">
        <f aca="false">IF(OR($C511="",$T511="Mixta",$AA511=""),"",IF($V511="Subyacente",IF($J511="","",$J511-$K511),IF($T511="Put",$AA511-$K511,$AA511+$K511)))</f>
        <v/>
      </c>
      <c r="AC511" s="14" t="str">
        <f aca="false">IF(OR($C511="",$T511="Mixta",$J511="",$AA511=""),"",IF($T511="Put",($J511-$AA511)/$J511,($AA511-$J511)/$J511))</f>
        <v/>
      </c>
      <c r="AD511" s="12" t="str">
        <f aca="false">IF($C511="","",IF($Q511&lt;&gt;"",$Q511,IF($V511="Strike",N($E511)*$H511*$I511,IF($V511="Subyacente",IF($J511="","",$J511*$H511*$I511),IF($V511="Ancho",IF($F511="","",ABS($E511-$F511)*$H511*$I511-$K511*$H511*$I511),IF($V511="Prima",$K511*$H511*$I511,""))))))</f>
        <v/>
      </c>
      <c r="AE511" s="12" t="str">
        <f aca="false">IF(OR($C511="",$M511="Abierta",$M511=""),"",(N($K511)-IF(OR($M511="Cerrada",$M511="Rolada"),N($O511),0))*$H511*$I511*IF($U511="Débito",-1,1)-N($L511)-N($P511))</f>
        <v/>
      </c>
      <c r="AF511" s="14" t="str">
        <f aca="false">IF(OR($AE511="",$AD511=""),"",IF($AD511&lt;=0,"",$AE511/$AD511))</f>
        <v/>
      </c>
      <c r="AG511" s="14" t="str">
        <f aca="false">IF($AF511="","",$AF511*365/MAX(N($X511),1))</f>
        <v/>
      </c>
      <c r="AH511" s="14" t="str">
        <f aca="false">IF(OR($C511="",$U511&lt;&gt;"Crédito",$AD511=""),"",IF($AD511&lt;=0,"",($Z511-N($L511))/$AD511))</f>
        <v/>
      </c>
      <c r="AI511" s="14" t="str">
        <f aca="false">IF(OR($AH511="",$W511=""),"",$AH511*365/MAX($W511,1))</f>
        <v/>
      </c>
      <c r="AJ511" s="14" t="str">
        <f aca="false">IF(OR($AE511="",$U511&lt;&gt;"Crédito",N($K511)=0),"",(N($K511)-IF(OR($M511="Cerrada",$M511="Rolada"),N($O511),0))/$K511)</f>
        <v/>
      </c>
      <c r="AK511" s="15" t="str">
        <f aca="false">IF(OR($C511="",$N511=""),"",DATE(YEAR($N511),MONTH($N511),1))</f>
        <v/>
      </c>
      <c r="AL511" s="11" t="str">
        <f aca="false">IF($C511="","",IF($M511="Abierta",0,1))</f>
        <v/>
      </c>
      <c r="AM511" s="16" t="str">
        <f aca="false">IF(OR($AE511="",$AD511=""),"",$AD511*MAX(N($X511),1))</f>
        <v/>
      </c>
      <c r="AN511" s="10" t="str">
        <f aca="false">IF($C511="","",IF(OR($B511="",$D511="",$H511="",$K511="",$M511=""),"Faltan datos obligatorios",IF($T511="","Estrategia no reconocida",IF(AND($M511&lt;&gt;"Abierta",$N511=""),"Falta fecha cierre",IF(AND(OR($M511="Cerrada",$M511="Rolada"),$O511=""),"Falta prima cierre",IF(AND($N511&lt;&gt;"",$N511&lt;$B511),"Cierre anterior a apertura",IF(AND($M511="Asignada",$R511=""),"Asignada: falta ID lote acciones",IF(AND($R511&lt;&gt;"",ISNA(MATCH($R511,Acciones!$A$2:$A$201,0))),"El ID lote no existe en Acciones",IF($AD511="","Revisa capital en riesgo","OK")))))))))</f>
        <v/>
      </c>
    </row>
    <row r="512" customFormat="false" ht="15" hidden="false" customHeight="true" outlineLevel="0" collapsed="false">
      <c r="A512" s="5"/>
      <c r="B512" s="6"/>
      <c r="C512" s="7"/>
      <c r="D512" s="7"/>
      <c r="E512" s="8"/>
      <c r="F512" s="8"/>
      <c r="G512" s="6"/>
      <c r="H512" s="5"/>
      <c r="I512" s="5" t="n">
        <v>100</v>
      </c>
      <c r="J512" s="8"/>
      <c r="K512" s="8"/>
      <c r="L512" s="9"/>
      <c r="M512" s="7"/>
      <c r="N512" s="6"/>
      <c r="O512" s="8"/>
      <c r="P512" s="9"/>
      <c r="Q512" s="9"/>
      <c r="R512" s="7"/>
      <c r="S512" s="7"/>
      <c r="T512" s="10" t="str">
        <f aca="false">IF($C512="","",IFERROR(INDEX(Listas!$B$2:$B$20,MATCH($D512,Listas!$A$2:$A$20,0)),""))</f>
        <v/>
      </c>
      <c r="U512" s="10" t="str">
        <f aca="false">IF($C512="","",IFERROR(INDEX(Listas!$C$2:$C$20,MATCH($D512,Listas!$A$2:$A$20,0)),""))</f>
        <v/>
      </c>
      <c r="V512" s="10" t="str">
        <f aca="false">IF($C512="","",IFERROR(INDEX(Listas!$D$2:$D$20,MATCH($D512,Listas!$A$2:$A$20,0)),""))</f>
        <v/>
      </c>
      <c r="W512" s="11" t="str">
        <f aca="false">IF(OR($C512="",$B512="",$G512=""),"",$G512-$B512)</f>
        <v/>
      </c>
      <c r="X512" s="11" t="str">
        <f aca="true">IF(OR($C512="",$B512=""),"",IF($N512&lt;&gt;"",$N512,TODAY())-$B512)</f>
        <v/>
      </c>
      <c r="Y512" s="11" t="str">
        <f aca="true">IF(OR($C512="",$M512&lt;&gt;"Abierta",$G512=""),"",MAX($G512-TODAY(),0))</f>
        <v/>
      </c>
      <c r="Z512" s="12" t="str">
        <f aca="false">IF($C512="","",N($K512)*N($H512)*N($I512)*IF($U512="Débito",-1,1))</f>
        <v/>
      </c>
      <c r="AA512" s="13" t="str">
        <f aca="false">IF($C512="","",IF(AND($U512="Débito",$F512&lt;&gt;""),$F512,$E512))</f>
        <v/>
      </c>
      <c r="AB512" s="13" t="str">
        <f aca="false">IF(OR($C512="",$T512="Mixta",$AA512=""),"",IF($V512="Subyacente",IF($J512="","",$J512-$K512),IF($T512="Put",$AA512-$K512,$AA512+$K512)))</f>
        <v/>
      </c>
      <c r="AC512" s="14" t="str">
        <f aca="false">IF(OR($C512="",$T512="Mixta",$J512="",$AA512=""),"",IF($T512="Put",($J512-$AA512)/$J512,($AA512-$J512)/$J512))</f>
        <v/>
      </c>
      <c r="AD512" s="12" t="str">
        <f aca="false">IF($C512="","",IF($Q512&lt;&gt;"",$Q512,IF($V512="Strike",N($E512)*$H512*$I512,IF($V512="Subyacente",IF($J512="","",$J512*$H512*$I512),IF($V512="Ancho",IF($F512="","",ABS($E512-$F512)*$H512*$I512-$K512*$H512*$I512),IF($V512="Prima",$K512*$H512*$I512,""))))))</f>
        <v/>
      </c>
      <c r="AE512" s="12" t="str">
        <f aca="false">IF(OR($C512="",$M512="Abierta",$M512=""),"",(N($K512)-IF(OR($M512="Cerrada",$M512="Rolada"),N($O512),0))*$H512*$I512*IF($U512="Débito",-1,1)-N($L512)-N($P512))</f>
        <v/>
      </c>
      <c r="AF512" s="14" t="str">
        <f aca="false">IF(OR($AE512="",$AD512=""),"",IF($AD512&lt;=0,"",$AE512/$AD512))</f>
        <v/>
      </c>
      <c r="AG512" s="14" t="str">
        <f aca="false">IF($AF512="","",$AF512*365/MAX(N($X512),1))</f>
        <v/>
      </c>
      <c r="AH512" s="14" t="str">
        <f aca="false">IF(OR($C512="",$U512&lt;&gt;"Crédito",$AD512=""),"",IF($AD512&lt;=0,"",($Z512-N($L512))/$AD512))</f>
        <v/>
      </c>
      <c r="AI512" s="14" t="str">
        <f aca="false">IF(OR($AH512="",$W512=""),"",$AH512*365/MAX($W512,1))</f>
        <v/>
      </c>
      <c r="AJ512" s="14" t="str">
        <f aca="false">IF(OR($AE512="",$U512&lt;&gt;"Crédito",N($K512)=0),"",(N($K512)-IF(OR($M512="Cerrada",$M512="Rolada"),N($O512),0))/$K512)</f>
        <v/>
      </c>
      <c r="AK512" s="15" t="str">
        <f aca="false">IF(OR($C512="",$N512=""),"",DATE(YEAR($N512),MONTH($N512),1))</f>
        <v/>
      </c>
      <c r="AL512" s="11" t="str">
        <f aca="false">IF($C512="","",IF($M512="Abierta",0,1))</f>
        <v/>
      </c>
      <c r="AM512" s="16" t="str">
        <f aca="false">IF(OR($AE512="",$AD512=""),"",$AD512*MAX(N($X512),1))</f>
        <v/>
      </c>
      <c r="AN512" s="10" t="str">
        <f aca="false">IF($C512="","",IF(OR($B512="",$D512="",$H512="",$K512="",$M512=""),"Faltan datos obligatorios",IF($T512="","Estrategia no reconocida",IF(AND($M512&lt;&gt;"Abierta",$N512=""),"Falta fecha cierre",IF(AND(OR($M512="Cerrada",$M512="Rolada"),$O512=""),"Falta prima cierre",IF(AND($N512&lt;&gt;"",$N512&lt;$B512),"Cierre anterior a apertura",IF(AND($M512="Asignada",$R512=""),"Asignada: falta ID lote acciones",IF(AND($R512&lt;&gt;"",ISNA(MATCH($R512,Acciones!$A$2:$A$201,0))),"El ID lote no existe en Acciones",IF($AD512="","Revisa capital en riesgo","OK")))))))))</f>
        <v/>
      </c>
    </row>
    <row r="513" customFormat="false" ht="15" hidden="false" customHeight="true" outlineLevel="0" collapsed="false">
      <c r="A513" s="5"/>
      <c r="B513" s="6"/>
      <c r="C513" s="7"/>
      <c r="D513" s="7"/>
      <c r="E513" s="8"/>
      <c r="F513" s="8"/>
      <c r="G513" s="6"/>
      <c r="H513" s="5"/>
      <c r="I513" s="5" t="n">
        <v>100</v>
      </c>
      <c r="J513" s="8"/>
      <c r="K513" s="8"/>
      <c r="L513" s="9"/>
      <c r="M513" s="7"/>
      <c r="N513" s="6"/>
      <c r="O513" s="8"/>
      <c r="P513" s="9"/>
      <c r="Q513" s="9"/>
      <c r="R513" s="7"/>
      <c r="S513" s="7"/>
      <c r="T513" s="10" t="str">
        <f aca="false">IF($C513="","",IFERROR(INDEX(Listas!$B$2:$B$20,MATCH($D513,Listas!$A$2:$A$20,0)),""))</f>
        <v/>
      </c>
      <c r="U513" s="10" t="str">
        <f aca="false">IF($C513="","",IFERROR(INDEX(Listas!$C$2:$C$20,MATCH($D513,Listas!$A$2:$A$20,0)),""))</f>
        <v/>
      </c>
      <c r="V513" s="10" t="str">
        <f aca="false">IF($C513="","",IFERROR(INDEX(Listas!$D$2:$D$20,MATCH($D513,Listas!$A$2:$A$20,0)),""))</f>
        <v/>
      </c>
      <c r="W513" s="11" t="str">
        <f aca="false">IF(OR($C513="",$B513="",$G513=""),"",$G513-$B513)</f>
        <v/>
      </c>
      <c r="X513" s="11" t="str">
        <f aca="true">IF(OR($C513="",$B513=""),"",IF($N513&lt;&gt;"",$N513,TODAY())-$B513)</f>
        <v/>
      </c>
      <c r="Y513" s="11" t="str">
        <f aca="true">IF(OR($C513="",$M513&lt;&gt;"Abierta",$G513=""),"",MAX($G513-TODAY(),0))</f>
        <v/>
      </c>
      <c r="Z513" s="12" t="str">
        <f aca="false">IF($C513="","",N($K513)*N($H513)*N($I513)*IF($U513="Débito",-1,1))</f>
        <v/>
      </c>
      <c r="AA513" s="13" t="str">
        <f aca="false">IF($C513="","",IF(AND($U513="Débito",$F513&lt;&gt;""),$F513,$E513))</f>
        <v/>
      </c>
      <c r="AB513" s="13" t="str">
        <f aca="false">IF(OR($C513="",$T513="Mixta",$AA513=""),"",IF($V513="Subyacente",IF($J513="","",$J513-$K513),IF($T513="Put",$AA513-$K513,$AA513+$K513)))</f>
        <v/>
      </c>
      <c r="AC513" s="14" t="str">
        <f aca="false">IF(OR($C513="",$T513="Mixta",$J513="",$AA513=""),"",IF($T513="Put",($J513-$AA513)/$J513,($AA513-$J513)/$J513))</f>
        <v/>
      </c>
      <c r="AD513" s="12" t="str">
        <f aca="false">IF($C513="","",IF($Q513&lt;&gt;"",$Q513,IF($V513="Strike",N($E513)*$H513*$I513,IF($V513="Subyacente",IF($J513="","",$J513*$H513*$I513),IF($V513="Ancho",IF($F513="","",ABS($E513-$F513)*$H513*$I513-$K513*$H513*$I513),IF($V513="Prima",$K513*$H513*$I513,""))))))</f>
        <v/>
      </c>
      <c r="AE513" s="12" t="str">
        <f aca="false">IF(OR($C513="",$M513="Abierta",$M513=""),"",(N($K513)-IF(OR($M513="Cerrada",$M513="Rolada"),N($O513),0))*$H513*$I513*IF($U513="Débito",-1,1)-N($L513)-N($P513))</f>
        <v/>
      </c>
      <c r="AF513" s="14" t="str">
        <f aca="false">IF(OR($AE513="",$AD513=""),"",IF($AD513&lt;=0,"",$AE513/$AD513))</f>
        <v/>
      </c>
      <c r="AG513" s="14" t="str">
        <f aca="false">IF($AF513="","",$AF513*365/MAX(N($X513),1))</f>
        <v/>
      </c>
      <c r="AH513" s="14" t="str">
        <f aca="false">IF(OR($C513="",$U513&lt;&gt;"Crédito",$AD513=""),"",IF($AD513&lt;=0,"",($Z513-N($L513))/$AD513))</f>
        <v/>
      </c>
      <c r="AI513" s="14" t="str">
        <f aca="false">IF(OR($AH513="",$W513=""),"",$AH513*365/MAX($W513,1))</f>
        <v/>
      </c>
      <c r="AJ513" s="14" t="str">
        <f aca="false">IF(OR($AE513="",$U513&lt;&gt;"Crédito",N($K513)=0),"",(N($K513)-IF(OR($M513="Cerrada",$M513="Rolada"),N($O513),0))/$K513)</f>
        <v/>
      </c>
      <c r="AK513" s="15" t="str">
        <f aca="false">IF(OR($C513="",$N513=""),"",DATE(YEAR($N513),MONTH($N513),1))</f>
        <v/>
      </c>
      <c r="AL513" s="11" t="str">
        <f aca="false">IF($C513="","",IF($M513="Abierta",0,1))</f>
        <v/>
      </c>
      <c r="AM513" s="16" t="str">
        <f aca="false">IF(OR($AE513="",$AD513=""),"",$AD513*MAX(N($X513),1))</f>
        <v/>
      </c>
      <c r="AN513" s="10" t="str">
        <f aca="false">IF($C513="","",IF(OR($B513="",$D513="",$H513="",$K513="",$M513=""),"Faltan datos obligatorios",IF($T513="","Estrategia no reconocida",IF(AND($M513&lt;&gt;"Abierta",$N513=""),"Falta fecha cierre",IF(AND(OR($M513="Cerrada",$M513="Rolada"),$O513=""),"Falta prima cierre",IF(AND($N513&lt;&gt;"",$N513&lt;$B513),"Cierre anterior a apertura",IF(AND($M513="Asignada",$R513=""),"Asignada: falta ID lote acciones",IF(AND($R513&lt;&gt;"",ISNA(MATCH($R513,Acciones!$A$2:$A$201,0))),"El ID lote no existe en Acciones",IF($AD513="","Revisa capital en riesgo","OK")))))))))</f>
        <v/>
      </c>
    </row>
    <row r="514" customFormat="false" ht="15" hidden="false" customHeight="true" outlineLevel="0" collapsed="false">
      <c r="A514" s="5"/>
      <c r="B514" s="6"/>
      <c r="C514" s="7"/>
      <c r="D514" s="7"/>
      <c r="E514" s="8"/>
      <c r="F514" s="8"/>
      <c r="G514" s="6"/>
      <c r="H514" s="5"/>
      <c r="I514" s="5" t="n">
        <v>100</v>
      </c>
      <c r="J514" s="8"/>
      <c r="K514" s="8"/>
      <c r="L514" s="9"/>
      <c r="M514" s="7"/>
      <c r="N514" s="6"/>
      <c r="O514" s="8"/>
      <c r="P514" s="9"/>
      <c r="Q514" s="9"/>
      <c r="R514" s="7"/>
      <c r="S514" s="7"/>
      <c r="T514" s="10" t="str">
        <f aca="false">IF($C514="","",IFERROR(INDEX(Listas!$B$2:$B$20,MATCH($D514,Listas!$A$2:$A$20,0)),""))</f>
        <v/>
      </c>
      <c r="U514" s="10" t="str">
        <f aca="false">IF($C514="","",IFERROR(INDEX(Listas!$C$2:$C$20,MATCH($D514,Listas!$A$2:$A$20,0)),""))</f>
        <v/>
      </c>
      <c r="V514" s="10" t="str">
        <f aca="false">IF($C514="","",IFERROR(INDEX(Listas!$D$2:$D$20,MATCH($D514,Listas!$A$2:$A$20,0)),""))</f>
        <v/>
      </c>
      <c r="W514" s="11" t="str">
        <f aca="false">IF(OR($C514="",$B514="",$G514=""),"",$G514-$B514)</f>
        <v/>
      </c>
      <c r="X514" s="11" t="str">
        <f aca="true">IF(OR($C514="",$B514=""),"",IF($N514&lt;&gt;"",$N514,TODAY())-$B514)</f>
        <v/>
      </c>
      <c r="Y514" s="11" t="str">
        <f aca="true">IF(OR($C514="",$M514&lt;&gt;"Abierta",$G514=""),"",MAX($G514-TODAY(),0))</f>
        <v/>
      </c>
      <c r="Z514" s="12" t="str">
        <f aca="false">IF($C514="","",N($K514)*N($H514)*N($I514)*IF($U514="Débito",-1,1))</f>
        <v/>
      </c>
      <c r="AA514" s="13" t="str">
        <f aca="false">IF($C514="","",IF(AND($U514="Débito",$F514&lt;&gt;""),$F514,$E514))</f>
        <v/>
      </c>
      <c r="AB514" s="13" t="str">
        <f aca="false">IF(OR($C514="",$T514="Mixta",$AA514=""),"",IF($V514="Subyacente",IF($J514="","",$J514-$K514),IF($T514="Put",$AA514-$K514,$AA514+$K514)))</f>
        <v/>
      </c>
      <c r="AC514" s="14" t="str">
        <f aca="false">IF(OR($C514="",$T514="Mixta",$J514="",$AA514=""),"",IF($T514="Put",($J514-$AA514)/$J514,($AA514-$J514)/$J514))</f>
        <v/>
      </c>
      <c r="AD514" s="12" t="str">
        <f aca="false">IF($C514="","",IF($Q514&lt;&gt;"",$Q514,IF($V514="Strike",N($E514)*$H514*$I514,IF($V514="Subyacente",IF($J514="","",$J514*$H514*$I514),IF($V514="Ancho",IF($F514="","",ABS($E514-$F514)*$H514*$I514-$K514*$H514*$I514),IF($V514="Prima",$K514*$H514*$I514,""))))))</f>
        <v/>
      </c>
      <c r="AE514" s="12" t="str">
        <f aca="false">IF(OR($C514="",$M514="Abierta",$M514=""),"",(N($K514)-IF(OR($M514="Cerrada",$M514="Rolada"),N($O514),0))*$H514*$I514*IF($U514="Débito",-1,1)-N($L514)-N($P514))</f>
        <v/>
      </c>
      <c r="AF514" s="14" t="str">
        <f aca="false">IF(OR($AE514="",$AD514=""),"",IF($AD514&lt;=0,"",$AE514/$AD514))</f>
        <v/>
      </c>
      <c r="AG514" s="14" t="str">
        <f aca="false">IF($AF514="","",$AF514*365/MAX(N($X514),1))</f>
        <v/>
      </c>
      <c r="AH514" s="14" t="str">
        <f aca="false">IF(OR($C514="",$U514&lt;&gt;"Crédito",$AD514=""),"",IF($AD514&lt;=0,"",($Z514-N($L514))/$AD514))</f>
        <v/>
      </c>
      <c r="AI514" s="14" t="str">
        <f aca="false">IF(OR($AH514="",$W514=""),"",$AH514*365/MAX($W514,1))</f>
        <v/>
      </c>
      <c r="AJ514" s="14" t="str">
        <f aca="false">IF(OR($AE514="",$U514&lt;&gt;"Crédito",N($K514)=0),"",(N($K514)-IF(OR($M514="Cerrada",$M514="Rolada"),N($O514),0))/$K514)</f>
        <v/>
      </c>
      <c r="AK514" s="15" t="str">
        <f aca="false">IF(OR($C514="",$N514=""),"",DATE(YEAR($N514),MONTH($N514),1))</f>
        <v/>
      </c>
      <c r="AL514" s="11" t="str">
        <f aca="false">IF($C514="","",IF($M514="Abierta",0,1))</f>
        <v/>
      </c>
      <c r="AM514" s="16" t="str">
        <f aca="false">IF(OR($AE514="",$AD514=""),"",$AD514*MAX(N($X514),1))</f>
        <v/>
      </c>
      <c r="AN514" s="10" t="str">
        <f aca="false">IF($C514="","",IF(OR($B514="",$D514="",$H514="",$K514="",$M514=""),"Faltan datos obligatorios",IF($T514="","Estrategia no reconocida",IF(AND($M514&lt;&gt;"Abierta",$N514=""),"Falta fecha cierre",IF(AND(OR($M514="Cerrada",$M514="Rolada"),$O514=""),"Falta prima cierre",IF(AND($N514&lt;&gt;"",$N514&lt;$B514),"Cierre anterior a apertura",IF(AND($M514="Asignada",$R514=""),"Asignada: falta ID lote acciones",IF(AND($R514&lt;&gt;"",ISNA(MATCH($R514,Acciones!$A$2:$A$201,0))),"El ID lote no existe en Acciones",IF($AD514="","Revisa capital en riesgo","OK")))))))))</f>
        <v/>
      </c>
    </row>
    <row r="515" customFormat="false" ht="15" hidden="false" customHeight="true" outlineLevel="0" collapsed="false">
      <c r="A515" s="5"/>
      <c r="B515" s="6"/>
      <c r="C515" s="7"/>
      <c r="D515" s="7"/>
      <c r="E515" s="8"/>
      <c r="F515" s="8"/>
      <c r="G515" s="6"/>
      <c r="H515" s="5"/>
      <c r="I515" s="5" t="n">
        <v>100</v>
      </c>
      <c r="J515" s="8"/>
      <c r="K515" s="8"/>
      <c r="L515" s="9"/>
      <c r="M515" s="7"/>
      <c r="N515" s="6"/>
      <c r="O515" s="8"/>
      <c r="P515" s="9"/>
      <c r="Q515" s="9"/>
      <c r="R515" s="7"/>
      <c r="S515" s="7"/>
      <c r="T515" s="10" t="str">
        <f aca="false">IF($C515="","",IFERROR(INDEX(Listas!$B$2:$B$20,MATCH($D515,Listas!$A$2:$A$20,0)),""))</f>
        <v/>
      </c>
      <c r="U515" s="10" t="str">
        <f aca="false">IF($C515="","",IFERROR(INDEX(Listas!$C$2:$C$20,MATCH($D515,Listas!$A$2:$A$20,0)),""))</f>
        <v/>
      </c>
      <c r="V515" s="10" t="str">
        <f aca="false">IF($C515="","",IFERROR(INDEX(Listas!$D$2:$D$20,MATCH($D515,Listas!$A$2:$A$20,0)),""))</f>
        <v/>
      </c>
      <c r="W515" s="11" t="str">
        <f aca="false">IF(OR($C515="",$B515="",$G515=""),"",$G515-$B515)</f>
        <v/>
      </c>
      <c r="X515" s="11" t="str">
        <f aca="true">IF(OR($C515="",$B515=""),"",IF($N515&lt;&gt;"",$N515,TODAY())-$B515)</f>
        <v/>
      </c>
      <c r="Y515" s="11" t="str">
        <f aca="true">IF(OR($C515="",$M515&lt;&gt;"Abierta",$G515=""),"",MAX($G515-TODAY(),0))</f>
        <v/>
      </c>
      <c r="Z515" s="12" t="str">
        <f aca="false">IF($C515="","",N($K515)*N($H515)*N($I515)*IF($U515="Débito",-1,1))</f>
        <v/>
      </c>
      <c r="AA515" s="13" t="str">
        <f aca="false">IF($C515="","",IF(AND($U515="Débito",$F515&lt;&gt;""),$F515,$E515))</f>
        <v/>
      </c>
      <c r="AB515" s="13" t="str">
        <f aca="false">IF(OR($C515="",$T515="Mixta",$AA515=""),"",IF($V515="Subyacente",IF($J515="","",$J515-$K515),IF($T515="Put",$AA515-$K515,$AA515+$K515)))</f>
        <v/>
      </c>
      <c r="AC515" s="14" t="str">
        <f aca="false">IF(OR($C515="",$T515="Mixta",$J515="",$AA515=""),"",IF($T515="Put",($J515-$AA515)/$J515,($AA515-$J515)/$J515))</f>
        <v/>
      </c>
      <c r="AD515" s="12" t="str">
        <f aca="false">IF($C515="","",IF($Q515&lt;&gt;"",$Q515,IF($V515="Strike",N($E515)*$H515*$I515,IF($V515="Subyacente",IF($J515="","",$J515*$H515*$I515),IF($V515="Ancho",IF($F515="","",ABS($E515-$F515)*$H515*$I515-$K515*$H515*$I515),IF($V515="Prima",$K515*$H515*$I515,""))))))</f>
        <v/>
      </c>
      <c r="AE515" s="12" t="str">
        <f aca="false">IF(OR($C515="",$M515="Abierta",$M515=""),"",(N($K515)-IF(OR($M515="Cerrada",$M515="Rolada"),N($O515),0))*$H515*$I515*IF($U515="Débito",-1,1)-N($L515)-N($P515))</f>
        <v/>
      </c>
      <c r="AF515" s="14" t="str">
        <f aca="false">IF(OR($AE515="",$AD515=""),"",IF($AD515&lt;=0,"",$AE515/$AD515))</f>
        <v/>
      </c>
      <c r="AG515" s="14" t="str">
        <f aca="false">IF($AF515="","",$AF515*365/MAX(N($X515),1))</f>
        <v/>
      </c>
      <c r="AH515" s="14" t="str">
        <f aca="false">IF(OR($C515="",$U515&lt;&gt;"Crédito",$AD515=""),"",IF($AD515&lt;=0,"",($Z515-N($L515))/$AD515))</f>
        <v/>
      </c>
      <c r="AI515" s="14" t="str">
        <f aca="false">IF(OR($AH515="",$W515=""),"",$AH515*365/MAX($W515,1))</f>
        <v/>
      </c>
      <c r="AJ515" s="14" t="str">
        <f aca="false">IF(OR($AE515="",$U515&lt;&gt;"Crédito",N($K515)=0),"",(N($K515)-IF(OR($M515="Cerrada",$M515="Rolada"),N($O515),0))/$K515)</f>
        <v/>
      </c>
      <c r="AK515" s="15" t="str">
        <f aca="false">IF(OR($C515="",$N515=""),"",DATE(YEAR($N515),MONTH($N515),1))</f>
        <v/>
      </c>
      <c r="AL515" s="11" t="str">
        <f aca="false">IF($C515="","",IF($M515="Abierta",0,1))</f>
        <v/>
      </c>
      <c r="AM515" s="16" t="str">
        <f aca="false">IF(OR($AE515="",$AD515=""),"",$AD515*MAX(N($X515),1))</f>
        <v/>
      </c>
      <c r="AN515" s="10" t="str">
        <f aca="false">IF($C515="","",IF(OR($B515="",$D515="",$H515="",$K515="",$M515=""),"Faltan datos obligatorios",IF($T515="","Estrategia no reconocida",IF(AND($M515&lt;&gt;"Abierta",$N515=""),"Falta fecha cierre",IF(AND(OR($M515="Cerrada",$M515="Rolada"),$O515=""),"Falta prima cierre",IF(AND($N515&lt;&gt;"",$N515&lt;$B515),"Cierre anterior a apertura",IF(AND($M515="Asignada",$R515=""),"Asignada: falta ID lote acciones",IF(AND($R515&lt;&gt;"",ISNA(MATCH($R515,Acciones!$A$2:$A$201,0))),"El ID lote no existe en Acciones",IF($AD515="","Revisa capital en riesgo","OK")))))))))</f>
        <v/>
      </c>
    </row>
    <row r="516" customFormat="false" ht="15" hidden="false" customHeight="true" outlineLevel="0" collapsed="false">
      <c r="A516" s="5"/>
      <c r="B516" s="6"/>
      <c r="C516" s="7"/>
      <c r="D516" s="7"/>
      <c r="E516" s="8"/>
      <c r="F516" s="8"/>
      <c r="G516" s="6"/>
      <c r="H516" s="5"/>
      <c r="I516" s="5" t="n">
        <v>100</v>
      </c>
      <c r="J516" s="8"/>
      <c r="K516" s="8"/>
      <c r="L516" s="9"/>
      <c r="M516" s="7"/>
      <c r="N516" s="6"/>
      <c r="O516" s="8"/>
      <c r="P516" s="9"/>
      <c r="Q516" s="9"/>
      <c r="R516" s="7"/>
      <c r="S516" s="7"/>
      <c r="T516" s="10" t="str">
        <f aca="false">IF($C516="","",IFERROR(INDEX(Listas!$B$2:$B$20,MATCH($D516,Listas!$A$2:$A$20,0)),""))</f>
        <v/>
      </c>
      <c r="U516" s="10" t="str">
        <f aca="false">IF($C516="","",IFERROR(INDEX(Listas!$C$2:$C$20,MATCH($D516,Listas!$A$2:$A$20,0)),""))</f>
        <v/>
      </c>
      <c r="V516" s="10" t="str">
        <f aca="false">IF($C516="","",IFERROR(INDEX(Listas!$D$2:$D$20,MATCH($D516,Listas!$A$2:$A$20,0)),""))</f>
        <v/>
      </c>
      <c r="W516" s="11" t="str">
        <f aca="false">IF(OR($C516="",$B516="",$G516=""),"",$G516-$B516)</f>
        <v/>
      </c>
      <c r="X516" s="11" t="str">
        <f aca="true">IF(OR($C516="",$B516=""),"",IF($N516&lt;&gt;"",$N516,TODAY())-$B516)</f>
        <v/>
      </c>
      <c r="Y516" s="11" t="str">
        <f aca="true">IF(OR($C516="",$M516&lt;&gt;"Abierta",$G516=""),"",MAX($G516-TODAY(),0))</f>
        <v/>
      </c>
      <c r="Z516" s="12" t="str">
        <f aca="false">IF($C516="","",N($K516)*N($H516)*N($I516)*IF($U516="Débito",-1,1))</f>
        <v/>
      </c>
      <c r="AA516" s="13" t="str">
        <f aca="false">IF($C516="","",IF(AND($U516="Débito",$F516&lt;&gt;""),$F516,$E516))</f>
        <v/>
      </c>
      <c r="AB516" s="13" t="str">
        <f aca="false">IF(OR($C516="",$T516="Mixta",$AA516=""),"",IF($V516="Subyacente",IF($J516="","",$J516-$K516),IF($T516="Put",$AA516-$K516,$AA516+$K516)))</f>
        <v/>
      </c>
      <c r="AC516" s="14" t="str">
        <f aca="false">IF(OR($C516="",$T516="Mixta",$J516="",$AA516=""),"",IF($T516="Put",($J516-$AA516)/$J516,($AA516-$J516)/$J516))</f>
        <v/>
      </c>
      <c r="AD516" s="12" t="str">
        <f aca="false">IF($C516="","",IF($Q516&lt;&gt;"",$Q516,IF($V516="Strike",N($E516)*$H516*$I516,IF($V516="Subyacente",IF($J516="","",$J516*$H516*$I516),IF($V516="Ancho",IF($F516="","",ABS($E516-$F516)*$H516*$I516-$K516*$H516*$I516),IF($V516="Prima",$K516*$H516*$I516,""))))))</f>
        <v/>
      </c>
      <c r="AE516" s="12" t="str">
        <f aca="false">IF(OR($C516="",$M516="Abierta",$M516=""),"",(N($K516)-IF(OR($M516="Cerrada",$M516="Rolada"),N($O516),0))*$H516*$I516*IF($U516="Débito",-1,1)-N($L516)-N($P516))</f>
        <v/>
      </c>
      <c r="AF516" s="14" t="str">
        <f aca="false">IF(OR($AE516="",$AD516=""),"",IF($AD516&lt;=0,"",$AE516/$AD516))</f>
        <v/>
      </c>
      <c r="AG516" s="14" t="str">
        <f aca="false">IF($AF516="","",$AF516*365/MAX(N($X516),1))</f>
        <v/>
      </c>
      <c r="AH516" s="14" t="str">
        <f aca="false">IF(OR($C516="",$U516&lt;&gt;"Crédito",$AD516=""),"",IF($AD516&lt;=0,"",($Z516-N($L516))/$AD516))</f>
        <v/>
      </c>
      <c r="AI516" s="14" t="str">
        <f aca="false">IF(OR($AH516="",$W516=""),"",$AH516*365/MAX($W516,1))</f>
        <v/>
      </c>
      <c r="AJ516" s="14" t="str">
        <f aca="false">IF(OR($AE516="",$U516&lt;&gt;"Crédito",N($K516)=0),"",(N($K516)-IF(OR($M516="Cerrada",$M516="Rolada"),N($O516),0))/$K516)</f>
        <v/>
      </c>
      <c r="AK516" s="15" t="str">
        <f aca="false">IF(OR($C516="",$N516=""),"",DATE(YEAR($N516),MONTH($N516),1))</f>
        <v/>
      </c>
      <c r="AL516" s="11" t="str">
        <f aca="false">IF($C516="","",IF($M516="Abierta",0,1))</f>
        <v/>
      </c>
      <c r="AM516" s="16" t="str">
        <f aca="false">IF(OR($AE516="",$AD516=""),"",$AD516*MAX(N($X516),1))</f>
        <v/>
      </c>
      <c r="AN516" s="10" t="str">
        <f aca="false">IF($C516="","",IF(OR($B516="",$D516="",$H516="",$K516="",$M516=""),"Faltan datos obligatorios",IF($T516="","Estrategia no reconocida",IF(AND($M516&lt;&gt;"Abierta",$N516=""),"Falta fecha cierre",IF(AND(OR($M516="Cerrada",$M516="Rolada"),$O516=""),"Falta prima cierre",IF(AND($N516&lt;&gt;"",$N516&lt;$B516),"Cierre anterior a apertura",IF(AND($M516="Asignada",$R516=""),"Asignada: falta ID lote acciones",IF(AND($R516&lt;&gt;"",ISNA(MATCH($R516,Acciones!$A$2:$A$201,0))),"El ID lote no existe en Acciones",IF($AD516="","Revisa capital en riesgo","OK")))))))))</f>
        <v/>
      </c>
    </row>
    <row r="517" customFormat="false" ht="15" hidden="false" customHeight="true" outlineLevel="0" collapsed="false">
      <c r="A517" s="5"/>
      <c r="B517" s="6"/>
      <c r="C517" s="7"/>
      <c r="D517" s="7"/>
      <c r="E517" s="8"/>
      <c r="F517" s="8"/>
      <c r="G517" s="6"/>
      <c r="H517" s="5"/>
      <c r="I517" s="5" t="n">
        <v>100</v>
      </c>
      <c r="J517" s="8"/>
      <c r="K517" s="8"/>
      <c r="L517" s="9"/>
      <c r="M517" s="7"/>
      <c r="N517" s="6"/>
      <c r="O517" s="8"/>
      <c r="P517" s="9"/>
      <c r="Q517" s="9"/>
      <c r="R517" s="7"/>
      <c r="S517" s="7"/>
      <c r="T517" s="10" t="str">
        <f aca="false">IF($C517="","",IFERROR(INDEX(Listas!$B$2:$B$20,MATCH($D517,Listas!$A$2:$A$20,0)),""))</f>
        <v/>
      </c>
      <c r="U517" s="10" t="str">
        <f aca="false">IF($C517="","",IFERROR(INDEX(Listas!$C$2:$C$20,MATCH($D517,Listas!$A$2:$A$20,0)),""))</f>
        <v/>
      </c>
      <c r="V517" s="10" t="str">
        <f aca="false">IF($C517="","",IFERROR(INDEX(Listas!$D$2:$D$20,MATCH($D517,Listas!$A$2:$A$20,0)),""))</f>
        <v/>
      </c>
      <c r="W517" s="11" t="str">
        <f aca="false">IF(OR($C517="",$B517="",$G517=""),"",$G517-$B517)</f>
        <v/>
      </c>
      <c r="X517" s="11" t="str">
        <f aca="true">IF(OR($C517="",$B517=""),"",IF($N517&lt;&gt;"",$N517,TODAY())-$B517)</f>
        <v/>
      </c>
      <c r="Y517" s="11" t="str">
        <f aca="true">IF(OR($C517="",$M517&lt;&gt;"Abierta",$G517=""),"",MAX($G517-TODAY(),0))</f>
        <v/>
      </c>
      <c r="Z517" s="12" t="str">
        <f aca="false">IF($C517="","",N($K517)*N($H517)*N($I517)*IF($U517="Débito",-1,1))</f>
        <v/>
      </c>
      <c r="AA517" s="13" t="str">
        <f aca="false">IF($C517="","",IF(AND($U517="Débito",$F517&lt;&gt;""),$F517,$E517))</f>
        <v/>
      </c>
      <c r="AB517" s="13" t="str">
        <f aca="false">IF(OR($C517="",$T517="Mixta",$AA517=""),"",IF($V517="Subyacente",IF($J517="","",$J517-$K517),IF($T517="Put",$AA517-$K517,$AA517+$K517)))</f>
        <v/>
      </c>
      <c r="AC517" s="14" t="str">
        <f aca="false">IF(OR($C517="",$T517="Mixta",$J517="",$AA517=""),"",IF($T517="Put",($J517-$AA517)/$J517,($AA517-$J517)/$J517))</f>
        <v/>
      </c>
      <c r="AD517" s="12" t="str">
        <f aca="false">IF($C517="","",IF($Q517&lt;&gt;"",$Q517,IF($V517="Strike",N($E517)*$H517*$I517,IF($V517="Subyacente",IF($J517="","",$J517*$H517*$I517),IF($V517="Ancho",IF($F517="","",ABS($E517-$F517)*$H517*$I517-$K517*$H517*$I517),IF($V517="Prima",$K517*$H517*$I517,""))))))</f>
        <v/>
      </c>
      <c r="AE517" s="12" t="str">
        <f aca="false">IF(OR($C517="",$M517="Abierta",$M517=""),"",(N($K517)-IF(OR($M517="Cerrada",$M517="Rolada"),N($O517),0))*$H517*$I517*IF($U517="Débito",-1,1)-N($L517)-N($P517))</f>
        <v/>
      </c>
      <c r="AF517" s="14" t="str">
        <f aca="false">IF(OR($AE517="",$AD517=""),"",IF($AD517&lt;=0,"",$AE517/$AD517))</f>
        <v/>
      </c>
      <c r="AG517" s="14" t="str">
        <f aca="false">IF($AF517="","",$AF517*365/MAX(N($X517),1))</f>
        <v/>
      </c>
      <c r="AH517" s="14" t="str">
        <f aca="false">IF(OR($C517="",$U517&lt;&gt;"Crédito",$AD517=""),"",IF($AD517&lt;=0,"",($Z517-N($L517))/$AD517))</f>
        <v/>
      </c>
      <c r="AI517" s="14" t="str">
        <f aca="false">IF(OR($AH517="",$W517=""),"",$AH517*365/MAX($W517,1))</f>
        <v/>
      </c>
      <c r="AJ517" s="14" t="str">
        <f aca="false">IF(OR($AE517="",$U517&lt;&gt;"Crédito",N($K517)=0),"",(N($K517)-IF(OR($M517="Cerrada",$M517="Rolada"),N($O517),0))/$K517)</f>
        <v/>
      </c>
      <c r="AK517" s="15" t="str">
        <f aca="false">IF(OR($C517="",$N517=""),"",DATE(YEAR($N517),MONTH($N517),1))</f>
        <v/>
      </c>
      <c r="AL517" s="11" t="str">
        <f aca="false">IF($C517="","",IF($M517="Abierta",0,1))</f>
        <v/>
      </c>
      <c r="AM517" s="16" t="str">
        <f aca="false">IF(OR($AE517="",$AD517=""),"",$AD517*MAX(N($X517),1))</f>
        <v/>
      </c>
      <c r="AN517" s="10" t="str">
        <f aca="false">IF($C517="","",IF(OR($B517="",$D517="",$H517="",$K517="",$M517=""),"Faltan datos obligatorios",IF($T517="","Estrategia no reconocida",IF(AND($M517&lt;&gt;"Abierta",$N517=""),"Falta fecha cierre",IF(AND(OR($M517="Cerrada",$M517="Rolada"),$O517=""),"Falta prima cierre",IF(AND($N517&lt;&gt;"",$N517&lt;$B517),"Cierre anterior a apertura",IF(AND($M517="Asignada",$R517=""),"Asignada: falta ID lote acciones",IF(AND($R517&lt;&gt;"",ISNA(MATCH($R517,Acciones!$A$2:$A$201,0))),"El ID lote no existe en Acciones",IF($AD517="","Revisa capital en riesgo","OK")))))))))</f>
        <v/>
      </c>
    </row>
    <row r="518" customFormat="false" ht="15" hidden="false" customHeight="true" outlineLevel="0" collapsed="false">
      <c r="A518" s="5"/>
      <c r="B518" s="6"/>
      <c r="C518" s="7"/>
      <c r="D518" s="7"/>
      <c r="E518" s="8"/>
      <c r="F518" s="8"/>
      <c r="G518" s="6"/>
      <c r="H518" s="5"/>
      <c r="I518" s="5" t="n">
        <v>100</v>
      </c>
      <c r="J518" s="8"/>
      <c r="K518" s="8"/>
      <c r="L518" s="9"/>
      <c r="M518" s="7"/>
      <c r="N518" s="6"/>
      <c r="O518" s="8"/>
      <c r="P518" s="9"/>
      <c r="Q518" s="9"/>
      <c r="R518" s="7"/>
      <c r="S518" s="7"/>
      <c r="T518" s="10" t="str">
        <f aca="false">IF($C518="","",IFERROR(INDEX(Listas!$B$2:$B$20,MATCH($D518,Listas!$A$2:$A$20,0)),""))</f>
        <v/>
      </c>
      <c r="U518" s="10" t="str">
        <f aca="false">IF($C518="","",IFERROR(INDEX(Listas!$C$2:$C$20,MATCH($D518,Listas!$A$2:$A$20,0)),""))</f>
        <v/>
      </c>
      <c r="V518" s="10" t="str">
        <f aca="false">IF($C518="","",IFERROR(INDEX(Listas!$D$2:$D$20,MATCH($D518,Listas!$A$2:$A$20,0)),""))</f>
        <v/>
      </c>
      <c r="W518" s="11" t="str">
        <f aca="false">IF(OR($C518="",$B518="",$G518=""),"",$G518-$B518)</f>
        <v/>
      </c>
      <c r="X518" s="11" t="str">
        <f aca="true">IF(OR($C518="",$B518=""),"",IF($N518&lt;&gt;"",$N518,TODAY())-$B518)</f>
        <v/>
      </c>
      <c r="Y518" s="11" t="str">
        <f aca="true">IF(OR($C518="",$M518&lt;&gt;"Abierta",$G518=""),"",MAX($G518-TODAY(),0))</f>
        <v/>
      </c>
      <c r="Z518" s="12" t="str">
        <f aca="false">IF($C518="","",N($K518)*N($H518)*N($I518)*IF($U518="Débito",-1,1))</f>
        <v/>
      </c>
      <c r="AA518" s="13" t="str">
        <f aca="false">IF($C518="","",IF(AND($U518="Débito",$F518&lt;&gt;""),$F518,$E518))</f>
        <v/>
      </c>
      <c r="AB518" s="13" t="str">
        <f aca="false">IF(OR($C518="",$T518="Mixta",$AA518=""),"",IF($V518="Subyacente",IF($J518="","",$J518-$K518),IF($T518="Put",$AA518-$K518,$AA518+$K518)))</f>
        <v/>
      </c>
      <c r="AC518" s="14" t="str">
        <f aca="false">IF(OR($C518="",$T518="Mixta",$J518="",$AA518=""),"",IF($T518="Put",($J518-$AA518)/$J518,($AA518-$J518)/$J518))</f>
        <v/>
      </c>
      <c r="AD518" s="12" t="str">
        <f aca="false">IF($C518="","",IF($Q518&lt;&gt;"",$Q518,IF($V518="Strike",N($E518)*$H518*$I518,IF($V518="Subyacente",IF($J518="","",$J518*$H518*$I518),IF($V518="Ancho",IF($F518="","",ABS($E518-$F518)*$H518*$I518-$K518*$H518*$I518),IF($V518="Prima",$K518*$H518*$I518,""))))))</f>
        <v/>
      </c>
      <c r="AE518" s="12" t="str">
        <f aca="false">IF(OR($C518="",$M518="Abierta",$M518=""),"",(N($K518)-IF(OR($M518="Cerrada",$M518="Rolada"),N($O518),0))*$H518*$I518*IF($U518="Débito",-1,1)-N($L518)-N($P518))</f>
        <v/>
      </c>
      <c r="AF518" s="14" t="str">
        <f aca="false">IF(OR($AE518="",$AD518=""),"",IF($AD518&lt;=0,"",$AE518/$AD518))</f>
        <v/>
      </c>
      <c r="AG518" s="14" t="str">
        <f aca="false">IF($AF518="","",$AF518*365/MAX(N($X518),1))</f>
        <v/>
      </c>
      <c r="AH518" s="14" t="str">
        <f aca="false">IF(OR($C518="",$U518&lt;&gt;"Crédito",$AD518=""),"",IF($AD518&lt;=0,"",($Z518-N($L518))/$AD518))</f>
        <v/>
      </c>
      <c r="AI518" s="14" t="str">
        <f aca="false">IF(OR($AH518="",$W518=""),"",$AH518*365/MAX($W518,1))</f>
        <v/>
      </c>
      <c r="AJ518" s="14" t="str">
        <f aca="false">IF(OR($AE518="",$U518&lt;&gt;"Crédito",N($K518)=0),"",(N($K518)-IF(OR($M518="Cerrada",$M518="Rolada"),N($O518),0))/$K518)</f>
        <v/>
      </c>
      <c r="AK518" s="15" t="str">
        <f aca="false">IF(OR($C518="",$N518=""),"",DATE(YEAR($N518),MONTH($N518),1))</f>
        <v/>
      </c>
      <c r="AL518" s="11" t="str">
        <f aca="false">IF($C518="","",IF($M518="Abierta",0,1))</f>
        <v/>
      </c>
      <c r="AM518" s="16" t="str">
        <f aca="false">IF(OR($AE518="",$AD518=""),"",$AD518*MAX(N($X518),1))</f>
        <v/>
      </c>
      <c r="AN518" s="10" t="str">
        <f aca="false">IF($C518="","",IF(OR($B518="",$D518="",$H518="",$K518="",$M518=""),"Faltan datos obligatorios",IF($T518="","Estrategia no reconocida",IF(AND($M518&lt;&gt;"Abierta",$N518=""),"Falta fecha cierre",IF(AND(OR($M518="Cerrada",$M518="Rolada"),$O518=""),"Falta prima cierre",IF(AND($N518&lt;&gt;"",$N518&lt;$B518),"Cierre anterior a apertura",IF(AND($M518="Asignada",$R518=""),"Asignada: falta ID lote acciones",IF(AND($R518&lt;&gt;"",ISNA(MATCH($R518,Acciones!$A$2:$A$201,0))),"El ID lote no existe en Acciones",IF($AD518="","Revisa capital en riesgo","OK")))))))))</f>
        <v/>
      </c>
    </row>
    <row r="519" customFormat="false" ht="15" hidden="false" customHeight="true" outlineLevel="0" collapsed="false">
      <c r="A519" s="5"/>
      <c r="B519" s="6"/>
      <c r="C519" s="7"/>
      <c r="D519" s="7"/>
      <c r="E519" s="8"/>
      <c r="F519" s="8"/>
      <c r="G519" s="6"/>
      <c r="H519" s="5"/>
      <c r="I519" s="5" t="n">
        <v>100</v>
      </c>
      <c r="J519" s="8"/>
      <c r="K519" s="8"/>
      <c r="L519" s="9"/>
      <c r="M519" s="7"/>
      <c r="N519" s="6"/>
      <c r="O519" s="8"/>
      <c r="P519" s="9"/>
      <c r="Q519" s="9"/>
      <c r="R519" s="7"/>
      <c r="S519" s="7"/>
      <c r="T519" s="10" t="str">
        <f aca="false">IF($C519="","",IFERROR(INDEX(Listas!$B$2:$B$20,MATCH($D519,Listas!$A$2:$A$20,0)),""))</f>
        <v/>
      </c>
      <c r="U519" s="10" t="str">
        <f aca="false">IF($C519="","",IFERROR(INDEX(Listas!$C$2:$C$20,MATCH($D519,Listas!$A$2:$A$20,0)),""))</f>
        <v/>
      </c>
      <c r="V519" s="10" t="str">
        <f aca="false">IF($C519="","",IFERROR(INDEX(Listas!$D$2:$D$20,MATCH($D519,Listas!$A$2:$A$20,0)),""))</f>
        <v/>
      </c>
      <c r="W519" s="11" t="str">
        <f aca="false">IF(OR($C519="",$B519="",$G519=""),"",$G519-$B519)</f>
        <v/>
      </c>
      <c r="X519" s="11" t="str">
        <f aca="true">IF(OR($C519="",$B519=""),"",IF($N519&lt;&gt;"",$N519,TODAY())-$B519)</f>
        <v/>
      </c>
      <c r="Y519" s="11" t="str">
        <f aca="true">IF(OR($C519="",$M519&lt;&gt;"Abierta",$G519=""),"",MAX($G519-TODAY(),0))</f>
        <v/>
      </c>
      <c r="Z519" s="12" t="str">
        <f aca="false">IF($C519="","",N($K519)*N($H519)*N($I519)*IF($U519="Débito",-1,1))</f>
        <v/>
      </c>
      <c r="AA519" s="13" t="str">
        <f aca="false">IF($C519="","",IF(AND($U519="Débito",$F519&lt;&gt;""),$F519,$E519))</f>
        <v/>
      </c>
      <c r="AB519" s="13" t="str">
        <f aca="false">IF(OR($C519="",$T519="Mixta",$AA519=""),"",IF($V519="Subyacente",IF($J519="","",$J519-$K519),IF($T519="Put",$AA519-$K519,$AA519+$K519)))</f>
        <v/>
      </c>
      <c r="AC519" s="14" t="str">
        <f aca="false">IF(OR($C519="",$T519="Mixta",$J519="",$AA519=""),"",IF($T519="Put",($J519-$AA519)/$J519,($AA519-$J519)/$J519))</f>
        <v/>
      </c>
      <c r="AD519" s="12" t="str">
        <f aca="false">IF($C519="","",IF($Q519&lt;&gt;"",$Q519,IF($V519="Strike",N($E519)*$H519*$I519,IF($V519="Subyacente",IF($J519="","",$J519*$H519*$I519),IF($V519="Ancho",IF($F519="","",ABS($E519-$F519)*$H519*$I519-$K519*$H519*$I519),IF($V519="Prima",$K519*$H519*$I519,""))))))</f>
        <v/>
      </c>
      <c r="AE519" s="12" t="str">
        <f aca="false">IF(OR($C519="",$M519="Abierta",$M519=""),"",(N($K519)-IF(OR($M519="Cerrada",$M519="Rolada"),N($O519),0))*$H519*$I519*IF($U519="Débito",-1,1)-N($L519)-N($P519))</f>
        <v/>
      </c>
      <c r="AF519" s="14" t="str">
        <f aca="false">IF(OR($AE519="",$AD519=""),"",IF($AD519&lt;=0,"",$AE519/$AD519))</f>
        <v/>
      </c>
      <c r="AG519" s="14" t="str">
        <f aca="false">IF($AF519="","",$AF519*365/MAX(N($X519),1))</f>
        <v/>
      </c>
      <c r="AH519" s="14" t="str">
        <f aca="false">IF(OR($C519="",$U519&lt;&gt;"Crédito",$AD519=""),"",IF($AD519&lt;=0,"",($Z519-N($L519))/$AD519))</f>
        <v/>
      </c>
      <c r="AI519" s="14" t="str">
        <f aca="false">IF(OR($AH519="",$W519=""),"",$AH519*365/MAX($W519,1))</f>
        <v/>
      </c>
      <c r="AJ519" s="14" t="str">
        <f aca="false">IF(OR($AE519="",$U519&lt;&gt;"Crédito",N($K519)=0),"",(N($K519)-IF(OR($M519="Cerrada",$M519="Rolada"),N($O519),0))/$K519)</f>
        <v/>
      </c>
      <c r="AK519" s="15" t="str">
        <f aca="false">IF(OR($C519="",$N519=""),"",DATE(YEAR($N519),MONTH($N519),1))</f>
        <v/>
      </c>
      <c r="AL519" s="11" t="str">
        <f aca="false">IF($C519="","",IF($M519="Abierta",0,1))</f>
        <v/>
      </c>
      <c r="AM519" s="16" t="str">
        <f aca="false">IF(OR($AE519="",$AD519=""),"",$AD519*MAX(N($X519),1))</f>
        <v/>
      </c>
      <c r="AN519" s="10" t="str">
        <f aca="false">IF($C519="","",IF(OR($B519="",$D519="",$H519="",$K519="",$M519=""),"Faltan datos obligatorios",IF($T519="","Estrategia no reconocida",IF(AND($M519&lt;&gt;"Abierta",$N519=""),"Falta fecha cierre",IF(AND(OR($M519="Cerrada",$M519="Rolada"),$O519=""),"Falta prima cierre",IF(AND($N519&lt;&gt;"",$N519&lt;$B519),"Cierre anterior a apertura",IF(AND($M519="Asignada",$R519=""),"Asignada: falta ID lote acciones",IF(AND($R519&lt;&gt;"",ISNA(MATCH($R519,Acciones!$A$2:$A$201,0))),"El ID lote no existe en Acciones",IF($AD519="","Revisa capital en riesgo","OK")))))))))</f>
        <v/>
      </c>
    </row>
    <row r="520" customFormat="false" ht="15" hidden="false" customHeight="true" outlineLevel="0" collapsed="false">
      <c r="A520" s="5"/>
      <c r="B520" s="6"/>
      <c r="C520" s="7"/>
      <c r="D520" s="7"/>
      <c r="E520" s="8"/>
      <c r="F520" s="8"/>
      <c r="G520" s="6"/>
      <c r="H520" s="5"/>
      <c r="I520" s="5" t="n">
        <v>100</v>
      </c>
      <c r="J520" s="8"/>
      <c r="K520" s="8"/>
      <c r="L520" s="9"/>
      <c r="M520" s="7"/>
      <c r="N520" s="6"/>
      <c r="O520" s="8"/>
      <c r="P520" s="9"/>
      <c r="Q520" s="9"/>
      <c r="R520" s="7"/>
      <c r="S520" s="7"/>
      <c r="T520" s="10" t="str">
        <f aca="false">IF($C520="","",IFERROR(INDEX(Listas!$B$2:$B$20,MATCH($D520,Listas!$A$2:$A$20,0)),""))</f>
        <v/>
      </c>
      <c r="U520" s="10" t="str">
        <f aca="false">IF($C520="","",IFERROR(INDEX(Listas!$C$2:$C$20,MATCH($D520,Listas!$A$2:$A$20,0)),""))</f>
        <v/>
      </c>
      <c r="V520" s="10" t="str">
        <f aca="false">IF($C520="","",IFERROR(INDEX(Listas!$D$2:$D$20,MATCH($D520,Listas!$A$2:$A$20,0)),""))</f>
        <v/>
      </c>
      <c r="W520" s="11" t="str">
        <f aca="false">IF(OR($C520="",$B520="",$G520=""),"",$G520-$B520)</f>
        <v/>
      </c>
      <c r="X520" s="11" t="str">
        <f aca="true">IF(OR($C520="",$B520=""),"",IF($N520&lt;&gt;"",$N520,TODAY())-$B520)</f>
        <v/>
      </c>
      <c r="Y520" s="11" t="str">
        <f aca="true">IF(OR($C520="",$M520&lt;&gt;"Abierta",$G520=""),"",MAX($G520-TODAY(),0))</f>
        <v/>
      </c>
      <c r="Z520" s="12" t="str">
        <f aca="false">IF($C520="","",N($K520)*N($H520)*N($I520)*IF($U520="Débito",-1,1))</f>
        <v/>
      </c>
      <c r="AA520" s="13" t="str">
        <f aca="false">IF($C520="","",IF(AND($U520="Débito",$F520&lt;&gt;""),$F520,$E520))</f>
        <v/>
      </c>
      <c r="AB520" s="13" t="str">
        <f aca="false">IF(OR($C520="",$T520="Mixta",$AA520=""),"",IF($V520="Subyacente",IF($J520="","",$J520-$K520),IF($T520="Put",$AA520-$K520,$AA520+$K520)))</f>
        <v/>
      </c>
      <c r="AC520" s="14" t="str">
        <f aca="false">IF(OR($C520="",$T520="Mixta",$J520="",$AA520=""),"",IF($T520="Put",($J520-$AA520)/$J520,($AA520-$J520)/$J520))</f>
        <v/>
      </c>
      <c r="AD520" s="12" t="str">
        <f aca="false">IF($C520="","",IF($Q520&lt;&gt;"",$Q520,IF($V520="Strike",N($E520)*$H520*$I520,IF($V520="Subyacente",IF($J520="","",$J520*$H520*$I520),IF($V520="Ancho",IF($F520="","",ABS($E520-$F520)*$H520*$I520-$K520*$H520*$I520),IF($V520="Prima",$K520*$H520*$I520,""))))))</f>
        <v/>
      </c>
      <c r="AE520" s="12" t="str">
        <f aca="false">IF(OR($C520="",$M520="Abierta",$M520=""),"",(N($K520)-IF(OR($M520="Cerrada",$M520="Rolada"),N($O520),0))*$H520*$I520*IF($U520="Débito",-1,1)-N($L520)-N($P520))</f>
        <v/>
      </c>
      <c r="AF520" s="14" t="str">
        <f aca="false">IF(OR($AE520="",$AD520=""),"",IF($AD520&lt;=0,"",$AE520/$AD520))</f>
        <v/>
      </c>
      <c r="AG520" s="14" t="str">
        <f aca="false">IF($AF520="","",$AF520*365/MAX(N($X520),1))</f>
        <v/>
      </c>
      <c r="AH520" s="14" t="str">
        <f aca="false">IF(OR($C520="",$U520&lt;&gt;"Crédito",$AD520=""),"",IF($AD520&lt;=0,"",($Z520-N($L520))/$AD520))</f>
        <v/>
      </c>
      <c r="AI520" s="14" t="str">
        <f aca="false">IF(OR($AH520="",$W520=""),"",$AH520*365/MAX($W520,1))</f>
        <v/>
      </c>
      <c r="AJ520" s="14" t="str">
        <f aca="false">IF(OR($AE520="",$U520&lt;&gt;"Crédito",N($K520)=0),"",(N($K520)-IF(OR($M520="Cerrada",$M520="Rolada"),N($O520),0))/$K520)</f>
        <v/>
      </c>
      <c r="AK520" s="15" t="str">
        <f aca="false">IF(OR($C520="",$N520=""),"",DATE(YEAR($N520),MONTH($N520),1))</f>
        <v/>
      </c>
      <c r="AL520" s="11" t="str">
        <f aca="false">IF($C520="","",IF($M520="Abierta",0,1))</f>
        <v/>
      </c>
      <c r="AM520" s="16" t="str">
        <f aca="false">IF(OR($AE520="",$AD520=""),"",$AD520*MAX(N($X520),1))</f>
        <v/>
      </c>
      <c r="AN520" s="10" t="str">
        <f aca="false">IF($C520="","",IF(OR($B520="",$D520="",$H520="",$K520="",$M520=""),"Faltan datos obligatorios",IF($T520="","Estrategia no reconocida",IF(AND($M520&lt;&gt;"Abierta",$N520=""),"Falta fecha cierre",IF(AND(OR($M520="Cerrada",$M520="Rolada"),$O520=""),"Falta prima cierre",IF(AND($N520&lt;&gt;"",$N520&lt;$B520),"Cierre anterior a apertura",IF(AND($M520="Asignada",$R520=""),"Asignada: falta ID lote acciones",IF(AND($R520&lt;&gt;"",ISNA(MATCH($R520,Acciones!$A$2:$A$201,0))),"El ID lote no existe en Acciones",IF($AD520="","Revisa capital en riesgo","OK")))))))))</f>
        <v/>
      </c>
    </row>
    <row r="521" customFormat="false" ht="15" hidden="false" customHeight="true" outlineLevel="0" collapsed="false">
      <c r="A521" s="5"/>
      <c r="B521" s="6"/>
      <c r="C521" s="7"/>
      <c r="D521" s="7"/>
      <c r="E521" s="8"/>
      <c r="F521" s="8"/>
      <c r="G521" s="6"/>
      <c r="H521" s="5"/>
      <c r="I521" s="5" t="n">
        <v>100</v>
      </c>
      <c r="J521" s="8"/>
      <c r="K521" s="8"/>
      <c r="L521" s="9"/>
      <c r="M521" s="7"/>
      <c r="N521" s="6"/>
      <c r="O521" s="8"/>
      <c r="P521" s="9"/>
      <c r="Q521" s="9"/>
      <c r="R521" s="7"/>
      <c r="S521" s="7"/>
      <c r="T521" s="10" t="str">
        <f aca="false">IF($C521="","",IFERROR(INDEX(Listas!$B$2:$B$20,MATCH($D521,Listas!$A$2:$A$20,0)),""))</f>
        <v/>
      </c>
      <c r="U521" s="10" t="str">
        <f aca="false">IF($C521="","",IFERROR(INDEX(Listas!$C$2:$C$20,MATCH($D521,Listas!$A$2:$A$20,0)),""))</f>
        <v/>
      </c>
      <c r="V521" s="10" t="str">
        <f aca="false">IF($C521="","",IFERROR(INDEX(Listas!$D$2:$D$20,MATCH($D521,Listas!$A$2:$A$20,0)),""))</f>
        <v/>
      </c>
      <c r="W521" s="11" t="str">
        <f aca="false">IF(OR($C521="",$B521="",$G521=""),"",$G521-$B521)</f>
        <v/>
      </c>
      <c r="X521" s="11" t="str">
        <f aca="true">IF(OR($C521="",$B521=""),"",IF($N521&lt;&gt;"",$N521,TODAY())-$B521)</f>
        <v/>
      </c>
      <c r="Y521" s="11" t="str">
        <f aca="true">IF(OR($C521="",$M521&lt;&gt;"Abierta",$G521=""),"",MAX($G521-TODAY(),0))</f>
        <v/>
      </c>
      <c r="Z521" s="12" t="str">
        <f aca="false">IF($C521="","",N($K521)*N($H521)*N($I521)*IF($U521="Débito",-1,1))</f>
        <v/>
      </c>
      <c r="AA521" s="13" t="str">
        <f aca="false">IF($C521="","",IF(AND($U521="Débito",$F521&lt;&gt;""),$F521,$E521))</f>
        <v/>
      </c>
      <c r="AB521" s="13" t="str">
        <f aca="false">IF(OR($C521="",$T521="Mixta",$AA521=""),"",IF($V521="Subyacente",IF($J521="","",$J521-$K521),IF($T521="Put",$AA521-$K521,$AA521+$K521)))</f>
        <v/>
      </c>
      <c r="AC521" s="14" t="str">
        <f aca="false">IF(OR($C521="",$T521="Mixta",$J521="",$AA521=""),"",IF($T521="Put",($J521-$AA521)/$J521,($AA521-$J521)/$J521))</f>
        <v/>
      </c>
      <c r="AD521" s="12" t="str">
        <f aca="false">IF($C521="","",IF($Q521&lt;&gt;"",$Q521,IF($V521="Strike",N($E521)*$H521*$I521,IF($V521="Subyacente",IF($J521="","",$J521*$H521*$I521),IF($V521="Ancho",IF($F521="","",ABS($E521-$F521)*$H521*$I521-$K521*$H521*$I521),IF($V521="Prima",$K521*$H521*$I521,""))))))</f>
        <v/>
      </c>
      <c r="AE521" s="12" t="str">
        <f aca="false">IF(OR($C521="",$M521="Abierta",$M521=""),"",(N($K521)-IF(OR($M521="Cerrada",$M521="Rolada"),N($O521),0))*$H521*$I521*IF($U521="Débito",-1,1)-N($L521)-N($P521))</f>
        <v/>
      </c>
      <c r="AF521" s="14" t="str">
        <f aca="false">IF(OR($AE521="",$AD521=""),"",IF($AD521&lt;=0,"",$AE521/$AD521))</f>
        <v/>
      </c>
      <c r="AG521" s="14" t="str">
        <f aca="false">IF($AF521="","",$AF521*365/MAX(N($X521),1))</f>
        <v/>
      </c>
      <c r="AH521" s="14" t="str">
        <f aca="false">IF(OR($C521="",$U521&lt;&gt;"Crédito",$AD521=""),"",IF($AD521&lt;=0,"",($Z521-N($L521))/$AD521))</f>
        <v/>
      </c>
      <c r="AI521" s="14" t="str">
        <f aca="false">IF(OR($AH521="",$W521=""),"",$AH521*365/MAX($W521,1))</f>
        <v/>
      </c>
      <c r="AJ521" s="14" t="str">
        <f aca="false">IF(OR($AE521="",$U521&lt;&gt;"Crédito",N($K521)=0),"",(N($K521)-IF(OR($M521="Cerrada",$M521="Rolada"),N($O521),0))/$K521)</f>
        <v/>
      </c>
      <c r="AK521" s="15" t="str">
        <f aca="false">IF(OR($C521="",$N521=""),"",DATE(YEAR($N521),MONTH($N521),1))</f>
        <v/>
      </c>
      <c r="AL521" s="11" t="str">
        <f aca="false">IF($C521="","",IF($M521="Abierta",0,1))</f>
        <v/>
      </c>
      <c r="AM521" s="16" t="str">
        <f aca="false">IF(OR($AE521="",$AD521=""),"",$AD521*MAX(N($X521),1))</f>
        <v/>
      </c>
      <c r="AN521" s="10" t="str">
        <f aca="false">IF($C521="","",IF(OR($B521="",$D521="",$H521="",$K521="",$M521=""),"Faltan datos obligatorios",IF($T521="","Estrategia no reconocida",IF(AND($M521&lt;&gt;"Abierta",$N521=""),"Falta fecha cierre",IF(AND(OR($M521="Cerrada",$M521="Rolada"),$O521=""),"Falta prima cierre",IF(AND($N521&lt;&gt;"",$N521&lt;$B521),"Cierre anterior a apertura",IF(AND($M521="Asignada",$R521=""),"Asignada: falta ID lote acciones",IF(AND($R521&lt;&gt;"",ISNA(MATCH($R521,Acciones!$A$2:$A$201,0))),"El ID lote no existe en Acciones",IF($AD521="","Revisa capital en riesgo","OK")))))))))</f>
        <v/>
      </c>
    </row>
    <row r="522" customFormat="false" ht="15" hidden="false" customHeight="true" outlineLevel="0" collapsed="false">
      <c r="A522" s="5"/>
      <c r="B522" s="6"/>
      <c r="C522" s="7"/>
      <c r="D522" s="7"/>
      <c r="E522" s="8"/>
      <c r="F522" s="8"/>
      <c r="G522" s="6"/>
      <c r="H522" s="5"/>
      <c r="I522" s="5" t="n">
        <v>100</v>
      </c>
      <c r="J522" s="8"/>
      <c r="K522" s="8"/>
      <c r="L522" s="9"/>
      <c r="M522" s="7"/>
      <c r="N522" s="6"/>
      <c r="O522" s="8"/>
      <c r="P522" s="9"/>
      <c r="Q522" s="9"/>
      <c r="R522" s="7"/>
      <c r="S522" s="7"/>
      <c r="T522" s="10" t="str">
        <f aca="false">IF($C522="","",IFERROR(INDEX(Listas!$B$2:$B$20,MATCH($D522,Listas!$A$2:$A$20,0)),""))</f>
        <v/>
      </c>
      <c r="U522" s="10" t="str">
        <f aca="false">IF($C522="","",IFERROR(INDEX(Listas!$C$2:$C$20,MATCH($D522,Listas!$A$2:$A$20,0)),""))</f>
        <v/>
      </c>
      <c r="V522" s="10" t="str">
        <f aca="false">IF($C522="","",IFERROR(INDEX(Listas!$D$2:$D$20,MATCH($D522,Listas!$A$2:$A$20,0)),""))</f>
        <v/>
      </c>
      <c r="W522" s="11" t="str">
        <f aca="false">IF(OR($C522="",$B522="",$G522=""),"",$G522-$B522)</f>
        <v/>
      </c>
      <c r="X522" s="11" t="str">
        <f aca="true">IF(OR($C522="",$B522=""),"",IF($N522&lt;&gt;"",$N522,TODAY())-$B522)</f>
        <v/>
      </c>
      <c r="Y522" s="11" t="str">
        <f aca="true">IF(OR($C522="",$M522&lt;&gt;"Abierta",$G522=""),"",MAX($G522-TODAY(),0))</f>
        <v/>
      </c>
      <c r="Z522" s="12" t="str">
        <f aca="false">IF($C522="","",N($K522)*N($H522)*N($I522)*IF($U522="Débito",-1,1))</f>
        <v/>
      </c>
      <c r="AA522" s="13" t="str">
        <f aca="false">IF($C522="","",IF(AND($U522="Débito",$F522&lt;&gt;""),$F522,$E522))</f>
        <v/>
      </c>
      <c r="AB522" s="13" t="str">
        <f aca="false">IF(OR($C522="",$T522="Mixta",$AA522=""),"",IF($V522="Subyacente",IF($J522="","",$J522-$K522),IF($T522="Put",$AA522-$K522,$AA522+$K522)))</f>
        <v/>
      </c>
      <c r="AC522" s="14" t="str">
        <f aca="false">IF(OR($C522="",$T522="Mixta",$J522="",$AA522=""),"",IF($T522="Put",($J522-$AA522)/$J522,($AA522-$J522)/$J522))</f>
        <v/>
      </c>
      <c r="AD522" s="12" t="str">
        <f aca="false">IF($C522="","",IF($Q522&lt;&gt;"",$Q522,IF($V522="Strike",N($E522)*$H522*$I522,IF($V522="Subyacente",IF($J522="","",$J522*$H522*$I522),IF($V522="Ancho",IF($F522="","",ABS($E522-$F522)*$H522*$I522-$K522*$H522*$I522),IF($V522="Prima",$K522*$H522*$I522,""))))))</f>
        <v/>
      </c>
      <c r="AE522" s="12" t="str">
        <f aca="false">IF(OR($C522="",$M522="Abierta",$M522=""),"",(N($K522)-IF(OR($M522="Cerrada",$M522="Rolada"),N($O522),0))*$H522*$I522*IF($U522="Débito",-1,1)-N($L522)-N($P522))</f>
        <v/>
      </c>
      <c r="AF522" s="14" t="str">
        <f aca="false">IF(OR($AE522="",$AD522=""),"",IF($AD522&lt;=0,"",$AE522/$AD522))</f>
        <v/>
      </c>
      <c r="AG522" s="14" t="str">
        <f aca="false">IF($AF522="","",$AF522*365/MAX(N($X522),1))</f>
        <v/>
      </c>
      <c r="AH522" s="14" t="str">
        <f aca="false">IF(OR($C522="",$U522&lt;&gt;"Crédito",$AD522=""),"",IF($AD522&lt;=0,"",($Z522-N($L522))/$AD522))</f>
        <v/>
      </c>
      <c r="AI522" s="14" t="str">
        <f aca="false">IF(OR($AH522="",$W522=""),"",$AH522*365/MAX($W522,1))</f>
        <v/>
      </c>
      <c r="AJ522" s="14" t="str">
        <f aca="false">IF(OR($AE522="",$U522&lt;&gt;"Crédito",N($K522)=0),"",(N($K522)-IF(OR($M522="Cerrada",$M522="Rolada"),N($O522),0))/$K522)</f>
        <v/>
      </c>
      <c r="AK522" s="15" t="str">
        <f aca="false">IF(OR($C522="",$N522=""),"",DATE(YEAR($N522),MONTH($N522),1))</f>
        <v/>
      </c>
      <c r="AL522" s="11" t="str">
        <f aca="false">IF($C522="","",IF($M522="Abierta",0,1))</f>
        <v/>
      </c>
      <c r="AM522" s="16" t="str">
        <f aca="false">IF(OR($AE522="",$AD522=""),"",$AD522*MAX(N($X522),1))</f>
        <v/>
      </c>
      <c r="AN522" s="10" t="str">
        <f aca="false">IF($C522="","",IF(OR($B522="",$D522="",$H522="",$K522="",$M522=""),"Faltan datos obligatorios",IF($T522="","Estrategia no reconocida",IF(AND($M522&lt;&gt;"Abierta",$N522=""),"Falta fecha cierre",IF(AND(OR($M522="Cerrada",$M522="Rolada"),$O522=""),"Falta prima cierre",IF(AND($N522&lt;&gt;"",$N522&lt;$B522),"Cierre anterior a apertura",IF(AND($M522="Asignada",$R522=""),"Asignada: falta ID lote acciones",IF(AND($R522&lt;&gt;"",ISNA(MATCH($R522,Acciones!$A$2:$A$201,0))),"El ID lote no existe en Acciones",IF($AD522="","Revisa capital en riesgo","OK")))))))))</f>
        <v/>
      </c>
    </row>
    <row r="523" customFormat="false" ht="15" hidden="false" customHeight="true" outlineLevel="0" collapsed="false">
      <c r="A523" s="5"/>
      <c r="B523" s="6"/>
      <c r="C523" s="7"/>
      <c r="D523" s="7"/>
      <c r="E523" s="8"/>
      <c r="F523" s="8"/>
      <c r="G523" s="6"/>
      <c r="H523" s="5"/>
      <c r="I523" s="5" t="n">
        <v>100</v>
      </c>
      <c r="J523" s="8"/>
      <c r="K523" s="8"/>
      <c r="L523" s="9"/>
      <c r="M523" s="7"/>
      <c r="N523" s="6"/>
      <c r="O523" s="8"/>
      <c r="P523" s="9"/>
      <c r="Q523" s="9"/>
      <c r="R523" s="7"/>
      <c r="S523" s="7"/>
      <c r="T523" s="10" t="str">
        <f aca="false">IF($C523="","",IFERROR(INDEX(Listas!$B$2:$B$20,MATCH($D523,Listas!$A$2:$A$20,0)),""))</f>
        <v/>
      </c>
      <c r="U523" s="10" t="str">
        <f aca="false">IF($C523="","",IFERROR(INDEX(Listas!$C$2:$C$20,MATCH($D523,Listas!$A$2:$A$20,0)),""))</f>
        <v/>
      </c>
      <c r="V523" s="10" t="str">
        <f aca="false">IF($C523="","",IFERROR(INDEX(Listas!$D$2:$D$20,MATCH($D523,Listas!$A$2:$A$20,0)),""))</f>
        <v/>
      </c>
      <c r="W523" s="11" t="str">
        <f aca="false">IF(OR($C523="",$B523="",$G523=""),"",$G523-$B523)</f>
        <v/>
      </c>
      <c r="X523" s="11" t="str">
        <f aca="true">IF(OR($C523="",$B523=""),"",IF($N523&lt;&gt;"",$N523,TODAY())-$B523)</f>
        <v/>
      </c>
      <c r="Y523" s="11" t="str">
        <f aca="true">IF(OR($C523="",$M523&lt;&gt;"Abierta",$G523=""),"",MAX($G523-TODAY(),0))</f>
        <v/>
      </c>
      <c r="Z523" s="12" t="str">
        <f aca="false">IF($C523="","",N($K523)*N($H523)*N($I523)*IF($U523="Débito",-1,1))</f>
        <v/>
      </c>
      <c r="AA523" s="13" t="str">
        <f aca="false">IF($C523="","",IF(AND($U523="Débito",$F523&lt;&gt;""),$F523,$E523))</f>
        <v/>
      </c>
      <c r="AB523" s="13" t="str">
        <f aca="false">IF(OR($C523="",$T523="Mixta",$AA523=""),"",IF($V523="Subyacente",IF($J523="","",$J523-$K523),IF($T523="Put",$AA523-$K523,$AA523+$K523)))</f>
        <v/>
      </c>
      <c r="AC523" s="14" t="str">
        <f aca="false">IF(OR($C523="",$T523="Mixta",$J523="",$AA523=""),"",IF($T523="Put",($J523-$AA523)/$J523,($AA523-$J523)/$J523))</f>
        <v/>
      </c>
      <c r="AD523" s="12" t="str">
        <f aca="false">IF($C523="","",IF($Q523&lt;&gt;"",$Q523,IF($V523="Strike",N($E523)*$H523*$I523,IF($V523="Subyacente",IF($J523="","",$J523*$H523*$I523),IF($V523="Ancho",IF($F523="","",ABS($E523-$F523)*$H523*$I523-$K523*$H523*$I523),IF($V523="Prima",$K523*$H523*$I523,""))))))</f>
        <v/>
      </c>
      <c r="AE523" s="12" t="str">
        <f aca="false">IF(OR($C523="",$M523="Abierta",$M523=""),"",(N($K523)-IF(OR($M523="Cerrada",$M523="Rolada"),N($O523),0))*$H523*$I523*IF($U523="Débito",-1,1)-N($L523)-N($P523))</f>
        <v/>
      </c>
      <c r="AF523" s="14" t="str">
        <f aca="false">IF(OR($AE523="",$AD523=""),"",IF($AD523&lt;=0,"",$AE523/$AD523))</f>
        <v/>
      </c>
      <c r="AG523" s="14" t="str">
        <f aca="false">IF($AF523="","",$AF523*365/MAX(N($X523),1))</f>
        <v/>
      </c>
      <c r="AH523" s="14" t="str">
        <f aca="false">IF(OR($C523="",$U523&lt;&gt;"Crédito",$AD523=""),"",IF($AD523&lt;=0,"",($Z523-N($L523))/$AD523))</f>
        <v/>
      </c>
      <c r="AI523" s="14" t="str">
        <f aca="false">IF(OR($AH523="",$W523=""),"",$AH523*365/MAX($W523,1))</f>
        <v/>
      </c>
      <c r="AJ523" s="14" t="str">
        <f aca="false">IF(OR($AE523="",$U523&lt;&gt;"Crédito",N($K523)=0),"",(N($K523)-IF(OR($M523="Cerrada",$M523="Rolada"),N($O523),0))/$K523)</f>
        <v/>
      </c>
      <c r="AK523" s="15" t="str">
        <f aca="false">IF(OR($C523="",$N523=""),"",DATE(YEAR($N523),MONTH($N523),1))</f>
        <v/>
      </c>
      <c r="AL523" s="11" t="str">
        <f aca="false">IF($C523="","",IF($M523="Abierta",0,1))</f>
        <v/>
      </c>
      <c r="AM523" s="16" t="str">
        <f aca="false">IF(OR($AE523="",$AD523=""),"",$AD523*MAX(N($X523),1))</f>
        <v/>
      </c>
      <c r="AN523" s="10" t="str">
        <f aca="false">IF($C523="","",IF(OR($B523="",$D523="",$H523="",$K523="",$M523=""),"Faltan datos obligatorios",IF($T523="","Estrategia no reconocida",IF(AND($M523&lt;&gt;"Abierta",$N523=""),"Falta fecha cierre",IF(AND(OR($M523="Cerrada",$M523="Rolada"),$O523=""),"Falta prima cierre",IF(AND($N523&lt;&gt;"",$N523&lt;$B523),"Cierre anterior a apertura",IF(AND($M523="Asignada",$R523=""),"Asignada: falta ID lote acciones",IF(AND($R523&lt;&gt;"",ISNA(MATCH($R523,Acciones!$A$2:$A$201,0))),"El ID lote no existe en Acciones",IF($AD523="","Revisa capital en riesgo","OK")))))))))</f>
        <v/>
      </c>
    </row>
    <row r="524" customFormat="false" ht="15" hidden="false" customHeight="true" outlineLevel="0" collapsed="false">
      <c r="A524" s="5"/>
      <c r="B524" s="6"/>
      <c r="C524" s="7"/>
      <c r="D524" s="7"/>
      <c r="E524" s="8"/>
      <c r="F524" s="8"/>
      <c r="G524" s="6"/>
      <c r="H524" s="5"/>
      <c r="I524" s="5" t="n">
        <v>100</v>
      </c>
      <c r="J524" s="8"/>
      <c r="K524" s="8"/>
      <c r="L524" s="9"/>
      <c r="M524" s="7"/>
      <c r="N524" s="6"/>
      <c r="O524" s="8"/>
      <c r="P524" s="9"/>
      <c r="Q524" s="9"/>
      <c r="R524" s="7"/>
      <c r="S524" s="7"/>
      <c r="T524" s="10" t="str">
        <f aca="false">IF($C524="","",IFERROR(INDEX(Listas!$B$2:$B$20,MATCH($D524,Listas!$A$2:$A$20,0)),""))</f>
        <v/>
      </c>
      <c r="U524" s="10" t="str">
        <f aca="false">IF($C524="","",IFERROR(INDEX(Listas!$C$2:$C$20,MATCH($D524,Listas!$A$2:$A$20,0)),""))</f>
        <v/>
      </c>
      <c r="V524" s="10" t="str">
        <f aca="false">IF($C524="","",IFERROR(INDEX(Listas!$D$2:$D$20,MATCH($D524,Listas!$A$2:$A$20,0)),""))</f>
        <v/>
      </c>
      <c r="W524" s="11" t="str">
        <f aca="false">IF(OR($C524="",$B524="",$G524=""),"",$G524-$B524)</f>
        <v/>
      </c>
      <c r="X524" s="11" t="str">
        <f aca="true">IF(OR($C524="",$B524=""),"",IF($N524&lt;&gt;"",$N524,TODAY())-$B524)</f>
        <v/>
      </c>
      <c r="Y524" s="11" t="str">
        <f aca="true">IF(OR($C524="",$M524&lt;&gt;"Abierta",$G524=""),"",MAX($G524-TODAY(),0))</f>
        <v/>
      </c>
      <c r="Z524" s="12" t="str">
        <f aca="false">IF($C524="","",N($K524)*N($H524)*N($I524)*IF($U524="Débito",-1,1))</f>
        <v/>
      </c>
      <c r="AA524" s="13" t="str">
        <f aca="false">IF($C524="","",IF(AND($U524="Débito",$F524&lt;&gt;""),$F524,$E524))</f>
        <v/>
      </c>
      <c r="AB524" s="13" t="str">
        <f aca="false">IF(OR($C524="",$T524="Mixta",$AA524=""),"",IF($V524="Subyacente",IF($J524="","",$J524-$K524),IF($T524="Put",$AA524-$K524,$AA524+$K524)))</f>
        <v/>
      </c>
      <c r="AC524" s="14" t="str">
        <f aca="false">IF(OR($C524="",$T524="Mixta",$J524="",$AA524=""),"",IF($T524="Put",($J524-$AA524)/$J524,($AA524-$J524)/$J524))</f>
        <v/>
      </c>
      <c r="AD524" s="12" t="str">
        <f aca="false">IF($C524="","",IF($Q524&lt;&gt;"",$Q524,IF($V524="Strike",N($E524)*$H524*$I524,IF($V524="Subyacente",IF($J524="","",$J524*$H524*$I524),IF($V524="Ancho",IF($F524="","",ABS($E524-$F524)*$H524*$I524-$K524*$H524*$I524),IF($V524="Prima",$K524*$H524*$I524,""))))))</f>
        <v/>
      </c>
      <c r="AE524" s="12" t="str">
        <f aca="false">IF(OR($C524="",$M524="Abierta",$M524=""),"",(N($K524)-IF(OR($M524="Cerrada",$M524="Rolada"),N($O524),0))*$H524*$I524*IF($U524="Débito",-1,1)-N($L524)-N($P524))</f>
        <v/>
      </c>
      <c r="AF524" s="14" t="str">
        <f aca="false">IF(OR($AE524="",$AD524=""),"",IF($AD524&lt;=0,"",$AE524/$AD524))</f>
        <v/>
      </c>
      <c r="AG524" s="14" t="str">
        <f aca="false">IF($AF524="","",$AF524*365/MAX(N($X524),1))</f>
        <v/>
      </c>
      <c r="AH524" s="14" t="str">
        <f aca="false">IF(OR($C524="",$U524&lt;&gt;"Crédito",$AD524=""),"",IF($AD524&lt;=0,"",($Z524-N($L524))/$AD524))</f>
        <v/>
      </c>
      <c r="AI524" s="14" t="str">
        <f aca="false">IF(OR($AH524="",$W524=""),"",$AH524*365/MAX($W524,1))</f>
        <v/>
      </c>
      <c r="AJ524" s="14" t="str">
        <f aca="false">IF(OR($AE524="",$U524&lt;&gt;"Crédito",N($K524)=0),"",(N($K524)-IF(OR($M524="Cerrada",$M524="Rolada"),N($O524),0))/$K524)</f>
        <v/>
      </c>
      <c r="AK524" s="15" t="str">
        <f aca="false">IF(OR($C524="",$N524=""),"",DATE(YEAR($N524),MONTH($N524),1))</f>
        <v/>
      </c>
      <c r="AL524" s="11" t="str">
        <f aca="false">IF($C524="","",IF($M524="Abierta",0,1))</f>
        <v/>
      </c>
      <c r="AM524" s="16" t="str">
        <f aca="false">IF(OR($AE524="",$AD524=""),"",$AD524*MAX(N($X524),1))</f>
        <v/>
      </c>
      <c r="AN524" s="10" t="str">
        <f aca="false">IF($C524="","",IF(OR($B524="",$D524="",$H524="",$K524="",$M524=""),"Faltan datos obligatorios",IF($T524="","Estrategia no reconocida",IF(AND($M524&lt;&gt;"Abierta",$N524=""),"Falta fecha cierre",IF(AND(OR($M524="Cerrada",$M524="Rolada"),$O524=""),"Falta prima cierre",IF(AND($N524&lt;&gt;"",$N524&lt;$B524),"Cierre anterior a apertura",IF(AND($M524="Asignada",$R524=""),"Asignada: falta ID lote acciones",IF(AND($R524&lt;&gt;"",ISNA(MATCH($R524,Acciones!$A$2:$A$201,0))),"El ID lote no existe en Acciones",IF($AD524="","Revisa capital en riesgo","OK")))))))))</f>
        <v/>
      </c>
    </row>
    <row r="525" customFormat="false" ht="15" hidden="false" customHeight="true" outlineLevel="0" collapsed="false">
      <c r="A525" s="5"/>
      <c r="B525" s="6"/>
      <c r="C525" s="7"/>
      <c r="D525" s="7"/>
      <c r="E525" s="8"/>
      <c r="F525" s="8"/>
      <c r="G525" s="6"/>
      <c r="H525" s="5"/>
      <c r="I525" s="5" t="n">
        <v>100</v>
      </c>
      <c r="J525" s="8"/>
      <c r="K525" s="8"/>
      <c r="L525" s="9"/>
      <c r="M525" s="7"/>
      <c r="N525" s="6"/>
      <c r="O525" s="8"/>
      <c r="P525" s="9"/>
      <c r="Q525" s="9"/>
      <c r="R525" s="7"/>
      <c r="S525" s="7"/>
      <c r="T525" s="10" t="str">
        <f aca="false">IF($C525="","",IFERROR(INDEX(Listas!$B$2:$B$20,MATCH($D525,Listas!$A$2:$A$20,0)),""))</f>
        <v/>
      </c>
      <c r="U525" s="10" t="str">
        <f aca="false">IF($C525="","",IFERROR(INDEX(Listas!$C$2:$C$20,MATCH($D525,Listas!$A$2:$A$20,0)),""))</f>
        <v/>
      </c>
      <c r="V525" s="10" t="str">
        <f aca="false">IF($C525="","",IFERROR(INDEX(Listas!$D$2:$D$20,MATCH($D525,Listas!$A$2:$A$20,0)),""))</f>
        <v/>
      </c>
      <c r="W525" s="11" t="str">
        <f aca="false">IF(OR($C525="",$B525="",$G525=""),"",$G525-$B525)</f>
        <v/>
      </c>
      <c r="X525" s="11" t="str">
        <f aca="true">IF(OR($C525="",$B525=""),"",IF($N525&lt;&gt;"",$N525,TODAY())-$B525)</f>
        <v/>
      </c>
      <c r="Y525" s="11" t="str">
        <f aca="true">IF(OR($C525="",$M525&lt;&gt;"Abierta",$G525=""),"",MAX($G525-TODAY(),0))</f>
        <v/>
      </c>
      <c r="Z525" s="12" t="str">
        <f aca="false">IF($C525="","",N($K525)*N($H525)*N($I525)*IF($U525="Débito",-1,1))</f>
        <v/>
      </c>
      <c r="AA525" s="13" t="str">
        <f aca="false">IF($C525="","",IF(AND($U525="Débito",$F525&lt;&gt;""),$F525,$E525))</f>
        <v/>
      </c>
      <c r="AB525" s="13" t="str">
        <f aca="false">IF(OR($C525="",$T525="Mixta",$AA525=""),"",IF($V525="Subyacente",IF($J525="","",$J525-$K525),IF($T525="Put",$AA525-$K525,$AA525+$K525)))</f>
        <v/>
      </c>
      <c r="AC525" s="14" t="str">
        <f aca="false">IF(OR($C525="",$T525="Mixta",$J525="",$AA525=""),"",IF($T525="Put",($J525-$AA525)/$J525,($AA525-$J525)/$J525))</f>
        <v/>
      </c>
      <c r="AD525" s="12" t="str">
        <f aca="false">IF($C525="","",IF($Q525&lt;&gt;"",$Q525,IF($V525="Strike",N($E525)*$H525*$I525,IF($V525="Subyacente",IF($J525="","",$J525*$H525*$I525),IF($V525="Ancho",IF($F525="","",ABS($E525-$F525)*$H525*$I525-$K525*$H525*$I525),IF($V525="Prima",$K525*$H525*$I525,""))))))</f>
        <v/>
      </c>
      <c r="AE525" s="12" t="str">
        <f aca="false">IF(OR($C525="",$M525="Abierta",$M525=""),"",(N($K525)-IF(OR($M525="Cerrada",$M525="Rolada"),N($O525),0))*$H525*$I525*IF($U525="Débito",-1,1)-N($L525)-N($P525))</f>
        <v/>
      </c>
      <c r="AF525" s="14" t="str">
        <f aca="false">IF(OR($AE525="",$AD525=""),"",IF($AD525&lt;=0,"",$AE525/$AD525))</f>
        <v/>
      </c>
      <c r="AG525" s="14" t="str">
        <f aca="false">IF($AF525="","",$AF525*365/MAX(N($X525),1))</f>
        <v/>
      </c>
      <c r="AH525" s="14" t="str">
        <f aca="false">IF(OR($C525="",$U525&lt;&gt;"Crédito",$AD525=""),"",IF($AD525&lt;=0,"",($Z525-N($L525))/$AD525))</f>
        <v/>
      </c>
      <c r="AI525" s="14" t="str">
        <f aca="false">IF(OR($AH525="",$W525=""),"",$AH525*365/MAX($W525,1))</f>
        <v/>
      </c>
      <c r="AJ525" s="14" t="str">
        <f aca="false">IF(OR($AE525="",$U525&lt;&gt;"Crédito",N($K525)=0),"",(N($K525)-IF(OR($M525="Cerrada",$M525="Rolada"),N($O525),0))/$K525)</f>
        <v/>
      </c>
      <c r="AK525" s="15" t="str">
        <f aca="false">IF(OR($C525="",$N525=""),"",DATE(YEAR($N525),MONTH($N525),1))</f>
        <v/>
      </c>
      <c r="AL525" s="11" t="str">
        <f aca="false">IF($C525="","",IF($M525="Abierta",0,1))</f>
        <v/>
      </c>
      <c r="AM525" s="16" t="str">
        <f aca="false">IF(OR($AE525="",$AD525=""),"",$AD525*MAX(N($X525),1))</f>
        <v/>
      </c>
      <c r="AN525" s="10" t="str">
        <f aca="false">IF($C525="","",IF(OR($B525="",$D525="",$H525="",$K525="",$M525=""),"Faltan datos obligatorios",IF($T525="","Estrategia no reconocida",IF(AND($M525&lt;&gt;"Abierta",$N525=""),"Falta fecha cierre",IF(AND(OR($M525="Cerrada",$M525="Rolada"),$O525=""),"Falta prima cierre",IF(AND($N525&lt;&gt;"",$N525&lt;$B525),"Cierre anterior a apertura",IF(AND($M525="Asignada",$R525=""),"Asignada: falta ID lote acciones",IF(AND($R525&lt;&gt;"",ISNA(MATCH($R525,Acciones!$A$2:$A$201,0))),"El ID lote no existe en Acciones",IF($AD525="","Revisa capital en riesgo","OK")))))))))</f>
        <v/>
      </c>
    </row>
    <row r="526" customFormat="false" ht="15" hidden="false" customHeight="true" outlineLevel="0" collapsed="false">
      <c r="A526" s="5"/>
      <c r="B526" s="6"/>
      <c r="C526" s="7"/>
      <c r="D526" s="7"/>
      <c r="E526" s="8"/>
      <c r="F526" s="8"/>
      <c r="G526" s="6"/>
      <c r="H526" s="5"/>
      <c r="I526" s="5" t="n">
        <v>100</v>
      </c>
      <c r="J526" s="8"/>
      <c r="K526" s="8"/>
      <c r="L526" s="9"/>
      <c r="M526" s="7"/>
      <c r="N526" s="6"/>
      <c r="O526" s="8"/>
      <c r="P526" s="9"/>
      <c r="Q526" s="9"/>
      <c r="R526" s="7"/>
      <c r="S526" s="7"/>
      <c r="T526" s="10" t="str">
        <f aca="false">IF($C526="","",IFERROR(INDEX(Listas!$B$2:$B$20,MATCH($D526,Listas!$A$2:$A$20,0)),""))</f>
        <v/>
      </c>
      <c r="U526" s="10" t="str">
        <f aca="false">IF($C526="","",IFERROR(INDEX(Listas!$C$2:$C$20,MATCH($D526,Listas!$A$2:$A$20,0)),""))</f>
        <v/>
      </c>
      <c r="V526" s="10" t="str">
        <f aca="false">IF($C526="","",IFERROR(INDEX(Listas!$D$2:$D$20,MATCH($D526,Listas!$A$2:$A$20,0)),""))</f>
        <v/>
      </c>
      <c r="W526" s="11" t="str">
        <f aca="false">IF(OR($C526="",$B526="",$G526=""),"",$G526-$B526)</f>
        <v/>
      </c>
      <c r="X526" s="11" t="str">
        <f aca="true">IF(OR($C526="",$B526=""),"",IF($N526&lt;&gt;"",$N526,TODAY())-$B526)</f>
        <v/>
      </c>
      <c r="Y526" s="11" t="str">
        <f aca="true">IF(OR($C526="",$M526&lt;&gt;"Abierta",$G526=""),"",MAX($G526-TODAY(),0))</f>
        <v/>
      </c>
      <c r="Z526" s="12" t="str">
        <f aca="false">IF($C526="","",N($K526)*N($H526)*N($I526)*IF($U526="Débito",-1,1))</f>
        <v/>
      </c>
      <c r="AA526" s="13" t="str">
        <f aca="false">IF($C526="","",IF(AND($U526="Débito",$F526&lt;&gt;""),$F526,$E526))</f>
        <v/>
      </c>
      <c r="AB526" s="13" t="str">
        <f aca="false">IF(OR($C526="",$T526="Mixta",$AA526=""),"",IF($V526="Subyacente",IF($J526="","",$J526-$K526),IF($T526="Put",$AA526-$K526,$AA526+$K526)))</f>
        <v/>
      </c>
      <c r="AC526" s="14" t="str">
        <f aca="false">IF(OR($C526="",$T526="Mixta",$J526="",$AA526=""),"",IF($T526="Put",($J526-$AA526)/$J526,($AA526-$J526)/$J526))</f>
        <v/>
      </c>
      <c r="AD526" s="12" t="str">
        <f aca="false">IF($C526="","",IF($Q526&lt;&gt;"",$Q526,IF($V526="Strike",N($E526)*$H526*$I526,IF($V526="Subyacente",IF($J526="","",$J526*$H526*$I526),IF($V526="Ancho",IF($F526="","",ABS($E526-$F526)*$H526*$I526-$K526*$H526*$I526),IF($V526="Prima",$K526*$H526*$I526,""))))))</f>
        <v/>
      </c>
      <c r="AE526" s="12" t="str">
        <f aca="false">IF(OR($C526="",$M526="Abierta",$M526=""),"",(N($K526)-IF(OR($M526="Cerrada",$M526="Rolada"),N($O526),0))*$H526*$I526*IF($U526="Débito",-1,1)-N($L526)-N($P526))</f>
        <v/>
      </c>
      <c r="AF526" s="14" t="str">
        <f aca="false">IF(OR($AE526="",$AD526=""),"",IF($AD526&lt;=0,"",$AE526/$AD526))</f>
        <v/>
      </c>
      <c r="AG526" s="14" t="str">
        <f aca="false">IF($AF526="","",$AF526*365/MAX(N($X526),1))</f>
        <v/>
      </c>
      <c r="AH526" s="14" t="str">
        <f aca="false">IF(OR($C526="",$U526&lt;&gt;"Crédito",$AD526=""),"",IF($AD526&lt;=0,"",($Z526-N($L526))/$AD526))</f>
        <v/>
      </c>
      <c r="AI526" s="14" t="str">
        <f aca="false">IF(OR($AH526="",$W526=""),"",$AH526*365/MAX($W526,1))</f>
        <v/>
      </c>
      <c r="AJ526" s="14" t="str">
        <f aca="false">IF(OR($AE526="",$U526&lt;&gt;"Crédito",N($K526)=0),"",(N($K526)-IF(OR($M526="Cerrada",$M526="Rolada"),N($O526),0))/$K526)</f>
        <v/>
      </c>
      <c r="AK526" s="15" t="str">
        <f aca="false">IF(OR($C526="",$N526=""),"",DATE(YEAR($N526),MONTH($N526),1))</f>
        <v/>
      </c>
      <c r="AL526" s="11" t="str">
        <f aca="false">IF($C526="","",IF($M526="Abierta",0,1))</f>
        <v/>
      </c>
      <c r="AM526" s="16" t="str">
        <f aca="false">IF(OR($AE526="",$AD526=""),"",$AD526*MAX(N($X526),1))</f>
        <v/>
      </c>
      <c r="AN526" s="10" t="str">
        <f aca="false">IF($C526="","",IF(OR($B526="",$D526="",$H526="",$K526="",$M526=""),"Faltan datos obligatorios",IF($T526="","Estrategia no reconocida",IF(AND($M526&lt;&gt;"Abierta",$N526=""),"Falta fecha cierre",IF(AND(OR($M526="Cerrada",$M526="Rolada"),$O526=""),"Falta prima cierre",IF(AND($N526&lt;&gt;"",$N526&lt;$B526),"Cierre anterior a apertura",IF(AND($M526="Asignada",$R526=""),"Asignada: falta ID lote acciones",IF(AND($R526&lt;&gt;"",ISNA(MATCH($R526,Acciones!$A$2:$A$201,0))),"El ID lote no existe en Acciones",IF($AD526="","Revisa capital en riesgo","OK")))))))))</f>
        <v/>
      </c>
    </row>
    <row r="527" customFormat="false" ht="15" hidden="false" customHeight="true" outlineLevel="0" collapsed="false">
      <c r="A527" s="5"/>
      <c r="B527" s="6"/>
      <c r="C527" s="7"/>
      <c r="D527" s="7"/>
      <c r="E527" s="8"/>
      <c r="F527" s="8"/>
      <c r="G527" s="6"/>
      <c r="H527" s="5"/>
      <c r="I527" s="5" t="n">
        <v>100</v>
      </c>
      <c r="J527" s="8"/>
      <c r="K527" s="8"/>
      <c r="L527" s="9"/>
      <c r="M527" s="7"/>
      <c r="N527" s="6"/>
      <c r="O527" s="8"/>
      <c r="P527" s="9"/>
      <c r="Q527" s="9"/>
      <c r="R527" s="7"/>
      <c r="S527" s="7"/>
      <c r="T527" s="10" t="str">
        <f aca="false">IF($C527="","",IFERROR(INDEX(Listas!$B$2:$B$20,MATCH($D527,Listas!$A$2:$A$20,0)),""))</f>
        <v/>
      </c>
      <c r="U527" s="10" t="str">
        <f aca="false">IF($C527="","",IFERROR(INDEX(Listas!$C$2:$C$20,MATCH($D527,Listas!$A$2:$A$20,0)),""))</f>
        <v/>
      </c>
      <c r="V527" s="10" t="str">
        <f aca="false">IF($C527="","",IFERROR(INDEX(Listas!$D$2:$D$20,MATCH($D527,Listas!$A$2:$A$20,0)),""))</f>
        <v/>
      </c>
      <c r="W527" s="11" t="str">
        <f aca="false">IF(OR($C527="",$B527="",$G527=""),"",$G527-$B527)</f>
        <v/>
      </c>
      <c r="X527" s="11" t="str">
        <f aca="true">IF(OR($C527="",$B527=""),"",IF($N527&lt;&gt;"",$N527,TODAY())-$B527)</f>
        <v/>
      </c>
      <c r="Y527" s="11" t="str">
        <f aca="true">IF(OR($C527="",$M527&lt;&gt;"Abierta",$G527=""),"",MAX($G527-TODAY(),0))</f>
        <v/>
      </c>
      <c r="Z527" s="12" t="str">
        <f aca="false">IF($C527="","",N($K527)*N($H527)*N($I527)*IF($U527="Débito",-1,1))</f>
        <v/>
      </c>
      <c r="AA527" s="13" t="str">
        <f aca="false">IF($C527="","",IF(AND($U527="Débito",$F527&lt;&gt;""),$F527,$E527))</f>
        <v/>
      </c>
      <c r="AB527" s="13" t="str">
        <f aca="false">IF(OR($C527="",$T527="Mixta",$AA527=""),"",IF($V527="Subyacente",IF($J527="","",$J527-$K527),IF($T527="Put",$AA527-$K527,$AA527+$K527)))</f>
        <v/>
      </c>
      <c r="AC527" s="14" t="str">
        <f aca="false">IF(OR($C527="",$T527="Mixta",$J527="",$AA527=""),"",IF($T527="Put",($J527-$AA527)/$J527,($AA527-$J527)/$J527))</f>
        <v/>
      </c>
      <c r="AD527" s="12" t="str">
        <f aca="false">IF($C527="","",IF($Q527&lt;&gt;"",$Q527,IF($V527="Strike",N($E527)*$H527*$I527,IF($V527="Subyacente",IF($J527="","",$J527*$H527*$I527),IF($V527="Ancho",IF($F527="","",ABS($E527-$F527)*$H527*$I527-$K527*$H527*$I527),IF($V527="Prima",$K527*$H527*$I527,""))))))</f>
        <v/>
      </c>
      <c r="AE527" s="12" t="str">
        <f aca="false">IF(OR($C527="",$M527="Abierta",$M527=""),"",(N($K527)-IF(OR($M527="Cerrada",$M527="Rolada"),N($O527),0))*$H527*$I527*IF($U527="Débito",-1,1)-N($L527)-N($P527))</f>
        <v/>
      </c>
      <c r="AF527" s="14" t="str">
        <f aca="false">IF(OR($AE527="",$AD527=""),"",IF($AD527&lt;=0,"",$AE527/$AD527))</f>
        <v/>
      </c>
      <c r="AG527" s="14" t="str">
        <f aca="false">IF($AF527="","",$AF527*365/MAX(N($X527),1))</f>
        <v/>
      </c>
      <c r="AH527" s="14" t="str">
        <f aca="false">IF(OR($C527="",$U527&lt;&gt;"Crédito",$AD527=""),"",IF($AD527&lt;=0,"",($Z527-N($L527))/$AD527))</f>
        <v/>
      </c>
      <c r="AI527" s="14" t="str">
        <f aca="false">IF(OR($AH527="",$W527=""),"",$AH527*365/MAX($W527,1))</f>
        <v/>
      </c>
      <c r="AJ527" s="14" t="str">
        <f aca="false">IF(OR($AE527="",$U527&lt;&gt;"Crédito",N($K527)=0),"",(N($K527)-IF(OR($M527="Cerrada",$M527="Rolada"),N($O527),0))/$K527)</f>
        <v/>
      </c>
      <c r="AK527" s="15" t="str">
        <f aca="false">IF(OR($C527="",$N527=""),"",DATE(YEAR($N527),MONTH($N527),1))</f>
        <v/>
      </c>
      <c r="AL527" s="11" t="str">
        <f aca="false">IF($C527="","",IF($M527="Abierta",0,1))</f>
        <v/>
      </c>
      <c r="AM527" s="16" t="str">
        <f aca="false">IF(OR($AE527="",$AD527=""),"",$AD527*MAX(N($X527),1))</f>
        <v/>
      </c>
      <c r="AN527" s="10" t="str">
        <f aca="false">IF($C527="","",IF(OR($B527="",$D527="",$H527="",$K527="",$M527=""),"Faltan datos obligatorios",IF($T527="","Estrategia no reconocida",IF(AND($M527&lt;&gt;"Abierta",$N527=""),"Falta fecha cierre",IF(AND(OR($M527="Cerrada",$M527="Rolada"),$O527=""),"Falta prima cierre",IF(AND($N527&lt;&gt;"",$N527&lt;$B527),"Cierre anterior a apertura",IF(AND($M527="Asignada",$R527=""),"Asignada: falta ID lote acciones",IF(AND($R527&lt;&gt;"",ISNA(MATCH($R527,Acciones!$A$2:$A$201,0))),"El ID lote no existe en Acciones",IF($AD527="","Revisa capital en riesgo","OK")))))))))</f>
        <v/>
      </c>
    </row>
    <row r="528" customFormat="false" ht="15" hidden="false" customHeight="true" outlineLevel="0" collapsed="false">
      <c r="A528" s="5"/>
      <c r="B528" s="6"/>
      <c r="C528" s="7"/>
      <c r="D528" s="7"/>
      <c r="E528" s="8"/>
      <c r="F528" s="8"/>
      <c r="G528" s="6"/>
      <c r="H528" s="5"/>
      <c r="I528" s="5" t="n">
        <v>100</v>
      </c>
      <c r="J528" s="8"/>
      <c r="K528" s="8"/>
      <c r="L528" s="9"/>
      <c r="M528" s="7"/>
      <c r="N528" s="6"/>
      <c r="O528" s="8"/>
      <c r="P528" s="9"/>
      <c r="Q528" s="9"/>
      <c r="R528" s="7"/>
      <c r="S528" s="7"/>
      <c r="T528" s="10" t="str">
        <f aca="false">IF($C528="","",IFERROR(INDEX(Listas!$B$2:$B$20,MATCH($D528,Listas!$A$2:$A$20,0)),""))</f>
        <v/>
      </c>
      <c r="U528" s="10" t="str">
        <f aca="false">IF($C528="","",IFERROR(INDEX(Listas!$C$2:$C$20,MATCH($D528,Listas!$A$2:$A$20,0)),""))</f>
        <v/>
      </c>
      <c r="V528" s="10" t="str">
        <f aca="false">IF($C528="","",IFERROR(INDEX(Listas!$D$2:$D$20,MATCH($D528,Listas!$A$2:$A$20,0)),""))</f>
        <v/>
      </c>
      <c r="W528" s="11" t="str">
        <f aca="false">IF(OR($C528="",$B528="",$G528=""),"",$G528-$B528)</f>
        <v/>
      </c>
      <c r="X528" s="11" t="str">
        <f aca="true">IF(OR($C528="",$B528=""),"",IF($N528&lt;&gt;"",$N528,TODAY())-$B528)</f>
        <v/>
      </c>
      <c r="Y528" s="11" t="str">
        <f aca="true">IF(OR($C528="",$M528&lt;&gt;"Abierta",$G528=""),"",MAX($G528-TODAY(),0))</f>
        <v/>
      </c>
      <c r="Z528" s="12" t="str">
        <f aca="false">IF($C528="","",N($K528)*N($H528)*N($I528)*IF($U528="Débito",-1,1))</f>
        <v/>
      </c>
      <c r="AA528" s="13" t="str">
        <f aca="false">IF($C528="","",IF(AND($U528="Débito",$F528&lt;&gt;""),$F528,$E528))</f>
        <v/>
      </c>
      <c r="AB528" s="13" t="str">
        <f aca="false">IF(OR($C528="",$T528="Mixta",$AA528=""),"",IF($V528="Subyacente",IF($J528="","",$J528-$K528),IF($T528="Put",$AA528-$K528,$AA528+$K528)))</f>
        <v/>
      </c>
      <c r="AC528" s="14" t="str">
        <f aca="false">IF(OR($C528="",$T528="Mixta",$J528="",$AA528=""),"",IF($T528="Put",($J528-$AA528)/$J528,($AA528-$J528)/$J528))</f>
        <v/>
      </c>
      <c r="AD528" s="12" t="str">
        <f aca="false">IF($C528="","",IF($Q528&lt;&gt;"",$Q528,IF($V528="Strike",N($E528)*$H528*$I528,IF($V528="Subyacente",IF($J528="","",$J528*$H528*$I528),IF($V528="Ancho",IF($F528="","",ABS($E528-$F528)*$H528*$I528-$K528*$H528*$I528),IF($V528="Prima",$K528*$H528*$I528,""))))))</f>
        <v/>
      </c>
      <c r="AE528" s="12" t="str">
        <f aca="false">IF(OR($C528="",$M528="Abierta",$M528=""),"",(N($K528)-IF(OR($M528="Cerrada",$M528="Rolada"),N($O528),0))*$H528*$I528*IF($U528="Débito",-1,1)-N($L528)-N($P528))</f>
        <v/>
      </c>
      <c r="AF528" s="14" t="str">
        <f aca="false">IF(OR($AE528="",$AD528=""),"",IF($AD528&lt;=0,"",$AE528/$AD528))</f>
        <v/>
      </c>
      <c r="AG528" s="14" t="str">
        <f aca="false">IF($AF528="","",$AF528*365/MAX(N($X528),1))</f>
        <v/>
      </c>
      <c r="AH528" s="14" t="str">
        <f aca="false">IF(OR($C528="",$U528&lt;&gt;"Crédito",$AD528=""),"",IF($AD528&lt;=0,"",($Z528-N($L528))/$AD528))</f>
        <v/>
      </c>
      <c r="AI528" s="14" t="str">
        <f aca="false">IF(OR($AH528="",$W528=""),"",$AH528*365/MAX($W528,1))</f>
        <v/>
      </c>
      <c r="AJ528" s="14" t="str">
        <f aca="false">IF(OR($AE528="",$U528&lt;&gt;"Crédito",N($K528)=0),"",(N($K528)-IF(OR($M528="Cerrada",$M528="Rolada"),N($O528),0))/$K528)</f>
        <v/>
      </c>
      <c r="AK528" s="15" t="str">
        <f aca="false">IF(OR($C528="",$N528=""),"",DATE(YEAR($N528),MONTH($N528),1))</f>
        <v/>
      </c>
      <c r="AL528" s="11" t="str">
        <f aca="false">IF($C528="","",IF($M528="Abierta",0,1))</f>
        <v/>
      </c>
      <c r="AM528" s="16" t="str">
        <f aca="false">IF(OR($AE528="",$AD528=""),"",$AD528*MAX(N($X528),1))</f>
        <v/>
      </c>
      <c r="AN528" s="10" t="str">
        <f aca="false">IF($C528="","",IF(OR($B528="",$D528="",$H528="",$K528="",$M528=""),"Faltan datos obligatorios",IF($T528="","Estrategia no reconocida",IF(AND($M528&lt;&gt;"Abierta",$N528=""),"Falta fecha cierre",IF(AND(OR($M528="Cerrada",$M528="Rolada"),$O528=""),"Falta prima cierre",IF(AND($N528&lt;&gt;"",$N528&lt;$B528),"Cierre anterior a apertura",IF(AND($M528="Asignada",$R528=""),"Asignada: falta ID lote acciones",IF(AND($R528&lt;&gt;"",ISNA(MATCH($R528,Acciones!$A$2:$A$201,0))),"El ID lote no existe en Acciones",IF($AD528="","Revisa capital en riesgo","OK")))))))))</f>
        <v/>
      </c>
    </row>
    <row r="529" customFormat="false" ht="15" hidden="false" customHeight="true" outlineLevel="0" collapsed="false">
      <c r="A529" s="5"/>
      <c r="B529" s="6"/>
      <c r="C529" s="7"/>
      <c r="D529" s="7"/>
      <c r="E529" s="8"/>
      <c r="F529" s="8"/>
      <c r="G529" s="6"/>
      <c r="H529" s="5"/>
      <c r="I529" s="5" t="n">
        <v>100</v>
      </c>
      <c r="J529" s="8"/>
      <c r="K529" s="8"/>
      <c r="L529" s="9"/>
      <c r="M529" s="7"/>
      <c r="N529" s="6"/>
      <c r="O529" s="8"/>
      <c r="P529" s="9"/>
      <c r="Q529" s="9"/>
      <c r="R529" s="7"/>
      <c r="S529" s="7"/>
      <c r="T529" s="10" t="str">
        <f aca="false">IF($C529="","",IFERROR(INDEX(Listas!$B$2:$B$20,MATCH($D529,Listas!$A$2:$A$20,0)),""))</f>
        <v/>
      </c>
      <c r="U529" s="10" t="str">
        <f aca="false">IF($C529="","",IFERROR(INDEX(Listas!$C$2:$C$20,MATCH($D529,Listas!$A$2:$A$20,0)),""))</f>
        <v/>
      </c>
      <c r="V529" s="10" t="str">
        <f aca="false">IF($C529="","",IFERROR(INDEX(Listas!$D$2:$D$20,MATCH($D529,Listas!$A$2:$A$20,0)),""))</f>
        <v/>
      </c>
      <c r="W529" s="11" t="str">
        <f aca="false">IF(OR($C529="",$B529="",$G529=""),"",$G529-$B529)</f>
        <v/>
      </c>
      <c r="X529" s="11" t="str">
        <f aca="true">IF(OR($C529="",$B529=""),"",IF($N529&lt;&gt;"",$N529,TODAY())-$B529)</f>
        <v/>
      </c>
      <c r="Y529" s="11" t="str">
        <f aca="true">IF(OR($C529="",$M529&lt;&gt;"Abierta",$G529=""),"",MAX($G529-TODAY(),0))</f>
        <v/>
      </c>
      <c r="Z529" s="12" t="str">
        <f aca="false">IF($C529="","",N($K529)*N($H529)*N($I529)*IF($U529="Débito",-1,1))</f>
        <v/>
      </c>
      <c r="AA529" s="13" t="str">
        <f aca="false">IF($C529="","",IF(AND($U529="Débito",$F529&lt;&gt;""),$F529,$E529))</f>
        <v/>
      </c>
      <c r="AB529" s="13" t="str">
        <f aca="false">IF(OR($C529="",$T529="Mixta",$AA529=""),"",IF($V529="Subyacente",IF($J529="","",$J529-$K529),IF($T529="Put",$AA529-$K529,$AA529+$K529)))</f>
        <v/>
      </c>
      <c r="AC529" s="14" t="str">
        <f aca="false">IF(OR($C529="",$T529="Mixta",$J529="",$AA529=""),"",IF($T529="Put",($J529-$AA529)/$J529,($AA529-$J529)/$J529))</f>
        <v/>
      </c>
      <c r="AD529" s="12" t="str">
        <f aca="false">IF($C529="","",IF($Q529&lt;&gt;"",$Q529,IF($V529="Strike",N($E529)*$H529*$I529,IF($V529="Subyacente",IF($J529="","",$J529*$H529*$I529),IF($V529="Ancho",IF($F529="","",ABS($E529-$F529)*$H529*$I529-$K529*$H529*$I529),IF($V529="Prima",$K529*$H529*$I529,""))))))</f>
        <v/>
      </c>
      <c r="AE529" s="12" t="str">
        <f aca="false">IF(OR($C529="",$M529="Abierta",$M529=""),"",(N($K529)-IF(OR($M529="Cerrada",$M529="Rolada"),N($O529),0))*$H529*$I529*IF($U529="Débito",-1,1)-N($L529)-N($P529))</f>
        <v/>
      </c>
      <c r="AF529" s="14" t="str">
        <f aca="false">IF(OR($AE529="",$AD529=""),"",IF($AD529&lt;=0,"",$AE529/$AD529))</f>
        <v/>
      </c>
      <c r="AG529" s="14" t="str">
        <f aca="false">IF($AF529="","",$AF529*365/MAX(N($X529),1))</f>
        <v/>
      </c>
      <c r="AH529" s="14" t="str">
        <f aca="false">IF(OR($C529="",$U529&lt;&gt;"Crédito",$AD529=""),"",IF($AD529&lt;=0,"",($Z529-N($L529))/$AD529))</f>
        <v/>
      </c>
      <c r="AI529" s="14" t="str">
        <f aca="false">IF(OR($AH529="",$W529=""),"",$AH529*365/MAX($W529,1))</f>
        <v/>
      </c>
      <c r="AJ529" s="14" t="str">
        <f aca="false">IF(OR($AE529="",$U529&lt;&gt;"Crédito",N($K529)=0),"",(N($K529)-IF(OR($M529="Cerrada",$M529="Rolada"),N($O529),0))/$K529)</f>
        <v/>
      </c>
      <c r="AK529" s="15" t="str">
        <f aca="false">IF(OR($C529="",$N529=""),"",DATE(YEAR($N529),MONTH($N529),1))</f>
        <v/>
      </c>
      <c r="AL529" s="11" t="str">
        <f aca="false">IF($C529="","",IF($M529="Abierta",0,1))</f>
        <v/>
      </c>
      <c r="AM529" s="16" t="str">
        <f aca="false">IF(OR($AE529="",$AD529=""),"",$AD529*MAX(N($X529),1))</f>
        <v/>
      </c>
      <c r="AN529" s="10" t="str">
        <f aca="false">IF($C529="","",IF(OR($B529="",$D529="",$H529="",$K529="",$M529=""),"Faltan datos obligatorios",IF($T529="","Estrategia no reconocida",IF(AND($M529&lt;&gt;"Abierta",$N529=""),"Falta fecha cierre",IF(AND(OR($M529="Cerrada",$M529="Rolada"),$O529=""),"Falta prima cierre",IF(AND($N529&lt;&gt;"",$N529&lt;$B529),"Cierre anterior a apertura",IF(AND($M529="Asignada",$R529=""),"Asignada: falta ID lote acciones",IF(AND($R529&lt;&gt;"",ISNA(MATCH($R529,Acciones!$A$2:$A$201,0))),"El ID lote no existe en Acciones",IF($AD529="","Revisa capital en riesgo","OK")))))))))</f>
        <v/>
      </c>
    </row>
    <row r="530" customFormat="false" ht="15" hidden="false" customHeight="true" outlineLevel="0" collapsed="false">
      <c r="A530" s="5"/>
      <c r="B530" s="6"/>
      <c r="C530" s="7"/>
      <c r="D530" s="7"/>
      <c r="E530" s="8"/>
      <c r="F530" s="8"/>
      <c r="G530" s="6"/>
      <c r="H530" s="5"/>
      <c r="I530" s="5" t="n">
        <v>100</v>
      </c>
      <c r="J530" s="8"/>
      <c r="K530" s="8"/>
      <c r="L530" s="9"/>
      <c r="M530" s="7"/>
      <c r="N530" s="6"/>
      <c r="O530" s="8"/>
      <c r="P530" s="9"/>
      <c r="Q530" s="9"/>
      <c r="R530" s="7"/>
      <c r="S530" s="7"/>
      <c r="T530" s="10" t="str">
        <f aca="false">IF($C530="","",IFERROR(INDEX(Listas!$B$2:$B$20,MATCH($D530,Listas!$A$2:$A$20,0)),""))</f>
        <v/>
      </c>
      <c r="U530" s="10" t="str">
        <f aca="false">IF($C530="","",IFERROR(INDEX(Listas!$C$2:$C$20,MATCH($D530,Listas!$A$2:$A$20,0)),""))</f>
        <v/>
      </c>
      <c r="V530" s="10" t="str">
        <f aca="false">IF($C530="","",IFERROR(INDEX(Listas!$D$2:$D$20,MATCH($D530,Listas!$A$2:$A$20,0)),""))</f>
        <v/>
      </c>
      <c r="W530" s="11" t="str">
        <f aca="false">IF(OR($C530="",$B530="",$G530=""),"",$G530-$B530)</f>
        <v/>
      </c>
      <c r="X530" s="11" t="str">
        <f aca="true">IF(OR($C530="",$B530=""),"",IF($N530&lt;&gt;"",$N530,TODAY())-$B530)</f>
        <v/>
      </c>
      <c r="Y530" s="11" t="str">
        <f aca="true">IF(OR($C530="",$M530&lt;&gt;"Abierta",$G530=""),"",MAX($G530-TODAY(),0))</f>
        <v/>
      </c>
      <c r="Z530" s="12" t="str">
        <f aca="false">IF($C530="","",N($K530)*N($H530)*N($I530)*IF($U530="Débito",-1,1))</f>
        <v/>
      </c>
      <c r="AA530" s="13" t="str">
        <f aca="false">IF($C530="","",IF(AND($U530="Débito",$F530&lt;&gt;""),$F530,$E530))</f>
        <v/>
      </c>
      <c r="AB530" s="13" t="str">
        <f aca="false">IF(OR($C530="",$T530="Mixta",$AA530=""),"",IF($V530="Subyacente",IF($J530="","",$J530-$K530),IF($T530="Put",$AA530-$K530,$AA530+$K530)))</f>
        <v/>
      </c>
      <c r="AC530" s="14" t="str">
        <f aca="false">IF(OR($C530="",$T530="Mixta",$J530="",$AA530=""),"",IF($T530="Put",($J530-$AA530)/$J530,($AA530-$J530)/$J530))</f>
        <v/>
      </c>
      <c r="AD530" s="12" t="str">
        <f aca="false">IF($C530="","",IF($Q530&lt;&gt;"",$Q530,IF($V530="Strike",N($E530)*$H530*$I530,IF($V530="Subyacente",IF($J530="","",$J530*$H530*$I530),IF($V530="Ancho",IF($F530="","",ABS($E530-$F530)*$H530*$I530-$K530*$H530*$I530),IF($V530="Prima",$K530*$H530*$I530,""))))))</f>
        <v/>
      </c>
      <c r="AE530" s="12" t="str">
        <f aca="false">IF(OR($C530="",$M530="Abierta",$M530=""),"",(N($K530)-IF(OR($M530="Cerrada",$M530="Rolada"),N($O530),0))*$H530*$I530*IF($U530="Débito",-1,1)-N($L530)-N($P530))</f>
        <v/>
      </c>
      <c r="AF530" s="14" t="str">
        <f aca="false">IF(OR($AE530="",$AD530=""),"",IF($AD530&lt;=0,"",$AE530/$AD530))</f>
        <v/>
      </c>
      <c r="AG530" s="14" t="str">
        <f aca="false">IF($AF530="","",$AF530*365/MAX(N($X530),1))</f>
        <v/>
      </c>
      <c r="AH530" s="14" t="str">
        <f aca="false">IF(OR($C530="",$U530&lt;&gt;"Crédito",$AD530=""),"",IF($AD530&lt;=0,"",($Z530-N($L530))/$AD530))</f>
        <v/>
      </c>
      <c r="AI530" s="14" t="str">
        <f aca="false">IF(OR($AH530="",$W530=""),"",$AH530*365/MAX($W530,1))</f>
        <v/>
      </c>
      <c r="AJ530" s="14" t="str">
        <f aca="false">IF(OR($AE530="",$U530&lt;&gt;"Crédito",N($K530)=0),"",(N($K530)-IF(OR($M530="Cerrada",$M530="Rolada"),N($O530),0))/$K530)</f>
        <v/>
      </c>
      <c r="AK530" s="15" t="str">
        <f aca="false">IF(OR($C530="",$N530=""),"",DATE(YEAR($N530),MONTH($N530),1))</f>
        <v/>
      </c>
      <c r="AL530" s="11" t="str">
        <f aca="false">IF($C530="","",IF($M530="Abierta",0,1))</f>
        <v/>
      </c>
      <c r="AM530" s="16" t="str">
        <f aca="false">IF(OR($AE530="",$AD530=""),"",$AD530*MAX(N($X530),1))</f>
        <v/>
      </c>
      <c r="AN530" s="10" t="str">
        <f aca="false">IF($C530="","",IF(OR($B530="",$D530="",$H530="",$K530="",$M530=""),"Faltan datos obligatorios",IF($T530="","Estrategia no reconocida",IF(AND($M530&lt;&gt;"Abierta",$N530=""),"Falta fecha cierre",IF(AND(OR($M530="Cerrada",$M530="Rolada"),$O530=""),"Falta prima cierre",IF(AND($N530&lt;&gt;"",$N530&lt;$B530),"Cierre anterior a apertura",IF(AND($M530="Asignada",$R530=""),"Asignada: falta ID lote acciones",IF(AND($R530&lt;&gt;"",ISNA(MATCH($R530,Acciones!$A$2:$A$201,0))),"El ID lote no existe en Acciones",IF($AD530="","Revisa capital en riesgo","OK")))))))))</f>
        <v/>
      </c>
    </row>
    <row r="531" customFormat="false" ht="15" hidden="false" customHeight="true" outlineLevel="0" collapsed="false">
      <c r="A531" s="5"/>
      <c r="B531" s="6"/>
      <c r="C531" s="7"/>
      <c r="D531" s="7"/>
      <c r="E531" s="8"/>
      <c r="F531" s="8"/>
      <c r="G531" s="6"/>
      <c r="H531" s="5"/>
      <c r="I531" s="5" t="n">
        <v>100</v>
      </c>
      <c r="J531" s="8"/>
      <c r="K531" s="8"/>
      <c r="L531" s="9"/>
      <c r="M531" s="7"/>
      <c r="N531" s="6"/>
      <c r="O531" s="8"/>
      <c r="P531" s="9"/>
      <c r="Q531" s="9"/>
      <c r="R531" s="7"/>
      <c r="S531" s="7"/>
      <c r="T531" s="10" t="str">
        <f aca="false">IF($C531="","",IFERROR(INDEX(Listas!$B$2:$B$20,MATCH($D531,Listas!$A$2:$A$20,0)),""))</f>
        <v/>
      </c>
      <c r="U531" s="10" t="str">
        <f aca="false">IF($C531="","",IFERROR(INDEX(Listas!$C$2:$C$20,MATCH($D531,Listas!$A$2:$A$20,0)),""))</f>
        <v/>
      </c>
      <c r="V531" s="10" t="str">
        <f aca="false">IF($C531="","",IFERROR(INDEX(Listas!$D$2:$D$20,MATCH($D531,Listas!$A$2:$A$20,0)),""))</f>
        <v/>
      </c>
      <c r="W531" s="11" t="str">
        <f aca="false">IF(OR($C531="",$B531="",$G531=""),"",$G531-$B531)</f>
        <v/>
      </c>
      <c r="X531" s="11" t="str">
        <f aca="true">IF(OR($C531="",$B531=""),"",IF($N531&lt;&gt;"",$N531,TODAY())-$B531)</f>
        <v/>
      </c>
      <c r="Y531" s="11" t="str">
        <f aca="true">IF(OR($C531="",$M531&lt;&gt;"Abierta",$G531=""),"",MAX($G531-TODAY(),0))</f>
        <v/>
      </c>
      <c r="Z531" s="12" t="str">
        <f aca="false">IF($C531="","",N($K531)*N($H531)*N($I531)*IF($U531="Débito",-1,1))</f>
        <v/>
      </c>
      <c r="AA531" s="13" t="str">
        <f aca="false">IF($C531="","",IF(AND($U531="Débito",$F531&lt;&gt;""),$F531,$E531))</f>
        <v/>
      </c>
      <c r="AB531" s="13" t="str">
        <f aca="false">IF(OR($C531="",$T531="Mixta",$AA531=""),"",IF($V531="Subyacente",IF($J531="","",$J531-$K531),IF($T531="Put",$AA531-$K531,$AA531+$K531)))</f>
        <v/>
      </c>
      <c r="AC531" s="14" t="str">
        <f aca="false">IF(OR($C531="",$T531="Mixta",$J531="",$AA531=""),"",IF($T531="Put",($J531-$AA531)/$J531,($AA531-$J531)/$J531))</f>
        <v/>
      </c>
      <c r="AD531" s="12" t="str">
        <f aca="false">IF($C531="","",IF($Q531&lt;&gt;"",$Q531,IF($V531="Strike",N($E531)*$H531*$I531,IF($V531="Subyacente",IF($J531="","",$J531*$H531*$I531),IF($V531="Ancho",IF($F531="","",ABS($E531-$F531)*$H531*$I531-$K531*$H531*$I531),IF($V531="Prima",$K531*$H531*$I531,""))))))</f>
        <v/>
      </c>
      <c r="AE531" s="12" t="str">
        <f aca="false">IF(OR($C531="",$M531="Abierta",$M531=""),"",(N($K531)-IF(OR($M531="Cerrada",$M531="Rolada"),N($O531),0))*$H531*$I531*IF($U531="Débito",-1,1)-N($L531)-N($P531))</f>
        <v/>
      </c>
      <c r="AF531" s="14" t="str">
        <f aca="false">IF(OR($AE531="",$AD531=""),"",IF($AD531&lt;=0,"",$AE531/$AD531))</f>
        <v/>
      </c>
      <c r="AG531" s="14" t="str">
        <f aca="false">IF($AF531="","",$AF531*365/MAX(N($X531),1))</f>
        <v/>
      </c>
      <c r="AH531" s="14" t="str">
        <f aca="false">IF(OR($C531="",$U531&lt;&gt;"Crédito",$AD531=""),"",IF($AD531&lt;=0,"",($Z531-N($L531))/$AD531))</f>
        <v/>
      </c>
      <c r="AI531" s="14" t="str">
        <f aca="false">IF(OR($AH531="",$W531=""),"",$AH531*365/MAX($W531,1))</f>
        <v/>
      </c>
      <c r="AJ531" s="14" t="str">
        <f aca="false">IF(OR($AE531="",$U531&lt;&gt;"Crédito",N($K531)=0),"",(N($K531)-IF(OR($M531="Cerrada",$M531="Rolada"),N($O531),0))/$K531)</f>
        <v/>
      </c>
      <c r="AK531" s="15" t="str">
        <f aca="false">IF(OR($C531="",$N531=""),"",DATE(YEAR($N531),MONTH($N531),1))</f>
        <v/>
      </c>
      <c r="AL531" s="11" t="str">
        <f aca="false">IF($C531="","",IF($M531="Abierta",0,1))</f>
        <v/>
      </c>
      <c r="AM531" s="16" t="str">
        <f aca="false">IF(OR($AE531="",$AD531=""),"",$AD531*MAX(N($X531),1))</f>
        <v/>
      </c>
      <c r="AN531" s="10" t="str">
        <f aca="false">IF($C531="","",IF(OR($B531="",$D531="",$H531="",$K531="",$M531=""),"Faltan datos obligatorios",IF($T531="","Estrategia no reconocida",IF(AND($M531&lt;&gt;"Abierta",$N531=""),"Falta fecha cierre",IF(AND(OR($M531="Cerrada",$M531="Rolada"),$O531=""),"Falta prima cierre",IF(AND($N531&lt;&gt;"",$N531&lt;$B531),"Cierre anterior a apertura",IF(AND($M531="Asignada",$R531=""),"Asignada: falta ID lote acciones",IF(AND($R531&lt;&gt;"",ISNA(MATCH($R531,Acciones!$A$2:$A$201,0))),"El ID lote no existe en Acciones",IF($AD531="","Revisa capital en riesgo","OK")))))))))</f>
        <v/>
      </c>
    </row>
    <row r="532" customFormat="false" ht="15" hidden="false" customHeight="true" outlineLevel="0" collapsed="false">
      <c r="A532" s="5"/>
      <c r="B532" s="6"/>
      <c r="C532" s="7"/>
      <c r="D532" s="7"/>
      <c r="E532" s="8"/>
      <c r="F532" s="8"/>
      <c r="G532" s="6"/>
      <c r="H532" s="5"/>
      <c r="I532" s="5" t="n">
        <v>100</v>
      </c>
      <c r="J532" s="8"/>
      <c r="K532" s="8"/>
      <c r="L532" s="9"/>
      <c r="M532" s="7"/>
      <c r="N532" s="6"/>
      <c r="O532" s="8"/>
      <c r="P532" s="9"/>
      <c r="Q532" s="9"/>
      <c r="R532" s="7"/>
      <c r="S532" s="7"/>
      <c r="T532" s="10" t="str">
        <f aca="false">IF($C532="","",IFERROR(INDEX(Listas!$B$2:$B$20,MATCH($D532,Listas!$A$2:$A$20,0)),""))</f>
        <v/>
      </c>
      <c r="U532" s="10" t="str">
        <f aca="false">IF($C532="","",IFERROR(INDEX(Listas!$C$2:$C$20,MATCH($D532,Listas!$A$2:$A$20,0)),""))</f>
        <v/>
      </c>
      <c r="V532" s="10" t="str">
        <f aca="false">IF($C532="","",IFERROR(INDEX(Listas!$D$2:$D$20,MATCH($D532,Listas!$A$2:$A$20,0)),""))</f>
        <v/>
      </c>
      <c r="W532" s="11" t="str">
        <f aca="false">IF(OR($C532="",$B532="",$G532=""),"",$G532-$B532)</f>
        <v/>
      </c>
      <c r="X532" s="11" t="str">
        <f aca="true">IF(OR($C532="",$B532=""),"",IF($N532&lt;&gt;"",$N532,TODAY())-$B532)</f>
        <v/>
      </c>
      <c r="Y532" s="11" t="str">
        <f aca="true">IF(OR($C532="",$M532&lt;&gt;"Abierta",$G532=""),"",MAX($G532-TODAY(),0))</f>
        <v/>
      </c>
      <c r="Z532" s="12" t="str">
        <f aca="false">IF($C532="","",N($K532)*N($H532)*N($I532)*IF($U532="Débito",-1,1))</f>
        <v/>
      </c>
      <c r="AA532" s="13" t="str">
        <f aca="false">IF($C532="","",IF(AND($U532="Débito",$F532&lt;&gt;""),$F532,$E532))</f>
        <v/>
      </c>
      <c r="AB532" s="13" t="str">
        <f aca="false">IF(OR($C532="",$T532="Mixta",$AA532=""),"",IF($V532="Subyacente",IF($J532="","",$J532-$K532),IF($T532="Put",$AA532-$K532,$AA532+$K532)))</f>
        <v/>
      </c>
      <c r="AC532" s="14" t="str">
        <f aca="false">IF(OR($C532="",$T532="Mixta",$J532="",$AA532=""),"",IF($T532="Put",($J532-$AA532)/$J532,($AA532-$J532)/$J532))</f>
        <v/>
      </c>
      <c r="AD532" s="12" t="str">
        <f aca="false">IF($C532="","",IF($Q532&lt;&gt;"",$Q532,IF($V532="Strike",N($E532)*$H532*$I532,IF($V532="Subyacente",IF($J532="","",$J532*$H532*$I532),IF($V532="Ancho",IF($F532="","",ABS($E532-$F532)*$H532*$I532-$K532*$H532*$I532),IF($V532="Prima",$K532*$H532*$I532,""))))))</f>
        <v/>
      </c>
      <c r="AE532" s="12" t="str">
        <f aca="false">IF(OR($C532="",$M532="Abierta",$M532=""),"",(N($K532)-IF(OR($M532="Cerrada",$M532="Rolada"),N($O532),0))*$H532*$I532*IF($U532="Débito",-1,1)-N($L532)-N($P532))</f>
        <v/>
      </c>
      <c r="AF532" s="14" t="str">
        <f aca="false">IF(OR($AE532="",$AD532=""),"",IF($AD532&lt;=0,"",$AE532/$AD532))</f>
        <v/>
      </c>
      <c r="AG532" s="14" t="str">
        <f aca="false">IF($AF532="","",$AF532*365/MAX(N($X532),1))</f>
        <v/>
      </c>
      <c r="AH532" s="14" t="str">
        <f aca="false">IF(OR($C532="",$U532&lt;&gt;"Crédito",$AD532=""),"",IF($AD532&lt;=0,"",($Z532-N($L532))/$AD532))</f>
        <v/>
      </c>
      <c r="AI532" s="14" t="str">
        <f aca="false">IF(OR($AH532="",$W532=""),"",$AH532*365/MAX($W532,1))</f>
        <v/>
      </c>
      <c r="AJ532" s="14" t="str">
        <f aca="false">IF(OR($AE532="",$U532&lt;&gt;"Crédito",N($K532)=0),"",(N($K532)-IF(OR($M532="Cerrada",$M532="Rolada"),N($O532),0))/$K532)</f>
        <v/>
      </c>
      <c r="AK532" s="15" t="str">
        <f aca="false">IF(OR($C532="",$N532=""),"",DATE(YEAR($N532),MONTH($N532),1))</f>
        <v/>
      </c>
      <c r="AL532" s="11" t="str">
        <f aca="false">IF($C532="","",IF($M532="Abierta",0,1))</f>
        <v/>
      </c>
      <c r="AM532" s="16" t="str">
        <f aca="false">IF(OR($AE532="",$AD532=""),"",$AD532*MAX(N($X532),1))</f>
        <v/>
      </c>
      <c r="AN532" s="10" t="str">
        <f aca="false">IF($C532="","",IF(OR($B532="",$D532="",$H532="",$K532="",$M532=""),"Faltan datos obligatorios",IF($T532="","Estrategia no reconocida",IF(AND($M532&lt;&gt;"Abierta",$N532=""),"Falta fecha cierre",IF(AND(OR($M532="Cerrada",$M532="Rolada"),$O532=""),"Falta prima cierre",IF(AND($N532&lt;&gt;"",$N532&lt;$B532),"Cierre anterior a apertura",IF(AND($M532="Asignada",$R532=""),"Asignada: falta ID lote acciones",IF(AND($R532&lt;&gt;"",ISNA(MATCH($R532,Acciones!$A$2:$A$201,0))),"El ID lote no existe en Acciones",IF($AD532="","Revisa capital en riesgo","OK")))))))))</f>
        <v/>
      </c>
    </row>
    <row r="533" customFormat="false" ht="15" hidden="false" customHeight="true" outlineLevel="0" collapsed="false">
      <c r="A533" s="5"/>
      <c r="B533" s="6"/>
      <c r="C533" s="7"/>
      <c r="D533" s="7"/>
      <c r="E533" s="8"/>
      <c r="F533" s="8"/>
      <c r="G533" s="6"/>
      <c r="H533" s="5"/>
      <c r="I533" s="5" t="n">
        <v>100</v>
      </c>
      <c r="J533" s="8"/>
      <c r="K533" s="8"/>
      <c r="L533" s="9"/>
      <c r="M533" s="7"/>
      <c r="N533" s="6"/>
      <c r="O533" s="8"/>
      <c r="P533" s="9"/>
      <c r="Q533" s="9"/>
      <c r="R533" s="7"/>
      <c r="S533" s="7"/>
      <c r="T533" s="10" t="str">
        <f aca="false">IF($C533="","",IFERROR(INDEX(Listas!$B$2:$B$20,MATCH($D533,Listas!$A$2:$A$20,0)),""))</f>
        <v/>
      </c>
      <c r="U533" s="10" t="str">
        <f aca="false">IF($C533="","",IFERROR(INDEX(Listas!$C$2:$C$20,MATCH($D533,Listas!$A$2:$A$20,0)),""))</f>
        <v/>
      </c>
      <c r="V533" s="10" t="str">
        <f aca="false">IF($C533="","",IFERROR(INDEX(Listas!$D$2:$D$20,MATCH($D533,Listas!$A$2:$A$20,0)),""))</f>
        <v/>
      </c>
      <c r="W533" s="11" t="str">
        <f aca="false">IF(OR($C533="",$B533="",$G533=""),"",$G533-$B533)</f>
        <v/>
      </c>
      <c r="X533" s="11" t="str">
        <f aca="true">IF(OR($C533="",$B533=""),"",IF($N533&lt;&gt;"",$N533,TODAY())-$B533)</f>
        <v/>
      </c>
      <c r="Y533" s="11" t="str">
        <f aca="true">IF(OR($C533="",$M533&lt;&gt;"Abierta",$G533=""),"",MAX($G533-TODAY(),0))</f>
        <v/>
      </c>
      <c r="Z533" s="12" t="str">
        <f aca="false">IF($C533="","",N($K533)*N($H533)*N($I533)*IF($U533="Débito",-1,1))</f>
        <v/>
      </c>
      <c r="AA533" s="13" t="str">
        <f aca="false">IF($C533="","",IF(AND($U533="Débito",$F533&lt;&gt;""),$F533,$E533))</f>
        <v/>
      </c>
      <c r="AB533" s="13" t="str">
        <f aca="false">IF(OR($C533="",$T533="Mixta",$AA533=""),"",IF($V533="Subyacente",IF($J533="","",$J533-$K533),IF($T533="Put",$AA533-$K533,$AA533+$K533)))</f>
        <v/>
      </c>
      <c r="AC533" s="14" t="str">
        <f aca="false">IF(OR($C533="",$T533="Mixta",$J533="",$AA533=""),"",IF($T533="Put",($J533-$AA533)/$J533,($AA533-$J533)/$J533))</f>
        <v/>
      </c>
      <c r="AD533" s="12" t="str">
        <f aca="false">IF($C533="","",IF($Q533&lt;&gt;"",$Q533,IF($V533="Strike",N($E533)*$H533*$I533,IF($V533="Subyacente",IF($J533="","",$J533*$H533*$I533),IF($V533="Ancho",IF($F533="","",ABS($E533-$F533)*$H533*$I533-$K533*$H533*$I533),IF($V533="Prima",$K533*$H533*$I533,""))))))</f>
        <v/>
      </c>
      <c r="AE533" s="12" t="str">
        <f aca="false">IF(OR($C533="",$M533="Abierta",$M533=""),"",(N($K533)-IF(OR($M533="Cerrada",$M533="Rolada"),N($O533),0))*$H533*$I533*IF($U533="Débito",-1,1)-N($L533)-N($P533))</f>
        <v/>
      </c>
      <c r="AF533" s="14" t="str">
        <f aca="false">IF(OR($AE533="",$AD533=""),"",IF($AD533&lt;=0,"",$AE533/$AD533))</f>
        <v/>
      </c>
      <c r="AG533" s="14" t="str">
        <f aca="false">IF($AF533="","",$AF533*365/MAX(N($X533),1))</f>
        <v/>
      </c>
      <c r="AH533" s="14" t="str">
        <f aca="false">IF(OR($C533="",$U533&lt;&gt;"Crédito",$AD533=""),"",IF($AD533&lt;=0,"",($Z533-N($L533))/$AD533))</f>
        <v/>
      </c>
      <c r="AI533" s="14" t="str">
        <f aca="false">IF(OR($AH533="",$W533=""),"",$AH533*365/MAX($W533,1))</f>
        <v/>
      </c>
      <c r="AJ533" s="14" t="str">
        <f aca="false">IF(OR($AE533="",$U533&lt;&gt;"Crédito",N($K533)=0),"",(N($K533)-IF(OR($M533="Cerrada",$M533="Rolada"),N($O533),0))/$K533)</f>
        <v/>
      </c>
      <c r="AK533" s="15" t="str">
        <f aca="false">IF(OR($C533="",$N533=""),"",DATE(YEAR($N533),MONTH($N533),1))</f>
        <v/>
      </c>
      <c r="AL533" s="11" t="str">
        <f aca="false">IF($C533="","",IF($M533="Abierta",0,1))</f>
        <v/>
      </c>
      <c r="AM533" s="16" t="str">
        <f aca="false">IF(OR($AE533="",$AD533=""),"",$AD533*MAX(N($X533),1))</f>
        <v/>
      </c>
      <c r="AN533" s="10" t="str">
        <f aca="false">IF($C533="","",IF(OR($B533="",$D533="",$H533="",$K533="",$M533=""),"Faltan datos obligatorios",IF($T533="","Estrategia no reconocida",IF(AND($M533&lt;&gt;"Abierta",$N533=""),"Falta fecha cierre",IF(AND(OR($M533="Cerrada",$M533="Rolada"),$O533=""),"Falta prima cierre",IF(AND($N533&lt;&gt;"",$N533&lt;$B533),"Cierre anterior a apertura",IF(AND($M533="Asignada",$R533=""),"Asignada: falta ID lote acciones",IF(AND($R533&lt;&gt;"",ISNA(MATCH($R533,Acciones!$A$2:$A$201,0))),"El ID lote no existe en Acciones",IF($AD533="","Revisa capital en riesgo","OK")))))))))</f>
        <v/>
      </c>
    </row>
    <row r="534" customFormat="false" ht="15" hidden="false" customHeight="true" outlineLevel="0" collapsed="false">
      <c r="A534" s="5"/>
      <c r="B534" s="6"/>
      <c r="C534" s="7"/>
      <c r="D534" s="7"/>
      <c r="E534" s="8"/>
      <c r="F534" s="8"/>
      <c r="G534" s="6"/>
      <c r="H534" s="5"/>
      <c r="I534" s="5" t="n">
        <v>100</v>
      </c>
      <c r="J534" s="8"/>
      <c r="K534" s="8"/>
      <c r="L534" s="9"/>
      <c r="M534" s="7"/>
      <c r="N534" s="6"/>
      <c r="O534" s="8"/>
      <c r="P534" s="9"/>
      <c r="Q534" s="9"/>
      <c r="R534" s="7"/>
      <c r="S534" s="7"/>
      <c r="T534" s="10" t="str">
        <f aca="false">IF($C534="","",IFERROR(INDEX(Listas!$B$2:$B$20,MATCH($D534,Listas!$A$2:$A$20,0)),""))</f>
        <v/>
      </c>
      <c r="U534" s="10" t="str">
        <f aca="false">IF($C534="","",IFERROR(INDEX(Listas!$C$2:$C$20,MATCH($D534,Listas!$A$2:$A$20,0)),""))</f>
        <v/>
      </c>
      <c r="V534" s="10" t="str">
        <f aca="false">IF($C534="","",IFERROR(INDEX(Listas!$D$2:$D$20,MATCH($D534,Listas!$A$2:$A$20,0)),""))</f>
        <v/>
      </c>
      <c r="W534" s="11" t="str">
        <f aca="false">IF(OR($C534="",$B534="",$G534=""),"",$G534-$B534)</f>
        <v/>
      </c>
      <c r="X534" s="11" t="str">
        <f aca="true">IF(OR($C534="",$B534=""),"",IF($N534&lt;&gt;"",$N534,TODAY())-$B534)</f>
        <v/>
      </c>
      <c r="Y534" s="11" t="str">
        <f aca="true">IF(OR($C534="",$M534&lt;&gt;"Abierta",$G534=""),"",MAX($G534-TODAY(),0))</f>
        <v/>
      </c>
      <c r="Z534" s="12" t="str">
        <f aca="false">IF($C534="","",N($K534)*N($H534)*N($I534)*IF($U534="Débito",-1,1))</f>
        <v/>
      </c>
      <c r="AA534" s="13" t="str">
        <f aca="false">IF($C534="","",IF(AND($U534="Débito",$F534&lt;&gt;""),$F534,$E534))</f>
        <v/>
      </c>
      <c r="AB534" s="13" t="str">
        <f aca="false">IF(OR($C534="",$T534="Mixta",$AA534=""),"",IF($V534="Subyacente",IF($J534="","",$J534-$K534),IF($T534="Put",$AA534-$K534,$AA534+$K534)))</f>
        <v/>
      </c>
      <c r="AC534" s="14" t="str">
        <f aca="false">IF(OR($C534="",$T534="Mixta",$J534="",$AA534=""),"",IF($T534="Put",($J534-$AA534)/$J534,($AA534-$J534)/$J534))</f>
        <v/>
      </c>
      <c r="AD534" s="12" t="str">
        <f aca="false">IF($C534="","",IF($Q534&lt;&gt;"",$Q534,IF($V534="Strike",N($E534)*$H534*$I534,IF($V534="Subyacente",IF($J534="","",$J534*$H534*$I534),IF($V534="Ancho",IF($F534="","",ABS($E534-$F534)*$H534*$I534-$K534*$H534*$I534),IF($V534="Prima",$K534*$H534*$I534,""))))))</f>
        <v/>
      </c>
      <c r="AE534" s="12" t="str">
        <f aca="false">IF(OR($C534="",$M534="Abierta",$M534=""),"",(N($K534)-IF(OR($M534="Cerrada",$M534="Rolada"),N($O534),0))*$H534*$I534*IF($U534="Débito",-1,1)-N($L534)-N($P534))</f>
        <v/>
      </c>
      <c r="AF534" s="14" t="str">
        <f aca="false">IF(OR($AE534="",$AD534=""),"",IF($AD534&lt;=0,"",$AE534/$AD534))</f>
        <v/>
      </c>
      <c r="AG534" s="14" t="str">
        <f aca="false">IF($AF534="","",$AF534*365/MAX(N($X534),1))</f>
        <v/>
      </c>
      <c r="AH534" s="14" t="str">
        <f aca="false">IF(OR($C534="",$U534&lt;&gt;"Crédito",$AD534=""),"",IF($AD534&lt;=0,"",($Z534-N($L534))/$AD534))</f>
        <v/>
      </c>
      <c r="AI534" s="14" t="str">
        <f aca="false">IF(OR($AH534="",$W534=""),"",$AH534*365/MAX($W534,1))</f>
        <v/>
      </c>
      <c r="AJ534" s="14" t="str">
        <f aca="false">IF(OR($AE534="",$U534&lt;&gt;"Crédito",N($K534)=0),"",(N($K534)-IF(OR($M534="Cerrada",$M534="Rolada"),N($O534),0))/$K534)</f>
        <v/>
      </c>
      <c r="AK534" s="15" t="str">
        <f aca="false">IF(OR($C534="",$N534=""),"",DATE(YEAR($N534),MONTH($N534),1))</f>
        <v/>
      </c>
      <c r="AL534" s="11" t="str">
        <f aca="false">IF($C534="","",IF($M534="Abierta",0,1))</f>
        <v/>
      </c>
      <c r="AM534" s="16" t="str">
        <f aca="false">IF(OR($AE534="",$AD534=""),"",$AD534*MAX(N($X534),1))</f>
        <v/>
      </c>
      <c r="AN534" s="10" t="str">
        <f aca="false">IF($C534="","",IF(OR($B534="",$D534="",$H534="",$K534="",$M534=""),"Faltan datos obligatorios",IF($T534="","Estrategia no reconocida",IF(AND($M534&lt;&gt;"Abierta",$N534=""),"Falta fecha cierre",IF(AND(OR($M534="Cerrada",$M534="Rolada"),$O534=""),"Falta prima cierre",IF(AND($N534&lt;&gt;"",$N534&lt;$B534),"Cierre anterior a apertura",IF(AND($M534="Asignada",$R534=""),"Asignada: falta ID lote acciones",IF(AND($R534&lt;&gt;"",ISNA(MATCH($R534,Acciones!$A$2:$A$201,0))),"El ID lote no existe en Acciones",IF($AD534="","Revisa capital en riesgo","OK")))))))))</f>
        <v/>
      </c>
    </row>
    <row r="535" customFormat="false" ht="15" hidden="false" customHeight="true" outlineLevel="0" collapsed="false">
      <c r="A535" s="5"/>
      <c r="B535" s="6"/>
      <c r="C535" s="7"/>
      <c r="D535" s="7"/>
      <c r="E535" s="8"/>
      <c r="F535" s="8"/>
      <c r="G535" s="6"/>
      <c r="H535" s="5"/>
      <c r="I535" s="5" t="n">
        <v>100</v>
      </c>
      <c r="J535" s="8"/>
      <c r="K535" s="8"/>
      <c r="L535" s="9"/>
      <c r="M535" s="7"/>
      <c r="N535" s="6"/>
      <c r="O535" s="8"/>
      <c r="P535" s="9"/>
      <c r="Q535" s="9"/>
      <c r="R535" s="7"/>
      <c r="S535" s="7"/>
      <c r="T535" s="10" t="str">
        <f aca="false">IF($C535="","",IFERROR(INDEX(Listas!$B$2:$B$20,MATCH($D535,Listas!$A$2:$A$20,0)),""))</f>
        <v/>
      </c>
      <c r="U535" s="10" t="str">
        <f aca="false">IF($C535="","",IFERROR(INDEX(Listas!$C$2:$C$20,MATCH($D535,Listas!$A$2:$A$20,0)),""))</f>
        <v/>
      </c>
      <c r="V535" s="10" t="str">
        <f aca="false">IF($C535="","",IFERROR(INDEX(Listas!$D$2:$D$20,MATCH($D535,Listas!$A$2:$A$20,0)),""))</f>
        <v/>
      </c>
      <c r="W535" s="11" t="str">
        <f aca="false">IF(OR($C535="",$B535="",$G535=""),"",$G535-$B535)</f>
        <v/>
      </c>
      <c r="X535" s="11" t="str">
        <f aca="true">IF(OR($C535="",$B535=""),"",IF($N535&lt;&gt;"",$N535,TODAY())-$B535)</f>
        <v/>
      </c>
      <c r="Y535" s="11" t="str">
        <f aca="true">IF(OR($C535="",$M535&lt;&gt;"Abierta",$G535=""),"",MAX($G535-TODAY(),0))</f>
        <v/>
      </c>
      <c r="Z535" s="12" t="str">
        <f aca="false">IF($C535="","",N($K535)*N($H535)*N($I535)*IF($U535="Débito",-1,1))</f>
        <v/>
      </c>
      <c r="AA535" s="13" t="str">
        <f aca="false">IF($C535="","",IF(AND($U535="Débito",$F535&lt;&gt;""),$F535,$E535))</f>
        <v/>
      </c>
      <c r="AB535" s="13" t="str">
        <f aca="false">IF(OR($C535="",$T535="Mixta",$AA535=""),"",IF($V535="Subyacente",IF($J535="","",$J535-$K535),IF($T535="Put",$AA535-$K535,$AA535+$K535)))</f>
        <v/>
      </c>
      <c r="AC535" s="14" t="str">
        <f aca="false">IF(OR($C535="",$T535="Mixta",$J535="",$AA535=""),"",IF($T535="Put",($J535-$AA535)/$J535,($AA535-$J535)/$J535))</f>
        <v/>
      </c>
      <c r="AD535" s="12" t="str">
        <f aca="false">IF($C535="","",IF($Q535&lt;&gt;"",$Q535,IF($V535="Strike",N($E535)*$H535*$I535,IF($V535="Subyacente",IF($J535="","",$J535*$H535*$I535),IF($V535="Ancho",IF($F535="","",ABS($E535-$F535)*$H535*$I535-$K535*$H535*$I535),IF($V535="Prima",$K535*$H535*$I535,""))))))</f>
        <v/>
      </c>
      <c r="AE535" s="12" t="str">
        <f aca="false">IF(OR($C535="",$M535="Abierta",$M535=""),"",(N($K535)-IF(OR($M535="Cerrada",$M535="Rolada"),N($O535),0))*$H535*$I535*IF($U535="Débito",-1,1)-N($L535)-N($P535))</f>
        <v/>
      </c>
      <c r="AF535" s="14" t="str">
        <f aca="false">IF(OR($AE535="",$AD535=""),"",IF($AD535&lt;=0,"",$AE535/$AD535))</f>
        <v/>
      </c>
      <c r="AG535" s="14" t="str">
        <f aca="false">IF($AF535="","",$AF535*365/MAX(N($X535),1))</f>
        <v/>
      </c>
      <c r="AH535" s="14" t="str">
        <f aca="false">IF(OR($C535="",$U535&lt;&gt;"Crédito",$AD535=""),"",IF($AD535&lt;=0,"",($Z535-N($L535))/$AD535))</f>
        <v/>
      </c>
      <c r="AI535" s="14" t="str">
        <f aca="false">IF(OR($AH535="",$W535=""),"",$AH535*365/MAX($W535,1))</f>
        <v/>
      </c>
      <c r="AJ535" s="14" t="str">
        <f aca="false">IF(OR($AE535="",$U535&lt;&gt;"Crédito",N($K535)=0),"",(N($K535)-IF(OR($M535="Cerrada",$M535="Rolada"),N($O535),0))/$K535)</f>
        <v/>
      </c>
      <c r="AK535" s="15" t="str">
        <f aca="false">IF(OR($C535="",$N535=""),"",DATE(YEAR($N535),MONTH($N535),1))</f>
        <v/>
      </c>
      <c r="AL535" s="11" t="str">
        <f aca="false">IF($C535="","",IF($M535="Abierta",0,1))</f>
        <v/>
      </c>
      <c r="AM535" s="16" t="str">
        <f aca="false">IF(OR($AE535="",$AD535=""),"",$AD535*MAX(N($X535),1))</f>
        <v/>
      </c>
      <c r="AN535" s="10" t="str">
        <f aca="false">IF($C535="","",IF(OR($B535="",$D535="",$H535="",$K535="",$M535=""),"Faltan datos obligatorios",IF($T535="","Estrategia no reconocida",IF(AND($M535&lt;&gt;"Abierta",$N535=""),"Falta fecha cierre",IF(AND(OR($M535="Cerrada",$M535="Rolada"),$O535=""),"Falta prima cierre",IF(AND($N535&lt;&gt;"",$N535&lt;$B535),"Cierre anterior a apertura",IF(AND($M535="Asignada",$R535=""),"Asignada: falta ID lote acciones",IF(AND($R535&lt;&gt;"",ISNA(MATCH($R535,Acciones!$A$2:$A$201,0))),"El ID lote no existe en Acciones",IF($AD535="","Revisa capital en riesgo","OK")))))))))</f>
        <v/>
      </c>
    </row>
    <row r="536" customFormat="false" ht="15" hidden="false" customHeight="true" outlineLevel="0" collapsed="false">
      <c r="A536" s="5"/>
      <c r="B536" s="6"/>
      <c r="C536" s="7"/>
      <c r="D536" s="7"/>
      <c r="E536" s="8"/>
      <c r="F536" s="8"/>
      <c r="G536" s="6"/>
      <c r="H536" s="5"/>
      <c r="I536" s="5" t="n">
        <v>100</v>
      </c>
      <c r="J536" s="8"/>
      <c r="K536" s="8"/>
      <c r="L536" s="9"/>
      <c r="M536" s="7"/>
      <c r="N536" s="6"/>
      <c r="O536" s="8"/>
      <c r="P536" s="9"/>
      <c r="Q536" s="9"/>
      <c r="R536" s="7"/>
      <c r="S536" s="7"/>
      <c r="T536" s="10" t="str">
        <f aca="false">IF($C536="","",IFERROR(INDEX(Listas!$B$2:$B$20,MATCH($D536,Listas!$A$2:$A$20,0)),""))</f>
        <v/>
      </c>
      <c r="U536" s="10" t="str">
        <f aca="false">IF($C536="","",IFERROR(INDEX(Listas!$C$2:$C$20,MATCH($D536,Listas!$A$2:$A$20,0)),""))</f>
        <v/>
      </c>
      <c r="V536" s="10" t="str">
        <f aca="false">IF($C536="","",IFERROR(INDEX(Listas!$D$2:$D$20,MATCH($D536,Listas!$A$2:$A$20,0)),""))</f>
        <v/>
      </c>
      <c r="W536" s="11" t="str">
        <f aca="false">IF(OR($C536="",$B536="",$G536=""),"",$G536-$B536)</f>
        <v/>
      </c>
      <c r="X536" s="11" t="str">
        <f aca="true">IF(OR($C536="",$B536=""),"",IF($N536&lt;&gt;"",$N536,TODAY())-$B536)</f>
        <v/>
      </c>
      <c r="Y536" s="11" t="str">
        <f aca="true">IF(OR($C536="",$M536&lt;&gt;"Abierta",$G536=""),"",MAX($G536-TODAY(),0))</f>
        <v/>
      </c>
      <c r="Z536" s="12" t="str">
        <f aca="false">IF($C536="","",N($K536)*N($H536)*N($I536)*IF($U536="Débito",-1,1))</f>
        <v/>
      </c>
      <c r="AA536" s="13" t="str">
        <f aca="false">IF($C536="","",IF(AND($U536="Débito",$F536&lt;&gt;""),$F536,$E536))</f>
        <v/>
      </c>
      <c r="AB536" s="13" t="str">
        <f aca="false">IF(OR($C536="",$T536="Mixta",$AA536=""),"",IF($V536="Subyacente",IF($J536="","",$J536-$K536),IF($T536="Put",$AA536-$K536,$AA536+$K536)))</f>
        <v/>
      </c>
      <c r="AC536" s="14" t="str">
        <f aca="false">IF(OR($C536="",$T536="Mixta",$J536="",$AA536=""),"",IF($T536="Put",($J536-$AA536)/$J536,($AA536-$J536)/$J536))</f>
        <v/>
      </c>
      <c r="AD536" s="12" t="str">
        <f aca="false">IF($C536="","",IF($Q536&lt;&gt;"",$Q536,IF($V536="Strike",N($E536)*$H536*$I536,IF($V536="Subyacente",IF($J536="","",$J536*$H536*$I536),IF($V536="Ancho",IF($F536="","",ABS($E536-$F536)*$H536*$I536-$K536*$H536*$I536),IF($V536="Prima",$K536*$H536*$I536,""))))))</f>
        <v/>
      </c>
      <c r="AE536" s="12" t="str">
        <f aca="false">IF(OR($C536="",$M536="Abierta",$M536=""),"",(N($K536)-IF(OR($M536="Cerrada",$M536="Rolada"),N($O536),0))*$H536*$I536*IF($U536="Débito",-1,1)-N($L536)-N($P536))</f>
        <v/>
      </c>
      <c r="AF536" s="14" t="str">
        <f aca="false">IF(OR($AE536="",$AD536=""),"",IF($AD536&lt;=0,"",$AE536/$AD536))</f>
        <v/>
      </c>
      <c r="AG536" s="14" t="str">
        <f aca="false">IF($AF536="","",$AF536*365/MAX(N($X536),1))</f>
        <v/>
      </c>
      <c r="AH536" s="14" t="str">
        <f aca="false">IF(OR($C536="",$U536&lt;&gt;"Crédito",$AD536=""),"",IF($AD536&lt;=0,"",($Z536-N($L536))/$AD536))</f>
        <v/>
      </c>
      <c r="AI536" s="14" t="str">
        <f aca="false">IF(OR($AH536="",$W536=""),"",$AH536*365/MAX($W536,1))</f>
        <v/>
      </c>
      <c r="AJ536" s="14" t="str">
        <f aca="false">IF(OR($AE536="",$U536&lt;&gt;"Crédito",N($K536)=0),"",(N($K536)-IF(OR($M536="Cerrada",$M536="Rolada"),N($O536),0))/$K536)</f>
        <v/>
      </c>
      <c r="AK536" s="15" t="str">
        <f aca="false">IF(OR($C536="",$N536=""),"",DATE(YEAR($N536),MONTH($N536),1))</f>
        <v/>
      </c>
      <c r="AL536" s="11" t="str">
        <f aca="false">IF($C536="","",IF($M536="Abierta",0,1))</f>
        <v/>
      </c>
      <c r="AM536" s="16" t="str">
        <f aca="false">IF(OR($AE536="",$AD536=""),"",$AD536*MAX(N($X536),1))</f>
        <v/>
      </c>
      <c r="AN536" s="10" t="str">
        <f aca="false">IF($C536="","",IF(OR($B536="",$D536="",$H536="",$K536="",$M536=""),"Faltan datos obligatorios",IF($T536="","Estrategia no reconocida",IF(AND($M536&lt;&gt;"Abierta",$N536=""),"Falta fecha cierre",IF(AND(OR($M536="Cerrada",$M536="Rolada"),$O536=""),"Falta prima cierre",IF(AND($N536&lt;&gt;"",$N536&lt;$B536),"Cierre anterior a apertura",IF(AND($M536="Asignada",$R536=""),"Asignada: falta ID lote acciones",IF(AND($R536&lt;&gt;"",ISNA(MATCH($R536,Acciones!$A$2:$A$201,0))),"El ID lote no existe en Acciones",IF($AD536="","Revisa capital en riesgo","OK")))))))))</f>
        <v/>
      </c>
    </row>
    <row r="537" customFormat="false" ht="15" hidden="false" customHeight="true" outlineLevel="0" collapsed="false">
      <c r="A537" s="5"/>
      <c r="B537" s="6"/>
      <c r="C537" s="7"/>
      <c r="D537" s="7"/>
      <c r="E537" s="8"/>
      <c r="F537" s="8"/>
      <c r="G537" s="6"/>
      <c r="H537" s="5"/>
      <c r="I537" s="5" t="n">
        <v>100</v>
      </c>
      <c r="J537" s="8"/>
      <c r="K537" s="8"/>
      <c r="L537" s="9"/>
      <c r="M537" s="7"/>
      <c r="N537" s="6"/>
      <c r="O537" s="8"/>
      <c r="P537" s="9"/>
      <c r="Q537" s="9"/>
      <c r="R537" s="7"/>
      <c r="S537" s="7"/>
      <c r="T537" s="10" t="str">
        <f aca="false">IF($C537="","",IFERROR(INDEX(Listas!$B$2:$B$20,MATCH($D537,Listas!$A$2:$A$20,0)),""))</f>
        <v/>
      </c>
      <c r="U537" s="10" t="str">
        <f aca="false">IF($C537="","",IFERROR(INDEX(Listas!$C$2:$C$20,MATCH($D537,Listas!$A$2:$A$20,0)),""))</f>
        <v/>
      </c>
      <c r="V537" s="10" t="str">
        <f aca="false">IF($C537="","",IFERROR(INDEX(Listas!$D$2:$D$20,MATCH($D537,Listas!$A$2:$A$20,0)),""))</f>
        <v/>
      </c>
      <c r="W537" s="11" t="str">
        <f aca="false">IF(OR($C537="",$B537="",$G537=""),"",$G537-$B537)</f>
        <v/>
      </c>
      <c r="X537" s="11" t="str">
        <f aca="true">IF(OR($C537="",$B537=""),"",IF($N537&lt;&gt;"",$N537,TODAY())-$B537)</f>
        <v/>
      </c>
      <c r="Y537" s="11" t="str">
        <f aca="true">IF(OR($C537="",$M537&lt;&gt;"Abierta",$G537=""),"",MAX($G537-TODAY(),0))</f>
        <v/>
      </c>
      <c r="Z537" s="12" t="str">
        <f aca="false">IF($C537="","",N($K537)*N($H537)*N($I537)*IF($U537="Débito",-1,1))</f>
        <v/>
      </c>
      <c r="AA537" s="13" t="str">
        <f aca="false">IF($C537="","",IF(AND($U537="Débito",$F537&lt;&gt;""),$F537,$E537))</f>
        <v/>
      </c>
      <c r="AB537" s="13" t="str">
        <f aca="false">IF(OR($C537="",$T537="Mixta",$AA537=""),"",IF($V537="Subyacente",IF($J537="","",$J537-$K537),IF($T537="Put",$AA537-$K537,$AA537+$K537)))</f>
        <v/>
      </c>
      <c r="AC537" s="14" t="str">
        <f aca="false">IF(OR($C537="",$T537="Mixta",$J537="",$AA537=""),"",IF($T537="Put",($J537-$AA537)/$J537,($AA537-$J537)/$J537))</f>
        <v/>
      </c>
      <c r="AD537" s="12" t="str">
        <f aca="false">IF($C537="","",IF($Q537&lt;&gt;"",$Q537,IF($V537="Strike",N($E537)*$H537*$I537,IF($V537="Subyacente",IF($J537="","",$J537*$H537*$I537),IF($V537="Ancho",IF($F537="","",ABS($E537-$F537)*$H537*$I537-$K537*$H537*$I537),IF($V537="Prima",$K537*$H537*$I537,""))))))</f>
        <v/>
      </c>
      <c r="AE537" s="12" t="str">
        <f aca="false">IF(OR($C537="",$M537="Abierta",$M537=""),"",(N($K537)-IF(OR($M537="Cerrada",$M537="Rolada"),N($O537),0))*$H537*$I537*IF($U537="Débito",-1,1)-N($L537)-N($P537))</f>
        <v/>
      </c>
      <c r="AF537" s="14" t="str">
        <f aca="false">IF(OR($AE537="",$AD537=""),"",IF($AD537&lt;=0,"",$AE537/$AD537))</f>
        <v/>
      </c>
      <c r="AG537" s="14" t="str">
        <f aca="false">IF($AF537="","",$AF537*365/MAX(N($X537),1))</f>
        <v/>
      </c>
      <c r="AH537" s="14" t="str">
        <f aca="false">IF(OR($C537="",$U537&lt;&gt;"Crédito",$AD537=""),"",IF($AD537&lt;=0,"",($Z537-N($L537))/$AD537))</f>
        <v/>
      </c>
      <c r="AI537" s="14" t="str">
        <f aca="false">IF(OR($AH537="",$W537=""),"",$AH537*365/MAX($W537,1))</f>
        <v/>
      </c>
      <c r="AJ537" s="14" t="str">
        <f aca="false">IF(OR($AE537="",$U537&lt;&gt;"Crédito",N($K537)=0),"",(N($K537)-IF(OR($M537="Cerrada",$M537="Rolada"),N($O537),0))/$K537)</f>
        <v/>
      </c>
      <c r="AK537" s="15" t="str">
        <f aca="false">IF(OR($C537="",$N537=""),"",DATE(YEAR($N537),MONTH($N537),1))</f>
        <v/>
      </c>
      <c r="AL537" s="11" t="str">
        <f aca="false">IF($C537="","",IF($M537="Abierta",0,1))</f>
        <v/>
      </c>
      <c r="AM537" s="16" t="str">
        <f aca="false">IF(OR($AE537="",$AD537=""),"",$AD537*MAX(N($X537),1))</f>
        <v/>
      </c>
      <c r="AN537" s="10" t="str">
        <f aca="false">IF($C537="","",IF(OR($B537="",$D537="",$H537="",$K537="",$M537=""),"Faltan datos obligatorios",IF($T537="","Estrategia no reconocida",IF(AND($M537&lt;&gt;"Abierta",$N537=""),"Falta fecha cierre",IF(AND(OR($M537="Cerrada",$M537="Rolada"),$O537=""),"Falta prima cierre",IF(AND($N537&lt;&gt;"",$N537&lt;$B537),"Cierre anterior a apertura",IF(AND($M537="Asignada",$R537=""),"Asignada: falta ID lote acciones",IF(AND($R537&lt;&gt;"",ISNA(MATCH($R537,Acciones!$A$2:$A$201,0))),"El ID lote no existe en Acciones",IF($AD537="","Revisa capital en riesgo","OK")))))))))</f>
        <v/>
      </c>
    </row>
    <row r="538" customFormat="false" ht="15" hidden="false" customHeight="true" outlineLevel="0" collapsed="false">
      <c r="A538" s="5"/>
      <c r="B538" s="6"/>
      <c r="C538" s="7"/>
      <c r="D538" s="7"/>
      <c r="E538" s="8"/>
      <c r="F538" s="8"/>
      <c r="G538" s="6"/>
      <c r="H538" s="5"/>
      <c r="I538" s="5" t="n">
        <v>100</v>
      </c>
      <c r="J538" s="8"/>
      <c r="K538" s="8"/>
      <c r="L538" s="9"/>
      <c r="M538" s="7"/>
      <c r="N538" s="6"/>
      <c r="O538" s="8"/>
      <c r="P538" s="9"/>
      <c r="Q538" s="9"/>
      <c r="R538" s="7"/>
      <c r="S538" s="7"/>
      <c r="T538" s="10" t="str">
        <f aca="false">IF($C538="","",IFERROR(INDEX(Listas!$B$2:$B$20,MATCH($D538,Listas!$A$2:$A$20,0)),""))</f>
        <v/>
      </c>
      <c r="U538" s="10" t="str">
        <f aca="false">IF($C538="","",IFERROR(INDEX(Listas!$C$2:$C$20,MATCH($D538,Listas!$A$2:$A$20,0)),""))</f>
        <v/>
      </c>
      <c r="V538" s="10" t="str">
        <f aca="false">IF($C538="","",IFERROR(INDEX(Listas!$D$2:$D$20,MATCH($D538,Listas!$A$2:$A$20,0)),""))</f>
        <v/>
      </c>
      <c r="W538" s="11" t="str">
        <f aca="false">IF(OR($C538="",$B538="",$G538=""),"",$G538-$B538)</f>
        <v/>
      </c>
      <c r="X538" s="11" t="str">
        <f aca="true">IF(OR($C538="",$B538=""),"",IF($N538&lt;&gt;"",$N538,TODAY())-$B538)</f>
        <v/>
      </c>
      <c r="Y538" s="11" t="str">
        <f aca="true">IF(OR($C538="",$M538&lt;&gt;"Abierta",$G538=""),"",MAX($G538-TODAY(),0))</f>
        <v/>
      </c>
      <c r="Z538" s="12" t="str">
        <f aca="false">IF($C538="","",N($K538)*N($H538)*N($I538)*IF($U538="Débito",-1,1))</f>
        <v/>
      </c>
      <c r="AA538" s="13" t="str">
        <f aca="false">IF($C538="","",IF(AND($U538="Débito",$F538&lt;&gt;""),$F538,$E538))</f>
        <v/>
      </c>
      <c r="AB538" s="13" t="str">
        <f aca="false">IF(OR($C538="",$T538="Mixta",$AA538=""),"",IF($V538="Subyacente",IF($J538="","",$J538-$K538),IF($T538="Put",$AA538-$K538,$AA538+$K538)))</f>
        <v/>
      </c>
      <c r="AC538" s="14" t="str">
        <f aca="false">IF(OR($C538="",$T538="Mixta",$J538="",$AA538=""),"",IF($T538="Put",($J538-$AA538)/$J538,($AA538-$J538)/$J538))</f>
        <v/>
      </c>
      <c r="AD538" s="12" t="str">
        <f aca="false">IF($C538="","",IF($Q538&lt;&gt;"",$Q538,IF($V538="Strike",N($E538)*$H538*$I538,IF($V538="Subyacente",IF($J538="","",$J538*$H538*$I538),IF($V538="Ancho",IF($F538="","",ABS($E538-$F538)*$H538*$I538-$K538*$H538*$I538),IF($V538="Prima",$K538*$H538*$I538,""))))))</f>
        <v/>
      </c>
      <c r="AE538" s="12" t="str">
        <f aca="false">IF(OR($C538="",$M538="Abierta",$M538=""),"",(N($K538)-IF(OR($M538="Cerrada",$M538="Rolada"),N($O538),0))*$H538*$I538*IF($U538="Débito",-1,1)-N($L538)-N($P538))</f>
        <v/>
      </c>
      <c r="AF538" s="14" t="str">
        <f aca="false">IF(OR($AE538="",$AD538=""),"",IF($AD538&lt;=0,"",$AE538/$AD538))</f>
        <v/>
      </c>
      <c r="AG538" s="14" t="str">
        <f aca="false">IF($AF538="","",$AF538*365/MAX(N($X538),1))</f>
        <v/>
      </c>
      <c r="AH538" s="14" t="str">
        <f aca="false">IF(OR($C538="",$U538&lt;&gt;"Crédito",$AD538=""),"",IF($AD538&lt;=0,"",($Z538-N($L538))/$AD538))</f>
        <v/>
      </c>
      <c r="AI538" s="14" t="str">
        <f aca="false">IF(OR($AH538="",$W538=""),"",$AH538*365/MAX($W538,1))</f>
        <v/>
      </c>
      <c r="AJ538" s="14" t="str">
        <f aca="false">IF(OR($AE538="",$U538&lt;&gt;"Crédito",N($K538)=0),"",(N($K538)-IF(OR($M538="Cerrada",$M538="Rolada"),N($O538),0))/$K538)</f>
        <v/>
      </c>
      <c r="AK538" s="15" t="str">
        <f aca="false">IF(OR($C538="",$N538=""),"",DATE(YEAR($N538),MONTH($N538),1))</f>
        <v/>
      </c>
      <c r="AL538" s="11" t="str">
        <f aca="false">IF($C538="","",IF($M538="Abierta",0,1))</f>
        <v/>
      </c>
      <c r="AM538" s="16" t="str">
        <f aca="false">IF(OR($AE538="",$AD538=""),"",$AD538*MAX(N($X538),1))</f>
        <v/>
      </c>
      <c r="AN538" s="10" t="str">
        <f aca="false">IF($C538="","",IF(OR($B538="",$D538="",$H538="",$K538="",$M538=""),"Faltan datos obligatorios",IF($T538="","Estrategia no reconocida",IF(AND($M538&lt;&gt;"Abierta",$N538=""),"Falta fecha cierre",IF(AND(OR($M538="Cerrada",$M538="Rolada"),$O538=""),"Falta prima cierre",IF(AND($N538&lt;&gt;"",$N538&lt;$B538),"Cierre anterior a apertura",IF(AND($M538="Asignada",$R538=""),"Asignada: falta ID lote acciones",IF(AND($R538&lt;&gt;"",ISNA(MATCH($R538,Acciones!$A$2:$A$201,0))),"El ID lote no existe en Acciones",IF($AD538="","Revisa capital en riesgo","OK")))))))))</f>
        <v/>
      </c>
    </row>
    <row r="539" customFormat="false" ht="15" hidden="false" customHeight="true" outlineLevel="0" collapsed="false">
      <c r="A539" s="5"/>
      <c r="B539" s="6"/>
      <c r="C539" s="7"/>
      <c r="D539" s="7"/>
      <c r="E539" s="8"/>
      <c r="F539" s="8"/>
      <c r="G539" s="6"/>
      <c r="H539" s="5"/>
      <c r="I539" s="5" t="n">
        <v>100</v>
      </c>
      <c r="J539" s="8"/>
      <c r="K539" s="8"/>
      <c r="L539" s="9"/>
      <c r="M539" s="7"/>
      <c r="N539" s="6"/>
      <c r="O539" s="8"/>
      <c r="P539" s="9"/>
      <c r="Q539" s="9"/>
      <c r="R539" s="7"/>
      <c r="S539" s="7"/>
      <c r="T539" s="10" t="str">
        <f aca="false">IF($C539="","",IFERROR(INDEX(Listas!$B$2:$B$20,MATCH($D539,Listas!$A$2:$A$20,0)),""))</f>
        <v/>
      </c>
      <c r="U539" s="10" t="str">
        <f aca="false">IF($C539="","",IFERROR(INDEX(Listas!$C$2:$C$20,MATCH($D539,Listas!$A$2:$A$20,0)),""))</f>
        <v/>
      </c>
      <c r="V539" s="10" t="str">
        <f aca="false">IF($C539="","",IFERROR(INDEX(Listas!$D$2:$D$20,MATCH($D539,Listas!$A$2:$A$20,0)),""))</f>
        <v/>
      </c>
      <c r="W539" s="11" t="str">
        <f aca="false">IF(OR($C539="",$B539="",$G539=""),"",$G539-$B539)</f>
        <v/>
      </c>
      <c r="X539" s="11" t="str">
        <f aca="true">IF(OR($C539="",$B539=""),"",IF($N539&lt;&gt;"",$N539,TODAY())-$B539)</f>
        <v/>
      </c>
      <c r="Y539" s="11" t="str">
        <f aca="true">IF(OR($C539="",$M539&lt;&gt;"Abierta",$G539=""),"",MAX($G539-TODAY(),0))</f>
        <v/>
      </c>
      <c r="Z539" s="12" t="str">
        <f aca="false">IF($C539="","",N($K539)*N($H539)*N($I539)*IF($U539="Débito",-1,1))</f>
        <v/>
      </c>
      <c r="AA539" s="13" t="str">
        <f aca="false">IF($C539="","",IF(AND($U539="Débito",$F539&lt;&gt;""),$F539,$E539))</f>
        <v/>
      </c>
      <c r="AB539" s="13" t="str">
        <f aca="false">IF(OR($C539="",$T539="Mixta",$AA539=""),"",IF($V539="Subyacente",IF($J539="","",$J539-$K539),IF($T539="Put",$AA539-$K539,$AA539+$K539)))</f>
        <v/>
      </c>
      <c r="AC539" s="14" t="str">
        <f aca="false">IF(OR($C539="",$T539="Mixta",$J539="",$AA539=""),"",IF($T539="Put",($J539-$AA539)/$J539,($AA539-$J539)/$J539))</f>
        <v/>
      </c>
      <c r="AD539" s="12" t="str">
        <f aca="false">IF($C539="","",IF($Q539&lt;&gt;"",$Q539,IF($V539="Strike",N($E539)*$H539*$I539,IF($V539="Subyacente",IF($J539="","",$J539*$H539*$I539),IF($V539="Ancho",IF($F539="","",ABS($E539-$F539)*$H539*$I539-$K539*$H539*$I539),IF($V539="Prima",$K539*$H539*$I539,""))))))</f>
        <v/>
      </c>
      <c r="AE539" s="12" t="str">
        <f aca="false">IF(OR($C539="",$M539="Abierta",$M539=""),"",(N($K539)-IF(OR($M539="Cerrada",$M539="Rolada"),N($O539),0))*$H539*$I539*IF($U539="Débito",-1,1)-N($L539)-N($P539))</f>
        <v/>
      </c>
      <c r="AF539" s="14" t="str">
        <f aca="false">IF(OR($AE539="",$AD539=""),"",IF($AD539&lt;=0,"",$AE539/$AD539))</f>
        <v/>
      </c>
      <c r="AG539" s="14" t="str">
        <f aca="false">IF($AF539="","",$AF539*365/MAX(N($X539),1))</f>
        <v/>
      </c>
      <c r="AH539" s="14" t="str">
        <f aca="false">IF(OR($C539="",$U539&lt;&gt;"Crédito",$AD539=""),"",IF($AD539&lt;=0,"",($Z539-N($L539))/$AD539))</f>
        <v/>
      </c>
      <c r="AI539" s="14" t="str">
        <f aca="false">IF(OR($AH539="",$W539=""),"",$AH539*365/MAX($W539,1))</f>
        <v/>
      </c>
      <c r="AJ539" s="14" t="str">
        <f aca="false">IF(OR($AE539="",$U539&lt;&gt;"Crédito",N($K539)=0),"",(N($K539)-IF(OR($M539="Cerrada",$M539="Rolada"),N($O539),0))/$K539)</f>
        <v/>
      </c>
      <c r="AK539" s="15" t="str">
        <f aca="false">IF(OR($C539="",$N539=""),"",DATE(YEAR($N539),MONTH($N539),1))</f>
        <v/>
      </c>
      <c r="AL539" s="11" t="str">
        <f aca="false">IF($C539="","",IF($M539="Abierta",0,1))</f>
        <v/>
      </c>
      <c r="AM539" s="16" t="str">
        <f aca="false">IF(OR($AE539="",$AD539=""),"",$AD539*MAX(N($X539),1))</f>
        <v/>
      </c>
      <c r="AN539" s="10" t="str">
        <f aca="false">IF($C539="","",IF(OR($B539="",$D539="",$H539="",$K539="",$M539=""),"Faltan datos obligatorios",IF($T539="","Estrategia no reconocida",IF(AND($M539&lt;&gt;"Abierta",$N539=""),"Falta fecha cierre",IF(AND(OR($M539="Cerrada",$M539="Rolada"),$O539=""),"Falta prima cierre",IF(AND($N539&lt;&gt;"",$N539&lt;$B539),"Cierre anterior a apertura",IF(AND($M539="Asignada",$R539=""),"Asignada: falta ID lote acciones",IF(AND($R539&lt;&gt;"",ISNA(MATCH($R539,Acciones!$A$2:$A$201,0))),"El ID lote no existe en Acciones",IF($AD539="","Revisa capital en riesgo","OK")))))))))</f>
        <v/>
      </c>
    </row>
    <row r="540" customFormat="false" ht="15" hidden="false" customHeight="true" outlineLevel="0" collapsed="false">
      <c r="A540" s="5"/>
      <c r="B540" s="6"/>
      <c r="C540" s="7"/>
      <c r="D540" s="7"/>
      <c r="E540" s="8"/>
      <c r="F540" s="8"/>
      <c r="G540" s="6"/>
      <c r="H540" s="5"/>
      <c r="I540" s="5" t="n">
        <v>100</v>
      </c>
      <c r="J540" s="8"/>
      <c r="K540" s="8"/>
      <c r="L540" s="9"/>
      <c r="M540" s="7"/>
      <c r="N540" s="6"/>
      <c r="O540" s="8"/>
      <c r="P540" s="9"/>
      <c r="Q540" s="9"/>
      <c r="R540" s="7"/>
      <c r="S540" s="7"/>
      <c r="T540" s="10" t="str">
        <f aca="false">IF($C540="","",IFERROR(INDEX(Listas!$B$2:$B$20,MATCH($D540,Listas!$A$2:$A$20,0)),""))</f>
        <v/>
      </c>
      <c r="U540" s="10" t="str">
        <f aca="false">IF($C540="","",IFERROR(INDEX(Listas!$C$2:$C$20,MATCH($D540,Listas!$A$2:$A$20,0)),""))</f>
        <v/>
      </c>
      <c r="V540" s="10" t="str">
        <f aca="false">IF($C540="","",IFERROR(INDEX(Listas!$D$2:$D$20,MATCH($D540,Listas!$A$2:$A$20,0)),""))</f>
        <v/>
      </c>
      <c r="W540" s="11" t="str">
        <f aca="false">IF(OR($C540="",$B540="",$G540=""),"",$G540-$B540)</f>
        <v/>
      </c>
      <c r="X540" s="11" t="str">
        <f aca="true">IF(OR($C540="",$B540=""),"",IF($N540&lt;&gt;"",$N540,TODAY())-$B540)</f>
        <v/>
      </c>
      <c r="Y540" s="11" t="str">
        <f aca="true">IF(OR($C540="",$M540&lt;&gt;"Abierta",$G540=""),"",MAX($G540-TODAY(),0))</f>
        <v/>
      </c>
      <c r="Z540" s="12" t="str">
        <f aca="false">IF($C540="","",N($K540)*N($H540)*N($I540)*IF($U540="Débito",-1,1))</f>
        <v/>
      </c>
      <c r="AA540" s="13" t="str">
        <f aca="false">IF($C540="","",IF(AND($U540="Débito",$F540&lt;&gt;""),$F540,$E540))</f>
        <v/>
      </c>
      <c r="AB540" s="13" t="str">
        <f aca="false">IF(OR($C540="",$T540="Mixta",$AA540=""),"",IF($V540="Subyacente",IF($J540="","",$J540-$K540),IF($T540="Put",$AA540-$K540,$AA540+$K540)))</f>
        <v/>
      </c>
      <c r="AC540" s="14" t="str">
        <f aca="false">IF(OR($C540="",$T540="Mixta",$J540="",$AA540=""),"",IF($T540="Put",($J540-$AA540)/$J540,($AA540-$J540)/$J540))</f>
        <v/>
      </c>
      <c r="AD540" s="12" t="str">
        <f aca="false">IF($C540="","",IF($Q540&lt;&gt;"",$Q540,IF($V540="Strike",N($E540)*$H540*$I540,IF($V540="Subyacente",IF($J540="","",$J540*$H540*$I540),IF($V540="Ancho",IF($F540="","",ABS($E540-$F540)*$H540*$I540-$K540*$H540*$I540),IF($V540="Prima",$K540*$H540*$I540,""))))))</f>
        <v/>
      </c>
      <c r="AE540" s="12" t="str">
        <f aca="false">IF(OR($C540="",$M540="Abierta",$M540=""),"",(N($K540)-IF(OR($M540="Cerrada",$M540="Rolada"),N($O540),0))*$H540*$I540*IF($U540="Débito",-1,1)-N($L540)-N($P540))</f>
        <v/>
      </c>
      <c r="AF540" s="14" t="str">
        <f aca="false">IF(OR($AE540="",$AD540=""),"",IF($AD540&lt;=0,"",$AE540/$AD540))</f>
        <v/>
      </c>
      <c r="AG540" s="14" t="str">
        <f aca="false">IF($AF540="","",$AF540*365/MAX(N($X540),1))</f>
        <v/>
      </c>
      <c r="AH540" s="14" t="str">
        <f aca="false">IF(OR($C540="",$U540&lt;&gt;"Crédito",$AD540=""),"",IF($AD540&lt;=0,"",($Z540-N($L540))/$AD540))</f>
        <v/>
      </c>
      <c r="AI540" s="14" t="str">
        <f aca="false">IF(OR($AH540="",$W540=""),"",$AH540*365/MAX($W540,1))</f>
        <v/>
      </c>
      <c r="AJ540" s="14" t="str">
        <f aca="false">IF(OR($AE540="",$U540&lt;&gt;"Crédito",N($K540)=0),"",(N($K540)-IF(OR($M540="Cerrada",$M540="Rolada"),N($O540),0))/$K540)</f>
        <v/>
      </c>
      <c r="AK540" s="15" t="str">
        <f aca="false">IF(OR($C540="",$N540=""),"",DATE(YEAR($N540),MONTH($N540),1))</f>
        <v/>
      </c>
      <c r="AL540" s="11" t="str">
        <f aca="false">IF($C540="","",IF($M540="Abierta",0,1))</f>
        <v/>
      </c>
      <c r="AM540" s="16" t="str">
        <f aca="false">IF(OR($AE540="",$AD540=""),"",$AD540*MAX(N($X540),1))</f>
        <v/>
      </c>
      <c r="AN540" s="10" t="str">
        <f aca="false">IF($C540="","",IF(OR($B540="",$D540="",$H540="",$K540="",$M540=""),"Faltan datos obligatorios",IF($T540="","Estrategia no reconocida",IF(AND($M540&lt;&gt;"Abierta",$N540=""),"Falta fecha cierre",IF(AND(OR($M540="Cerrada",$M540="Rolada"),$O540=""),"Falta prima cierre",IF(AND($N540&lt;&gt;"",$N540&lt;$B540),"Cierre anterior a apertura",IF(AND($M540="Asignada",$R540=""),"Asignada: falta ID lote acciones",IF(AND($R540&lt;&gt;"",ISNA(MATCH($R540,Acciones!$A$2:$A$201,0))),"El ID lote no existe en Acciones",IF($AD540="","Revisa capital en riesgo","OK")))))))))</f>
        <v/>
      </c>
    </row>
    <row r="541" customFormat="false" ht="15" hidden="false" customHeight="true" outlineLevel="0" collapsed="false">
      <c r="A541" s="5"/>
      <c r="B541" s="6"/>
      <c r="C541" s="7"/>
      <c r="D541" s="7"/>
      <c r="E541" s="8"/>
      <c r="F541" s="8"/>
      <c r="G541" s="6"/>
      <c r="H541" s="5"/>
      <c r="I541" s="5" t="n">
        <v>100</v>
      </c>
      <c r="J541" s="8"/>
      <c r="K541" s="8"/>
      <c r="L541" s="9"/>
      <c r="M541" s="7"/>
      <c r="N541" s="6"/>
      <c r="O541" s="8"/>
      <c r="P541" s="9"/>
      <c r="Q541" s="9"/>
      <c r="R541" s="7"/>
      <c r="S541" s="7"/>
      <c r="T541" s="10" t="str">
        <f aca="false">IF($C541="","",IFERROR(INDEX(Listas!$B$2:$B$20,MATCH($D541,Listas!$A$2:$A$20,0)),""))</f>
        <v/>
      </c>
      <c r="U541" s="10" t="str">
        <f aca="false">IF($C541="","",IFERROR(INDEX(Listas!$C$2:$C$20,MATCH($D541,Listas!$A$2:$A$20,0)),""))</f>
        <v/>
      </c>
      <c r="V541" s="10" t="str">
        <f aca="false">IF($C541="","",IFERROR(INDEX(Listas!$D$2:$D$20,MATCH($D541,Listas!$A$2:$A$20,0)),""))</f>
        <v/>
      </c>
      <c r="W541" s="11" t="str">
        <f aca="false">IF(OR($C541="",$B541="",$G541=""),"",$G541-$B541)</f>
        <v/>
      </c>
      <c r="X541" s="11" t="str">
        <f aca="true">IF(OR($C541="",$B541=""),"",IF($N541&lt;&gt;"",$N541,TODAY())-$B541)</f>
        <v/>
      </c>
      <c r="Y541" s="11" t="str">
        <f aca="true">IF(OR($C541="",$M541&lt;&gt;"Abierta",$G541=""),"",MAX($G541-TODAY(),0))</f>
        <v/>
      </c>
      <c r="Z541" s="12" t="str">
        <f aca="false">IF($C541="","",N($K541)*N($H541)*N($I541)*IF($U541="Débito",-1,1))</f>
        <v/>
      </c>
      <c r="AA541" s="13" t="str">
        <f aca="false">IF($C541="","",IF(AND($U541="Débito",$F541&lt;&gt;""),$F541,$E541))</f>
        <v/>
      </c>
      <c r="AB541" s="13" t="str">
        <f aca="false">IF(OR($C541="",$T541="Mixta",$AA541=""),"",IF($V541="Subyacente",IF($J541="","",$J541-$K541),IF($T541="Put",$AA541-$K541,$AA541+$K541)))</f>
        <v/>
      </c>
      <c r="AC541" s="14" t="str">
        <f aca="false">IF(OR($C541="",$T541="Mixta",$J541="",$AA541=""),"",IF($T541="Put",($J541-$AA541)/$J541,($AA541-$J541)/$J541))</f>
        <v/>
      </c>
      <c r="AD541" s="12" t="str">
        <f aca="false">IF($C541="","",IF($Q541&lt;&gt;"",$Q541,IF($V541="Strike",N($E541)*$H541*$I541,IF($V541="Subyacente",IF($J541="","",$J541*$H541*$I541),IF($V541="Ancho",IF($F541="","",ABS($E541-$F541)*$H541*$I541-$K541*$H541*$I541),IF($V541="Prima",$K541*$H541*$I541,""))))))</f>
        <v/>
      </c>
      <c r="AE541" s="12" t="str">
        <f aca="false">IF(OR($C541="",$M541="Abierta",$M541=""),"",(N($K541)-IF(OR($M541="Cerrada",$M541="Rolada"),N($O541),0))*$H541*$I541*IF($U541="Débito",-1,1)-N($L541)-N($P541))</f>
        <v/>
      </c>
      <c r="AF541" s="14" t="str">
        <f aca="false">IF(OR($AE541="",$AD541=""),"",IF($AD541&lt;=0,"",$AE541/$AD541))</f>
        <v/>
      </c>
      <c r="AG541" s="14" t="str">
        <f aca="false">IF($AF541="","",$AF541*365/MAX(N($X541),1))</f>
        <v/>
      </c>
      <c r="AH541" s="14" t="str">
        <f aca="false">IF(OR($C541="",$U541&lt;&gt;"Crédito",$AD541=""),"",IF($AD541&lt;=0,"",($Z541-N($L541))/$AD541))</f>
        <v/>
      </c>
      <c r="AI541" s="14" t="str">
        <f aca="false">IF(OR($AH541="",$W541=""),"",$AH541*365/MAX($W541,1))</f>
        <v/>
      </c>
      <c r="AJ541" s="14" t="str">
        <f aca="false">IF(OR($AE541="",$U541&lt;&gt;"Crédito",N($K541)=0),"",(N($K541)-IF(OR($M541="Cerrada",$M541="Rolada"),N($O541),0))/$K541)</f>
        <v/>
      </c>
      <c r="AK541" s="15" t="str">
        <f aca="false">IF(OR($C541="",$N541=""),"",DATE(YEAR($N541),MONTH($N541),1))</f>
        <v/>
      </c>
      <c r="AL541" s="11" t="str">
        <f aca="false">IF($C541="","",IF($M541="Abierta",0,1))</f>
        <v/>
      </c>
      <c r="AM541" s="16" t="str">
        <f aca="false">IF(OR($AE541="",$AD541=""),"",$AD541*MAX(N($X541),1))</f>
        <v/>
      </c>
      <c r="AN541" s="10" t="str">
        <f aca="false">IF($C541="","",IF(OR($B541="",$D541="",$H541="",$K541="",$M541=""),"Faltan datos obligatorios",IF($T541="","Estrategia no reconocida",IF(AND($M541&lt;&gt;"Abierta",$N541=""),"Falta fecha cierre",IF(AND(OR($M541="Cerrada",$M541="Rolada"),$O541=""),"Falta prima cierre",IF(AND($N541&lt;&gt;"",$N541&lt;$B541),"Cierre anterior a apertura",IF(AND($M541="Asignada",$R541=""),"Asignada: falta ID lote acciones",IF(AND($R541&lt;&gt;"",ISNA(MATCH($R541,Acciones!$A$2:$A$201,0))),"El ID lote no existe en Acciones",IF($AD541="","Revisa capital en riesgo","OK")))))))))</f>
        <v/>
      </c>
    </row>
    <row r="542" customFormat="false" ht="15" hidden="false" customHeight="true" outlineLevel="0" collapsed="false">
      <c r="A542" s="5"/>
      <c r="B542" s="6"/>
      <c r="C542" s="7"/>
      <c r="D542" s="7"/>
      <c r="E542" s="8"/>
      <c r="F542" s="8"/>
      <c r="G542" s="6"/>
      <c r="H542" s="5"/>
      <c r="I542" s="5" t="n">
        <v>100</v>
      </c>
      <c r="J542" s="8"/>
      <c r="K542" s="8"/>
      <c r="L542" s="9"/>
      <c r="M542" s="7"/>
      <c r="N542" s="6"/>
      <c r="O542" s="8"/>
      <c r="P542" s="9"/>
      <c r="Q542" s="9"/>
      <c r="R542" s="7"/>
      <c r="S542" s="7"/>
      <c r="T542" s="10" t="str">
        <f aca="false">IF($C542="","",IFERROR(INDEX(Listas!$B$2:$B$20,MATCH($D542,Listas!$A$2:$A$20,0)),""))</f>
        <v/>
      </c>
      <c r="U542" s="10" t="str">
        <f aca="false">IF($C542="","",IFERROR(INDEX(Listas!$C$2:$C$20,MATCH($D542,Listas!$A$2:$A$20,0)),""))</f>
        <v/>
      </c>
      <c r="V542" s="10" t="str">
        <f aca="false">IF($C542="","",IFERROR(INDEX(Listas!$D$2:$D$20,MATCH($D542,Listas!$A$2:$A$20,0)),""))</f>
        <v/>
      </c>
      <c r="W542" s="11" t="str">
        <f aca="false">IF(OR($C542="",$B542="",$G542=""),"",$G542-$B542)</f>
        <v/>
      </c>
      <c r="X542" s="11" t="str">
        <f aca="true">IF(OR($C542="",$B542=""),"",IF($N542&lt;&gt;"",$N542,TODAY())-$B542)</f>
        <v/>
      </c>
      <c r="Y542" s="11" t="str">
        <f aca="true">IF(OR($C542="",$M542&lt;&gt;"Abierta",$G542=""),"",MAX($G542-TODAY(),0))</f>
        <v/>
      </c>
      <c r="Z542" s="12" t="str">
        <f aca="false">IF($C542="","",N($K542)*N($H542)*N($I542)*IF($U542="Débito",-1,1))</f>
        <v/>
      </c>
      <c r="AA542" s="13" t="str">
        <f aca="false">IF($C542="","",IF(AND($U542="Débito",$F542&lt;&gt;""),$F542,$E542))</f>
        <v/>
      </c>
      <c r="AB542" s="13" t="str">
        <f aca="false">IF(OR($C542="",$T542="Mixta",$AA542=""),"",IF($V542="Subyacente",IF($J542="","",$J542-$K542),IF($T542="Put",$AA542-$K542,$AA542+$K542)))</f>
        <v/>
      </c>
      <c r="AC542" s="14" t="str">
        <f aca="false">IF(OR($C542="",$T542="Mixta",$J542="",$AA542=""),"",IF($T542="Put",($J542-$AA542)/$J542,($AA542-$J542)/$J542))</f>
        <v/>
      </c>
      <c r="AD542" s="12" t="str">
        <f aca="false">IF($C542="","",IF($Q542&lt;&gt;"",$Q542,IF($V542="Strike",N($E542)*$H542*$I542,IF($V542="Subyacente",IF($J542="","",$J542*$H542*$I542),IF($V542="Ancho",IF($F542="","",ABS($E542-$F542)*$H542*$I542-$K542*$H542*$I542),IF($V542="Prima",$K542*$H542*$I542,""))))))</f>
        <v/>
      </c>
      <c r="AE542" s="12" t="str">
        <f aca="false">IF(OR($C542="",$M542="Abierta",$M542=""),"",(N($K542)-IF(OR($M542="Cerrada",$M542="Rolada"),N($O542),0))*$H542*$I542*IF($U542="Débito",-1,1)-N($L542)-N($P542))</f>
        <v/>
      </c>
      <c r="AF542" s="14" t="str">
        <f aca="false">IF(OR($AE542="",$AD542=""),"",IF($AD542&lt;=0,"",$AE542/$AD542))</f>
        <v/>
      </c>
      <c r="AG542" s="14" t="str">
        <f aca="false">IF($AF542="","",$AF542*365/MAX(N($X542),1))</f>
        <v/>
      </c>
      <c r="AH542" s="14" t="str">
        <f aca="false">IF(OR($C542="",$U542&lt;&gt;"Crédito",$AD542=""),"",IF($AD542&lt;=0,"",($Z542-N($L542))/$AD542))</f>
        <v/>
      </c>
      <c r="AI542" s="14" t="str">
        <f aca="false">IF(OR($AH542="",$W542=""),"",$AH542*365/MAX($W542,1))</f>
        <v/>
      </c>
      <c r="AJ542" s="14" t="str">
        <f aca="false">IF(OR($AE542="",$U542&lt;&gt;"Crédito",N($K542)=0),"",(N($K542)-IF(OR($M542="Cerrada",$M542="Rolada"),N($O542),0))/$K542)</f>
        <v/>
      </c>
      <c r="AK542" s="15" t="str">
        <f aca="false">IF(OR($C542="",$N542=""),"",DATE(YEAR($N542),MONTH($N542),1))</f>
        <v/>
      </c>
      <c r="AL542" s="11" t="str">
        <f aca="false">IF($C542="","",IF($M542="Abierta",0,1))</f>
        <v/>
      </c>
      <c r="AM542" s="16" t="str">
        <f aca="false">IF(OR($AE542="",$AD542=""),"",$AD542*MAX(N($X542),1))</f>
        <v/>
      </c>
      <c r="AN542" s="10" t="str">
        <f aca="false">IF($C542="","",IF(OR($B542="",$D542="",$H542="",$K542="",$M542=""),"Faltan datos obligatorios",IF($T542="","Estrategia no reconocida",IF(AND($M542&lt;&gt;"Abierta",$N542=""),"Falta fecha cierre",IF(AND(OR($M542="Cerrada",$M542="Rolada"),$O542=""),"Falta prima cierre",IF(AND($N542&lt;&gt;"",$N542&lt;$B542),"Cierre anterior a apertura",IF(AND($M542="Asignada",$R542=""),"Asignada: falta ID lote acciones",IF(AND($R542&lt;&gt;"",ISNA(MATCH($R542,Acciones!$A$2:$A$201,0))),"El ID lote no existe en Acciones",IF($AD542="","Revisa capital en riesgo","OK")))))))))</f>
        <v/>
      </c>
    </row>
    <row r="543" customFormat="false" ht="15" hidden="false" customHeight="true" outlineLevel="0" collapsed="false">
      <c r="A543" s="5"/>
      <c r="B543" s="6"/>
      <c r="C543" s="7"/>
      <c r="D543" s="7"/>
      <c r="E543" s="8"/>
      <c r="F543" s="8"/>
      <c r="G543" s="6"/>
      <c r="H543" s="5"/>
      <c r="I543" s="5" t="n">
        <v>100</v>
      </c>
      <c r="J543" s="8"/>
      <c r="K543" s="8"/>
      <c r="L543" s="9"/>
      <c r="M543" s="7"/>
      <c r="N543" s="6"/>
      <c r="O543" s="8"/>
      <c r="P543" s="9"/>
      <c r="Q543" s="9"/>
      <c r="R543" s="7"/>
      <c r="S543" s="7"/>
      <c r="T543" s="10" t="str">
        <f aca="false">IF($C543="","",IFERROR(INDEX(Listas!$B$2:$B$20,MATCH($D543,Listas!$A$2:$A$20,0)),""))</f>
        <v/>
      </c>
      <c r="U543" s="10" t="str">
        <f aca="false">IF($C543="","",IFERROR(INDEX(Listas!$C$2:$C$20,MATCH($D543,Listas!$A$2:$A$20,0)),""))</f>
        <v/>
      </c>
      <c r="V543" s="10" t="str">
        <f aca="false">IF($C543="","",IFERROR(INDEX(Listas!$D$2:$D$20,MATCH($D543,Listas!$A$2:$A$20,0)),""))</f>
        <v/>
      </c>
      <c r="W543" s="11" t="str">
        <f aca="false">IF(OR($C543="",$B543="",$G543=""),"",$G543-$B543)</f>
        <v/>
      </c>
      <c r="X543" s="11" t="str">
        <f aca="true">IF(OR($C543="",$B543=""),"",IF($N543&lt;&gt;"",$N543,TODAY())-$B543)</f>
        <v/>
      </c>
      <c r="Y543" s="11" t="str">
        <f aca="true">IF(OR($C543="",$M543&lt;&gt;"Abierta",$G543=""),"",MAX($G543-TODAY(),0))</f>
        <v/>
      </c>
      <c r="Z543" s="12" t="str">
        <f aca="false">IF($C543="","",N($K543)*N($H543)*N($I543)*IF($U543="Débito",-1,1))</f>
        <v/>
      </c>
      <c r="AA543" s="13" t="str">
        <f aca="false">IF($C543="","",IF(AND($U543="Débito",$F543&lt;&gt;""),$F543,$E543))</f>
        <v/>
      </c>
      <c r="AB543" s="13" t="str">
        <f aca="false">IF(OR($C543="",$T543="Mixta",$AA543=""),"",IF($V543="Subyacente",IF($J543="","",$J543-$K543),IF($T543="Put",$AA543-$K543,$AA543+$K543)))</f>
        <v/>
      </c>
      <c r="AC543" s="14" t="str">
        <f aca="false">IF(OR($C543="",$T543="Mixta",$J543="",$AA543=""),"",IF($T543="Put",($J543-$AA543)/$J543,($AA543-$J543)/$J543))</f>
        <v/>
      </c>
      <c r="AD543" s="12" t="str">
        <f aca="false">IF($C543="","",IF($Q543&lt;&gt;"",$Q543,IF($V543="Strike",N($E543)*$H543*$I543,IF($V543="Subyacente",IF($J543="","",$J543*$H543*$I543),IF($V543="Ancho",IF($F543="","",ABS($E543-$F543)*$H543*$I543-$K543*$H543*$I543),IF($V543="Prima",$K543*$H543*$I543,""))))))</f>
        <v/>
      </c>
      <c r="AE543" s="12" t="str">
        <f aca="false">IF(OR($C543="",$M543="Abierta",$M543=""),"",(N($K543)-IF(OR($M543="Cerrada",$M543="Rolada"),N($O543),0))*$H543*$I543*IF($U543="Débito",-1,1)-N($L543)-N($P543))</f>
        <v/>
      </c>
      <c r="AF543" s="14" t="str">
        <f aca="false">IF(OR($AE543="",$AD543=""),"",IF($AD543&lt;=0,"",$AE543/$AD543))</f>
        <v/>
      </c>
      <c r="AG543" s="14" t="str">
        <f aca="false">IF($AF543="","",$AF543*365/MAX(N($X543),1))</f>
        <v/>
      </c>
      <c r="AH543" s="14" t="str">
        <f aca="false">IF(OR($C543="",$U543&lt;&gt;"Crédito",$AD543=""),"",IF($AD543&lt;=0,"",($Z543-N($L543))/$AD543))</f>
        <v/>
      </c>
      <c r="AI543" s="14" t="str">
        <f aca="false">IF(OR($AH543="",$W543=""),"",$AH543*365/MAX($W543,1))</f>
        <v/>
      </c>
      <c r="AJ543" s="14" t="str">
        <f aca="false">IF(OR($AE543="",$U543&lt;&gt;"Crédito",N($K543)=0),"",(N($K543)-IF(OR($M543="Cerrada",$M543="Rolada"),N($O543),0))/$K543)</f>
        <v/>
      </c>
      <c r="AK543" s="15" t="str">
        <f aca="false">IF(OR($C543="",$N543=""),"",DATE(YEAR($N543),MONTH($N543),1))</f>
        <v/>
      </c>
      <c r="AL543" s="11" t="str">
        <f aca="false">IF($C543="","",IF($M543="Abierta",0,1))</f>
        <v/>
      </c>
      <c r="AM543" s="16" t="str">
        <f aca="false">IF(OR($AE543="",$AD543=""),"",$AD543*MAX(N($X543),1))</f>
        <v/>
      </c>
      <c r="AN543" s="10" t="str">
        <f aca="false">IF($C543="","",IF(OR($B543="",$D543="",$H543="",$K543="",$M543=""),"Faltan datos obligatorios",IF($T543="","Estrategia no reconocida",IF(AND($M543&lt;&gt;"Abierta",$N543=""),"Falta fecha cierre",IF(AND(OR($M543="Cerrada",$M543="Rolada"),$O543=""),"Falta prima cierre",IF(AND($N543&lt;&gt;"",$N543&lt;$B543),"Cierre anterior a apertura",IF(AND($M543="Asignada",$R543=""),"Asignada: falta ID lote acciones",IF(AND($R543&lt;&gt;"",ISNA(MATCH($R543,Acciones!$A$2:$A$201,0))),"El ID lote no existe en Acciones",IF($AD543="","Revisa capital en riesgo","OK")))))))))</f>
        <v/>
      </c>
    </row>
    <row r="544" customFormat="false" ht="15" hidden="false" customHeight="true" outlineLevel="0" collapsed="false">
      <c r="A544" s="5"/>
      <c r="B544" s="6"/>
      <c r="C544" s="7"/>
      <c r="D544" s="7"/>
      <c r="E544" s="8"/>
      <c r="F544" s="8"/>
      <c r="G544" s="6"/>
      <c r="H544" s="5"/>
      <c r="I544" s="5" t="n">
        <v>100</v>
      </c>
      <c r="J544" s="8"/>
      <c r="K544" s="8"/>
      <c r="L544" s="9"/>
      <c r="M544" s="7"/>
      <c r="N544" s="6"/>
      <c r="O544" s="8"/>
      <c r="P544" s="9"/>
      <c r="Q544" s="9"/>
      <c r="R544" s="7"/>
      <c r="S544" s="7"/>
      <c r="T544" s="10" t="str">
        <f aca="false">IF($C544="","",IFERROR(INDEX(Listas!$B$2:$B$20,MATCH($D544,Listas!$A$2:$A$20,0)),""))</f>
        <v/>
      </c>
      <c r="U544" s="10" t="str">
        <f aca="false">IF($C544="","",IFERROR(INDEX(Listas!$C$2:$C$20,MATCH($D544,Listas!$A$2:$A$20,0)),""))</f>
        <v/>
      </c>
      <c r="V544" s="10" t="str">
        <f aca="false">IF($C544="","",IFERROR(INDEX(Listas!$D$2:$D$20,MATCH($D544,Listas!$A$2:$A$20,0)),""))</f>
        <v/>
      </c>
      <c r="W544" s="11" t="str">
        <f aca="false">IF(OR($C544="",$B544="",$G544=""),"",$G544-$B544)</f>
        <v/>
      </c>
      <c r="X544" s="11" t="str">
        <f aca="true">IF(OR($C544="",$B544=""),"",IF($N544&lt;&gt;"",$N544,TODAY())-$B544)</f>
        <v/>
      </c>
      <c r="Y544" s="11" t="str">
        <f aca="true">IF(OR($C544="",$M544&lt;&gt;"Abierta",$G544=""),"",MAX($G544-TODAY(),0))</f>
        <v/>
      </c>
      <c r="Z544" s="12" t="str">
        <f aca="false">IF($C544="","",N($K544)*N($H544)*N($I544)*IF($U544="Débito",-1,1))</f>
        <v/>
      </c>
      <c r="AA544" s="13" t="str">
        <f aca="false">IF($C544="","",IF(AND($U544="Débito",$F544&lt;&gt;""),$F544,$E544))</f>
        <v/>
      </c>
      <c r="AB544" s="13" t="str">
        <f aca="false">IF(OR($C544="",$T544="Mixta",$AA544=""),"",IF($V544="Subyacente",IF($J544="","",$J544-$K544),IF($T544="Put",$AA544-$K544,$AA544+$K544)))</f>
        <v/>
      </c>
      <c r="AC544" s="14" t="str">
        <f aca="false">IF(OR($C544="",$T544="Mixta",$J544="",$AA544=""),"",IF($T544="Put",($J544-$AA544)/$J544,($AA544-$J544)/$J544))</f>
        <v/>
      </c>
      <c r="AD544" s="12" t="str">
        <f aca="false">IF($C544="","",IF($Q544&lt;&gt;"",$Q544,IF($V544="Strike",N($E544)*$H544*$I544,IF($V544="Subyacente",IF($J544="","",$J544*$H544*$I544),IF($V544="Ancho",IF($F544="","",ABS($E544-$F544)*$H544*$I544-$K544*$H544*$I544),IF($V544="Prima",$K544*$H544*$I544,""))))))</f>
        <v/>
      </c>
      <c r="AE544" s="12" t="str">
        <f aca="false">IF(OR($C544="",$M544="Abierta",$M544=""),"",(N($K544)-IF(OR($M544="Cerrada",$M544="Rolada"),N($O544),0))*$H544*$I544*IF($U544="Débito",-1,1)-N($L544)-N($P544))</f>
        <v/>
      </c>
      <c r="AF544" s="14" t="str">
        <f aca="false">IF(OR($AE544="",$AD544=""),"",IF($AD544&lt;=0,"",$AE544/$AD544))</f>
        <v/>
      </c>
      <c r="AG544" s="14" t="str">
        <f aca="false">IF($AF544="","",$AF544*365/MAX(N($X544),1))</f>
        <v/>
      </c>
      <c r="AH544" s="14" t="str">
        <f aca="false">IF(OR($C544="",$U544&lt;&gt;"Crédito",$AD544=""),"",IF($AD544&lt;=0,"",($Z544-N($L544))/$AD544))</f>
        <v/>
      </c>
      <c r="AI544" s="14" t="str">
        <f aca="false">IF(OR($AH544="",$W544=""),"",$AH544*365/MAX($W544,1))</f>
        <v/>
      </c>
      <c r="AJ544" s="14" t="str">
        <f aca="false">IF(OR($AE544="",$U544&lt;&gt;"Crédito",N($K544)=0),"",(N($K544)-IF(OR($M544="Cerrada",$M544="Rolada"),N($O544),0))/$K544)</f>
        <v/>
      </c>
      <c r="AK544" s="15" t="str">
        <f aca="false">IF(OR($C544="",$N544=""),"",DATE(YEAR($N544),MONTH($N544),1))</f>
        <v/>
      </c>
      <c r="AL544" s="11" t="str">
        <f aca="false">IF($C544="","",IF($M544="Abierta",0,1))</f>
        <v/>
      </c>
      <c r="AM544" s="16" t="str">
        <f aca="false">IF(OR($AE544="",$AD544=""),"",$AD544*MAX(N($X544),1))</f>
        <v/>
      </c>
      <c r="AN544" s="10" t="str">
        <f aca="false">IF($C544="","",IF(OR($B544="",$D544="",$H544="",$K544="",$M544=""),"Faltan datos obligatorios",IF($T544="","Estrategia no reconocida",IF(AND($M544&lt;&gt;"Abierta",$N544=""),"Falta fecha cierre",IF(AND(OR($M544="Cerrada",$M544="Rolada"),$O544=""),"Falta prima cierre",IF(AND($N544&lt;&gt;"",$N544&lt;$B544),"Cierre anterior a apertura",IF(AND($M544="Asignada",$R544=""),"Asignada: falta ID lote acciones",IF(AND($R544&lt;&gt;"",ISNA(MATCH($R544,Acciones!$A$2:$A$201,0))),"El ID lote no existe en Acciones",IF($AD544="","Revisa capital en riesgo","OK")))))))))</f>
        <v/>
      </c>
    </row>
    <row r="545" customFormat="false" ht="15" hidden="false" customHeight="true" outlineLevel="0" collapsed="false">
      <c r="A545" s="5"/>
      <c r="B545" s="6"/>
      <c r="C545" s="7"/>
      <c r="D545" s="7"/>
      <c r="E545" s="8"/>
      <c r="F545" s="8"/>
      <c r="G545" s="6"/>
      <c r="H545" s="5"/>
      <c r="I545" s="5" t="n">
        <v>100</v>
      </c>
      <c r="J545" s="8"/>
      <c r="K545" s="8"/>
      <c r="L545" s="9"/>
      <c r="M545" s="7"/>
      <c r="N545" s="6"/>
      <c r="O545" s="8"/>
      <c r="P545" s="9"/>
      <c r="Q545" s="9"/>
      <c r="R545" s="7"/>
      <c r="S545" s="7"/>
      <c r="T545" s="10" t="str">
        <f aca="false">IF($C545="","",IFERROR(INDEX(Listas!$B$2:$B$20,MATCH($D545,Listas!$A$2:$A$20,0)),""))</f>
        <v/>
      </c>
      <c r="U545" s="10" t="str">
        <f aca="false">IF($C545="","",IFERROR(INDEX(Listas!$C$2:$C$20,MATCH($D545,Listas!$A$2:$A$20,0)),""))</f>
        <v/>
      </c>
      <c r="V545" s="10" t="str">
        <f aca="false">IF($C545="","",IFERROR(INDEX(Listas!$D$2:$D$20,MATCH($D545,Listas!$A$2:$A$20,0)),""))</f>
        <v/>
      </c>
      <c r="W545" s="11" t="str">
        <f aca="false">IF(OR($C545="",$B545="",$G545=""),"",$G545-$B545)</f>
        <v/>
      </c>
      <c r="X545" s="11" t="str">
        <f aca="true">IF(OR($C545="",$B545=""),"",IF($N545&lt;&gt;"",$N545,TODAY())-$B545)</f>
        <v/>
      </c>
      <c r="Y545" s="11" t="str">
        <f aca="true">IF(OR($C545="",$M545&lt;&gt;"Abierta",$G545=""),"",MAX($G545-TODAY(),0))</f>
        <v/>
      </c>
      <c r="Z545" s="12" t="str">
        <f aca="false">IF($C545="","",N($K545)*N($H545)*N($I545)*IF($U545="Débito",-1,1))</f>
        <v/>
      </c>
      <c r="AA545" s="13" t="str">
        <f aca="false">IF($C545="","",IF(AND($U545="Débito",$F545&lt;&gt;""),$F545,$E545))</f>
        <v/>
      </c>
      <c r="AB545" s="13" t="str">
        <f aca="false">IF(OR($C545="",$T545="Mixta",$AA545=""),"",IF($V545="Subyacente",IF($J545="","",$J545-$K545),IF($T545="Put",$AA545-$K545,$AA545+$K545)))</f>
        <v/>
      </c>
      <c r="AC545" s="14" t="str">
        <f aca="false">IF(OR($C545="",$T545="Mixta",$J545="",$AA545=""),"",IF($T545="Put",($J545-$AA545)/$J545,($AA545-$J545)/$J545))</f>
        <v/>
      </c>
      <c r="AD545" s="12" t="str">
        <f aca="false">IF($C545="","",IF($Q545&lt;&gt;"",$Q545,IF($V545="Strike",N($E545)*$H545*$I545,IF($V545="Subyacente",IF($J545="","",$J545*$H545*$I545),IF($V545="Ancho",IF($F545="","",ABS($E545-$F545)*$H545*$I545-$K545*$H545*$I545),IF($V545="Prima",$K545*$H545*$I545,""))))))</f>
        <v/>
      </c>
      <c r="AE545" s="12" t="str">
        <f aca="false">IF(OR($C545="",$M545="Abierta",$M545=""),"",(N($K545)-IF(OR($M545="Cerrada",$M545="Rolada"),N($O545),0))*$H545*$I545*IF($U545="Débito",-1,1)-N($L545)-N($P545))</f>
        <v/>
      </c>
      <c r="AF545" s="14" t="str">
        <f aca="false">IF(OR($AE545="",$AD545=""),"",IF($AD545&lt;=0,"",$AE545/$AD545))</f>
        <v/>
      </c>
      <c r="AG545" s="14" t="str">
        <f aca="false">IF($AF545="","",$AF545*365/MAX(N($X545),1))</f>
        <v/>
      </c>
      <c r="AH545" s="14" t="str">
        <f aca="false">IF(OR($C545="",$U545&lt;&gt;"Crédito",$AD545=""),"",IF($AD545&lt;=0,"",($Z545-N($L545))/$AD545))</f>
        <v/>
      </c>
      <c r="AI545" s="14" t="str">
        <f aca="false">IF(OR($AH545="",$W545=""),"",$AH545*365/MAX($W545,1))</f>
        <v/>
      </c>
      <c r="AJ545" s="14" t="str">
        <f aca="false">IF(OR($AE545="",$U545&lt;&gt;"Crédito",N($K545)=0),"",(N($K545)-IF(OR($M545="Cerrada",$M545="Rolada"),N($O545),0))/$K545)</f>
        <v/>
      </c>
      <c r="AK545" s="15" t="str">
        <f aca="false">IF(OR($C545="",$N545=""),"",DATE(YEAR($N545),MONTH($N545),1))</f>
        <v/>
      </c>
      <c r="AL545" s="11" t="str">
        <f aca="false">IF($C545="","",IF($M545="Abierta",0,1))</f>
        <v/>
      </c>
      <c r="AM545" s="16" t="str">
        <f aca="false">IF(OR($AE545="",$AD545=""),"",$AD545*MAX(N($X545),1))</f>
        <v/>
      </c>
      <c r="AN545" s="10" t="str">
        <f aca="false">IF($C545="","",IF(OR($B545="",$D545="",$H545="",$K545="",$M545=""),"Faltan datos obligatorios",IF($T545="","Estrategia no reconocida",IF(AND($M545&lt;&gt;"Abierta",$N545=""),"Falta fecha cierre",IF(AND(OR($M545="Cerrada",$M545="Rolada"),$O545=""),"Falta prima cierre",IF(AND($N545&lt;&gt;"",$N545&lt;$B545),"Cierre anterior a apertura",IF(AND($M545="Asignada",$R545=""),"Asignada: falta ID lote acciones",IF(AND($R545&lt;&gt;"",ISNA(MATCH($R545,Acciones!$A$2:$A$201,0))),"El ID lote no existe en Acciones",IF($AD545="","Revisa capital en riesgo","OK")))))))))</f>
        <v/>
      </c>
    </row>
    <row r="546" customFormat="false" ht="15" hidden="false" customHeight="true" outlineLevel="0" collapsed="false">
      <c r="A546" s="5"/>
      <c r="B546" s="6"/>
      <c r="C546" s="7"/>
      <c r="D546" s="7"/>
      <c r="E546" s="8"/>
      <c r="F546" s="8"/>
      <c r="G546" s="6"/>
      <c r="H546" s="5"/>
      <c r="I546" s="5" t="n">
        <v>100</v>
      </c>
      <c r="J546" s="8"/>
      <c r="K546" s="8"/>
      <c r="L546" s="9"/>
      <c r="M546" s="7"/>
      <c r="N546" s="6"/>
      <c r="O546" s="8"/>
      <c r="P546" s="9"/>
      <c r="Q546" s="9"/>
      <c r="R546" s="7"/>
      <c r="S546" s="7"/>
      <c r="T546" s="10" t="str">
        <f aca="false">IF($C546="","",IFERROR(INDEX(Listas!$B$2:$B$20,MATCH($D546,Listas!$A$2:$A$20,0)),""))</f>
        <v/>
      </c>
      <c r="U546" s="10" t="str">
        <f aca="false">IF($C546="","",IFERROR(INDEX(Listas!$C$2:$C$20,MATCH($D546,Listas!$A$2:$A$20,0)),""))</f>
        <v/>
      </c>
      <c r="V546" s="10" t="str">
        <f aca="false">IF($C546="","",IFERROR(INDEX(Listas!$D$2:$D$20,MATCH($D546,Listas!$A$2:$A$20,0)),""))</f>
        <v/>
      </c>
      <c r="W546" s="11" t="str">
        <f aca="false">IF(OR($C546="",$B546="",$G546=""),"",$G546-$B546)</f>
        <v/>
      </c>
      <c r="X546" s="11" t="str">
        <f aca="true">IF(OR($C546="",$B546=""),"",IF($N546&lt;&gt;"",$N546,TODAY())-$B546)</f>
        <v/>
      </c>
      <c r="Y546" s="11" t="str">
        <f aca="true">IF(OR($C546="",$M546&lt;&gt;"Abierta",$G546=""),"",MAX($G546-TODAY(),0))</f>
        <v/>
      </c>
      <c r="Z546" s="12" t="str">
        <f aca="false">IF($C546="","",N($K546)*N($H546)*N($I546)*IF($U546="Débito",-1,1))</f>
        <v/>
      </c>
      <c r="AA546" s="13" t="str">
        <f aca="false">IF($C546="","",IF(AND($U546="Débito",$F546&lt;&gt;""),$F546,$E546))</f>
        <v/>
      </c>
      <c r="AB546" s="13" t="str">
        <f aca="false">IF(OR($C546="",$T546="Mixta",$AA546=""),"",IF($V546="Subyacente",IF($J546="","",$J546-$K546),IF($T546="Put",$AA546-$K546,$AA546+$K546)))</f>
        <v/>
      </c>
      <c r="AC546" s="14" t="str">
        <f aca="false">IF(OR($C546="",$T546="Mixta",$J546="",$AA546=""),"",IF($T546="Put",($J546-$AA546)/$J546,($AA546-$J546)/$J546))</f>
        <v/>
      </c>
      <c r="AD546" s="12" t="str">
        <f aca="false">IF($C546="","",IF($Q546&lt;&gt;"",$Q546,IF($V546="Strike",N($E546)*$H546*$I546,IF($V546="Subyacente",IF($J546="","",$J546*$H546*$I546),IF($V546="Ancho",IF($F546="","",ABS($E546-$F546)*$H546*$I546-$K546*$H546*$I546),IF($V546="Prima",$K546*$H546*$I546,""))))))</f>
        <v/>
      </c>
      <c r="AE546" s="12" t="str">
        <f aca="false">IF(OR($C546="",$M546="Abierta",$M546=""),"",(N($K546)-IF(OR($M546="Cerrada",$M546="Rolada"),N($O546),0))*$H546*$I546*IF($U546="Débito",-1,1)-N($L546)-N($P546))</f>
        <v/>
      </c>
      <c r="AF546" s="14" t="str">
        <f aca="false">IF(OR($AE546="",$AD546=""),"",IF($AD546&lt;=0,"",$AE546/$AD546))</f>
        <v/>
      </c>
      <c r="AG546" s="14" t="str">
        <f aca="false">IF($AF546="","",$AF546*365/MAX(N($X546),1))</f>
        <v/>
      </c>
      <c r="AH546" s="14" t="str">
        <f aca="false">IF(OR($C546="",$U546&lt;&gt;"Crédito",$AD546=""),"",IF($AD546&lt;=0,"",($Z546-N($L546))/$AD546))</f>
        <v/>
      </c>
      <c r="AI546" s="14" t="str">
        <f aca="false">IF(OR($AH546="",$W546=""),"",$AH546*365/MAX($W546,1))</f>
        <v/>
      </c>
      <c r="AJ546" s="14" t="str">
        <f aca="false">IF(OR($AE546="",$U546&lt;&gt;"Crédito",N($K546)=0),"",(N($K546)-IF(OR($M546="Cerrada",$M546="Rolada"),N($O546),0))/$K546)</f>
        <v/>
      </c>
      <c r="AK546" s="15" t="str">
        <f aca="false">IF(OR($C546="",$N546=""),"",DATE(YEAR($N546),MONTH($N546),1))</f>
        <v/>
      </c>
      <c r="AL546" s="11" t="str">
        <f aca="false">IF($C546="","",IF($M546="Abierta",0,1))</f>
        <v/>
      </c>
      <c r="AM546" s="16" t="str">
        <f aca="false">IF(OR($AE546="",$AD546=""),"",$AD546*MAX(N($X546),1))</f>
        <v/>
      </c>
      <c r="AN546" s="10" t="str">
        <f aca="false">IF($C546="","",IF(OR($B546="",$D546="",$H546="",$K546="",$M546=""),"Faltan datos obligatorios",IF($T546="","Estrategia no reconocida",IF(AND($M546&lt;&gt;"Abierta",$N546=""),"Falta fecha cierre",IF(AND(OR($M546="Cerrada",$M546="Rolada"),$O546=""),"Falta prima cierre",IF(AND($N546&lt;&gt;"",$N546&lt;$B546),"Cierre anterior a apertura",IF(AND($M546="Asignada",$R546=""),"Asignada: falta ID lote acciones",IF(AND($R546&lt;&gt;"",ISNA(MATCH($R546,Acciones!$A$2:$A$201,0))),"El ID lote no existe en Acciones",IF($AD546="","Revisa capital en riesgo","OK")))))))))</f>
        <v/>
      </c>
    </row>
    <row r="547" customFormat="false" ht="15" hidden="false" customHeight="true" outlineLevel="0" collapsed="false">
      <c r="A547" s="5"/>
      <c r="B547" s="6"/>
      <c r="C547" s="7"/>
      <c r="D547" s="7"/>
      <c r="E547" s="8"/>
      <c r="F547" s="8"/>
      <c r="G547" s="6"/>
      <c r="H547" s="5"/>
      <c r="I547" s="5" t="n">
        <v>100</v>
      </c>
      <c r="J547" s="8"/>
      <c r="K547" s="8"/>
      <c r="L547" s="9"/>
      <c r="M547" s="7"/>
      <c r="N547" s="6"/>
      <c r="O547" s="8"/>
      <c r="P547" s="9"/>
      <c r="Q547" s="9"/>
      <c r="R547" s="7"/>
      <c r="S547" s="7"/>
      <c r="T547" s="10" t="str">
        <f aca="false">IF($C547="","",IFERROR(INDEX(Listas!$B$2:$B$20,MATCH($D547,Listas!$A$2:$A$20,0)),""))</f>
        <v/>
      </c>
      <c r="U547" s="10" t="str">
        <f aca="false">IF($C547="","",IFERROR(INDEX(Listas!$C$2:$C$20,MATCH($D547,Listas!$A$2:$A$20,0)),""))</f>
        <v/>
      </c>
      <c r="V547" s="10" t="str">
        <f aca="false">IF($C547="","",IFERROR(INDEX(Listas!$D$2:$D$20,MATCH($D547,Listas!$A$2:$A$20,0)),""))</f>
        <v/>
      </c>
      <c r="W547" s="11" t="str">
        <f aca="false">IF(OR($C547="",$B547="",$G547=""),"",$G547-$B547)</f>
        <v/>
      </c>
      <c r="X547" s="11" t="str">
        <f aca="true">IF(OR($C547="",$B547=""),"",IF($N547&lt;&gt;"",$N547,TODAY())-$B547)</f>
        <v/>
      </c>
      <c r="Y547" s="11" t="str">
        <f aca="true">IF(OR($C547="",$M547&lt;&gt;"Abierta",$G547=""),"",MAX($G547-TODAY(),0))</f>
        <v/>
      </c>
      <c r="Z547" s="12" t="str">
        <f aca="false">IF($C547="","",N($K547)*N($H547)*N($I547)*IF($U547="Débito",-1,1))</f>
        <v/>
      </c>
      <c r="AA547" s="13" t="str">
        <f aca="false">IF($C547="","",IF(AND($U547="Débito",$F547&lt;&gt;""),$F547,$E547))</f>
        <v/>
      </c>
      <c r="AB547" s="13" t="str">
        <f aca="false">IF(OR($C547="",$T547="Mixta",$AA547=""),"",IF($V547="Subyacente",IF($J547="","",$J547-$K547),IF($T547="Put",$AA547-$K547,$AA547+$K547)))</f>
        <v/>
      </c>
      <c r="AC547" s="14" t="str">
        <f aca="false">IF(OR($C547="",$T547="Mixta",$J547="",$AA547=""),"",IF($T547="Put",($J547-$AA547)/$J547,($AA547-$J547)/$J547))</f>
        <v/>
      </c>
      <c r="AD547" s="12" t="str">
        <f aca="false">IF($C547="","",IF($Q547&lt;&gt;"",$Q547,IF($V547="Strike",N($E547)*$H547*$I547,IF($V547="Subyacente",IF($J547="","",$J547*$H547*$I547),IF($V547="Ancho",IF($F547="","",ABS($E547-$F547)*$H547*$I547-$K547*$H547*$I547),IF($V547="Prima",$K547*$H547*$I547,""))))))</f>
        <v/>
      </c>
      <c r="AE547" s="12" t="str">
        <f aca="false">IF(OR($C547="",$M547="Abierta",$M547=""),"",(N($K547)-IF(OR($M547="Cerrada",$M547="Rolada"),N($O547),0))*$H547*$I547*IF($U547="Débito",-1,1)-N($L547)-N($P547))</f>
        <v/>
      </c>
      <c r="AF547" s="14" t="str">
        <f aca="false">IF(OR($AE547="",$AD547=""),"",IF($AD547&lt;=0,"",$AE547/$AD547))</f>
        <v/>
      </c>
      <c r="AG547" s="14" t="str">
        <f aca="false">IF($AF547="","",$AF547*365/MAX(N($X547),1))</f>
        <v/>
      </c>
      <c r="AH547" s="14" t="str">
        <f aca="false">IF(OR($C547="",$U547&lt;&gt;"Crédito",$AD547=""),"",IF($AD547&lt;=0,"",($Z547-N($L547))/$AD547))</f>
        <v/>
      </c>
      <c r="AI547" s="14" t="str">
        <f aca="false">IF(OR($AH547="",$W547=""),"",$AH547*365/MAX($W547,1))</f>
        <v/>
      </c>
      <c r="AJ547" s="14" t="str">
        <f aca="false">IF(OR($AE547="",$U547&lt;&gt;"Crédito",N($K547)=0),"",(N($K547)-IF(OR($M547="Cerrada",$M547="Rolada"),N($O547),0))/$K547)</f>
        <v/>
      </c>
      <c r="AK547" s="15" t="str">
        <f aca="false">IF(OR($C547="",$N547=""),"",DATE(YEAR($N547),MONTH($N547),1))</f>
        <v/>
      </c>
      <c r="AL547" s="11" t="str">
        <f aca="false">IF($C547="","",IF($M547="Abierta",0,1))</f>
        <v/>
      </c>
      <c r="AM547" s="16" t="str">
        <f aca="false">IF(OR($AE547="",$AD547=""),"",$AD547*MAX(N($X547),1))</f>
        <v/>
      </c>
      <c r="AN547" s="10" t="str">
        <f aca="false">IF($C547="","",IF(OR($B547="",$D547="",$H547="",$K547="",$M547=""),"Faltan datos obligatorios",IF($T547="","Estrategia no reconocida",IF(AND($M547&lt;&gt;"Abierta",$N547=""),"Falta fecha cierre",IF(AND(OR($M547="Cerrada",$M547="Rolada"),$O547=""),"Falta prima cierre",IF(AND($N547&lt;&gt;"",$N547&lt;$B547),"Cierre anterior a apertura",IF(AND($M547="Asignada",$R547=""),"Asignada: falta ID lote acciones",IF(AND($R547&lt;&gt;"",ISNA(MATCH($R547,Acciones!$A$2:$A$201,0))),"El ID lote no existe en Acciones",IF($AD547="","Revisa capital en riesgo","OK")))))))))</f>
        <v/>
      </c>
    </row>
    <row r="548" customFormat="false" ht="15" hidden="false" customHeight="true" outlineLevel="0" collapsed="false">
      <c r="A548" s="5"/>
      <c r="B548" s="6"/>
      <c r="C548" s="7"/>
      <c r="D548" s="7"/>
      <c r="E548" s="8"/>
      <c r="F548" s="8"/>
      <c r="G548" s="6"/>
      <c r="H548" s="5"/>
      <c r="I548" s="5" t="n">
        <v>100</v>
      </c>
      <c r="J548" s="8"/>
      <c r="K548" s="8"/>
      <c r="L548" s="9"/>
      <c r="M548" s="7"/>
      <c r="N548" s="6"/>
      <c r="O548" s="8"/>
      <c r="P548" s="9"/>
      <c r="Q548" s="9"/>
      <c r="R548" s="7"/>
      <c r="S548" s="7"/>
      <c r="T548" s="10" t="str">
        <f aca="false">IF($C548="","",IFERROR(INDEX(Listas!$B$2:$B$20,MATCH($D548,Listas!$A$2:$A$20,0)),""))</f>
        <v/>
      </c>
      <c r="U548" s="10" t="str">
        <f aca="false">IF($C548="","",IFERROR(INDEX(Listas!$C$2:$C$20,MATCH($D548,Listas!$A$2:$A$20,0)),""))</f>
        <v/>
      </c>
      <c r="V548" s="10" t="str">
        <f aca="false">IF($C548="","",IFERROR(INDEX(Listas!$D$2:$D$20,MATCH($D548,Listas!$A$2:$A$20,0)),""))</f>
        <v/>
      </c>
      <c r="W548" s="11" t="str">
        <f aca="false">IF(OR($C548="",$B548="",$G548=""),"",$G548-$B548)</f>
        <v/>
      </c>
      <c r="X548" s="11" t="str">
        <f aca="true">IF(OR($C548="",$B548=""),"",IF($N548&lt;&gt;"",$N548,TODAY())-$B548)</f>
        <v/>
      </c>
      <c r="Y548" s="11" t="str">
        <f aca="true">IF(OR($C548="",$M548&lt;&gt;"Abierta",$G548=""),"",MAX($G548-TODAY(),0))</f>
        <v/>
      </c>
      <c r="Z548" s="12" t="str">
        <f aca="false">IF($C548="","",N($K548)*N($H548)*N($I548)*IF($U548="Débito",-1,1))</f>
        <v/>
      </c>
      <c r="AA548" s="13" t="str">
        <f aca="false">IF($C548="","",IF(AND($U548="Débito",$F548&lt;&gt;""),$F548,$E548))</f>
        <v/>
      </c>
      <c r="AB548" s="13" t="str">
        <f aca="false">IF(OR($C548="",$T548="Mixta",$AA548=""),"",IF($V548="Subyacente",IF($J548="","",$J548-$K548),IF($T548="Put",$AA548-$K548,$AA548+$K548)))</f>
        <v/>
      </c>
      <c r="AC548" s="14" t="str">
        <f aca="false">IF(OR($C548="",$T548="Mixta",$J548="",$AA548=""),"",IF($T548="Put",($J548-$AA548)/$J548,($AA548-$J548)/$J548))</f>
        <v/>
      </c>
      <c r="AD548" s="12" t="str">
        <f aca="false">IF($C548="","",IF($Q548&lt;&gt;"",$Q548,IF($V548="Strike",N($E548)*$H548*$I548,IF($V548="Subyacente",IF($J548="","",$J548*$H548*$I548),IF($V548="Ancho",IF($F548="","",ABS($E548-$F548)*$H548*$I548-$K548*$H548*$I548),IF($V548="Prima",$K548*$H548*$I548,""))))))</f>
        <v/>
      </c>
      <c r="AE548" s="12" t="str">
        <f aca="false">IF(OR($C548="",$M548="Abierta",$M548=""),"",(N($K548)-IF(OR($M548="Cerrada",$M548="Rolada"),N($O548),0))*$H548*$I548*IF($U548="Débito",-1,1)-N($L548)-N($P548))</f>
        <v/>
      </c>
      <c r="AF548" s="14" t="str">
        <f aca="false">IF(OR($AE548="",$AD548=""),"",IF($AD548&lt;=0,"",$AE548/$AD548))</f>
        <v/>
      </c>
      <c r="AG548" s="14" t="str">
        <f aca="false">IF($AF548="","",$AF548*365/MAX(N($X548),1))</f>
        <v/>
      </c>
      <c r="AH548" s="14" t="str">
        <f aca="false">IF(OR($C548="",$U548&lt;&gt;"Crédito",$AD548=""),"",IF($AD548&lt;=0,"",($Z548-N($L548))/$AD548))</f>
        <v/>
      </c>
      <c r="AI548" s="14" t="str">
        <f aca="false">IF(OR($AH548="",$W548=""),"",$AH548*365/MAX($W548,1))</f>
        <v/>
      </c>
      <c r="AJ548" s="14" t="str">
        <f aca="false">IF(OR($AE548="",$U548&lt;&gt;"Crédito",N($K548)=0),"",(N($K548)-IF(OR($M548="Cerrada",$M548="Rolada"),N($O548),0))/$K548)</f>
        <v/>
      </c>
      <c r="AK548" s="15" t="str">
        <f aca="false">IF(OR($C548="",$N548=""),"",DATE(YEAR($N548),MONTH($N548),1))</f>
        <v/>
      </c>
      <c r="AL548" s="11" t="str">
        <f aca="false">IF($C548="","",IF($M548="Abierta",0,1))</f>
        <v/>
      </c>
      <c r="AM548" s="16" t="str">
        <f aca="false">IF(OR($AE548="",$AD548=""),"",$AD548*MAX(N($X548),1))</f>
        <v/>
      </c>
      <c r="AN548" s="10" t="str">
        <f aca="false">IF($C548="","",IF(OR($B548="",$D548="",$H548="",$K548="",$M548=""),"Faltan datos obligatorios",IF($T548="","Estrategia no reconocida",IF(AND($M548&lt;&gt;"Abierta",$N548=""),"Falta fecha cierre",IF(AND(OR($M548="Cerrada",$M548="Rolada"),$O548=""),"Falta prima cierre",IF(AND($N548&lt;&gt;"",$N548&lt;$B548),"Cierre anterior a apertura",IF(AND($M548="Asignada",$R548=""),"Asignada: falta ID lote acciones",IF(AND($R548&lt;&gt;"",ISNA(MATCH($R548,Acciones!$A$2:$A$201,0))),"El ID lote no existe en Acciones",IF($AD548="","Revisa capital en riesgo","OK")))))))))</f>
        <v/>
      </c>
    </row>
    <row r="549" customFormat="false" ht="15" hidden="false" customHeight="true" outlineLevel="0" collapsed="false">
      <c r="A549" s="5"/>
      <c r="B549" s="6"/>
      <c r="C549" s="7"/>
      <c r="D549" s="7"/>
      <c r="E549" s="8"/>
      <c r="F549" s="8"/>
      <c r="G549" s="6"/>
      <c r="H549" s="5"/>
      <c r="I549" s="5" t="n">
        <v>100</v>
      </c>
      <c r="J549" s="8"/>
      <c r="K549" s="8"/>
      <c r="L549" s="9"/>
      <c r="M549" s="7"/>
      <c r="N549" s="6"/>
      <c r="O549" s="8"/>
      <c r="P549" s="9"/>
      <c r="Q549" s="9"/>
      <c r="R549" s="7"/>
      <c r="S549" s="7"/>
      <c r="T549" s="10" t="str">
        <f aca="false">IF($C549="","",IFERROR(INDEX(Listas!$B$2:$B$20,MATCH($D549,Listas!$A$2:$A$20,0)),""))</f>
        <v/>
      </c>
      <c r="U549" s="10" t="str">
        <f aca="false">IF($C549="","",IFERROR(INDEX(Listas!$C$2:$C$20,MATCH($D549,Listas!$A$2:$A$20,0)),""))</f>
        <v/>
      </c>
      <c r="V549" s="10" t="str">
        <f aca="false">IF($C549="","",IFERROR(INDEX(Listas!$D$2:$D$20,MATCH($D549,Listas!$A$2:$A$20,0)),""))</f>
        <v/>
      </c>
      <c r="W549" s="11" t="str">
        <f aca="false">IF(OR($C549="",$B549="",$G549=""),"",$G549-$B549)</f>
        <v/>
      </c>
      <c r="X549" s="11" t="str">
        <f aca="true">IF(OR($C549="",$B549=""),"",IF($N549&lt;&gt;"",$N549,TODAY())-$B549)</f>
        <v/>
      </c>
      <c r="Y549" s="11" t="str">
        <f aca="true">IF(OR($C549="",$M549&lt;&gt;"Abierta",$G549=""),"",MAX($G549-TODAY(),0))</f>
        <v/>
      </c>
      <c r="Z549" s="12" t="str">
        <f aca="false">IF($C549="","",N($K549)*N($H549)*N($I549)*IF($U549="Débito",-1,1))</f>
        <v/>
      </c>
      <c r="AA549" s="13" t="str">
        <f aca="false">IF($C549="","",IF(AND($U549="Débito",$F549&lt;&gt;""),$F549,$E549))</f>
        <v/>
      </c>
      <c r="AB549" s="13" t="str">
        <f aca="false">IF(OR($C549="",$T549="Mixta",$AA549=""),"",IF($V549="Subyacente",IF($J549="","",$J549-$K549),IF($T549="Put",$AA549-$K549,$AA549+$K549)))</f>
        <v/>
      </c>
      <c r="AC549" s="14" t="str">
        <f aca="false">IF(OR($C549="",$T549="Mixta",$J549="",$AA549=""),"",IF($T549="Put",($J549-$AA549)/$J549,($AA549-$J549)/$J549))</f>
        <v/>
      </c>
      <c r="AD549" s="12" t="str">
        <f aca="false">IF($C549="","",IF($Q549&lt;&gt;"",$Q549,IF($V549="Strike",N($E549)*$H549*$I549,IF($V549="Subyacente",IF($J549="","",$J549*$H549*$I549),IF($V549="Ancho",IF($F549="","",ABS($E549-$F549)*$H549*$I549-$K549*$H549*$I549),IF($V549="Prima",$K549*$H549*$I549,""))))))</f>
        <v/>
      </c>
      <c r="AE549" s="12" t="str">
        <f aca="false">IF(OR($C549="",$M549="Abierta",$M549=""),"",(N($K549)-IF(OR($M549="Cerrada",$M549="Rolada"),N($O549),0))*$H549*$I549*IF($U549="Débito",-1,1)-N($L549)-N($P549))</f>
        <v/>
      </c>
      <c r="AF549" s="14" t="str">
        <f aca="false">IF(OR($AE549="",$AD549=""),"",IF($AD549&lt;=0,"",$AE549/$AD549))</f>
        <v/>
      </c>
      <c r="AG549" s="14" t="str">
        <f aca="false">IF($AF549="","",$AF549*365/MAX(N($X549),1))</f>
        <v/>
      </c>
      <c r="AH549" s="14" t="str">
        <f aca="false">IF(OR($C549="",$U549&lt;&gt;"Crédito",$AD549=""),"",IF($AD549&lt;=0,"",($Z549-N($L549))/$AD549))</f>
        <v/>
      </c>
      <c r="AI549" s="14" t="str">
        <f aca="false">IF(OR($AH549="",$W549=""),"",$AH549*365/MAX($W549,1))</f>
        <v/>
      </c>
      <c r="AJ549" s="14" t="str">
        <f aca="false">IF(OR($AE549="",$U549&lt;&gt;"Crédito",N($K549)=0),"",(N($K549)-IF(OR($M549="Cerrada",$M549="Rolada"),N($O549),0))/$K549)</f>
        <v/>
      </c>
      <c r="AK549" s="15" t="str">
        <f aca="false">IF(OR($C549="",$N549=""),"",DATE(YEAR($N549),MONTH($N549),1))</f>
        <v/>
      </c>
      <c r="AL549" s="11" t="str">
        <f aca="false">IF($C549="","",IF($M549="Abierta",0,1))</f>
        <v/>
      </c>
      <c r="AM549" s="16" t="str">
        <f aca="false">IF(OR($AE549="",$AD549=""),"",$AD549*MAX(N($X549),1))</f>
        <v/>
      </c>
      <c r="AN549" s="10" t="str">
        <f aca="false">IF($C549="","",IF(OR($B549="",$D549="",$H549="",$K549="",$M549=""),"Faltan datos obligatorios",IF($T549="","Estrategia no reconocida",IF(AND($M549&lt;&gt;"Abierta",$N549=""),"Falta fecha cierre",IF(AND(OR($M549="Cerrada",$M549="Rolada"),$O549=""),"Falta prima cierre",IF(AND($N549&lt;&gt;"",$N549&lt;$B549),"Cierre anterior a apertura",IF(AND($M549="Asignada",$R549=""),"Asignada: falta ID lote acciones",IF(AND($R549&lt;&gt;"",ISNA(MATCH($R549,Acciones!$A$2:$A$201,0))),"El ID lote no existe en Acciones",IF($AD549="","Revisa capital en riesgo","OK")))))))))</f>
        <v/>
      </c>
    </row>
    <row r="550" customFormat="false" ht="15" hidden="false" customHeight="true" outlineLevel="0" collapsed="false">
      <c r="A550" s="5"/>
      <c r="B550" s="6"/>
      <c r="C550" s="7"/>
      <c r="D550" s="7"/>
      <c r="E550" s="8"/>
      <c r="F550" s="8"/>
      <c r="G550" s="6"/>
      <c r="H550" s="5"/>
      <c r="I550" s="5" t="n">
        <v>100</v>
      </c>
      <c r="J550" s="8"/>
      <c r="K550" s="8"/>
      <c r="L550" s="9"/>
      <c r="M550" s="7"/>
      <c r="N550" s="6"/>
      <c r="O550" s="8"/>
      <c r="P550" s="9"/>
      <c r="Q550" s="9"/>
      <c r="R550" s="7"/>
      <c r="S550" s="7"/>
      <c r="T550" s="10" t="str">
        <f aca="false">IF($C550="","",IFERROR(INDEX(Listas!$B$2:$B$20,MATCH($D550,Listas!$A$2:$A$20,0)),""))</f>
        <v/>
      </c>
      <c r="U550" s="10" t="str">
        <f aca="false">IF($C550="","",IFERROR(INDEX(Listas!$C$2:$C$20,MATCH($D550,Listas!$A$2:$A$20,0)),""))</f>
        <v/>
      </c>
      <c r="V550" s="10" t="str">
        <f aca="false">IF($C550="","",IFERROR(INDEX(Listas!$D$2:$D$20,MATCH($D550,Listas!$A$2:$A$20,0)),""))</f>
        <v/>
      </c>
      <c r="W550" s="11" t="str">
        <f aca="false">IF(OR($C550="",$B550="",$G550=""),"",$G550-$B550)</f>
        <v/>
      </c>
      <c r="X550" s="11" t="str">
        <f aca="true">IF(OR($C550="",$B550=""),"",IF($N550&lt;&gt;"",$N550,TODAY())-$B550)</f>
        <v/>
      </c>
      <c r="Y550" s="11" t="str">
        <f aca="true">IF(OR($C550="",$M550&lt;&gt;"Abierta",$G550=""),"",MAX($G550-TODAY(),0))</f>
        <v/>
      </c>
      <c r="Z550" s="12" t="str">
        <f aca="false">IF($C550="","",N($K550)*N($H550)*N($I550)*IF($U550="Débito",-1,1))</f>
        <v/>
      </c>
      <c r="AA550" s="13" t="str">
        <f aca="false">IF($C550="","",IF(AND($U550="Débito",$F550&lt;&gt;""),$F550,$E550))</f>
        <v/>
      </c>
      <c r="AB550" s="13" t="str">
        <f aca="false">IF(OR($C550="",$T550="Mixta",$AA550=""),"",IF($V550="Subyacente",IF($J550="","",$J550-$K550),IF($T550="Put",$AA550-$K550,$AA550+$K550)))</f>
        <v/>
      </c>
      <c r="AC550" s="14" t="str">
        <f aca="false">IF(OR($C550="",$T550="Mixta",$J550="",$AA550=""),"",IF($T550="Put",($J550-$AA550)/$J550,($AA550-$J550)/$J550))</f>
        <v/>
      </c>
      <c r="AD550" s="12" t="str">
        <f aca="false">IF($C550="","",IF($Q550&lt;&gt;"",$Q550,IF($V550="Strike",N($E550)*$H550*$I550,IF($V550="Subyacente",IF($J550="","",$J550*$H550*$I550),IF($V550="Ancho",IF($F550="","",ABS($E550-$F550)*$H550*$I550-$K550*$H550*$I550),IF($V550="Prima",$K550*$H550*$I550,""))))))</f>
        <v/>
      </c>
      <c r="AE550" s="12" t="str">
        <f aca="false">IF(OR($C550="",$M550="Abierta",$M550=""),"",(N($K550)-IF(OR($M550="Cerrada",$M550="Rolada"),N($O550),0))*$H550*$I550*IF($U550="Débito",-1,1)-N($L550)-N($P550))</f>
        <v/>
      </c>
      <c r="AF550" s="14" t="str">
        <f aca="false">IF(OR($AE550="",$AD550=""),"",IF($AD550&lt;=0,"",$AE550/$AD550))</f>
        <v/>
      </c>
      <c r="AG550" s="14" t="str">
        <f aca="false">IF($AF550="","",$AF550*365/MAX(N($X550),1))</f>
        <v/>
      </c>
      <c r="AH550" s="14" t="str">
        <f aca="false">IF(OR($C550="",$U550&lt;&gt;"Crédito",$AD550=""),"",IF($AD550&lt;=0,"",($Z550-N($L550))/$AD550))</f>
        <v/>
      </c>
      <c r="AI550" s="14" t="str">
        <f aca="false">IF(OR($AH550="",$W550=""),"",$AH550*365/MAX($W550,1))</f>
        <v/>
      </c>
      <c r="AJ550" s="14" t="str">
        <f aca="false">IF(OR($AE550="",$U550&lt;&gt;"Crédito",N($K550)=0),"",(N($K550)-IF(OR($M550="Cerrada",$M550="Rolada"),N($O550),0))/$K550)</f>
        <v/>
      </c>
      <c r="AK550" s="15" t="str">
        <f aca="false">IF(OR($C550="",$N550=""),"",DATE(YEAR($N550),MONTH($N550),1))</f>
        <v/>
      </c>
      <c r="AL550" s="11" t="str">
        <f aca="false">IF($C550="","",IF($M550="Abierta",0,1))</f>
        <v/>
      </c>
      <c r="AM550" s="16" t="str">
        <f aca="false">IF(OR($AE550="",$AD550=""),"",$AD550*MAX(N($X550),1))</f>
        <v/>
      </c>
      <c r="AN550" s="10" t="str">
        <f aca="false">IF($C550="","",IF(OR($B550="",$D550="",$H550="",$K550="",$M550=""),"Faltan datos obligatorios",IF($T550="","Estrategia no reconocida",IF(AND($M550&lt;&gt;"Abierta",$N550=""),"Falta fecha cierre",IF(AND(OR($M550="Cerrada",$M550="Rolada"),$O550=""),"Falta prima cierre",IF(AND($N550&lt;&gt;"",$N550&lt;$B550),"Cierre anterior a apertura",IF(AND($M550="Asignada",$R550=""),"Asignada: falta ID lote acciones",IF(AND($R550&lt;&gt;"",ISNA(MATCH($R550,Acciones!$A$2:$A$201,0))),"El ID lote no existe en Acciones",IF($AD550="","Revisa capital en riesgo","OK")))))))))</f>
        <v/>
      </c>
    </row>
    <row r="551" customFormat="false" ht="15" hidden="false" customHeight="true" outlineLevel="0" collapsed="false">
      <c r="A551" s="5"/>
      <c r="B551" s="6"/>
      <c r="C551" s="7"/>
      <c r="D551" s="7"/>
      <c r="E551" s="8"/>
      <c r="F551" s="8"/>
      <c r="G551" s="6"/>
      <c r="H551" s="5"/>
      <c r="I551" s="5" t="n">
        <v>100</v>
      </c>
      <c r="J551" s="8"/>
      <c r="K551" s="8"/>
      <c r="L551" s="9"/>
      <c r="M551" s="7"/>
      <c r="N551" s="6"/>
      <c r="O551" s="8"/>
      <c r="P551" s="9"/>
      <c r="Q551" s="9"/>
      <c r="R551" s="7"/>
      <c r="S551" s="7"/>
      <c r="T551" s="10" t="str">
        <f aca="false">IF($C551="","",IFERROR(INDEX(Listas!$B$2:$B$20,MATCH($D551,Listas!$A$2:$A$20,0)),""))</f>
        <v/>
      </c>
      <c r="U551" s="10" t="str">
        <f aca="false">IF($C551="","",IFERROR(INDEX(Listas!$C$2:$C$20,MATCH($D551,Listas!$A$2:$A$20,0)),""))</f>
        <v/>
      </c>
      <c r="V551" s="10" t="str">
        <f aca="false">IF($C551="","",IFERROR(INDEX(Listas!$D$2:$D$20,MATCH($D551,Listas!$A$2:$A$20,0)),""))</f>
        <v/>
      </c>
      <c r="W551" s="11" t="str">
        <f aca="false">IF(OR($C551="",$B551="",$G551=""),"",$G551-$B551)</f>
        <v/>
      </c>
      <c r="X551" s="11" t="str">
        <f aca="true">IF(OR($C551="",$B551=""),"",IF($N551&lt;&gt;"",$N551,TODAY())-$B551)</f>
        <v/>
      </c>
      <c r="Y551" s="11" t="str">
        <f aca="true">IF(OR($C551="",$M551&lt;&gt;"Abierta",$G551=""),"",MAX($G551-TODAY(),0))</f>
        <v/>
      </c>
      <c r="Z551" s="12" t="str">
        <f aca="false">IF($C551="","",N($K551)*N($H551)*N($I551)*IF($U551="Débito",-1,1))</f>
        <v/>
      </c>
      <c r="AA551" s="13" t="str">
        <f aca="false">IF($C551="","",IF(AND($U551="Débito",$F551&lt;&gt;""),$F551,$E551))</f>
        <v/>
      </c>
      <c r="AB551" s="13" t="str">
        <f aca="false">IF(OR($C551="",$T551="Mixta",$AA551=""),"",IF($V551="Subyacente",IF($J551="","",$J551-$K551),IF($T551="Put",$AA551-$K551,$AA551+$K551)))</f>
        <v/>
      </c>
      <c r="AC551" s="14" t="str">
        <f aca="false">IF(OR($C551="",$T551="Mixta",$J551="",$AA551=""),"",IF($T551="Put",($J551-$AA551)/$J551,($AA551-$J551)/$J551))</f>
        <v/>
      </c>
      <c r="AD551" s="12" t="str">
        <f aca="false">IF($C551="","",IF($Q551&lt;&gt;"",$Q551,IF($V551="Strike",N($E551)*$H551*$I551,IF($V551="Subyacente",IF($J551="","",$J551*$H551*$I551),IF($V551="Ancho",IF($F551="","",ABS($E551-$F551)*$H551*$I551-$K551*$H551*$I551),IF($V551="Prima",$K551*$H551*$I551,""))))))</f>
        <v/>
      </c>
      <c r="AE551" s="12" t="str">
        <f aca="false">IF(OR($C551="",$M551="Abierta",$M551=""),"",(N($K551)-IF(OR($M551="Cerrada",$M551="Rolada"),N($O551),0))*$H551*$I551*IF($U551="Débito",-1,1)-N($L551)-N($P551))</f>
        <v/>
      </c>
      <c r="AF551" s="14" t="str">
        <f aca="false">IF(OR($AE551="",$AD551=""),"",IF($AD551&lt;=0,"",$AE551/$AD551))</f>
        <v/>
      </c>
      <c r="AG551" s="14" t="str">
        <f aca="false">IF($AF551="","",$AF551*365/MAX(N($X551),1))</f>
        <v/>
      </c>
      <c r="AH551" s="14" t="str">
        <f aca="false">IF(OR($C551="",$U551&lt;&gt;"Crédito",$AD551=""),"",IF($AD551&lt;=0,"",($Z551-N($L551))/$AD551))</f>
        <v/>
      </c>
      <c r="AI551" s="14" t="str">
        <f aca="false">IF(OR($AH551="",$W551=""),"",$AH551*365/MAX($W551,1))</f>
        <v/>
      </c>
      <c r="AJ551" s="14" t="str">
        <f aca="false">IF(OR($AE551="",$U551&lt;&gt;"Crédito",N($K551)=0),"",(N($K551)-IF(OR($M551="Cerrada",$M551="Rolada"),N($O551),0))/$K551)</f>
        <v/>
      </c>
      <c r="AK551" s="15" t="str">
        <f aca="false">IF(OR($C551="",$N551=""),"",DATE(YEAR($N551),MONTH($N551),1))</f>
        <v/>
      </c>
      <c r="AL551" s="11" t="str">
        <f aca="false">IF($C551="","",IF($M551="Abierta",0,1))</f>
        <v/>
      </c>
      <c r="AM551" s="16" t="str">
        <f aca="false">IF(OR($AE551="",$AD551=""),"",$AD551*MAX(N($X551),1))</f>
        <v/>
      </c>
      <c r="AN551" s="10" t="str">
        <f aca="false">IF($C551="","",IF(OR($B551="",$D551="",$H551="",$K551="",$M551=""),"Faltan datos obligatorios",IF($T551="","Estrategia no reconocida",IF(AND($M551&lt;&gt;"Abierta",$N551=""),"Falta fecha cierre",IF(AND(OR($M551="Cerrada",$M551="Rolada"),$O551=""),"Falta prima cierre",IF(AND($N551&lt;&gt;"",$N551&lt;$B551),"Cierre anterior a apertura",IF(AND($M551="Asignada",$R551=""),"Asignada: falta ID lote acciones",IF(AND($R551&lt;&gt;"",ISNA(MATCH($R551,Acciones!$A$2:$A$201,0))),"El ID lote no existe en Acciones",IF($AD551="","Revisa capital en riesgo","OK")))))))))</f>
        <v/>
      </c>
    </row>
    <row r="552" customFormat="false" ht="15" hidden="false" customHeight="true" outlineLevel="0" collapsed="false">
      <c r="A552" s="5"/>
      <c r="B552" s="6"/>
      <c r="C552" s="7"/>
      <c r="D552" s="7"/>
      <c r="E552" s="8"/>
      <c r="F552" s="8"/>
      <c r="G552" s="6"/>
      <c r="H552" s="5"/>
      <c r="I552" s="5" t="n">
        <v>100</v>
      </c>
      <c r="J552" s="8"/>
      <c r="K552" s="8"/>
      <c r="L552" s="9"/>
      <c r="M552" s="7"/>
      <c r="N552" s="6"/>
      <c r="O552" s="8"/>
      <c r="P552" s="9"/>
      <c r="Q552" s="9"/>
      <c r="R552" s="7"/>
      <c r="S552" s="7"/>
      <c r="T552" s="10" t="str">
        <f aca="false">IF($C552="","",IFERROR(INDEX(Listas!$B$2:$B$20,MATCH($D552,Listas!$A$2:$A$20,0)),""))</f>
        <v/>
      </c>
      <c r="U552" s="10" t="str">
        <f aca="false">IF($C552="","",IFERROR(INDEX(Listas!$C$2:$C$20,MATCH($D552,Listas!$A$2:$A$20,0)),""))</f>
        <v/>
      </c>
      <c r="V552" s="10" t="str">
        <f aca="false">IF($C552="","",IFERROR(INDEX(Listas!$D$2:$D$20,MATCH($D552,Listas!$A$2:$A$20,0)),""))</f>
        <v/>
      </c>
      <c r="W552" s="11" t="str">
        <f aca="false">IF(OR($C552="",$B552="",$G552=""),"",$G552-$B552)</f>
        <v/>
      </c>
      <c r="X552" s="11" t="str">
        <f aca="true">IF(OR($C552="",$B552=""),"",IF($N552&lt;&gt;"",$N552,TODAY())-$B552)</f>
        <v/>
      </c>
      <c r="Y552" s="11" t="str">
        <f aca="true">IF(OR($C552="",$M552&lt;&gt;"Abierta",$G552=""),"",MAX($G552-TODAY(),0))</f>
        <v/>
      </c>
      <c r="Z552" s="12" t="str">
        <f aca="false">IF($C552="","",N($K552)*N($H552)*N($I552)*IF($U552="Débito",-1,1))</f>
        <v/>
      </c>
      <c r="AA552" s="13" t="str">
        <f aca="false">IF($C552="","",IF(AND($U552="Débito",$F552&lt;&gt;""),$F552,$E552))</f>
        <v/>
      </c>
      <c r="AB552" s="13" t="str">
        <f aca="false">IF(OR($C552="",$T552="Mixta",$AA552=""),"",IF($V552="Subyacente",IF($J552="","",$J552-$K552),IF($T552="Put",$AA552-$K552,$AA552+$K552)))</f>
        <v/>
      </c>
      <c r="AC552" s="14" t="str">
        <f aca="false">IF(OR($C552="",$T552="Mixta",$J552="",$AA552=""),"",IF($T552="Put",($J552-$AA552)/$J552,($AA552-$J552)/$J552))</f>
        <v/>
      </c>
      <c r="AD552" s="12" t="str">
        <f aca="false">IF($C552="","",IF($Q552&lt;&gt;"",$Q552,IF($V552="Strike",N($E552)*$H552*$I552,IF($V552="Subyacente",IF($J552="","",$J552*$H552*$I552),IF($V552="Ancho",IF($F552="","",ABS($E552-$F552)*$H552*$I552-$K552*$H552*$I552),IF($V552="Prima",$K552*$H552*$I552,""))))))</f>
        <v/>
      </c>
      <c r="AE552" s="12" t="str">
        <f aca="false">IF(OR($C552="",$M552="Abierta",$M552=""),"",(N($K552)-IF(OR($M552="Cerrada",$M552="Rolada"),N($O552),0))*$H552*$I552*IF($U552="Débito",-1,1)-N($L552)-N($P552))</f>
        <v/>
      </c>
      <c r="AF552" s="14" t="str">
        <f aca="false">IF(OR($AE552="",$AD552=""),"",IF($AD552&lt;=0,"",$AE552/$AD552))</f>
        <v/>
      </c>
      <c r="AG552" s="14" t="str">
        <f aca="false">IF($AF552="","",$AF552*365/MAX(N($X552),1))</f>
        <v/>
      </c>
      <c r="AH552" s="14" t="str">
        <f aca="false">IF(OR($C552="",$U552&lt;&gt;"Crédito",$AD552=""),"",IF($AD552&lt;=0,"",($Z552-N($L552))/$AD552))</f>
        <v/>
      </c>
      <c r="AI552" s="14" t="str">
        <f aca="false">IF(OR($AH552="",$W552=""),"",$AH552*365/MAX($W552,1))</f>
        <v/>
      </c>
      <c r="AJ552" s="14" t="str">
        <f aca="false">IF(OR($AE552="",$U552&lt;&gt;"Crédito",N($K552)=0),"",(N($K552)-IF(OR($M552="Cerrada",$M552="Rolada"),N($O552),0))/$K552)</f>
        <v/>
      </c>
      <c r="AK552" s="15" t="str">
        <f aca="false">IF(OR($C552="",$N552=""),"",DATE(YEAR($N552),MONTH($N552),1))</f>
        <v/>
      </c>
      <c r="AL552" s="11" t="str">
        <f aca="false">IF($C552="","",IF($M552="Abierta",0,1))</f>
        <v/>
      </c>
      <c r="AM552" s="16" t="str">
        <f aca="false">IF(OR($AE552="",$AD552=""),"",$AD552*MAX(N($X552),1))</f>
        <v/>
      </c>
      <c r="AN552" s="10" t="str">
        <f aca="false">IF($C552="","",IF(OR($B552="",$D552="",$H552="",$K552="",$M552=""),"Faltan datos obligatorios",IF($T552="","Estrategia no reconocida",IF(AND($M552&lt;&gt;"Abierta",$N552=""),"Falta fecha cierre",IF(AND(OR($M552="Cerrada",$M552="Rolada"),$O552=""),"Falta prima cierre",IF(AND($N552&lt;&gt;"",$N552&lt;$B552),"Cierre anterior a apertura",IF(AND($M552="Asignada",$R552=""),"Asignada: falta ID lote acciones",IF(AND($R552&lt;&gt;"",ISNA(MATCH($R552,Acciones!$A$2:$A$201,0))),"El ID lote no existe en Acciones",IF($AD552="","Revisa capital en riesgo","OK")))))))))</f>
        <v/>
      </c>
    </row>
    <row r="553" customFormat="false" ht="15" hidden="false" customHeight="true" outlineLevel="0" collapsed="false">
      <c r="A553" s="5"/>
      <c r="B553" s="6"/>
      <c r="C553" s="7"/>
      <c r="D553" s="7"/>
      <c r="E553" s="8"/>
      <c r="F553" s="8"/>
      <c r="G553" s="6"/>
      <c r="H553" s="5"/>
      <c r="I553" s="5" t="n">
        <v>100</v>
      </c>
      <c r="J553" s="8"/>
      <c r="K553" s="8"/>
      <c r="L553" s="9"/>
      <c r="M553" s="7"/>
      <c r="N553" s="6"/>
      <c r="O553" s="8"/>
      <c r="P553" s="9"/>
      <c r="Q553" s="9"/>
      <c r="R553" s="7"/>
      <c r="S553" s="7"/>
      <c r="T553" s="10" t="str">
        <f aca="false">IF($C553="","",IFERROR(INDEX(Listas!$B$2:$B$20,MATCH($D553,Listas!$A$2:$A$20,0)),""))</f>
        <v/>
      </c>
      <c r="U553" s="10" t="str">
        <f aca="false">IF($C553="","",IFERROR(INDEX(Listas!$C$2:$C$20,MATCH($D553,Listas!$A$2:$A$20,0)),""))</f>
        <v/>
      </c>
      <c r="V553" s="10" t="str">
        <f aca="false">IF($C553="","",IFERROR(INDEX(Listas!$D$2:$D$20,MATCH($D553,Listas!$A$2:$A$20,0)),""))</f>
        <v/>
      </c>
      <c r="W553" s="11" t="str">
        <f aca="false">IF(OR($C553="",$B553="",$G553=""),"",$G553-$B553)</f>
        <v/>
      </c>
      <c r="X553" s="11" t="str">
        <f aca="true">IF(OR($C553="",$B553=""),"",IF($N553&lt;&gt;"",$N553,TODAY())-$B553)</f>
        <v/>
      </c>
      <c r="Y553" s="11" t="str">
        <f aca="true">IF(OR($C553="",$M553&lt;&gt;"Abierta",$G553=""),"",MAX($G553-TODAY(),0))</f>
        <v/>
      </c>
      <c r="Z553" s="12" t="str">
        <f aca="false">IF($C553="","",N($K553)*N($H553)*N($I553)*IF($U553="Débito",-1,1))</f>
        <v/>
      </c>
      <c r="AA553" s="13" t="str">
        <f aca="false">IF($C553="","",IF(AND($U553="Débito",$F553&lt;&gt;""),$F553,$E553))</f>
        <v/>
      </c>
      <c r="AB553" s="13" t="str">
        <f aca="false">IF(OR($C553="",$T553="Mixta",$AA553=""),"",IF($V553="Subyacente",IF($J553="","",$J553-$K553),IF($T553="Put",$AA553-$K553,$AA553+$K553)))</f>
        <v/>
      </c>
      <c r="AC553" s="14" t="str">
        <f aca="false">IF(OR($C553="",$T553="Mixta",$J553="",$AA553=""),"",IF($T553="Put",($J553-$AA553)/$J553,($AA553-$J553)/$J553))</f>
        <v/>
      </c>
      <c r="AD553" s="12" t="str">
        <f aca="false">IF($C553="","",IF($Q553&lt;&gt;"",$Q553,IF($V553="Strike",N($E553)*$H553*$I553,IF($V553="Subyacente",IF($J553="","",$J553*$H553*$I553),IF($V553="Ancho",IF($F553="","",ABS($E553-$F553)*$H553*$I553-$K553*$H553*$I553),IF($V553="Prima",$K553*$H553*$I553,""))))))</f>
        <v/>
      </c>
      <c r="AE553" s="12" t="str">
        <f aca="false">IF(OR($C553="",$M553="Abierta",$M553=""),"",(N($K553)-IF(OR($M553="Cerrada",$M553="Rolada"),N($O553),0))*$H553*$I553*IF($U553="Débito",-1,1)-N($L553)-N($P553))</f>
        <v/>
      </c>
      <c r="AF553" s="14" t="str">
        <f aca="false">IF(OR($AE553="",$AD553=""),"",IF($AD553&lt;=0,"",$AE553/$AD553))</f>
        <v/>
      </c>
      <c r="AG553" s="14" t="str">
        <f aca="false">IF($AF553="","",$AF553*365/MAX(N($X553),1))</f>
        <v/>
      </c>
      <c r="AH553" s="14" t="str">
        <f aca="false">IF(OR($C553="",$U553&lt;&gt;"Crédito",$AD553=""),"",IF($AD553&lt;=0,"",($Z553-N($L553))/$AD553))</f>
        <v/>
      </c>
      <c r="AI553" s="14" t="str">
        <f aca="false">IF(OR($AH553="",$W553=""),"",$AH553*365/MAX($W553,1))</f>
        <v/>
      </c>
      <c r="AJ553" s="14" t="str">
        <f aca="false">IF(OR($AE553="",$U553&lt;&gt;"Crédito",N($K553)=0),"",(N($K553)-IF(OR($M553="Cerrada",$M553="Rolada"),N($O553),0))/$K553)</f>
        <v/>
      </c>
      <c r="AK553" s="15" t="str">
        <f aca="false">IF(OR($C553="",$N553=""),"",DATE(YEAR($N553),MONTH($N553),1))</f>
        <v/>
      </c>
      <c r="AL553" s="11" t="str">
        <f aca="false">IF($C553="","",IF($M553="Abierta",0,1))</f>
        <v/>
      </c>
      <c r="AM553" s="16" t="str">
        <f aca="false">IF(OR($AE553="",$AD553=""),"",$AD553*MAX(N($X553),1))</f>
        <v/>
      </c>
      <c r="AN553" s="10" t="str">
        <f aca="false">IF($C553="","",IF(OR($B553="",$D553="",$H553="",$K553="",$M553=""),"Faltan datos obligatorios",IF($T553="","Estrategia no reconocida",IF(AND($M553&lt;&gt;"Abierta",$N553=""),"Falta fecha cierre",IF(AND(OR($M553="Cerrada",$M553="Rolada"),$O553=""),"Falta prima cierre",IF(AND($N553&lt;&gt;"",$N553&lt;$B553),"Cierre anterior a apertura",IF(AND($M553="Asignada",$R553=""),"Asignada: falta ID lote acciones",IF(AND($R553&lt;&gt;"",ISNA(MATCH($R553,Acciones!$A$2:$A$201,0))),"El ID lote no existe en Acciones",IF($AD553="","Revisa capital en riesgo","OK")))))))))</f>
        <v/>
      </c>
    </row>
    <row r="554" customFormat="false" ht="15" hidden="false" customHeight="true" outlineLevel="0" collapsed="false">
      <c r="A554" s="5"/>
      <c r="B554" s="6"/>
      <c r="C554" s="7"/>
      <c r="D554" s="7"/>
      <c r="E554" s="8"/>
      <c r="F554" s="8"/>
      <c r="G554" s="6"/>
      <c r="H554" s="5"/>
      <c r="I554" s="5" t="n">
        <v>100</v>
      </c>
      <c r="J554" s="8"/>
      <c r="K554" s="8"/>
      <c r="L554" s="9"/>
      <c r="M554" s="7"/>
      <c r="N554" s="6"/>
      <c r="O554" s="8"/>
      <c r="P554" s="9"/>
      <c r="Q554" s="9"/>
      <c r="R554" s="7"/>
      <c r="S554" s="7"/>
      <c r="T554" s="10" t="str">
        <f aca="false">IF($C554="","",IFERROR(INDEX(Listas!$B$2:$B$20,MATCH($D554,Listas!$A$2:$A$20,0)),""))</f>
        <v/>
      </c>
      <c r="U554" s="10" t="str">
        <f aca="false">IF($C554="","",IFERROR(INDEX(Listas!$C$2:$C$20,MATCH($D554,Listas!$A$2:$A$20,0)),""))</f>
        <v/>
      </c>
      <c r="V554" s="10" t="str">
        <f aca="false">IF($C554="","",IFERROR(INDEX(Listas!$D$2:$D$20,MATCH($D554,Listas!$A$2:$A$20,0)),""))</f>
        <v/>
      </c>
      <c r="W554" s="11" t="str">
        <f aca="false">IF(OR($C554="",$B554="",$G554=""),"",$G554-$B554)</f>
        <v/>
      </c>
      <c r="X554" s="11" t="str">
        <f aca="true">IF(OR($C554="",$B554=""),"",IF($N554&lt;&gt;"",$N554,TODAY())-$B554)</f>
        <v/>
      </c>
      <c r="Y554" s="11" t="str">
        <f aca="true">IF(OR($C554="",$M554&lt;&gt;"Abierta",$G554=""),"",MAX($G554-TODAY(),0))</f>
        <v/>
      </c>
      <c r="Z554" s="12" t="str">
        <f aca="false">IF($C554="","",N($K554)*N($H554)*N($I554)*IF($U554="Débito",-1,1))</f>
        <v/>
      </c>
      <c r="AA554" s="13" t="str">
        <f aca="false">IF($C554="","",IF(AND($U554="Débito",$F554&lt;&gt;""),$F554,$E554))</f>
        <v/>
      </c>
      <c r="AB554" s="13" t="str">
        <f aca="false">IF(OR($C554="",$T554="Mixta",$AA554=""),"",IF($V554="Subyacente",IF($J554="","",$J554-$K554),IF($T554="Put",$AA554-$K554,$AA554+$K554)))</f>
        <v/>
      </c>
      <c r="AC554" s="14" t="str">
        <f aca="false">IF(OR($C554="",$T554="Mixta",$J554="",$AA554=""),"",IF($T554="Put",($J554-$AA554)/$J554,($AA554-$J554)/$J554))</f>
        <v/>
      </c>
      <c r="AD554" s="12" t="str">
        <f aca="false">IF($C554="","",IF($Q554&lt;&gt;"",$Q554,IF($V554="Strike",N($E554)*$H554*$I554,IF($V554="Subyacente",IF($J554="","",$J554*$H554*$I554),IF($V554="Ancho",IF($F554="","",ABS($E554-$F554)*$H554*$I554-$K554*$H554*$I554),IF($V554="Prima",$K554*$H554*$I554,""))))))</f>
        <v/>
      </c>
      <c r="AE554" s="12" t="str">
        <f aca="false">IF(OR($C554="",$M554="Abierta",$M554=""),"",(N($K554)-IF(OR($M554="Cerrada",$M554="Rolada"),N($O554),0))*$H554*$I554*IF($U554="Débito",-1,1)-N($L554)-N($P554))</f>
        <v/>
      </c>
      <c r="AF554" s="14" t="str">
        <f aca="false">IF(OR($AE554="",$AD554=""),"",IF($AD554&lt;=0,"",$AE554/$AD554))</f>
        <v/>
      </c>
      <c r="AG554" s="14" t="str">
        <f aca="false">IF($AF554="","",$AF554*365/MAX(N($X554),1))</f>
        <v/>
      </c>
      <c r="AH554" s="14" t="str">
        <f aca="false">IF(OR($C554="",$U554&lt;&gt;"Crédito",$AD554=""),"",IF($AD554&lt;=0,"",($Z554-N($L554))/$AD554))</f>
        <v/>
      </c>
      <c r="AI554" s="14" t="str">
        <f aca="false">IF(OR($AH554="",$W554=""),"",$AH554*365/MAX($W554,1))</f>
        <v/>
      </c>
      <c r="AJ554" s="14" t="str">
        <f aca="false">IF(OR($AE554="",$U554&lt;&gt;"Crédito",N($K554)=0),"",(N($K554)-IF(OR($M554="Cerrada",$M554="Rolada"),N($O554),0))/$K554)</f>
        <v/>
      </c>
      <c r="AK554" s="15" t="str">
        <f aca="false">IF(OR($C554="",$N554=""),"",DATE(YEAR($N554),MONTH($N554),1))</f>
        <v/>
      </c>
      <c r="AL554" s="11" t="str">
        <f aca="false">IF($C554="","",IF($M554="Abierta",0,1))</f>
        <v/>
      </c>
      <c r="AM554" s="16" t="str">
        <f aca="false">IF(OR($AE554="",$AD554=""),"",$AD554*MAX(N($X554),1))</f>
        <v/>
      </c>
      <c r="AN554" s="10" t="str">
        <f aca="false">IF($C554="","",IF(OR($B554="",$D554="",$H554="",$K554="",$M554=""),"Faltan datos obligatorios",IF($T554="","Estrategia no reconocida",IF(AND($M554&lt;&gt;"Abierta",$N554=""),"Falta fecha cierre",IF(AND(OR($M554="Cerrada",$M554="Rolada"),$O554=""),"Falta prima cierre",IF(AND($N554&lt;&gt;"",$N554&lt;$B554),"Cierre anterior a apertura",IF(AND($M554="Asignada",$R554=""),"Asignada: falta ID lote acciones",IF(AND($R554&lt;&gt;"",ISNA(MATCH($R554,Acciones!$A$2:$A$201,0))),"El ID lote no existe en Acciones",IF($AD554="","Revisa capital en riesgo","OK")))))))))</f>
        <v/>
      </c>
    </row>
    <row r="555" customFormat="false" ht="15" hidden="false" customHeight="true" outlineLevel="0" collapsed="false">
      <c r="A555" s="5"/>
      <c r="B555" s="6"/>
      <c r="C555" s="7"/>
      <c r="D555" s="7"/>
      <c r="E555" s="8"/>
      <c r="F555" s="8"/>
      <c r="G555" s="6"/>
      <c r="H555" s="5"/>
      <c r="I555" s="5" t="n">
        <v>100</v>
      </c>
      <c r="J555" s="8"/>
      <c r="K555" s="8"/>
      <c r="L555" s="9"/>
      <c r="M555" s="7"/>
      <c r="N555" s="6"/>
      <c r="O555" s="8"/>
      <c r="P555" s="9"/>
      <c r="Q555" s="9"/>
      <c r="R555" s="7"/>
      <c r="S555" s="7"/>
      <c r="T555" s="10" t="str">
        <f aca="false">IF($C555="","",IFERROR(INDEX(Listas!$B$2:$B$20,MATCH($D555,Listas!$A$2:$A$20,0)),""))</f>
        <v/>
      </c>
      <c r="U555" s="10" t="str">
        <f aca="false">IF($C555="","",IFERROR(INDEX(Listas!$C$2:$C$20,MATCH($D555,Listas!$A$2:$A$20,0)),""))</f>
        <v/>
      </c>
      <c r="V555" s="10" t="str">
        <f aca="false">IF($C555="","",IFERROR(INDEX(Listas!$D$2:$D$20,MATCH($D555,Listas!$A$2:$A$20,0)),""))</f>
        <v/>
      </c>
      <c r="W555" s="11" t="str">
        <f aca="false">IF(OR($C555="",$B555="",$G555=""),"",$G555-$B555)</f>
        <v/>
      </c>
      <c r="X555" s="11" t="str">
        <f aca="true">IF(OR($C555="",$B555=""),"",IF($N555&lt;&gt;"",$N555,TODAY())-$B555)</f>
        <v/>
      </c>
      <c r="Y555" s="11" t="str">
        <f aca="true">IF(OR($C555="",$M555&lt;&gt;"Abierta",$G555=""),"",MAX($G555-TODAY(),0))</f>
        <v/>
      </c>
      <c r="Z555" s="12" t="str">
        <f aca="false">IF($C555="","",N($K555)*N($H555)*N($I555)*IF($U555="Débito",-1,1))</f>
        <v/>
      </c>
      <c r="AA555" s="13" t="str">
        <f aca="false">IF($C555="","",IF(AND($U555="Débito",$F555&lt;&gt;""),$F555,$E555))</f>
        <v/>
      </c>
      <c r="AB555" s="13" t="str">
        <f aca="false">IF(OR($C555="",$T555="Mixta",$AA555=""),"",IF($V555="Subyacente",IF($J555="","",$J555-$K555),IF($T555="Put",$AA555-$K555,$AA555+$K555)))</f>
        <v/>
      </c>
      <c r="AC555" s="14" t="str">
        <f aca="false">IF(OR($C555="",$T555="Mixta",$J555="",$AA555=""),"",IF($T555="Put",($J555-$AA555)/$J555,($AA555-$J555)/$J555))</f>
        <v/>
      </c>
      <c r="AD555" s="12" t="str">
        <f aca="false">IF($C555="","",IF($Q555&lt;&gt;"",$Q555,IF($V555="Strike",N($E555)*$H555*$I555,IF($V555="Subyacente",IF($J555="","",$J555*$H555*$I555),IF($V555="Ancho",IF($F555="","",ABS($E555-$F555)*$H555*$I555-$K555*$H555*$I555),IF($V555="Prima",$K555*$H555*$I555,""))))))</f>
        <v/>
      </c>
      <c r="AE555" s="12" t="str">
        <f aca="false">IF(OR($C555="",$M555="Abierta",$M555=""),"",(N($K555)-IF(OR($M555="Cerrada",$M555="Rolada"),N($O555),0))*$H555*$I555*IF($U555="Débito",-1,1)-N($L555)-N($P555))</f>
        <v/>
      </c>
      <c r="AF555" s="14" t="str">
        <f aca="false">IF(OR($AE555="",$AD555=""),"",IF($AD555&lt;=0,"",$AE555/$AD555))</f>
        <v/>
      </c>
      <c r="AG555" s="14" t="str">
        <f aca="false">IF($AF555="","",$AF555*365/MAX(N($X555),1))</f>
        <v/>
      </c>
      <c r="AH555" s="14" t="str">
        <f aca="false">IF(OR($C555="",$U555&lt;&gt;"Crédito",$AD555=""),"",IF($AD555&lt;=0,"",($Z555-N($L555))/$AD555))</f>
        <v/>
      </c>
      <c r="AI555" s="14" t="str">
        <f aca="false">IF(OR($AH555="",$W555=""),"",$AH555*365/MAX($W555,1))</f>
        <v/>
      </c>
      <c r="AJ555" s="14" t="str">
        <f aca="false">IF(OR($AE555="",$U555&lt;&gt;"Crédito",N($K555)=0),"",(N($K555)-IF(OR($M555="Cerrada",$M555="Rolada"),N($O555),0))/$K555)</f>
        <v/>
      </c>
      <c r="AK555" s="15" t="str">
        <f aca="false">IF(OR($C555="",$N555=""),"",DATE(YEAR($N555),MONTH($N555),1))</f>
        <v/>
      </c>
      <c r="AL555" s="11" t="str">
        <f aca="false">IF($C555="","",IF($M555="Abierta",0,1))</f>
        <v/>
      </c>
      <c r="AM555" s="16" t="str">
        <f aca="false">IF(OR($AE555="",$AD555=""),"",$AD555*MAX(N($X555),1))</f>
        <v/>
      </c>
      <c r="AN555" s="10" t="str">
        <f aca="false">IF($C555="","",IF(OR($B555="",$D555="",$H555="",$K555="",$M555=""),"Faltan datos obligatorios",IF($T555="","Estrategia no reconocida",IF(AND($M555&lt;&gt;"Abierta",$N555=""),"Falta fecha cierre",IF(AND(OR($M555="Cerrada",$M555="Rolada"),$O555=""),"Falta prima cierre",IF(AND($N555&lt;&gt;"",$N555&lt;$B555),"Cierre anterior a apertura",IF(AND($M555="Asignada",$R555=""),"Asignada: falta ID lote acciones",IF(AND($R555&lt;&gt;"",ISNA(MATCH($R555,Acciones!$A$2:$A$201,0))),"El ID lote no existe en Acciones",IF($AD555="","Revisa capital en riesgo","OK")))))))))</f>
        <v/>
      </c>
    </row>
    <row r="556" customFormat="false" ht="15" hidden="false" customHeight="true" outlineLevel="0" collapsed="false">
      <c r="A556" s="5"/>
      <c r="B556" s="6"/>
      <c r="C556" s="7"/>
      <c r="D556" s="7"/>
      <c r="E556" s="8"/>
      <c r="F556" s="8"/>
      <c r="G556" s="6"/>
      <c r="H556" s="5"/>
      <c r="I556" s="5" t="n">
        <v>100</v>
      </c>
      <c r="J556" s="8"/>
      <c r="K556" s="8"/>
      <c r="L556" s="9"/>
      <c r="M556" s="7"/>
      <c r="N556" s="6"/>
      <c r="O556" s="8"/>
      <c r="P556" s="9"/>
      <c r="Q556" s="9"/>
      <c r="R556" s="7"/>
      <c r="S556" s="7"/>
      <c r="T556" s="10" t="str">
        <f aca="false">IF($C556="","",IFERROR(INDEX(Listas!$B$2:$B$20,MATCH($D556,Listas!$A$2:$A$20,0)),""))</f>
        <v/>
      </c>
      <c r="U556" s="10" t="str">
        <f aca="false">IF($C556="","",IFERROR(INDEX(Listas!$C$2:$C$20,MATCH($D556,Listas!$A$2:$A$20,0)),""))</f>
        <v/>
      </c>
      <c r="V556" s="10" t="str">
        <f aca="false">IF($C556="","",IFERROR(INDEX(Listas!$D$2:$D$20,MATCH($D556,Listas!$A$2:$A$20,0)),""))</f>
        <v/>
      </c>
      <c r="W556" s="11" t="str">
        <f aca="false">IF(OR($C556="",$B556="",$G556=""),"",$G556-$B556)</f>
        <v/>
      </c>
      <c r="X556" s="11" t="str">
        <f aca="true">IF(OR($C556="",$B556=""),"",IF($N556&lt;&gt;"",$N556,TODAY())-$B556)</f>
        <v/>
      </c>
      <c r="Y556" s="11" t="str">
        <f aca="true">IF(OR($C556="",$M556&lt;&gt;"Abierta",$G556=""),"",MAX($G556-TODAY(),0))</f>
        <v/>
      </c>
      <c r="Z556" s="12" t="str">
        <f aca="false">IF($C556="","",N($K556)*N($H556)*N($I556)*IF($U556="Débito",-1,1))</f>
        <v/>
      </c>
      <c r="AA556" s="13" t="str">
        <f aca="false">IF($C556="","",IF(AND($U556="Débito",$F556&lt;&gt;""),$F556,$E556))</f>
        <v/>
      </c>
      <c r="AB556" s="13" t="str">
        <f aca="false">IF(OR($C556="",$T556="Mixta",$AA556=""),"",IF($V556="Subyacente",IF($J556="","",$J556-$K556),IF($T556="Put",$AA556-$K556,$AA556+$K556)))</f>
        <v/>
      </c>
      <c r="AC556" s="14" t="str">
        <f aca="false">IF(OR($C556="",$T556="Mixta",$J556="",$AA556=""),"",IF($T556="Put",($J556-$AA556)/$J556,($AA556-$J556)/$J556))</f>
        <v/>
      </c>
      <c r="AD556" s="12" t="str">
        <f aca="false">IF($C556="","",IF($Q556&lt;&gt;"",$Q556,IF($V556="Strike",N($E556)*$H556*$I556,IF($V556="Subyacente",IF($J556="","",$J556*$H556*$I556),IF($V556="Ancho",IF($F556="","",ABS($E556-$F556)*$H556*$I556-$K556*$H556*$I556),IF($V556="Prima",$K556*$H556*$I556,""))))))</f>
        <v/>
      </c>
      <c r="AE556" s="12" t="str">
        <f aca="false">IF(OR($C556="",$M556="Abierta",$M556=""),"",(N($K556)-IF(OR($M556="Cerrada",$M556="Rolada"),N($O556),0))*$H556*$I556*IF($U556="Débito",-1,1)-N($L556)-N($P556))</f>
        <v/>
      </c>
      <c r="AF556" s="14" t="str">
        <f aca="false">IF(OR($AE556="",$AD556=""),"",IF($AD556&lt;=0,"",$AE556/$AD556))</f>
        <v/>
      </c>
      <c r="AG556" s="14" t="str">
        <f aca="false">IF($AF556="","",$AF556*365/MAX(N($X556),1))</f>
        <v/>
      </c>
      <c r="AH556" s="14" t="str">
        <f aca="false">IF(OR($C556="",$U556&lt;&gt;"Crédito",$AD556=""),"",IF($AD556&lt;=0,"",($Z556-N($L556))/$AD556))</f>
        <v/>
      </c>
      <c r="AI556" s="14" t="str">
        <f aca="false">IF(OR($AH556="",$W556=""),"",$AH556*365/MAX($W556,1))</f>
        <v/>
      </c>
      <c r="AJ556" s="14" t="str">
        <f aca="false">IF(OR($AE556="",$U556&lt;&gt;"Crédito",N($K556)=0),"",(N($K556)-IF(OR($M556="Cerrada",$M556="Rolada"),N($O556),0))/$K556)</f>
        <v/>
      </c>
      <c r="AK556" s="15" t="str">
        <f aca="false">IF(OR($C556="",$N556=""),"",DATE(YEAR($N556),MONTH($N556),1))</f>
        <v/>
      </c>
      <c r="AL556" s="11" t="str">
        <f aca="false">IF($C556="","",IF($M556="Abierta",0,1))</f>
        <v/>
      </c>
      <c r="AM556" s="16" t="str">
        <f aca="false">IF(OR($AE556="",$AD556=""),"",$AD556*MAX(N($X556),1))</f>
        <v/>
      </c>
      <c r="AN556" s="10" t="str">
        <f aca="false">IF($C556="","",IF(OR($B556="",$D556="",$H556="",$K556="",$M556=""),"Faltan datos obligatorios",IF($T556="","Estrategia no reconocida",IF(AND($M556&lt;&gt;"Abierta",$N556=""),"Falta fecha cierre",IF(AND(OR($M556="Cerrada",$M556="Rolada"),$O556=""),"Falta prima cierre",IF(AND($N556&lt;&gt;"",$N556&lt;$B556),"Cierre anterior a apertura",IF(AND($M556="Asignada",$R556=""),"Asignada: falta ID lote acciones",IF(AND($R556&lt;&gt;"",ISNA(MATCH($R556,Acciones!$A$2:$A$201,0))),"El ID lote no existe en Acciones",IF($AD556="","Revisa capital en riesgo","OK")))))))))</f>
        <v/>
      </c>
    </row>
    <row r="557" customFormat="false" ht="15" hidden="false" customHeight="true" outlineLevel="0" collapsed="false">
      <c r="A557" s="5"/>
      <c r="B557" s="6"/>
      <c r="C557" s="7"/>
      <c r="D557" s="7"/>
      <c r="E557" s="8"/>
      <c r="F557" s="8"/>
      <c r="G557" s="6"/>
      <c r="H557" s="5"/>
      <c r="I557" s="5" t="n">
        <v>100</v>
      </c>
      <c r="J557" s="8"/>
      <c r="K557" s="8"/>
      <c r="L557" s="9"/>
      <c r="M557" s="7"/>
      <c r="N557" s="6"/>
      <c r="O557" s="8"/>
      <c r="P557" s="9"/>
      <c r="Q557" s="9"/>
      <c r="R557" s="7"/>
      <c r="S557" s="7"/>
      <c r="T557" s="10" t="str">
        <f aca="false">IF($C557="","",IFERROR(INDEX(Listas!$B$2:$B$20,MATCH($D557,Listas!$A$2:$A$20,0)),""))</f>
        <v/>
      </c>
      <c r="U557" s="10" t="str">
        <f aca="false">IF($C557="","",IFERROR(INDEX(Listas!$C$2:$C$20,MATCH($D557,Listas!$A$2:$A$20,0)),""))</f>
        <v/>
      </c>
      <c r="V557" s="10" t="str">
        <f aca="false">IF($C557="","",IFERROR(INDEX(Listas!$D$2:$D$20,MATCH($D557,Listas!$A$2:$A$20,0)),""))</f>
        <v/>
      </c>
      <c r="W557" s="11" t="str">
        <f aca="false">IF(OR($C557="",$B557="",$G557=""),"",$G557-$B557)</f>
        <v/>
      </c>
      <c r="X557" s="11" t="str">
        <f aca="true">IF(OR($C557="",$B557=""),"",IF($N557&lt;&gt;"",$N557,TODAY())-$B557)</f>
        <v/>
      </c>
      <c r="Y557" s="11" t="str">
        <f aca="true">IF(OR($C557="",$M557&lt;&gt;"Abierta",$G557=""),"",MAX($G557-TODAY(),0))</f>
        <v/>
      </c>
      <c r="Z557" s="12" t="str">
        <f aca="false">IF($C557="","",N($K557)*N($H557)*N($I557)*IF($U557="Débito",-1,1))</f>
        <v/>
      </c>
      <c r="AA557" s="13" t="str">
        <f aca="false">IF($C557="","",IF(AND($U557="Débito",$F557&lt;&gt;""),$F557,$E557))</f>
        <v/>
      </c>
      <c r="AB557" s="13" t="str">
        <f aca="false">IF(OR($C557="",$T557="Mixta",$AA557=""),"",IF($V557="Subyacente",IF($J557="","",$J557-$K557),IF($T557="Put",$AA557-$K557,$AA557+$K557)))</f>
        <v/>
      </c>
      <c r="AC557" s="14" t="str">
        <f aca="false">IF(OR($C557="",$T557="Mixta",$J557="",$AA557=""),"",IF($T557="Put",($J557-$AA557)/$J557,($AA557-$J557)/$J557))</f>
        <v/>
      </c>
      <c r="AD557" s="12" t="str">
        <f aca="false">IF($C557="","",IF($Q557&lt;&gt;"",$Q557,IF($V557="Strike",N($E557)*$H557*$I557,IF($V557="Subyacente",IF($J557="","",$J557*$H557*$I557),IF($V557="Ancho",IF($F557="","",ABS($E557-$F557)*$H557*$I557-$K557*$H557*$I557),IF($V557="Prima",$K557*$H557*$I557,""))))))</f>
        <v/>
      </c>
      <c r="AE557" s="12" t="str">
        <f aca="false">IF(OR($C557="",$M557="Abierta",$M557=""),"",(N($K557)-IF(OR($M557="Cerrada",$M557="Rolada"),N($O557),0))*$H557*$I557*IF($U557="Débito",-1,1)-N($L557)-N($P557))</f>
        <v/>
      </c>
      <c r="AF557" s="14" t="str">
        <f aca="false">IF(OR($AE557="",$AD557=""),"",IF($AD557&lt;=0,"",$AE557/$AD557))</f>
        <v/>
      </c>
      <c r="AG557" s="14" t="str">
        <f aca="false">IF($AF557="","",$AF557*365/MAX(N($X557),1))</f>
        <v/>
      </c>
      <c r="AH557" s="14" t="str">
        <f aca="false">IF(OR($C557="",$U557&lt;&gt;"Crédito",$AD557=""),"",IF($AD557&lt;=0,"",($Z557-N($L557))/$AD557))</f>
        <v/>
      </c>
      <c r="AI557" s="14" t="str">
        <f aca="false">IF(OR($AH557="",$W557=""),"",$AH557*365/MAX($W557,1))</f>
        <v/>
      </c>
      <c r="AJ557" s="14" t="str">
        <f aca="false">IF(OR($AE557="",$U557&lt;&gt;"Crédito",N($K557)=0),"",(N($K557)-IF(OR($M557="Cerrada",$M557="Rolada"),N($O557),0))/$K557)</f>
        <v/>
      </c>
      <c r="AK557" s="15" t="str">
        <f aca="false">IF(OR($C557="",$N557=""),"",DATE(YEAR($N557),MONTH($N557),1))</f>
        <v/>
      </c>
      <c r="AL557" s="11" t="str">
        <f aca="false">IF($C557="","",IF($M557="Abierta",0,1))</f>
        <v/>
      </c>
      <c r="AM557" s="16" t="str">
        <f aca="false">IF(OR($AE557="",$AD557=""),"",$AD557*MAX(N($X557),1))</f>
        <v/>
      </c>
      <c r="AN557" s="10" t="str">
        <f aca="false">IF($C557="","",IF(OR($B557="",$D557="",$H557="",$K557="",$M557=""),"Faltan datos obligatorios",IF($T557="","Estrategia no reconocida",IF(AND($M557&lt;&gt;"Abierta",$N557=""),"Falta fecha cierre",IF(AND(OR($M557="Cerrada",$M557="Rolada"),$O557=""),"Falta prima cierre",IF(AND($N557&lt;&gt;"",$N557&lt;$B557),"Cierre anterior a apertura",IF(AND($M557="Asignada",$R557=""),"Asignada: falta ID lote acciones",IF(AND($R557&lt;&gt;"",ISNA(MATCH($R557,Acciones!$A$2:$A$201,0))),"El ID lote no existe en Acciones",IF($AD557="","Revisa capital en riesgo","OK")))))))))</f>
        <v/>
      </c>
    </row>
    <row r="558" customFormat="false" ht="15" hidden="false" customHeight="true" outlineLevel="0" collapsed="false">
      <c r="A558" s="5"/>
      <c r="B558" s="6"/>
      <c r="C558" s="7"/>
      <c r="D558" s="7"/>
      <c r="E558" s="8"/>
      <c r="F558" s="8"/>
      <c r="G558" s="6"/>
      <c r="H558" s="5"/>
      <c r="I558" s="5" t="n">
        <v>100</v>
      </c>
      <c r="J558" s="8"/>
      <c r="K558" s="8"/>
      <c r="L558" s="9"/>
      <c r="M558" s="7"/>
      <c r="N558" s="6"/>
      <c r="O558" s="8"/>
      <c r="P558" s="9"/>
      <c r="Q558" s="9"/>
      <c r="R558" s="7"/>
      <c r="S558" s="7"/>
      <c r="T558" s="10" t="str">
        <f aca="false">IF($C558="","",IFERROR(INDEX(Listas!$B$2:$B$20,MATCH($D558,Listas!$A$2:$A$20,0)),""))</f>
        <v/>
      </c>
      <c r="U558" s="10" t="str">
        <f aca="false">IF($C558="","",IFERROR(INDEX(Listas!$C$2:$C$20,MATCH($D558,Listas!$A$2:$A$20,0)),""))</f>
        <v/>
      </c>
      <c r="V558" s="10" t="str">
        <f aca="false">IF($C558="","",IFERROR(INDEX(Listas!$D$2:$D$20,MATCH($D558,Listas!$A$2:$A$20,0)),""))</f>
        <v/>
      </c>
      <c r="W558" s="11" t="str">
        <f aca="false">IF(OR($C558="",$B558="",$G558=""),"",$G558-$B558)</f>
        <v/>
      </c>
      <c r="X558" s="11" t="str">
        <f aca="true">IF(OR($C558="",$B558=""),"",IF($N558&lt;&gt;"",$N558,TODAY())-$B558)</f>
        <v/>
      </c>
      <c r="Y558" s="11" t="str">
        <f aca="true">IF(OR($C558="",$M558&lt;&gt;"Abierta",$G558=""),"",MAX($G558-TODAY(),0))</f>
        <v/>
      </c>
      <c r="Z558" s="12" t="str">
        <f aca="false">IF($C558="","",N($K558)*N($H558)*N($I558)*IF($U558="Débito",-1,1))</f>
        <v/>
      </c>
      <c r="AA558" s="13" t="str">
        <f aca="false">IF($C558="","",IF(AND($U558="Débito",$F558&lt;&gt;""),$F558,$E558))</f>
        <v/>
      </c>
      <c r="AB558" s="13" t="str">
        <f aca="false">IF(OR($C558="",$T558="Mixta",$AA558=""),"",IF($V558="Subyacente",IF($J558="","",$J558-$K558),IF($T558="Put",$AA558-$K558,$AA558+$K558)))</f>
        <v/>
      </c>
      <c r="AC558" s="14" t="str">
        <f aca="false">IF(OR($C558="",$T558="Mixta",$J558="",$AA558=""),"",IF($T558="Put",($J558-$AA558)/$J558,($AA558-$J558)/$J558))</f>
        <v/>
      </c>
      <c r="AD558" s="12" t="str">
        <f aca="false">IF($C558="","",IF($Q558&lt;&gt;"",$Q558,IF($V558="Strike",N($E558)*$H558*$I558,IF($V558="Subyacente",IF($J558="","",$J558*$H558*$I558),IF($V558="Ancho",IF($F558="","",ABS($E558-$F558)*$H558*$I558-$K558*$H558*$I558),IF($V558="Prima",$K558*$H558*$I558,""))))))</f>
        <v/>
      </c>
      <c r="AE558" s="12" t="str">
        <f aca="false">IF(OR($C558="",$M558="Abierta",$M558=""),"",(N($K558)-IF(OR($M558="Cerrada",$M558="Rolada"),N($O558),0))*$H558*$I558*IF($U558="Débito",-1,1)-N($L558)-N($P558))</f>
        <v/>
      </c>
      <c r="AF558" s="14" t="str">
        <f aca="false">IF(OR($AE558="",$AD558=""),"",IF($AD558&lt;=0,"",$AE558/$AD558))</f>
        <v/>
      </c>
      <c r="AG558" s="14" t="str">
        <f aca="false">IF($AF558="","",$AF558*365/MAX(N($X558),1))</f>
        <v/>
      </c>
      <c r="AH558" s="14" t="str">
        <f aca="false">IF(OR($C558="",$U558&lt;&gt;"Crédito",$AD558=""),"",IF($AD558&lt;=0,"",($Z558-N($L558))/$AD558))</f>
        <v/>
      </c>
      <c r="AI558" s="14" t="str">
        <f aca="false">IF(OR($AH558="",$W558=""),"",$AH558*365/MAX($W558,1))</f>
        <v/>
      </c>
      <c r="AJ558" s="14" t="str">
        <f aca="false">IF(OR($AE558="",$U558&lt;&gt;"Crédito",N($K558)=0),"",(N($K558)-IF(OR($M558="Cerrada",$M558="Rolada"),N($O558),0))/$K558)</f>
        <v/>
      </c>
      <c r="AK558" s="15" t="str">
        <f aca="false">IF(OR($C558="",$N558=""),"",DATE(YEAR($N558),MONTH($N558),1))</f>
        <v/>
      </c>
      <c r="AL558" s="11" t="str">
        <f aca="false">IF($C558="","",IF($M558="Abierta",0,1))</f>
        <v/>
      </c>
      <c r="AM558" s="16" t="str">
        <f aca="false">IF(OR($AE558="",$AD558=""),"",$AD558*MAX(N($X558),1))</f>
        <v/>
      </c>
      <c r="AN558" s="10" t="str">
        <f aca="false">IF($C558="","",IF(OR($B558="",$D558="",$H558="",$K558="",$M558=""),"Faltan datos obligatorios",IF($T558="","Estrategia no reconocida",IF(AND($M558&lt;&gt;"Abierta",$N558=""),"Falta fecha cierre",IF(AND(OR($M558="Cerrada",$M558="Rolada"),$O558=""),"Falta prima cierre",IF(AND($N558&lt;&gt;"",$N558&lt;$B558),"Cierre anterior a apertura",IF(AND($M558="Asignada",$R558=""),"Asignada: falta ID lote acciones",IF(AND($R558&lt;&gt;"",ISNA(MATCH($R558,Acciones!$A$2:$A$201,0))),"El ID lote no existe en Acciones",IF($AD558="","Revisa capital en riesgo","OK")))))))))</f>
        <v/>
      </c>
    </row>
    <row r="559" customFormat="false" ht="15" hidden="false" customHeight="true" outlineLevel="0" collapsed="false">
      <c r="A559" s="5"/>
      <c r="B559" s="6"/>
      <c r="C559" s="7"/>
      <c r="D559" s="7"/>
      <c r="E559" s="8"/>
      <c r="F559" s="8"/>
      <c r="G559" s="6"/>
      <c r="H559" s="5"/>
      <c r="I559" s="5" t="n">
        <v>100</v>
      </c>
      <c r="J559" s="8"/>
      <c r="K559" s="8"/>
      <c r="L559" s="9"/>
      <c r="M559" s="7"/>
      <c r="N559" s="6"/>
      <c r="O559" s="8"/>
      <c r="P559" s="9"/>
      <c r="Q559" s="9"/>
      <c r="R559" s="7"/>
      <c r="S559" s="7"/>
      <c r="T559" s="10" t="str">
        <f aca="false">IF($C559="","",IFERROR(INDEX(Listas!$B$2:$B$20,MATCH($D559,Listas!$A$2:$A$20,0)),""))</f>
        <v/>
      </c>
      <c r="U559" s="10" t="str">
        <f aca="false">IF($C559="","",IFERROR(INDEX(Listas!$C$2:$C$20,MATCH($D559,Listas!$A$2:$A$20,0)),""))</f>
        <v/>
      </c>
      <c r="V559" s="10" t="str">
        <f aca="false">IF($C559="","",IFERROR(INDEX(Listas!$D$2:$D$20,MATCH($D559,Listas!$A$2:$A$20,0)),""))</f>
        <v/>
      </c>
      <c r="W559" s="11" t="str">
        <f aca="false">IF(OR($C559="",$B559="",$G559=""),"",$G559-$B559)</f>
        <v/>
      </c>
      <c r="X559" s="11" t="str">
        <f aca="true">IF(OR($C559="",$B559=""),"",IF($N559&lt;&gt;"",$N559,TODAY())-$B559)</f>
        <v/>
      </c>
      <c r="Y559" s="11" t="str">
        <f aca="true">IF(OR($C559="",$M559&lt;&gt;"Abierta",$G559=""),"",MAX($G559-TODAY(),0))</f>
        <v/>
      </c>
      <c r="Z559" s="12" t="str">
        <f aca="false">IF($C559="","",N($K559)*N($H559)*N($I559)*IF($U559="Débito",-1,1))</f>
        <v/>
      </c>
      <c r="AA559" s="13" t="str">
        <f aca="false">IF($C559="","",IF(AND($U559="Débito",$F559&lt;&gt;""),$F559,$E559))</f>
        <v/>
      </c>
      <c r="AB559" s="13" t="str">
        <f aca="false">IF(OR($C559="",$T559="Mixta",$AA559=""),"",IF($V559="Subyacente",IF($J559="","",$J559-$K559),IF($T559="Put",$AA559-$K559,$AA559+$K559)))</f>
        <v/>
      </c>
      <c r="AC559" s="14" t="str">
        <f aca="false">IF(OR($C559="",$T559="Mixta",$J559="",$AA559=""),"",IF($T559="Put",($J559-$AA559)/$J559,($AA559-$J559)/$J559))</f>
        <v/>
      </c>
      <c r="AD559" s="12" t="str">
        <f aca="false">IF($C559="","",IF($Q559&lt;&gt;"",$Q559,IF($V559="Strike",N($E559)*$H559*$I559,IF($V559="Subyacente",IF($J559="","",$J559*$H559*$I559),IF($V559="Ancho",IF($F559="","",ABS($E559-$F559)*$H559*$I559-$K559*$H559*$I559),IF($V559="Prima",$K559*$H559*$I559,""))))))</f>
        <v/>
      </c>
      <c r="AE559" s="12" t="str">
        <f aca="false">IF(OR($C559="",$M559="Abierta",$M559=""),"",(N($K559)-IF(OR($M559="Cerrada",$M559="Rolada"),N($O559),0))*$H559*$I559*IF($U559="Débito",-1,1)-N($L559)-N($P559))</f>
        <v/>
      </c>
      <c r="AF559" s="14" t="str">
        <f aca="false">IF(OR($AE559="",$AD559=""),"",IF($AD559&lt;=0,"",$AE559/$AD559))</f>
        <v/>
      </c>
      <c r="AG559" s="14" t="str">
        <f aca="false">IF($AF559="","",$AF559*365/MAX(N($X559),1))</f>
        <v/>
      </c>
      <c r="AH559" s="14" t="str">
        <f aca="false">IF(OR($C559="",$U559&lt;&gt;"Crédito",$AD559=""),"",IF($AD559&lt;=0,"",($Z559-N($L559))/$AD559))</f>
        <v/>
      </c>
      <c r="AI559" s="14" t="str">
        <f aca="false">IF(OR($AH559="",$W559=""),"",$AH559*365/MAX($W559,1))</f>
        <v/>
      </c>
      <c r="AJ559" s="14" t="str">
        <f aca="false">IF(OR($AE559="",$U559&lt;&gt;"Crédito",N($K559)=0),"",(N($K559)-IF(OR($M559="Cerrada",$M559="Rolada"),N($O559),0))/$K559)</f>
        <v/>
      </c>
      <c r="AK559" s="15" t="str">
        <f aca="false">IF(OR($C559="",$N559=""),"",DATE(YEAR($N559),MONTH($N559),1))</f>
        <v/>
      </c>
      <c r="AL559" s="11" t="str">
        <f aca="false">IF($C559="","",IF($M559="Abierta",0,1))</f>
        <v/>
      </c>
      <c r="AM559" s="16" t="str">
        <f aca="false">IF(OR($AE559="",$AD559=""),"",$AD559*MAX(N($X559),1))</f>
        <v/>
      </c>
      <c r="AN559" s="10" t="str">
        <f aca="false">IF($C559="","",IF(OR($B559="",$D559="",$H559="",$K559="",$M559=""),"Faltan datos obligatorios",IF($T559="","Estrategia no reconocida",IF(AND($M559&lt;&gt;"Abierta",$N559=""),"Falta fecha cierre",IF(AND(OR($M559="Cerrada",$M559="Rolada"),$O559=""),"Falta prima cierre",IF(AND($N559&lt;&gt;"",$N559&lt;$B559),"Cierre anterior a apertura",IF(AND($M559="Asignada",$R559=""),"Asignada: falta ID lote acciones",IF(AND($R559&lt;&gt;"",ISNA(MATCH($R559,Acciones!$A$2:$A$201,0))),"El ID lote no existe en Acciones",IF($AD559="","Revisa capital en riesgo","OK")))))))))</f>
        <v/>
      </c>
    </row>
    <row r="560" customFormat="false" ht="15" hidden="false" customHeight="true" outlineLevel="0" collapsed="false">
      <c r="A560" s="5"/>
      <c r="B560" s="6"/>
      <c r="C560" s="7"/>
      <c r="D560" s="7"/>
      <c r="E560" s="8"/>
      <c r="F560" s="8"/>
      <c r="G560" s="6"/>
      <c r="H560" s="5"/>
      <c r="I560" s="5" t="n">
        <v>100</v>
      </c>
      <c r="J560" s="8"/>
      <c r="K560" s="8"/>
      <c r="L560" s="9"/>
      <c r="M560" s="7"/>
      <c r="N560" s="6"/>
      <c r="O560" s="8"/>
      <c r="P560" s="9"/>
      <c r="Q560" s="9"/>
      <c r="R560" s="7"/>
      <c r="S560" s="7"/>
      <c r="T560" s="10" t="str">
        <f aca="false">IF($C560="","",IFERROR(INDEX(Listas!$B$2:$B$20,MATCH($D560,Listas!$A$2:$A$20,0)),""))</f>
        <v/>
      </c>
      <c r="U560" s="10" t="str">
        <f aca="false">IF($C560="","",IFERROR(INDEX(Listas!$C$2:$C$20,MATCH($D560,Listas!$A$2:$A$20,0)),""))</f>
        <v/>
      </c>
      <c r="V560" s="10" t="str">
        <f aca="false">IF($C560="","",IFERROR(INDEX(Listas!$D$2:$D$20,MATCH($D560,Listas!$A$2:$A$20,0)),""))</f>
        <v/>
      </c>
      <c r="W560" s="11" t="str">
        <f aca="false">IF(OR($C560="",$B560="",$G560=""),"",$G560-$B560)</f>
        <v/>
      </c>
      <c r="X560" s="11" t="str">
        <f aca="true">IF(OR($C560="",$B560=""),"",IF($N560&lt;&gt;"",$N560,TODAY())-$B560)</f>
        <v/>
      </c>
      <c r="Y560" s="11" t="str">
        <f aca="true">IF(OR($C560="",$M560&lt;&gt;"Abierta",$G560=""),"",MAX($G560-TODAY(),0))</f>
        <v/>
      </c>
      <c r="Z560" s="12" t="str">
        <f aca="false">IF($C560="","",N($K560)*N($H560)*N($I560)*IF($U560="Débito",-1,1))</f>
        <v/>
      </c>
      <c r="AA560" s="13" t="str">
        <f aca="false">IF($C560="","",IF(AND($U560="Débito",$F560&lt;&gt;""),$F560,$E560))</f>
        <v/>
      </c>
      <c r="AB560" s="13" t="str">
        <f aca="false">IF(OR($C560="",$T560="Mixta",$AA560=""),"",IF($V560="Subyacente",IF($J560="","",$J560-$K560),IF($T560="Put",$AA560-$K560,$AA560+$K560)))</f>
        <v/>
      </c>
      <c r="AC560" s="14" t="str">
        <f aca="false">IF(OR($C560="",$T560="Mixta",$J560="",$AA560=""),"",IF($T560="Put",($J560-$AA560)/$J560,($AA560-$J560)/$J560))</f>
        <v/>
      </c>
      <c r="AD560" s="12" t="str">
        <f aca="false">IF($C560="","",IF($Q560&lt;&gt;"",$Q560,IF($V560="Strike",N($E560)*$H560*$I560,IF($V560="Subyacente",IF($J560="","",$J560*$H560*$I560),IF($V560="Ancho",IF($F560="","",ABS($E560-$F560)*$H560*$I560-$K560*$H560*$I560),IF($V560="Prima",$K560*$H560*$I560,""))))))</f>
        <v/>
      </c>
      <c r="AE560" s="12" t="str">
        <f aca="false">IF(OR($C560="",$M560="Abierta",$M560=""),"",(N($K560)-IF(OR($M560="Cerrada",$M560="Rolada"),N($O560),0))*$H560*$I560*IF($U560="Débito",-1,1)-N($L560)-N($P560))</f>
        <v/>
      </c>
      <c r="AF560" s="14" t="str">
        <f aca="false">IF(OR($AE560="",$AD560=""),"",IF($AD560&lt;=0,"",$AE560/$AD560))</f>
        <v/>
      </c>
      <c r="AG560" s="14" t="str">
        <f aca="false">IF($AF560="","",$AF560*365/MAX(N($X560),1))</f>
        <v/>
      </c>
      <c r="AH560" s="14" t="str">
        <f aca="false">IF(OR($C560="",$U560&lt;&gt;"Crédito",$AD560=""),"",IF($AD560&lt;=0,"",($Z560-N($L560))/$AD560))</f>
        <v/>
      </c>
      <c r="AI560" s="14" t="str">
        <f aca="false">IF(OR($AH560="",$W560=""),"",$AH560*365/MAX($W560,1))</f>
        <v/>
      </c>
      <c r="AJ560" s="14" t="str">
        <f aca="false">IF(OR($AE560="",$U560&lt;&gt;"Crédito",N($K560)=0),"",(N($K560)-IF(OR($M560="Cerrada",$M560="Rolada"),N($O560),0))/$K560)</f>
        <v/>
      </c>
      <c r="AK560" s="15" t="str">
        <f aca="false">IF(OR($C560="",$N560=""),"",DATE(YEAR($N560),MONTH($N560),1))</f>
        <v/>
      </c>
      <c r="AL560" s="11" t="str">
        <f aca="false">IF($C560="","",IF($M560="Abierta",0,1))</f>
        <v/>
      </c>
      <c r="AM560" s="16" t="str">
        <f aca="false">IF(OR($AE560="",$AD560=""),"",$AD560*MAX(N($X560),1))</f>
        <v/>
      </c>
      <c r="AN560" s="10" t="str">
        <f aca="false">IF($C560="","",IF(OR($B560="",$D560="",$H560="",$K560="",$M560=""),"Faltan datos obligatorios",IF($T560="","Estrategia no reconocida",IF(AND($M560&lt;&gt;"Abierta",$N560=""),"Falta fecha cierre",IF(AND(OR($M560="Cerrada",$M560="Rolada"),$O560=""),"Falta prima cierre",IF(AND($N560&lt;&gt;"",$N560&lt;$B560),"Cierre anterior a apertura",IF(AND($M560="Asignada",$R560=""),"Asignada: falta ID lote acciones",IF(AND($R560&lt;&gt;"",ISNA(MATCH($R560,Acciones!$A$2:$A$201,0))),"El ID lote no existe en Acciones",IF($AD560="","Revisa capital en riesgo","OK")))))))))</f>
        <v/>
      </c>
    </row>
    <row r="561" customFormat="false" ht="15" hidden="false" customHeight="true" outlineLevel="0" collapsed="false">
      <c r="A561" s="5"/>
      <c r="B561" s="6"/>
      <c r="C561" s="7"/>
      <c r="D561" s="7"/>
      <c r="E561" s="8"/>
      <c r="F561" s="8"/>
      <c r="G561" s="6"/>
      <c r="H561" s="5"/>
      <c r="I561" s="5" t="n">
        <v>100</v>
      </c>
      <c r="J561" s="8"/>
      <c r="K561" s="8"/>
      <c r="L561" s="9"/>
      <c r="M561" s="7"/>
      <c r="N561" s="6"/>
      <c r="O561" s="8"/>
      <c r="P561" s="9"/>
      <c r="Q561" s="9"/>
      <c r="R561" s="7"/>
      <c r="S561" s="7"/>
      <c r="T561" s="10" t="str">
        <f aca="false">IF($C561="","",IFERROR(INDEX(Listas!$B$2:$B$20,MATCH($D561,Listas!$A$2:$A$20,0)),""))</f>
        <v/>
      </c>
      <c r="U561" s="10" t="str">
        <f aca="false">IF($C561="","",IFERROR(INDEX(Listas!$C$2:$C$20,MATCH($D561,Listas!$A$2:$A$20,0)),""))</f>
        <v/>
      </c>
      <c r="V561" s="10" t="str">
        <f aca="false">IF($C561="","",IFERROR(INDEX(Listas!$D$2:$D$20,MATCH($D561,Listas!$A$2:$A$20,0)),""))</f>
        <v/>
      </c>
      <c r="W561" s="11" t="str">
        <f aca="false">IF(OR($C561="",$B561="",$G561=""),"",$G561-$B561)</f>
        <v/>
      </c>
      <c r="X561" s="11" t="str">
        <f aca="true">IF(OR($C561="",$B561=""),"",IF($N561&lt;&gt;"",$N561,TODAY())-$B561)</f>
        <v/>
      </c>
      <c r="Y561" s="11" t="str">
        <f aca="true">IF(OR($C561="",$M561&lt;&gt;"Abierta",$G561=""),"",MAX($G561-TODAY(),0))</f>
        <v/>
      </c>
      <c r="Z561" s="12" t="str">
        <f aca="false">IF($C561="","",N($K561)*N($H561)*N($I561)*IF($U561="Débito",-1,1))</f>
        <v/>
      </c>
      <c r="AA561" s="13" t="str">
        <f aca="false">IF($C561="","",IF(AND($U561="Débito",$F561&lt;&gt;""),$F561,$E561))</f>
        <v/>
      </c>
      <c r="AB561" s="13" t="str">
        <f aca="false">IF(OR($C561="",$T561="Mixta",$AA561=""),"",IF($V561="Subyacente",IF($J561="","",$J561-$K561),IF($T561="Put",$AA561-$K561,$AA561+$K561)))</f>
        <v/>
      </c>
      <c r="AC561" s="14" t="str">
        <f aca="false">IF(OR($C561="",$T561="Mixta",$J561="",$AA561=""),"",IF($T561="Put",($J561-$AA561)/$J561,($AA561-$J561)/$J561))</f>
        <v/>
      </c>
      <c r="AD561" s="12" t="str">
        <f aca="false">IF($C561="","",IF($Q561&lt;&gt;"",$Q561,IF($V561="Strike",N($E561)*$H561*$I561,IF($V561="Subyacente",IF($J561="","",$J561*$H561*$I561),IF($V561="Ancho",IF($F561="","",ABS($E561-$F561)*$H561*$I561-$K561*$H561*$I561),IF($V561="Prima",$K561*$H561*$I561,""))))))</f>
        <v/>
      </c>
      <c r="AE561" s="12" t="str">
        <f aca="false">IF(OR($C561="",$M561="Abierta",$M561=""),"",(N($K561)-IF(OR($M561="Cerrada",$M561="Rolada"),N($O561),0))*$H561*$I561*IF($U561="Débito",-1,1)-N($L561)-N($P561))</f>
        <v/>
      </c>
      <c r="AF561" s="14" t="str">
        <f aca="false">IF(OR($AE561="",$AD561=""),"",IF($AD561&lt;=0,"",$AE561/$AD561))</f>
        <v/>
      </c>
      <c r="AG561" s="14" t="str">
        <f aca="false">IF($AF561="","",$AF561*365/MAX(N($X561),1))</f>
        <v/>
      </c>
      <c r="AH561" s="14" t="str">
        <f aca="false">IF(OR($C561="",$U561&lt;&gt;"Crédito",$AD561=""),"",IF($AD561&lt;=0,"",($Z561-N($L561))/$AD561))</f>
        <v/>
      </c>
      <c r="AI561" s="14" t="str">
        <f aca="false">IF(OR($AH561="",$W561=""),"",$AH561*365/MAX($W561,1))</f>
        <v/>
      </c>
      <c r="AJ561" s="14" t="str">
        <f aca="false">IF(OR($AE561="",$U561&lt;&gt;"Crédito",N($K561)=0),"",(N($K561)-IF(OR($M561="Cerrada",$M561="Rolada"),N($O561),0))/$K561)</f>
        <v/>
      </c>
      <c r="AK561" s="15" t="str">
        <f aca="false">IF(OR($C561="",$N561=""),"",DATE(YEAR($N561),MONTH($N561),1))</f>
        <v/>
      </c>
      <c r="AL561" s="11" t="str">
        <f aca="false">IF($C561="","",IF($M561="Abierta",0,1))</f>
        <v/>
      </c>
      <c r="AM561" s="16" t="str">
        <f aca="false">IF(OR($AE561="",$AD561=""),"",$AD561*MAX(N($X561),1))</f>
        <v/>
      </c>
      <c r="AN561" s="10" t="str">
        <f aca="false">IF($C561="","",IF(OR($B561="",$D561="",$H561="",$K561="",$M561=""),"Faltan datos obligatorios",IF($T561="","Estrategia no reconocida",IF(AND($M561&lt;&gt;"Abierta",$N561=""),"Falta fecha cierre",IF(AND(OR($M561="Cerrada",$M561="Rolada"),$O561=""),"Falta prima cierre",IF(AND($N561&lt;&gt;"",$N561&lt;$B561),"Cierre anterior a apertura",IF(AND($M561="Asignada",$R561=""),"Asignada: falta ID lote acciones",IF(AND($R561&lt;&gt;"",ISNA(MATCH($R561,Acciones!$A$2:$A$201,0))),"El ID lote no existe en Acciones",IF($AD561="","Revisa capital en riesgo","OK")))))))))</f>
        <v/>
      </c>
    </row>
    <row r="562" customFormat="false" ht="15" hidden="false" customHeight="true" outlineLevel="0" collapsed="false">
      <c r="A562" s="5"/>
      <c r="B562" s="6"/>
      <c r="C562" s="7"/>
      <c r="D562" s="7"/>
      <c r="E562" s="8"/>
      <c r="F562" s="8"/>
      <c r="G562" s="6"/>
      <c r="H562" s="5"/>
      <c r="I562" s="5" t="n">
        <v>100</v>
      </c>
      <c r="J562" s="8"/>
      <c r="K562" s="8"/>
      <c r="L562" s="9"/>
      <c r="M562" s="7"/>
      <c r="N562" s="6"/>
      <c r="O562" s="8"/>
      <c r="P562" s="9"/>
      <c r="Q562" s="9"/>
      <c r="R562" s="7"/>
      <c r="S562" s="7"/>
      <c r="T562" s="10" t="str">
        <f aca="false">IF($C562="","",IFERROR(INDEX(Listas!$B$2:$B$20,MATCH($D562,Listas!$A$2:$A$20,0)),""))</f>
        <v/>
      </c>
      <c r="U562" s="10" t="str">
        <f aca="false">IF($C562="","",IFERROR(INDEX(Listas!$C$2:$C$20,MATCH($D562,Listas!$A$2:$A$20,0)),""))</f>
        <v/>
      </c>
      <c r="V562" s="10" t="str">
        <f aca="false">IF($C562="","",IFERROR(INDEX(Listas!$D$2:$D$20,MATCH($D562,Listas!$A$2:$A$20,0)),""))</f>
        <v/>
      </c>
      <c r="W562" s="11" t="str">
        <f aca="false">IF(OR($C562="",$B562="",$G562=""),"",$G562-$B562)</f>
        <v/>
      </c>
      <c r="X562" s="11" t="str">
        <f aca="true">IF(OR($C562="",$B562=""),"",IF($N562&lt;&gt;"",$N562,TODAY())-$B562)</f>
        <v/>
      </c>
      <c r="Y562" s="11" t="str">
        <f aca="true">IF(OR($C562="",$M562&lt;&gt;"Abierta",$G562=""),"",MAX($G562-TODAY(),0))</f>
        <v/>
      </c>
      <c r="Z562" s="12" t="str">
        <f aca="false">IF($C562="","",N($K562)*N($H562)*N($I562)*IF($U562="Débito",-1,1))</f>
        <v/>
      </c>
      <c r="AA562" s="13" t="str">
        <f aca="false">IF($C562="","",IF(AND($U562="Débito",$F562&lt;&gt;""),$F562,$E562))</f>
        <v/>
      </c>
      <c r="AB562" s="13" t="str">
        <f aca="false">IF(OR($C562="",$T562="Mixta",$AA562=""),"",IF($V562="Subyacente",IF($J562="","",$J562-$K562),IF($T562="Put",$AA562-$K562,$AA562+$K562)))</f>
        <v/>
      </c>
      <c r="AC562" s="14" t="str">
        <f aca="false">IF(OR($C562="",$T562="Mixta",$J562="",$AA562=""),"",IF($T562="Put",($J562-$AA562)/$J562,($AA562-$J562)/$J562))</f>
        <v/>
      </c>
      <c r="AD562" s="12" t="str">
        <f aca="false">IF($C562="","",IF($Q562&lt;&gt;"",$Q562,IF($V562="Strike",N($E562)*$H562*$I562,IF($V562="Subyacente",IF($J562="","",$J562*$H562*$I562),IF($V562="Ancho",IF($F562="","",ABS($E562-$F562)*$H562*$I562-$K562*$H562*$I562),IF($V562="Prima",$K562*$H562*$I562,""))))))</f>
        <v/>
      </c>
      <c r="AE562" s="12" t="str">
        <f aca="false">IF(OR($C562="",$M562="Abierta",$M562=""),"",(N($K562)-IF(OR($M562="Cerrada",$M562="Rolada"),N($O562),0))*$H562*$I562*IF($U562="Débito",-1,1)-N($L562)-N($P562))</f>
        <v/>
      </c>
      <c r="AF562" s="14" t="str">
        <f aca="false">IF(OR($AE562="",$AD562=""),"",IF($AD562&lt;=0,"",$AE562/$AD562))</f>
        <v/>
      </c>
      <c r="AG562" s="14" t="str">
        <f aca="false">IF($AF562="","",$AF562*365/MAX(N($X562),1))</f>
        <v/>
      </c>
      <c r="AH562" s="14" t="str">
        <f aca="false">IF(OR($C562="",$U562&lt;&gt;"Crédito",$AD562=""),"",IF($AD562&lt;=0,"",($Z562-N($L562))/$AD562))</f>
        <v/>
      </c>
      <c r="AI562" s="14" t="str">
        <f aca="false">IF(OR($AH562="",$W562=""),"",$AH562*365/MAX($W562,1))</f>
        <v/>
      </c>
      <c r="AJ562" s="14" t="str">
        <f aca="false">IF(OR($AE562="",$U562&lt;&gt;"Crédito",N($K562)=0),"",(N($K562)-IF(OR($M562="Cerrada",$M562="Rolada"),N($O562),0))/$K562)</f>
        <v/>
      </c>
      <c r="AK562" s="15" t="str">
        <f aca="false">IF(OR($C562="",$N562=""),"",DATE(YEAR($N562),MONTH($N562),1))</f>
        <v/>
      </c>
      <c r="AL562" s="11" t="str">
        <f aca="false">IF($C562="","",IF($M562="Abierta",0,1))</f>
        <v/>
      </c>
      <c r="AM562" s="16" t="str">
        <f aca="false">IF(OR($AE562="",$AD562=""),"",$AD562*MAX(N($X562),1))</f>
        <v/>
      </c>
      <c r="AN562" s="10" t="str">
        <f aca="false">IF($C562="","",IF(OR($B562="",$D562="",$H562="",$K562="",$M562=""),"Faltan datos obligatorios",IF($T562="","Estrategia no reconocida",IF(AND($M562&lt;&gt;"Abierta",$N562=""),"Falta fecha cierre",IF(AND(OR($M562="Cerrada",$M562="Rolada"),$O562=""),"Falta prima cierre",IF(AND($N562&lt;&gt;"",$N562&lt;$B562),"Cierre anterior a apertura",IF(AND($M562="Asignada",$R562=""),"Asignada: falta ID lote acciones",IF(AND($R562&lt;&gt;"",ISNA(MATCH($R562,Acciones!$A$2:$A$201,0))),"El ID lote no existe en Acciones",IF($AD562="","Revisa capital en riesgo","OK")))))))))</f>
        <v/>
      </c>
    </row>
    <row r="563" customFormat="false" ht="15" hidden="false" customHeight="true" outlineLevel="0" collapsed="false">
      <c r="A563" s="5"/>
      <c r="B563" s="6"/>
      <c r="C563" s="7"/>
      <c r="D563" s="7"/>
      <c r="E563" s="8"/>
      <c r="F563" s="8"/>
      <c r="G563" s="6"/>
      <c r="H563" s="5"/>
      <c r="I563" s="5" t="n">
        <v>100</v>
      </c>
      <c r="J563" s="8"/>
      <c r="K563" s="8"/>
      <c r="L563" s="9"/>
      <c r="M563" s="7"/>
      <c r="N563" s="6"/>
      <c r="O563" s="8"/>
      <c r="P563" s="9"/>
      <c r="Q563" s="9"/>
      <c r="R563" s="7"/>
      <c r="S563" s="7"/>
      <c r="T563" s="10" t="str">
        <f aca="false">IF($C563="","",IFERROR(INDEX(Listas!$B$2:$B$20,MATCH($D563,Listas!$A$2:$A$20,0)),""))</f>
        <v/>
      </c>
      <c r="U563" s="10" t="str">
        <f aca="false">IF($C563="","",IFERROR(INDEX(Listas!$C$2:$C$20,MATCH($D563,Listas!$A$2:$A$20,0)),""))</f>
        <v/>
      </c>
      <c r="V563" s="10" t="str">
        <f aca="false">IF($C563="","",IFERROR(INDEX(Listas!$D$2:$D$20,MATCH($D563,Listas!$A$2:$A$20,0)),""))</f>
        <v/>
      </c>
      <c r="W563" s="11" t="str">
        <f aca="false">IF(OR($C563="",$B563="",$G563=""),"",$G563-$B563)</f>
        <v/>
      </c>
      <c r="X563" s="11" t="str">
        <f aca="true">IF(OR($C563="",$B563=""),"",IF($N563&lt;&gt;"",$N563,TODAY())-$B563)</f>
        <v/>
      </c>
      <c r="Y563" s="11" t="str">
        <f aca="true">IF(OR($C563="",$M563&lt;&gt;"Abierta",$G563=""),"",MAX($G563-TODAY(),0))</f>
        <v/>
      </c>
      <c r="Z563" s="12" t="str">
        <f aca="false">IF($C563="","",N($K563)*N($H563)*N($I563)*IF($U563="Débito",-1,1))</f>
        <v/>
      </c>
      <c r="AA563" s="13" t="str">
        <f aca="false">IF($C563="","",IF(AND($U563="Débito",$F563&lt;&gt;""),$F563,$E563))</f>
        <v/>
      </c>
      <c r="AB563" s="13" t="str">
        <f aca="false">IF(OR($C563="",$T563="Mixta",$AA563=""),"",IF($V563="Subyacente",IF($J563="","",$J563-$K563),IF($T563="Put",$AA563-$K563,$AA563+$K563)))</f>
        <v/>
      </c>
      <c r="AC563" s="14" t="str">
        <f aca="false">IF(OR($C563="",$T563="Mixta",$J563="",$AA563=""),"",IF($T563="Put",($J563-$AA563)/$J563,($AA563-$J563)/$J563))</f>
        <v/>
      </c>
      <c r="AD563" s="12" t="str">
        <f aca="false">IF($C563="","",IF($Q563&lt;&gt;"",$Q563,IF($V563="Strike",N($E563)*$H563*$I563,IF($V563="Subyacente",IF($J563="","",$J563*$H563*$I563),IF($V563="Ancho",IF($F563="","",ABS($E563-$F563)*$H563*$I563-$K563*$H563*$I563),IF($V563="Prima",$K563*$H563*$I563,""))))))</f>
        <v/>
      </c>
      <c r="AE563" s="12" t="str">
        <f aca="false">IF(OR($C563="",$M563="Abierta",$M563=""),"",(N($K563)-IF(OR($M563="Cerrada",$M563="Rolada"),N($O563),0))*$H563*$I563*IF($U563="Débito",-1,1)-N($L563)-N($P563))</f>
        <v/>
      </c>
      <c r="AF563" s="14" t="str">
        <f aca="false">IF(OR($AE563="",$AD563=""),"",IF($AD563&lt;=0,"",$AE563/$AD563))</f>
        <v/>
      </c>
      <c r="AG563" s="14" t="str">
        <f aca="false">IF($AF563="","",$AF563*365/MAX(N($X563),1))</f>
        <v/>
      </c>
      <c r="AH563" s="14" t="str">
        <f aca="false">IF(OR($C563="",$U563&lt;&gt;"Crédito",$AD563=""),"",IF($AD563&lt;=0,"",($Z563-N($L563))/$AD563))</f>
        <v/>
      </c>
      <c r="AI563" s="14" t="str">
        <f aca="false">IF(OR($AH563="",$W563=""),"",$AH563*365/MAX($W563,1))</f>
        <v/>
      </c>
      <c r="AJ563" s="14" t="str">
        <f aca="false">IF(OR($AE563="",$U563&lt;&gt;"Crédito",N($K563)=0),"",(N($K563)-IF(OR($M563="Cerrada",$M563="Rolada"),N($O563),0))/$K563)</f>
        <v/>
      </c>
      <c r="AK563" s="15" t="str">
        <f aca="false">IF(OR($C563="",$N563=""),"",DATE(YEAR($N563),MONTH($N563),1))</f>
        <v/>
      </c>
      <c r="AL563" s="11" t="str">
        <f aca="false">IF($C563="","",IF($M563="Abierta",0,1))</f>
        <v/>
      </c>
      <c r="AM563" s="16" t="str">
        <f aca="false">IF(OR($AE563="",$AD563=""),"",$AD563*MAX(N($X563),1))</f>
        <v/>
      </c>
      <c r="AN563" s="10" t="str">
        <f aca="false">IF($C563="","",IF(OR($B563="",$D563="",$H563="",$K563="",$M563=""),"Faltan datos obligatorios",IF($T563="","Estrategia no reconocida",IF(AND($M563&lt;&gt;"Abierta",$N563=""),"Falta fecha cierre",IF(AND(OR($M563="Cerrada",$M563="Rolada"),$O563=""),"Falta prima cierre",IF(AND($N563&lt;&gt;"",$N563&lt;$B563),"Cierre anterior a apertura",IF(AND($M563="Asignada",$R563=""),"Asignada: falta ID lote acciones",IF(AND($R563&lt;&gt;"",ISNA(MATCH($R563,Acciones!$A$2:$A$201,0))),"El ID lote no existe en Acciones",IF($AD563="","Revisa capital en riesgo","OK")))))))))</f>
        <v/>
      </c>
    </row>
    <row r="564" customFormat="false" ht="15" hidden="false" customHeight="true" outlineLevel="0" collapsed="false">
      <c r="A564" s="5"/>
      <c r="B564" s="6"/>
      <c r="C564" s="7"/>
      <c r="D564" s="7"/>
      <c r="E564" s="8"/>
      <c r="F564" s="8"/>
      <c r="G564" s="6"/>
      <c r="H564" s="5"/>
      <c r="I564" s="5" t="n">
        <v>100</v>
      </c>
      <c r="J564" s="8"/>
      <c r="K564" s="8"/>
      <c r="L564" s="9"/>
      <c r="M564" s="7"/>
      <c r="N564" s="6"/>
      <c r="O564" s="8"/>
      <c r="P564" s="9"/>
      <c r="Q564" s="9"/>
      <c r="R564" s="7"/>
      <c r="S564" s="7"/>
      <c r="T564" s="10" t="str">
        <f aca="false">IF($C564="","",IFERROR(INDEX(Listas!$B$2:$B$20,MATCH($D564,Listas!$A$2:$A$20,0)),""))</f>
        <v/>
      </c>
      <c r="U564" s="10" t="str">
        <f aca="false">IF($C564="","",IFERROR(INDEX(Listas!$C$2:$C$20,MATCH($D564,Listas!$A$2:$A$20,0)),""))</f>
        <v/>
      </c>
      <c r="V564" s="10" t="str">
        <f aca="false">IF($C564="","",IFERROR(INDEX(Listas!$D$2:$D$20,MATCH($D564,Listas!$A$2:$A$20,0)),""))</f>
        <v/>
      </c>
      <c r="W564" s="11" t="str">
        <f aca="false">IF(OR($C564="",$B564="",$G564=""),"",$G564-$B564)</f>
        <v/>
      </c>
      <c r="X564" s="11" t="str">
        <f aca="true">IF(OR($C564="",$B564=""),"",IF($N564&lt;&gt;"",$N564,TODAY())-$B564)</f>
        <v/>
      </c>
      <c r="Y564" s="11" t="str">
        <f aca="true">IF(OR($C564="",$M564&lt;&gt;"Abierta",$G564=""),"",MAX($G564-TODAY(),0))</f>
        <v/>
      </c>
      <c r="Z564" s="12" t="str">
        <f aca="false">IF($C564="","",N($K564)*N($H564)*N($I564)*IF($U564="Débito",-1,1))</f>
        <v/>
      </c>
      <c r="AA564" s="13" t="str">
        <f aca="false">IF($C564="","",IF(AND($U564="Débito",$F564&lt;&gt;""),$F564,$E564))</f>
        <v/>
      </c>
      <c r="AB564" s="13" t="str">
        <f aca="false">IF(OR($C564="",$T564="Mixta",$AA564=""),"",IF($V564="Subyacente",IF($J564="","",$J564-$K564),IF($T564="Put",$AA564-$K564,$AA564+$K564)))</f>
        <v/>
      </c>
      <c r="AC564" s="14" t="str">
        <f aca="false">IF(OR($C564="",$T564="Mixta",$J564="",$AA564=""),"",IF($T564="Put",($J564-$AA564)/$J564,($AA564-$J564)/$J564))</f>
        <v/>
      </c>
      <c r="AD564" s="12" t="str">
        <f aca="false">IF($C564="","",IF($Q564&lt;&gt;"",$Q564,IF($V564="Strike",N($E564)*$H564*$I564,IF($V564="Subyacente",IF($J564="","",$J564*$H564*$I564),IF($V564="Ancho",IF($F564="","",ABS($E564-$F564)*$H564*$I564-$K564*$H564*$I564),IF($V564="Prima",$K564*$H564*$I564,""))))))</f>
        <v/>
      </c>
      <c r="AE564" s="12" t="str">
        <f aca="false">IF(OR($C564="",$M564="Abierta",$M564=""),"",(N($K564)-IF(OR($M564="Cerrada",$M564="Rolada"),N($O564),0))*$H564*$I564*IF($U564="Débito",-1,1)-N($L564)-N($P564))</f>
        <v/>
      </c>
      <c r="AF564" s="14" t="str">
        <f aca="false">IF(OR($AE564="",$AD564=""),"",IF($AD564&lt;=0,"",$AE564/$AD564))</f>
        <v/>
      </c>
      <c r="AG564" s="14" t="str">
        <f aca="false">IF($AF564="","",$AF564*365/MAX(N($X564),1))</f>
        <v/>
      </c>
      <c r="AH564" s="14" t="str">
        <f aca="false">IF(OR($C564="",$U564&lt;&gt;"Crédito",$AD564=""),"",IF($AD564&lt;=0,"",($Z564-N($L564))/$AD564))</f>
        <v/>
      </c>
      <c r="AI564" s="14" t="str">
        <f aca="false">IF(OR($AH564="",$W564=""),"",$AH564*365/MAX($W564,1))</f>
        <v/>
      </c>
      <c r="AJ564" s="14" t="str">
        <f aca="false">IF(OR($AE564="",$U564&lt;&gt;"Crédito",N($K564)=0),"",(N($K564)-IF(OR($M564="Cerrada",$M564="Rolada"),N($O564),0))/$K564)</f>
        <v/>
      </c>
      <c r="AK564" s="15" t="str">
        <f aca="false">IF(OR($C564="",$N564=""),"",DATE(YEAR($N564),MONTH($N564),1))</f>
        <v/>
      </c>
      <c r="AL564" s="11" t="str">
        <f aca="false">IF($C564="","",IF($M564="Abierta",0,1))</f>
        <v/>
      </c>
      <c r="AM564" s="16" t="str">
        <f aca="false">IF(OR($AE564="",$AD564=""),"",$AD564*MAX(N($X564),1))</f>
        <v/>
      </c>
      <c r="AN564" s="10" t="str">
        <f aca="false">IF($C564="","",IF(OR($B564="",$D564="",$H564="",$K564="",$M564=""),"Faltan datos obligatorios",IF($T564="","Estrategia no reconocida",IF(AND($M564&lt;&gt;"Abierta",$N564=""),"Falta fecha cierre",IF(AND(OR($M564="Cerrada",$M564="Rolada"),$O564=""),"Falta prima cierre",IF(AND($N564&lt;&gt;"",$N564&lt;$B564),"Cierre anterior a apertura",IF(AND($M564="Asignada",$R564=""),"Asignada: falta ID lote acciones",IF(AND($R564&lt;&gt;"",ISNA(MATCH($R564,Acciones!$A$2:$A$201,0))),"El ID lote no existe en Acciones",IF($AD564="","Revisa capital en riesgo","OK")))))))))</f>
        <v/>
      </c>
    </row>
    <row r="565" customFormat="false" ht="15" hidden="false" customHeight="true" outlineLevel="0" collapsed="false">
      <c r="A565" s="5"/>
      <c r="B565" s="6"/>
      <c r="C565" s="7"/>
      <c r="D565" s="7"/>
      <c r="E565" s="8"/>
      <c r="F565" s="8"/>
      <c r="G565" s="6"/>
      <c r="H565" s="5"/>
      <c r="I565" s="5" t="n">
        <v>100</v>
      </c>
      <c r="J565" s="8"/>
      <c r="K565" s="8"/>
      <c r="L565" s="9"/>
      <c r="M565" s="7"/>
      <c r="N565" s="6"/>
      <c r="O565" s="8"/>
      <c r="P565" s="9"/>
      <c r="Q565" s="9"/>
      <c r="R565" s="7"/>
      <c r="S565" s="7"/>
      <c r="T565" s="10" t="str">
        <f aca="false">IF($C565="","",IFERROR(INDEX(Listas!$B$2:$B$20,MATCH($D565,Listas!$A$2:$A$20,0)),""))</f>
        <v/>
      </c>
      <c r="U565" s="10" t="str">
        <f aca="false">IF($C565="","",IFERROR(INDEX(Listas!$C$2:$C$20,MATCH($D565,Listas!$A$2:$A$20,0)),""))</f>
        <v/>
      </c>
      <c r="V565" s="10" t="str">
        <f aca="false">IF($C565="","",IFERROR(INDEX(Listas!$D$2:$D$20,MATCH($D565,Listas!$A$2:$A$20,0)),""))</f>
        <v/>
      </c>
      <c r="W565" s="11" t="str">
        <f aca="false">IF(OR($C565="",$B565="",$G565=""),"",$G565-$B565)</f>
        <v/>
      </c>
      <c r="X565" s="11" t="str">
        <f aca="true">IF(OR($C565="",$B565=""),"",IF($N565&lt;&gt;"",$N565,TODAY())-$B565)</f>
        <v/>
      </c>
      <c r="Y565" s="11" t="str">
        <f aca="true">IF(OR($C565="",$M565&lt;&gt;"Abierta",$G565=""),"",MAX($G565-TODAY(),0))</f>
        <v/>
      </c>
      <c r="Z565" s="12" t="str">
        <f aca="false">IF($C565="","",N($K565)*N($H565)*N($I565)*IF($U565="Débito",-1,1))</f>
        <v/>
      </c>
      <c r="AA565" s="13" t="str">
        <f aca="false">IF($C565="","",IF(AND($U565="Débito",$F565&lt;&gt;""),$F565,$E565))</f>
        <v/>
      </c>
      <c r="AB565" s="13" t="str">
        <f aca="false">IF(OR($C565="",$T565="Mixta",$AA565=""),"",IF($V565="Subyacente",IF($J565="","",$J565-$K565),IF($T565="Put",$AA565-$K565,$AA565+$K565)))</f>
        <v/>
      </c>
      <c r="AC565" s="14" t="str">
        <f aca="false">IF(OR($C565="",$T565="Mixta",$J565="",$AA565=""),"",IF($T565="Put",($J565-$AA565)/$J565,($AA565-$J565)/$J565))</f>
        <v/>
      </c>
      <c r="AD565" s="12" t="str">
        <f aca="false">IF($C565="","",IF($Q565&lt;&gt;"",$Q565,IF($V565="Strike",N($E565)*$H565*$I565,IF($V565="Subyacente",IF($J565="","",$J565*$H565*$I565),IF($V565="Ancho",IF($F565="","",ABS($E565-$F565)*$H565*$I565-$K565*$H565*$I565),IF($V565="Prima",$K565*$H565*$I565,""))))))</f>
        <v/>
      </c>
      <c r="AE565" s="12" t="str">
        <f aca="false">IF(OR($C565="",$M565="Abierta",$M565=""),"",(N($K565)-IF(OR($M565="Cerrada",$M565="Rolada"),N($O565),0))*$H565*$I565*IF($U565="Débito",-1,1)-N($L565)-N($P565))</f>
        <v/>
      </c>
      <c r="AF565" s="14" t="str">
        <f aca="false">IF(OR($AE565="",$AD565=""),"",IF($AD565&lt;=0,"",$AE565/$AD565))</f>
        <v/>
      </c>
      <c r="AG565" s="14" t="str">
        <f aca="false">IF($AF565="","",$AF565*365/MAX(N($X565),1))</f>
        <v/>
      </c>
      <c r="AH565" s="14" t="str">
        <f aca="false">IF(OR($C565="",$U565&lt;&gt;"Crédito",$AD565=""),"",IF($AD565&lt;=0,"",($Z565-N($L565))/$AD565))</f>
        <v/>
      </c>
      <c r="AI565" s="14" t="str">
        <f aca="false">IF(OR($AH565="",$W565=""),"",$AH565*365/MAX($W565,1))</f>
        <v/>
      </c>
      <c r="AJ565" s="14" t="str">
        <f aca="false">IF(OR($AE565="",$U565&lt;&gt;"Crédito",N($K565)=0),"",(N($K565)-IF(OR($M565="Cerrada",$M565="Rolada"),N($O565),0))/$K565)</f>
        <v/>
      </c>
      <c r="AK565" s="15" t="str">
        <f aca="false">IF(OR($C565="",$N565=""),"",DATE(YEAR($N565),MONTH($N565),1))</f>
        <v/>
      </c>
      <c r="AL565" s="11" t="str">
        <f aca="false">IF($C565="","",IF($M565="Abierta",0,1))</f>
        <v/>
      </c>
      <c r="AM565" s="16" t="str">
        <f aca="false">IF(OR($AE565="",$AD565=""),"",$AD565*MAX(N($X565),1))</f>
        <v/>
      </c>
      <c r="AN565" s="10" t="str">
        <f aca="false">IF($C565="","",IF(OR($B565="",$D565="",$H565="",$K565="",$M565=""),"Faltan datos obligatorios",IF($T565="","Estrategia no reconocida",IF(AND($M565&lt;&gt;"Abierta",$N565=""),"Falta fecha cierre",IF(AND(OR($M565="Cerrada",$M565="Rolada"),$O565=""),"Falta prima cierre",IF(AND($N565&lt;&gt;"",$N565&lt;$B565),"Cierre anterior a apertura",IF(AND($M565="Asignada",$R565=""),"Asignada: falta ID lote acciones",IF(AND($R565&lt;&gt;"",ISNA(MATCH($R565,Acciones!$A$2:$A$201,0))),"El ID lote no existe en Acciones",IF($AD565="","Revisa capital en riesgo","OK")))))))))</f>
        <v/>
      </c>
    </row>
    <row r="566" customFormat="false" ht="15" hidden="false" customHeight="true" outlineLevel="0" collapsed="false">
      <c r="A566" s="5"/>
      <c r="B566" s="6"/>
      <c r="C566" s="7"/>
      <c r="D566" s="7"/>
      <c r="E566" s="8"/>
      <c r="F566" s="8"/>
      <c r="G566" s="6"/>
      <c r="H566" s="5"/>
      <c r="I566" s="5" t="n">
        <v>100</v>
      </c>
      <c r="J566" s="8"/>
      <c r="K566" s="8"/>
      <c r="L566" s="9"/>
      <c r="M566" s="7"/>
      <c r="N566" s="6"/>
      <c r="O566" s="8"/>
      <c r="P566" s="9"/>
      <c r="Q566" s="9"/>
      <c r="R566" s="7"/>
      <c r="S566" s="7"/>
      <c r="T566" s="10" t="str">
        <f aca="false">IF($C566="","",IFERROR(INDEX(Listas!$B$2:$B$20,MATCH($D566,Listas!$A$2:$A$20,0)),""))</f>
        <v/>
      </c>
      <c r="U566" s="10" t="str">
        <f aca="false">IF($C566="","",IFERROR(INDEX(Listas!$C$2:$C$20,MATCH($D566,Listas!$A$2:$A$20,0)),""))</f>
        <v/>
      </c>
      <c r="V566" s="10" t="str">
        <f aca="false">IF($C566="","",IFERROR(INDEX(Listas!$D$2:$D$20,MATCH($D566,Listas!$A$2:$A$20,0)),""))</f>
        <v/>
      </c>
      <c r="W566" s="11" t="str">
        <f aca="false">IF(OR($C566="",$B566="",$G566=""),"",$G566-$B566)</f>
        <v/>
      </c>
      <c r="X566" s="11" t="str">
        <f aca="true">IF(OR($C566="",$B566=""),"",IF($N566&lt;&gt;"",$N566,TODAY())-$B566)</f>
        <v/>
      </c>
      <c r="Y566" s="11" t="str">
        <f aca="true">IF(OR($C566="",$M566&lt;&gt;"Abierta",$G566=""),"",MAX($G566-TODAY(),0))</f>
        <v/>
      </c>
      <c r="Z566" s="12" t="str">
        <f aca="false">IF($C566="","",N($K566)*N($H566)*N($I566)*IF($U566="Débito",-1,1))</f>
        <v/>
      </c>
      <c r="AA566" s="13" t="str">
        <f aca="false">IF($C566="","",IF(AND($U566="Débito",$F566&lt;&gt;""),$F566,$E566))</f>
        <v/>
      </c>
      <c r="AB566" s="13" t="str">
        <f aca="false">IF(OR($C566="",$T566="Mixta",$AA566=""),"",IF($V566="Subyacente",IF($J566="","",$J566-$K566),IF($T566="Put",$AA566-$K566,$AA566+$K566)))</f>
        <v/>
      </c>
      <c r="AC566" s="14" t="str">
        <f aca="false">IF(OR($C566="",$T566="Mixta",$J566="",$AA566=""),"",IF($T566="Put",($J566-$AA566)/$J566,($AA566-$J566)/$J566))</f>
        <v/>
      </c>
      <c r="AD566" s="12" t="str">
        <f aca="false">IF($C566="","",IF($Q566&lt;&gt;"",$Q566,IF($V566="Strike",N($E566)*$H566*$I566,IF($V566="Subyacente",IF($J566="","",$J566*$H566*$I566),IF($V566="Ancho",IF($F566="","",ABS($E566-$F566)*$H566*$I566-$K566*$H566*$I566),IF($V566="Prima",$K566*$H566*$I566,""))))))</f>
        <v/>
      </c>
      <c r="AE566" s="12" t="str">
        <f aca="false">IF(OR($C566="",$M566="Abierta",$M566=""),"",(N($K566)-IF(OR($M566="Cerrada",$M566="Rolada"),N($O566),0))*$H566*$I566*IF($U566="Débito",-1,1)-N($L566)-N($P566))</f>
        <v/>
      </c>
      <c r="AF566" s="14" t="str">
        <f aca="false">IF(OR($AE566="",$AD566=""),"",IF($AD566&lt;=0,"",$AE566/$AD566))</f>
        <v/>
      </c>
      <c r="AG566" s="14" t="str">
        <f aca="false">IF($AF566="","",$AF566*365/MAX(N($X566),1))</f>
        <v/>
      </c>
      <c r="AH566" s="14" t="str">
        <f aca="false">IF(OR($C566="",$U566&lt;&gt;"Crédito",$AD566=""),"",IF($AD566&lt;=0,"",($Z566-N($L566))/$AD566))</f>
        <v/>
      </c>
      <c r="AI566" s="14" t="str">
        <f aca="false">IF(OR($AH566="",$W566=""),"",$AH566*365/MAX($W566,1))</f>
        <v/>
      </c>
      <c r="AJ566" s="14" t="str">
        <f aca="false">IF(OR($AE566="",$U566&lt;&gt;"Crédito",N($K566)=0),"",(N($K566)-IF(OR($M566="Cerrada",$M566="Rolada"),N($O566),0))/$K566)</f>
        <v/>
      </c>
      <c r="AK566" s="15" t="str">
        <f aca="false">IF(OR($C566="",$N566=""),"",DATE(YEAR($N566),MONTH($N566),1))</f>
        <v/>
      </c>
      <c r="AL566" s="11" t="str">
        <f aca="false">IF($C566="","",IF($M566="Abierta",0,1))</f>
        <v/>
      </c>
      <c r="AM566" s="16" t="str">
        <f aca="false">IF(OR($AE566="",$AD566=""),"",$AD566*MAX(N($X566),1))</f>
        <v/>
      </c>
      <c r="AN566" s="10" t="str">
        <f aca="false">IF($C566="","",IF(OR($B566="",$D566="",$H566="",$K566="",$M566=""),"Faltan datos obligatorios",IF($T566="","Estrategia no reconocida",IF(AND($M566&lt;&gt;"Abierta",$N566=""),"Falta fecha cierre",IF(AND(OR($M566="Cerrada",$M566="Rolada"),$O566=""),"Falta prima cierre",IF(AND($N566&lt;&gt;"",$N566&lt;$B566),"Cierre anterior a apertura",IF(AND($M566="Asignada",$R566=""),"Asignada: falta ID lote acciones",IF(AND($R566&lt;&gt;"",ISNA(MATCH($R566,Acciones!$A$2:$A$201,0))),"El ID lote no existe en Acciones",IF($AD566="","Revisa capital en riesgo","OK")))))))))</f>
        <v/>
      </c>
    </row>
    <row r="567" customFormat="false" ht="15" hidden="false" customHeight="true" outlineLevel="0" collapsed="false">
      <c r="A567" s="5"/>
      <c r="B567" s="6"/>
      <c r="C567" s="7"/>
      <c r="D567" s="7"/>
      <c r="E567" s="8"/>
      <c r="F567" s="8"/>
      <c r="G567" s="6"/>
      <c r="H567" s="5"/>
      <c r="I567" s="5" t="n">
        <v>100</v>
      </c>
      <c r="J567" s="8"/>
      <c r="K567" s="8"/>
      <c r="L567" s="9"/>
      <c r="M567" s="7"/>
      <c r="N567" s="6"/>
      <c r="O567" s="8"/>
      <c r="P567" s="9"/>
      <c r="Q567" s="9"/>
      <c r="R567" s="7"/>
      <c r="S567" s="7"/>
      <c r="T567" s="10" t="str">
        <f aca="false">IF($C567="","",IFERROR(INDEX(Listas!$B$2:$B$20,MATCH($D567,Listas!$A$2:$A$20,0)),""))</f>
        <v/>
      </c>
      <c r="U567" s="10" t="str">
        <f aca="false">IF($C567="","",IFERROR(INDEX(Listas!$C$2:$C$20,MATCH($D567,Listas!$A$2:$A$20,0)),""))</f>
        <v/>
      </c>
      <c r="V567" s="10" t="str">
        <f aca="false">IF($C567="","",IFERROR(INDEX(Listas!$D$2:$D$20,MATCH($D567,Listas!$A$2:$A$20,0)),""))</f>
        <v/>
      </c>
      <c r="W567" s="11" t="str">
        <f aca="false">IF(OR($C567="",$B567="",$G567=""),"",$G567-$B567)</f>
        <v/>
      </c>
      <c r="X567" s="11" t="str">
        <f aca="true">IF(OR($C567="",$B567=""),"",IF($N567&lt;&gt;"",$N567,TODAY())-$B567)</f>
        <v/>
      </c>
      <c r="Y567" s="11" t="str">
        <f aca="true">IF(OR($C567="",$M567&lt;&gt;"Abierta",$G567=""),"",MAX($G567-TODAY(),0))</f>
        <v/>
      </c>
      <c r="Z567" s="12" t="str">
        <f aca="false">IF($C567="","",N($K567)*N($H567)*N($I567)*IF($U567="Débito",-1,1))</f>
        <v/>
      </c>
      <c r="AA567" s="13" t="str">
        <f aca="false">IF($C567="","",IF(AND($U567="Débito",$F567&lt;&gt;""),$F567,$E567))</f>
        <v/>
      </c>
      <c r="AB567" s="13" t="str">
        <f aca="false">IF(OR($C567="",$T567="Mixta",$AA567=""),"",IF($V567="Subyacente",IF($J567="","",$J567-$K567),IF($T567="Put",$AA567-$K567,$AA567+$K567)))</f>
        <v/>
      </c>
      <c r="AC567" s="14" t="str">
        <f aca="false">IF(OR($C567="",$T567="Mixta",$J567="",$AA567=""),"",IF($T567="Put",($J567-$AA567)/$J567,($AA567-$J567)/$J567))</f>
        <v/>
      </c>
      <c r="AD567" s="12" t="str">
        <f aca="false">IF($C567="","",IF($Q567&lt;&gt;"",$Q567,IF($V567="Strike",N($E567)*$H567*$I567,IF($V567="Subyacente",IF($J567="","",$J567*$H567*$I567),IF($V567="Ancho",IF($F567="","",ABS($E567-$F567)*$H567*$I567-$K567*$H567*$I567),IF($V567="Prima",$K567*$H567*$I567,""))))))</f>
        <v/>
      </c>
      <c r="AE567" s="12" t="str">
        <f aca="false">IF(OR($C567="",$M567="Abierta",$M567=""),"",(N($K567)-IF(OR($M567="Cerrada",$M567="Rolada"),N($O567),0))*$H567*$I567*IF($U567="Débito",-1,1)-N($L567)-N($P567))</f>
        <v/>
      </c>
      <c r="AF567" s="14" t="str">
        <f aca="false">IF(OR($AE567="",$AD567=""),"",IF($AD567&lt;=0,"",$AE567/$AD567))</f>
        <v/>
      </c>
      <c r="AG567" s="14" t="str">
        <f aca="false">IF($AF567="","",$AF567*365/MAX(N($X567),1))</f>
        <v/>
      </c>
      <c r="AH567" s="14" t="str">
        <f aca="false">IF(OR($C567="",$U567&lt;&gt;"Crédito",$AD567=""),"",IF($AD567&lt;=0,"",($Z567-N($L567))/$AD567))</f>
        <v/>
      </c>
      <c r="AI567" s="14" t="str">
        <f aca="false">IF(OR($AH567="",$W567=""),"",$AH567*365/MAX($W567,1))</f>
        <v/>
      </c>
      <c r="AJ567" s="14" t="str">
        <f aca="false">IF(OR($AE567="",$U567&lt;&gt;"Crédito",N($K567)=0),"",(N($K567)-IF(OR($M567="Cerrada",$M567="Rolada"),N($O567),0))/$K567)</f>
        <v/>
      </c>
      <c r="AK567" s="15" t="str">
        <f aca="false">IF(OR($C567="",$N567=""),"",DATE(YEAR($N567),MONTH($N567),1))</f>
        <v/>
      </c>
      <c r="AL567" s="11" t="str">
        <f aca="false">IF($C567="","",IF($M567="Abierta",0,1))</f>
        <v/>
      </c>
      <c r="AM567" s="16" t="str">
        <f aca="false">IF(OR($AE567="",$AD567=""),"",$AD567*MAX(N($X567),1))</f>
        <v/>
      </c>
      <c r="AN567" s="10" t="str">
        <f aca="false">IF($C567="","",IF(OR($B567="",$D567="",$H567="",$K567="",$M567=""),"Faltan datos obligatorios",IF($T567="","Estrategia no reconocida",IF(AND($M567&lt;&gt;"Abierta",$N567=""),"Falta fecha cierre",IF(AND(OR($M567="Cerrada",$M567="Rolada"),$O567=""),"Falta prima cierre",IF(AND($N567&lt;&gt;"",$N567&lt;$B567),"Cierre anterior a apertura",IF(AND($M567="Asignada",$R567=""),"Asignada: falta ID lote acciones",IF(AND($R567&lt;&gt;"",ISNA(MATCH($R567,Acciones!$A$2:$A$201,0))),"El ID lote no existe en Acciones",IF($AD567="","Revisa capital en riesgo","OK")))))))))</f>
        <v/>
      </c>
    </row>
    <row r="568" customFormat="false" ht="15" hidden="false" customHeight="true" outlineLevel="0" collapsed="false">
      <c r="A568" s="5"/>
      <c r="B568" s="6"/>
      <c r="C568" s="7"/>
      <c r="D568" s="7"/>
      <c r="E568" s="8"/>
      <c r="F568" s="8"/>
      <c r="G568" s="6"/>
      <c r="H568" s="5"/>
      <c r="I568" s="5" t="n">
        <v>100</v>
      </c>
      <c r="J568" s="8"/>
      <c r="K568" s="8"/>
      <c r="L568" s="9"/>
      <c r="M568" s="7"/>
      <c r="N568" s="6"/>
      <c r="O568" s="8"/>
      <c r="P568" s="9"/>
      <c r="Q568" s="9"/>
      <c r="R568" s="7"/>
      <c r="S568" s="7"/>
      <c r="T568" s="10" t="str">
        <f aca="false">IF($C568="","",IFERROR(INDEX(Listas!$B$2:$B$20,MATCH($D568,Listas!$A$2:$A$20,0)),""))</f>
        <v/>
      </c>
      <c r="U568" s="10" t="str">
        <f aca="false">IF($C568="","",IFERROR(INDEX(Listas!$C$2:$C$20,MATCH($D568,Listas!$A$2:$A$20,0)),""))</f>
        <v/>
      </c>
      <c r="V568" s="10" t="str">
        <f aca="false">IF($C568="","",IFERROR(INDEX(Listas!$D$2:$D$20,MATCH($D568,Listas!$A$2:$A$20,0)),""))</f>
        <v/>
      </c>
      <c r="W568" s="11" t="str">
        <f aca="false">IF(OR($C568="",$B568="",$G568=""),"",$G568-$B568)</f>
        <v/>
      </c>
      <c r="X568" s="11" t="str">
        <f aca="true">IF(OR($C568="",$B568=""),"",IF($N568&lt;&gt;"",$N568,TODAY())-$B568)</f>
        <v/>
      </c>
      <c r="Y568" s="11" t="str">
        <f aca="true">IF(OR($C568="",$M568&lt;&gt;"Abierta",$G568=""),"",MAX($G568-TODAY(),0))</f>
        <v/>
      </c>
      <c r="Z568" s="12" t="str">
        <f aca="false">IF($C568="","",N($K568)*N($H568)*N($I568)*IF($U568="Débito",-1,1))</f>
        <v/>
      </c>
      <c r="AA568" s="13" t="str">
        <f aca="false">IF($C568="","",IF(AND($U568="Débito",$F568&lt;&gt;""),$F568,$E568))</f>
        <v/>
      </c>
      <c r="AB568" s="13" t="str">
        <f aca="false">IF(OR($C568="",$T568="Mixta",$AA568=""),"",IF($V568="Subyacente",IF($J568="","",$J568-$K568),IF($T568="Put",$AA568-$K568,$AA568+$K568)))</f>
        <v/>
      </c>
      <c r="AC568" s="14" t="str">
        <f aca="false">IF(OR($C568="",$T568="Mixta",$J568="",$AA568=""),"",IF($T568="Put",($J568-$AA568)/$J568,($AA568-$J568)/$J568))</f>
        <v/>
      </c>
      <c r="AD568" s="12" t="str">
        <f aca="false">IF($C568="","",IF($Q568&lt;&gt;"",$Q568,IF($V568="Strike",N($E568)*$H568*$I568,IF($V568="Subyacente",IF($J568="","",$J568*$H568*$I568),IF($V568="Ancho",IF($F568="","",ABS($E568-$F568)*$H568*$I568-$K568*$H568*$I568),IF($V568="Prima",$K568*$H568*$I568,""))))))</f>
        <v/>
      </c>
      <c r="AE568" s="12" t="str">
        <f aca="false">IF(OR($C568="",$M568="Abierta",$M568=""),"",(N($K568)-IF(OR($M568="Cerrada",$M568="Rolada"),N($O568),0))*$H568*$I568*IF($U568="Débito",-1,1)-N($L568)-N($P568))</f>
        <v/>
      </c>
      <c r="AF568" s="14" t="str">
        <f aca="false">IF(OR($AE568="",$AD568=""),"",IF($AD568&lt;=0,"",$AE568/$AD568))</f>
        <v/>
      </c>
      <c r="AG568" s="14" t="str">
        <f aca="false">IF($AF568="","",$AF568*365/MAX(N($X568),1))</f>
        <v/>
      </c>
      <c r="AH568" s="14" t="str">
        <f aca="false">IF(OR($C568="",$U568&lt;&gt;"Crédito",$AD568=""),"",IF($AD568&lt;=0,"",($Z568-N($L568))/$AD568))</f>
        <v/>
      </c>
      <c r="AI568" s="14" t="str">
        <f aca="false">IF(OR($AH568="",$W568=""),"",$AH568*365/MAX($W568,1))</f>
        <v/>
      </c>
      <c r="AJ568" s="14" t="str">
        <f aca="false">IF(OR($AE568="",$U568&lt;&gt;"Crédito",N($K568)=0),"",(N($K568)-IF(OR($M568="Cerrada",$M568="Rolada"),N($O568),0))/$K568)</f>
        <v/>
      </c>
      <c r="AK568" s="15" t="str">
        <f aca="false">IF(OR($C568="",$N568=""),"",DATE(YEAR($N568),MONTH($N568),1))</f>
        <v/>
      </c>
      <c r="AL568" s="11" t="str">
        <f aca="false">IF($C568="","",IF($M568="Abierta",0,1))</f>
        <v/>
      </c>
      <c r="AM568" s="16" t="str">
        <f aca="false">IF(OR($AE568="",$AD568=""),"",$AD568*MAX(N($X568),1))</f>
        <v/>
      </c>
      <c r="AN568" s="10" t="str">
        <f aca="false">IF($C568="","",IF(OR($B568="",$D568="",$H568="",$K568="",$M568=""),"Faltan datos obligatorios",IF($T568="","Estrategia no reconocida",IF(AND($M568&lt;&gt;"Abierta",$N568=""),"Falta fecha cierre",IF(AND(OR($M568="Cerrada",$M568="Rolada"),$O568=""),"Falta prima cierre",IF(AND($N568&lt;&gt;"",$N568&lt;$B568),"Cierre anterior a apertura",IF(AND($M568="Asignada",$R568=""),"Asignada: falta ID lote acciones",IF(AND($R568&lt;&gt;"",ISNA(MATCH($R568,Acciones!$A$2:$A$201,0))),"El ID lote no existe en Acciones",IF($AD568="","Revisa capital en riesgo","OK")))))))))</f>
        <v/>
      </c>
    </row>
    <row r="569" customFormat="false" ht="15" hidden="false" customHeight="true" outlineLevel="0" collapsed="false">
      <c r="A569" s="5"/>
      <c r="B569" s="6"/>
      <c r="C569" s="7"/>
      <c r="D569" s="7"/>
      <c r="E569" s="8"/>
      <c r="F569" s="8"/>
      <c r="G569" s="6"/>
      <c r="H569" s="5"/>
      <c r="I569" s="5" t="n">
        <v>100</v>
      </c>
      <c r="J569" s="8"/>
      <c r="K569" s="8"/>
      <c r="L569" s="9"/>
      <c r="M569" s="7"/>
      <c r="N569" s="6"/>
      <c r="O569" s="8"/>
      <c r="P569" s="9"/>
      <c r="Q569" s="9"/>
      <c r="R569" s="7"/>
      <c r="S569" s="7"/>
      <c r="T569" s="10" t="str">
        <f aca="false">IF($C569="","",IFERROR(INDEX(Listas!$B$2:$B$20,MATCH($D569,Listas!$A$2:$A$20,0)),""))</f>
        <v/>
      </c>
      <c r="U569" s="10" t="str">
        <f aca="false">IF($C569="","",IFERROR(INDEX(Listas!$C$2:$C$20,MATCH($D569,Listas!$A$2:$A$20,0)),""))</f>
        <v/>
      </c>
      <c r="V569" s="10" t="str">
        <f aca="false">IF($C569="","",IFERROR(INDEX(Listas!$D$2:$D$20,MATCH($D569,Listas!$A$2:$A$20,0)),""))</f>
        <v/>
      </c>
      <c r="W569" s="11" t="str">
        <f aca="false">IF(OR($C569="",$B569="",$G569=""),"",$G569-$B569)</f>
        <v/>
      </c>
      <c r="X569" s="11" t="str">
        <f aca="true">IF(OR($C569="",$B569=""),"",IF($N569&lt;&gt;"",$N569,TODAY())-$B569)</f>
        <v/>
      </c>
      <c r="Y569" s="11" t="str">
        <f aca="true">IF(OR($C569="",$M569&lt;&gt;"Abierta",$G569=""),"",MAX($G569-TODAY(),0))</f>
        <v/>
      </c>
      <c r="Z569" s="12" t="str">
        <f aca="false">IF($C569="","",N($K569)*N($H569)*N($I569)*IF($U569="Débito",-1,1))</f>
        <v/>
      </c>
      <c r="AA569" s="13" t="str">
        <f aca="false">IF($C569="","",IF(AND($U569="Débito",$F569&lt;&gt;""),$F569,$E569))</f>
        <v/>
      </c>
      <c r="AB569" s="13" t="str">
        <f aca="false">IF(OR($C569="",$T569="Mixta",$AA569=""),"",IF($V569="Subyacente",IF($J569="","",$J569-$K569),IF($T569="Put",$AA569-$K569,$AA569+$K569)))</f>
        <v/>
      </c>
      <c r="AC569" s="14" t="str">
        <f aca="false">IF(OR($C569="",$T569="Mixta",$J569="",$AA569=""),"",IF($T569="Put",($J569-$AA569)/$J569,($AA569-$J569)/$J569))</f>
        <v/>
      </c>
      <c r="AD569" s="12" t="str">
        <f aca="false">IF($C569="","",IF($Q569&lt;&gt;"",$Q569,IF($V569="Strike",N($E569)*$H569*$I569,IF($V569="Subyacente",IF($J569="","",$J569*$H569*$I569),IF($V569="Ancho",IF($F569="","",ABS($E569-$F569)*$H569*$I569-$K569*$H569*$I569),IF($V569="Prima",$K569*$H569*$I569,""))))))</f>
        <v/>
      </c>
      <c r="AE569" s="12" t="str">
        <f aca="false">IF(OR($C569="",$M569="Abierta",$M569=""),"",(N($K569)-IF(OR($M569="Cerrada",$M569="Rolada"),N($O569),0))*$H569*$I569*IF($U569="Débito",-1,1)-N($L569)-N($P569))</f>
        <v/>
      </c>
      <c r="AF569" s="14" t="str">
        <f aca="false">IF(OR($AE569="",$AD569=""),"",IF($AD569&lt;=0,"",$AE569/$AD569))</f>
        <v/>
      </c>
      <c r="AG569" s="14" t="str">
        <f aca="false">IF($AF569="","",$AF569*365/MAX(N($X569),1))</f>
        <v/>
      </c>
      <c r="AH569" s="14" t="str">
        <f aca="false">IF(OR($C569="",$U569&lt;&gt;"Crédito",$AD569=""),"",IF($AD569&lt;=0,"",($Z569-N($L569))/$AD569))</f>
        <v/>
      </c>
      <c r="AI569" s="14" t="str">
        <f aca="false">IF(OR($AH569="",$W569=""),"",$AH569*365/MAX($W569,1))</f>
        <v/>
      </c>
      <c r="AJ569" s="14" t="str">
        <f aca="false">IF(OR($AE569="",$U569&lt;&gt;"Crédito",N($K569)=0),"",(N($K569)-IF(OR($M569="Cerrada",$M569="Rolada"),N($O569),0))/$K569)</f>
        <v/>
      </c>
      <c r="AK569" s="15" t="str">
        <f aca="false">IF(OR($C569="",$N569=""),"",DATE(YEAR($N569),MONTH($N569),1))</f>
        <v/>
      </c>
      <c r="AL569" s="11" t="str">
        <f aca="false">IF($C569="","",IF($M569="Abierta",0,1))</f>
        <v/>
      </c>
      <c r="AM569" s="16" t="str">
        <f aca="false">IF(OR($AE569="",$AD569=""),"",$AD569*MAX(N($X569),1))</f>
        <v/>
      </c>
      <c r="AN569" s="10" t="str">
        <f aca="false">IF($C569="","",IF(OR($B569="",$D569="",$H569="",$K569="",$M569=""),"Faltan datos obligatorios",IF($T569="","Estrategia no reconocida",IF(AND($M569&lt;&gt;"Abierta",$N569=""),"Falta fecha cierre",IF(AND(OR($M569="Cerrada",$M569="Rolada"),$O569=""),"Falta prima cierre",IF(AND($N569&lt;&gt;"",$N569&lt;$B569),"Cierre anterior a apertura",IF(AND($M569="Asignada",$R569=""),"Asignada: falta ID lote acciones",IF(AND($R569&lt;&gt;"",ISNA(MATCH($R569,Acciones!$A$2:$A$201,0))),"El ID lote no existe en Acciones",IF($AD569="","Revisa capital en riesgo","OK")))))))))</f>
        <v/>
      </c>
    </row>
    <row r="570" customFormat="false" ht="15" hidden="false" customHeight="true" outlineLevel="0" collapsed="false">
      <c r="A570" s="5"/>
      <c r="B570" s="6"/>
      <c r="C570" s="7"/>
      <c r="D570" s="7"/>
      <c r="E570" s="8"/>
      <c r="F570" s="8"/>
      <c r="G570" s="6"/>
      <c r="H570" s="5"/>
      <c r="I570" s="5" t="n">
        <v>100</v>
      </c>
      <c r="J570" s="8"/>
      <c r="K570" s="8"/>
      <c r="L570" s="9"/>
      <c r="M570" s="7"/>
      <c r="N570" s="6"/>
      <c r="O570" s="8"/>
      <c r="P570" s="9"/>
      <c r="Q570" s="9"/>
      <c r="R570" s="7"/>
      <c r="S570" s="7"/>
      <c r="T570" s="10" t="str">
        <f aca="false">IF($C570="","",IFERROR(INDEX(Listas!$B$2:$B$20,MATCH($D570,Listas!$A$2:$A$20,0)),""))</f>
        <v/>
      </c>
      <c r="U570" s="10" t="str">
        <f aca="false">IF($C570="","",IFERROR(INDEX(Listas!$C$2:$C$20,MATCH($D570,Listas!$A$2:$A$20,0)),""))</f>
        <v/>
      </c>
      <c r="V570" s="10" t="str">
        <f aca="false">IF($C570="","",IFERROR(INDEX(Listas!$D$2:$D$20,MATCH($D570,Listas!$A$2:$A$20,0)),""))</f>
        <v/>
      </c>
      <c r="W570" s="11" t="str">
        <f aca="false">IF(OR($C570="",$B570="",$G570=""),"",$G570-$B570)</f>
        <v/>
      </c>
      <c r="X570" s="11" t="str">
        <f aca="true">IF(OR($C570="",$B570=""),"",IF($N570&lt;&gt;"",$N570,TODAY())-$B570)</f>
        <v/>
      </c>
      <c r="Y570" s="11" t="str">
        <f aca="true">IF(OR($C570="",$M570&lt;&gt;"Abierta",$G570=""),"",MAX($G570-TODAY(),0))</f>
        <v/>
      </c>
      <c r="Z570" s="12" t="str">
        <f aca="false">IF($C570="","",N($K570)*N($H570)*N($I570)*IF($U570="Débito",-1,1))</f>
        <v/>
      </c>
      <c r="AA570" s="13" t="str">
        <f aca="false">IF($C570="","",IF(AND($U570="Débito",$F570&lt;&gt;""),$F570,$E570))</f>
        <v/>
      </c>
      <c r="AB570" s="13" t="str">
        <f aca="false">IF(OR($C570="",$T570="Mixta",$AA570=""),"",IF($V570="Subyacente",IF($J570="","",$J570-$K570),IF($T570="Put",$AA570-$K570,$AA570+$K570)))</f>
        <v/>
      </c>
      <c r="AC570" s="14" t="str">
        <f aca="false">IF(OR($C570="",$T570="Mixta",$J570="",$AA570=""),"",IF($T570="Put",($J570-$AA570)/$J570,($AA570-$J570)/$J570))</f>
        <v/>
      </c>
      <c r="AD570" s="12" t="str">
        <f aca="false">IF($C570="","",IF($Q570&lt;&gt;"",$Q570,IF($V570="Strike",N($E570)*$H570*$I570,IF($V570="Subyacente",IF($J570="","",$J570*$H570*$I570),IF($V570="Ancho",IF($F570="","",ABS($E570-$F570)*$H570*$I570-$K570*$H570*$I570),IF($V570="Prima",$K570*$H570*$I570,""))))))</f>
        <v/>
      </c>
      <c r="AE570" s="12" t="str">
        <f aca="false">IF(OR($C570="",$M570="Abierta",$M570=""),"",(N($K570)-IF(OR($M570="Cerrada",$M570="Rolada"),N($O570),0))*$H570*$I570*IF($U570="Débito",-1,1)-N($L570)-N($P570))</f>
        <v/>
      </c>
      <c r="AF570" s="14" t="str">
        <f aca="false">IF(OR($AE570="",$AD570=""),"",IF($AD570&lt;=0,"",$AE570/$AD570))</f>
        <v/>
      </c>
      <c r="AG570" s="14" t="str">
        <f aca="false">IF($AF570="","",$AF570*365/MAX(N($X570),1))</f>
        <v/>
      </c>
      <c r="AH570" s="14" t="str">
        <f aca="false">IF(OR($C570="",$U570&lt;&gt;"Crédito",$AD570=""),"",IF($AD570&lt;=0,"",($Z570-N($L570))/$AD570))</f>
        <v/>
      </c>
      <c r="AI570" s="14" t="str">
        <f aca="false">IF(OR($AH570="",$W570=""),"",$AH570*365/MAX($W570,1))</f>
        <v/>
      </c>
      <c r="AJ570" s="14" t="str">
        <f aca="false">IF(OR($AE570="",$U570&lt;&gt;"Crédito",N($K570)=0),"",(N($K570)-IF(OR($M570="Cerrada",$M570="Rolada"),N($O570),0))/$K570)</f>
        <v/>
      </c>
      <c r="AK570" s="15" t="str">
        <f aca="false">IF(OR($C570="",$N570=""),"",DATE(YEAR($N570),MONTH($N570),1))</f>
        <v/>
      </c>
      <c r="AL570" s="11" t="str">
        <f aca="false">IF($C570="","",IF($M570="Abierta",0,1))</f>
        <v/>
      </c>
      <c r="AM570" s="16" t="str">
        <f aca="false">IF(OR($AE570="",$AD570=""),"",$AD570*MAX(N($X570),1))</f>
        <v/>
      </c>
      <c r="AN570" s="10" t="str">
        <f aca="false">IF($C570="","",IF(OR($B570="",$D570="",$H570="",$K570="",$M570=""),"Faltan datos obligatorios",IF($T570="","Estrategia no reconocida",IF(AND($M570&lt;&gt;"Abierta",$N570=""),"Falta fecha cierre",IF(AND(OR($M570="Cerrada",$M570="Rolada"),$O570=""),"Falta prima cierre",IF(AND($N570&lt;&gt;"",$N570&lt;$B570),"Cierre anterior a apertura",IF(AND($M570="Asignada",$R570=""),"Asignada: falta ID lote acciones",IF(AND($R570&lt;&gt;"",ISNA(MATCH($R570,Acciones!$A$2:$A$201,0))),"El ID lote no existe en Acciones",IF($AD570="","Revisa capital en riesgo","OK")))))))))</f>
        <v/>
      </c>
    </row>
    <row r="571" customFormat="false" ht="15" hidden="false" customHeight="true" outlineLevel="0" collapsed="false">
      <c r="A571" s="5"/>
      <c r="B571" s="6"/>
      <c r="C571" s="7"/>
      <c r="D571" s="7"/>
      <c r="E571" s="8"/>
      <c r="F571" s="8"/>
      <c r="G571" s="6"/>
      <c r="H571" s="5"/>
      <c r="I571" s="5" t="n">
        <v>100</v>
      </c>
      <c r="J571" s="8"/>
      <c r="K571" s="8"/>
      <c r="L571" s="9"/>
      <c r="M571" s="7"/>
      <c r="N571" s="6"/>
      <c r="O571" s="8"/>
      <c r="P571" s="9"/>
      <c r="Q571" s="9"/>
      <c r="R571" s="7"/>
      <c r="S571" s="7"/>
      <c r="T571" s="10" t="str">
        <f aca="false">IF($C571="","",IFERROR(INDEX(Listas!$B$2:$B$20,MATCH($D571,Listas!$A$2:$A$20,0)),""))</f>
        <v/>
      </c>
      <c r="U571" s="10" t="str">
        <f aca="false">IF($C571="","",IFERROR(INDEX(Listas!$C$2:$C$20,MATCH($D571,Listas!$A$2:$A$20,0)),""))</f>
        <v/>
      </c>
      <c r="V571" s="10" t="str">
        <f aca="false">IF($C571="","",IFERROR(INDEX(Listas!$D$2:$D$20,MATCH($D571,Listas!$A$2:$A$20,0)),""))</f>
        <v/>
      </c>
      <c r="W571" s="11" t="str">
        <f aca="false">IF(OR($C571="",$B571="",$G571=""),"",$G571-$B571)</f>
        <v/>
      </c>
      <c r="X571" s="11" t="str">
        <f aca="true">IF(OR($C571="",$B571=""),"",IF($N571&lt;&gt;"",$N571,TODAY())-$B571)</f>
        <v/>
      </c>
      <c r="Y571" s="11" t="str">
        <f aca="true">IF(OR($C571="",$M571&lt;&gt;"Abierta",$G571=""),"",MAX($G571-TODAY(),0))</f>
        <v/>
      </c>
      <c r="Z571" s="12" t="str">
        <f aca="false">IF($C571="","",N($K571)*N($H571)*N($I571)*IF($U571="Débito",-1,1))</f>
        <v/>
      </c>
      <c r="AA571" s="13" t="str">
        <f aca="false">IF($C571="","",IF(AND($U571="Débito",$F571&lt;&gt;""),$F571,$E571))</f>
        <v/>
      </c>
      <c r="AB571" s="13" t="str">
        <f aca="false">IF(OR($C571="",$T571="Mixta",$AA571=""),"",IF($V571="Subyacente",IF($J571="","",$J571-$K571),IF($T571="Put",$AA571-$K571,$AA571+$K571)))</f>
        <v/>
      </c>
      <c r="AC571" s="14" t="str">
        <f aca="false">IF(OR($C571="",$T571="Mixta",$J571="",$AA571=""),"",IF($T571="Put",($J571-$AA571)/$J571,($AA571-$J571)/$J571))</f>
        <v/>
      </c>
      <c r="AD571" s="12" t="str">
        <f aca="false">IF($C571="","",IF($Q571&lt;&gt;"",$Q571,IF($V571="Strike",N($E571)*$H571*$I571,IF($V571="Subyacente",IF($J571="","",$J571*$H571*$I571),IF($V571="Ancho",IF($F571="","",ABS($E571-$F571)*$H571*$I571-$K571*$H571*$I571),IF($V571="Prima",$K571*$H571*$I571,""))))))</f>
        <v/>
      </c>
      <c r="AE571" s="12" t="str">
        <f aca="false">IF(OR($C571="",$M571="Abierta",$M571=""),"",(N($K571)-IF(OR($M571="Cerrada",$M571="Rolada"),N($O571),0))*$H571*$I571*IF($U571="Débito",-1,1)-N($L571)-N($P571))</f>
        <v/>
      </c>
      <c r="AF571" s="14" t="str">
        <f aca="false">IF(OR($AE571="",$AD571=""),"",IF($AD571&lt;=0,"",$AE571/$AD571))</f>
        <v/>
      </c>
      <c r="AG571" s="14" t="str">
        <f aca="false">IF($AF571="","",$AF571*365/MAX(N($X571),1))</f>
        <v/>
      </c>
      <c r="AH571" s="14" t="str">
        <f aca="false">IF(OR($C571="",$U571&lt;&gt;"Crédito",$AD571=""),"",IF($AD571&lt;=0,"",($Z571-N($L571))/$AD571))</f>
        <v/>
      </c>
      <c r="AI571" s="14" t="str">
        <f aca="false">IF(OR($AH571="",$W571=""),"",$AH571*365/MAX($W571,1))</f>
        <v/>
      </c>
      <c r="AJ571" s="14" t="str">
        <f aca="false">IF(OR($AE571="",$U571&lt;&gt;"Crédito",N($K571)=0),"",(N($K571)-IF(OR($M571="Cerrada",$M571="Rolada"),N($O571),0))/$K571)</f>
        <v/>
      </c>
      <c r="AK571" s="15" t="str">
        <f aca="false">IF(OR($C571="",$N571=""),"",DATE(YEAR($N571),MONTH($N571),1))</f>
        <v/>
      </c>
      <c r="AL571" s="11" t="str">
        <f aca="false">IF($C571="","",IF($M571="Abierta",0,1))</f>
        <v/>
      </c>
      <c r="AM571" s="16" t="str">
        <f aca="false">IF(OR($AE571="",$AD571=""),"",$AD571*MAX(N($X571),1))</f>
        <v/>
      </c>
      <c r="AN571" s="10" t="str">
        <f aca="false">IF($C571="","",IF(OR($B571="",$D571="",$H571="",$K571="",$M571=""),"Faltan datos obligatorios",IF($T571="","Estrategia no reconocida",IF(AND($M571&lt;&gt;"Abierta",$N571=""),"Falta fecha cierre",IF(AND(OR($M571="Cerrada",$M571="Rolada"),$O571=""),"Falta prima cierre",IF(AND($N571&lt;&gt;"",$N571&lt;$B571),"Cierre anterior a apertura",IF(AND($M571="Asignada",$R571=""),"Asignada: falta ID lote acciones",IF(AND($R571&lt;&gt;"",ISNA(MATCH($R571,Acciones!$A$2:$A$201,0))),"El ID lote no existe en Acciones",IF($AD571="","Revisa capital en riesgo","OK")))))))))</f>
        <v/>
      </c>
    </row>
    <row r="572" customFormat="false" ht="15" hidden="false" customHeight="true" outlineLevel="0" collapsed="false">
      <c r="A572" s="5"/>
      <c r="B572" s="6"/>
      <c r="C572" s="7"/>
      <c r="D572" s="7"/>
      <c r="E572" s="8"/>
      <c r="F572" s="8"/>
      <c r="G572" s="6"/>
      <c r="H572" s="5"/>
      <c r="I572" s="5" t="n">
        <v>100</v>
      </c>
      <c r="J572" s="8"/>
      <c r="K572" s="8"/>
      <c r="L572" s="9"/>
      <c r="M572" s="7"/>
      <c r="N572" s="6"/>
      <c r="O572" s="8"/>
      <c r="P572" s="9"/>
      <c r="Q572" s="9"/>
      <c r="R572" s="7"/>
      <c r="S572" s="7"/>
      <c r="T572" s="10" t="str">
        <f aca="false">IF($C572="","",IFERROR(INDEX(Listas!$B$2:$B$20,MATCH($D572,Listas!$A$2:$A$20,0)),""))</f>
        <v/>
      </c>
      <c r="U572" s="10" t="str">
        <f aca="false">IF($C572="","",IFERROR(INDEX(Listas!$C$2:$C$20,MATCH($D572,Listas!$A$2:$A$20,0)),""))</f>
        <v/>
      </c>
      <c r="V572" s="10" t="str">
        <f aca="false">IF($C572="","",IFERROR(INDEX(Listas!$D$2:$D$20,MATCH($D572,Listas!$A$2:$A$20,0)),""))</f>
        <v/>
      </c>
      <c r="W572" s="11" t="str">
        <f aca="false">IF(OR($C572="",$B572="",$G572=""),"",$G572-$B572)</f>
        <v/>
      </c>
      <c r="X572" s="11" t="str">
        <f aca="true">IF(OR($C572="",$B572=""),"",IF($N572&lt;&gt;"",$N572,TODAY())-$B572)</f>
        <v/>
      </c>
      <c r="Y572" s="11" t="str">
        <f aca="true">IF(OR($C572="",$M572&lt;&gt;"Abierta",$G572=""),"",MAX($G572-TODAY(),0))</f>
        <v/>
      </c>
      <c r="Z572" s="12" t="str">
        <f aca="false">IF($C572="","",N($K572)*N($H572)*N($I572)*IF($U572="Débito",-1,1))</f>
        <v/>
      </c>
      <c r="AA572" s="13" t="str">
        <f aca="false">IF($C572="","",IF(AND($U572="Débito",$F572&lt;&gt;""),$F572,$E572))</f>
        <v/>
      </c>
      <c r="AB572" s="13" t="str">
        <f aca="false">IF(OR($C572="",$T572="Mixta",$AA572=""),"",IF($V572="Subyacente",IF($J572="","",$J572-$K572),IF($T572="Put",$AA572-$K572,$AA572+$K572)))</f>
        <v/>
      </c>
      <c r="AC572" s="14" t="str">
        <f aca="false">IF(OR($C572="",$T572="Mixta",$J572="",$AA572=""),"",IF($T572="Put",($J572-$AA572)/$J572,($AA572-$J572)/$J572))</f>
        <v/>
      </c>
      <c r="AD572" s="12" t="str">
        <f aca="false">IF($C572="","",IF($Q572&lt;&gt;"",$Q572,IF($V572="Strike",N($E572)*$H572*$I572,IF($V572="Subyacente",IF($J572="","",$J572*$H572*$I572),IF($V572="Ancho",IF($F572="","",ABS($E572-$F572)*$H572*$I572-$K572*$H572*$I572),IF($V572="Prima",$K572*$H572*$I572,""))))))</f>
        <v/>
      </c>
      <c r="AE572" s="12" t="str">
        <f aca="false">IF(OR($C572="",$M572="Abierta",$M572=""),"",(N($K572)-IF(OR($M572="Cerrada",$M572="Rolada"),N($O572),0))*$H572*$I572*IF($U572="Débito",-1,1)-N($L572)-N($P572))</f>
        <v/>
      </c>
      <c r="AF572" s="14" t="str">
        <f aca="false">IF(OR($AE572="",$AD572=""),"",IF($AD572&lt;=0,"",$AE572/$AD572))</f>
        <v/>
      </c>
      <c r="AG572" s="14" t="str">
        <f aca="false">IF($AF572="","",$AF572*365/MAX(N($X572),1))</f>
        <v/>
      </c>
      <c r="AH572" s="14" t="str">
        <f aca="false">IF(OR($C572="",$U572&lt;&gt;"Crédito",$AD572=""),"",IF($AD572&lt;=0,"",($Z572-N($L572))/$AD572))</f>
        <v/>
      </c>
      <c r="AI572" s="14" t="str">
        <f aca="false">IF(OR($AH572="",$W572=""),"",$AH572*365/MAX($W572,1))</f>
        <v/>
      </c>
      <c r="AJ572" s="14" t="str">
        <f aca="false">IF(OR($AE572="",$U572&lt;&gt;"Crédito",N($K572)=0),"",(N($K572)-IF(OR($M572="Cerrada",$M572="Rolada"),N($O572),0))/$K572)</f>
        <v/>
      </c>
      <c r="AK572" s="15" t="str">
        <f aca="false">IF(OR($C572="",$N572=""),"",DATE(YEAR($N572),MONTH($N572),1))</f>
        <v/>
      </c>
      <c r="AL572" s="11" t="str">
        <f aca="false">IF($C572="","",IF($M572="Abierta",0,1))</f>
        <v/>
      </c>
      <c r="AM572" s="16" t="str">
        <f aca="false">IF(OR($AE572="",$AD572=""),"",$AD572*MAX(N($X572),1))</f>
        <v/>
      </c>
      <c r="AN572" s="10" t="str">
        <f aca="false">IF($C572="","",IF(OR($B572="",$D572="",$H572="",$K572="",$M572=""),"Faltan datos obligatorios",IF($T572="","Estrategia no reconocida",IF(AND($M572&lt;&gt;"Abierta",$N572=""),"Falta fecha cierre",IF(AND(OR($M572="Cerrada",$M572="Rolada"),$O572=""),"Falta prima cierre",IF(AND($N572&lt;&gt;"",$N572&lt;$B572),"Cierre anterior a apertura",IF(AND($M572="Asignada",$R572=""),"Asignada: falta ID lote acciones",IF(AND($R572&lt;&gt;"",ISNA(MATCH($R572,Acciones!$A$2:$A$201,0))),"El ID lote no existe en Acciones",IF($AD572="","Revisa capital en riesgo","OK")))))))))</f>
        <v/>
      </c>
    </row>
    <row r="573" customFormat="false" ht="15" hidden="false" customHeight="true" outlineLevel="0" collapsed="false">
      <c r="A573" s="5"/>
      <c r="B573" s="6"/>
      <c r="C573" s="7"/>
      <c r="D573" s="7"/>
      <c r="E573" s="8"/>
      <c r="F573" s="8"/>
      <c r="G573" s="6"/>
      <c r="H573" s="5"/>
      <c r="I573" s="5" t="n">
        <v>100</v>
      </c>
      <c r="J573" s="8"/>
      <c r="K573" s="8"/>
      <c r="L573" s="9"/>
      <c r="M573" s="7"/>
      <c r="N573" s="6"/>
      <c r="O573" s="8"/>
      <c r="P573" s="9"/>
      <c r="Q573" s="9"/>
      <c r="R573" s="7"/>
      <c r="S573" s="7"/>
      <c r="T573" s="10" t="str">
        <f aca="false">IF($C573="","",IFERROR(INDEX(Listas!$B$2:$B$20,MATCH($D573,Listas!$A$2:$A$20,0)),""))</f>
        <v/>
      </c>
      <c r="U573" s="10" t="str">
        <f aca="false">IF($C573="","",IFERROR(INDEX(Listas!$C$2:$C$20,MATCH($D573,Listas!$A$2:$A$20,0)),""))</f>
        <v/>
      </c>
      <c r="V573" s="10" t="str">
        <f aca="false">IF($C573="","",IFERROR(INDEX(Listas!$D$2:$D$20,MATCH($D573,Listas!$A$2:$A$20,0)),""))</f>
        <v/>
      </c>
      <c r="W573" s="11" t="str">
        <f aca="false">IF(OR($C573="",$B573="",$G573=""),"",$G573-$B573)</f>
        <v/>
      </c>
      <c r="X573" s="11" t="str">
        <f aca="true">IF(OR($C573="",$B573=""),"",IF($N573&lt;&gt;"",$N573,TODAY())-$B573)</f>
        <v/>
      </c>
      <c r="Y573" s="11" t="str">
        <f aca="true">IF(OR($C573="",$M573&lt;&gt;"Abierta",$G573=""),"",MAX($G573-TODAY(),0))</f>
        <v/>
      </c>
      <c r="Z573" s="12" t="str">
        <f aca="false">IF($C573="","",N($K573)*N($H573)*N($I573)*IF($U573="Débito",-1,1))</f>
        <v/>
      </c>
      <c r="AA573" s="13" t="str">
        <f aca="false">IF($C573="","",IF(AND($U573="Débito",$F573&lt;&gt;""),$F573,$E573))</f>
        <v/>
      </c>
      <c r="AB573" s="13" t="str">
        <f aca="false">IF(OR($C573="",$T573="Mixta",$AA573=""),"",IF($V573="Subyacente",IF($J573="","",$J573-$K573),IF($T573="Put",$AA573-$K573,$AA573+$K573)))</f>
        <v/>
      </c>
      <c r="AC573" s="14" t="str">
        <f aca="false">IF(OR($C573="",$T573="Mixta",$J573="",$AA573=""),"",IF($T573="Put",($J573-$AA573)/$J573,($AA573-$J573)/$J573))</f>
        <v/>
      </c>
      <c r="AD573" s="12" t="str">
        <f aca="false">IF($C573="","",IF($Q573&lt;&gt;"",$Q573,IF($V573="Strike",N($E573)*$H573*$I573,IF($V573="Subyacente",IF($J573="","",$J573*$H573*$I573),IF($V573="Ancho",IF($F573="","",ABS($E573-$F573)*$H573*$I573-$K573*$H573*$I573),IF($V573="Prima",$K573*$H573*$I573,""))))))</f>
        <v/>
      </c>
      <c r="AE573" s="12" t="str">
        <f aca="false">IF(OR($C573="",$M573="Abierta",$M573=""),"",(N($K573)-IF(OR($M573="Cerrada",$M573="Rolada"),N($O573),0))*$H573*$I573*IF($U573="Débito",-1,1)-N($L573)-N($P573))</f>
        <v/>
      </c>
      <c r="AF573" s="14" t="str">
        <f aca="false">IF(OR($AE573="",$AD573=""),"",IF($AD573&lt;=0,"",$AE573/$AD573))</f>
        <v/>
      </c>
      <c r="AG573" s="14" t="str">
        <f aca="false">IF($AF573="","",$AF573*365/MAX(N($X573),1))</f>
        <v/>
      </c>
      <c r="AH573" s="14" t="str">
        <f aca="false">IF(OR($C573="",$U573&lt;&gt;"Crédito",$AD573=""),"",IF($AD573&lt;=0,"",($Z573-N($L573))/$AD573))</f>
        <v/>
      </c>
      <c r="AI573" s="14" t="str">
        <f aca="false">IF(OR($AH573="",$W573=""),"",$AH573*365/MAX($W573,1))</f>
        <v/>
      </c>
      <c r="AJ573" s="14" t="str">
        <f aca="false">IF(OR($AE573="",$U573&lt;&gt;"Crédito",N($K573)=0),"",(N($K573)-IF(OR($M573="Cerrada",$M573="Rolada"),N($O573),0))/$K573)</f>
        <v/>
      </c>
      <c r="AK573" s="15" t="str">
        <f aca="false">IF(OR($C573="",$N573=""),"",DATE(YEAR($N573),MONTH($N573),1))</f>
        <v/>
      </c>
      <c r="AL573" s="11" t="str">
        <f aca="false">IF($C573="","",IF($M573="Abierta",0,1))</f>
        <v/>
      </c>
      <c r="AM573" s="16" t="str">
        <f aca="false">IF(OR($AE573="",$AD573=""),"",$AD573*MAX(N($X573),1))</f>
        <v/>
      </c>
      <c r="AN573" s="10" t="str">
        <f aca="false">IF($C573="","",IF(OR($B573="",$D573="",$H573="",$K573="",$M573=""),"Faltan datos obligatorios",IF($T573="","Estrategia no reconocida",IF(AND($M573&lt;&gt;"Abierta",$N573=""),"Falta fecha cierre",IF(AND(OR($M573="Cerrada",$M573="Rolada"),$O573=""),"Falta prima cierre",IF(AND($N573&lt;&gt;"",$N573&lt;$B573),"Cierre anterior a apertura",IF(AND($M573="Asignada",$R573=""),"Asignada: falta ID lote acciones",IF(AND($R573&lt;&gt;"",ISNA(MATCH($R573,Acciones!$A$2:$A$201,0))),"El ID lote no existe en Acciones",IF($AD573="","Revisa capital en riesgo","OK")))))))))</f>
        <v/>
      </c>
    </row>
    <row r="574" customFormat="false" ht="15" hidden="false" customHeight="true" outlineLevel="0" collapsed="false">
      <c r="A574" s="5"/>
      <c r="B574" s="6"/>
      <c r="C574" s="7"/>
      <c r="D574" s="7"/>
      <c r="E574" s="8"/>
      <c r="F574" s="8"/>
      <c r="G574" s="6"/>
      <c r="H574" s="5"/>
      <c r="I574" s="5" t="n">
        <v>100</v>
      </c>
      <c r="J574" s="8"/>
      <c r="K574" s="8"/>
      <c r="L574" s="9"/>
      <c r="M574" s="7"/>
      <c r="N574" s="6"/>
      <c r="O574" s="8"/>
      <c r="P574" s="9"/>
      <c r="Q574" s="9"/>
      <c r="R574" s="7"/>
      <c r="S574" s="7"/>
      <c r="T574" s="10" t="str">
        <f aca="false">IF($C574="","",IFERROR(INDEX(Listas!$B$2:$B$20,MATCH($D574,Listas!$A$2:$A$20,0)),""))</f>
        <v/>
      </c>
      <c r="U574" s="10" t="str">
        <f aca="false">IF($C574="","",IFERROR(INDEX(Listas!$C$2:$C$20,MATCH($D574,Listas!$A$2:$A$20,0)),""))</f>
        <v/>
      </c>
      <c r="V574" s="10" t="str">
        <f aca="false">IF($C574="","",IFERROR(INDEX(Listas!$D$2:$D$20,MATCH($D574,Listas!$A$2:$A$20,0)),""))</f>
        <v/>
      </c>
      <c r="W574" s="11" t="str">
        <f aca="false">IF(OR($C574="",$B574="",$G574=""),"",$G574-$B574)</f>
        <v/>
      </c>
      <c r="X574" s="11" t="str">
        <f aca="true">IF(OR($C574="",$B574=""),"",IF($N574&lt;&gt;"",$N574,TODAY())-$B574)</f>
        <v/>
      </c>
      <c r="Y574" s="11" t="str">
        <f aca="true">IF(OR($C574="",$M574&lt;&gt;"Abierta",$G574=""),"",MAX($G574-TODAY(),0))</f>
        <v/>
      </c>
      <c r="Z574" s="12" t="str">
        <f aca="false">IF($C574="","",N($K574)*N($H574)*N($I574)*IF($U574="Débito",-1,1))</f>
        <v/>
      </c>
      <c r="AA574" s="13" t="str">
        <f aca="false">IF($C574="","",IF(AND($U574="Débito",$F574&lt;&gt;""),$F574,$E574))</f>
        <v/>
      </c>
      <c r="AB574" s="13" t="str">
        <f aca="false">IF(OR($C574="",$T574="Mixta",$AA574=""),"",IF($V574="Subyacente",IF($J574="","",$J574-$K574),IF($T574="Put",$AA574-$K574,$AA574+$K574)))</f>
        <v/>
      </c>
      <c r="AC574" s="14" t="str">
        <f aca="false">IF(OR($C574="",$T574="Mixta",$J574="",$AA574=""),"",IF($T574="Put",($J574-$AA574)/$J574,($AA574-$J574)/$J574))</f>
        <v/>
      </c>
      <c r="AD574" s="12" t="str">
        <f aca="false">IF($C574="","",IF($Q574&lt;&gt;"",$Q574,IF($V574="Strike",N($E574)*$H574*$I574,IF($V574="Subyacente",IF($J574="","",$J574*$H574*$I574),IF($V574="Ancho",IF($F574="","",ABS($E574-$F574)*$H574*$I574-$K574*$H574*$I574),IF($V574="Prima",$K574*$H574*$I574,""))))))</f>
        <v/>
      </c>
      <c r="AE574" s="12" t="str">
        <f aca="false">IF(OR($C574="",$M574="Abierta",$M574=""),"",(N($K574)-IF(OR($M574="Cerrada",$M574="Rolada"),N($O574),0))*$H574*$I574*IF($U574="Débito",-1,1)-N($L574)-N($P574))</f>
        <v/>
      </c>
      <c r="AF574" s="14" t="str">
        <f aca="false">IF(OR($AE574="",$AD574=""),"",IF($AD574&lt;=0,"",$AE574/$AD574))</f>
        <v/>
      </c>
      <c r="AG574" s="14" t="str">
        <f aca="false">IF($AF574="","",$AF574*365/MAX(N($X574),1))</f>
        <v/>
      </c>
      <c r="AH574" s="14" t="str">
        <f aca="false">IF(OR($C574="",$U574&lt;&gt;"Crédito",$AD574=""),"",IF($AD574&lt;=0,"",($Z574-N($L574))/$AD574))</f>
        <v/>
      </c>
      <c r="AI574" s="14" t="str">
        <f aca="false">IF(OR($AH574="",$W574=""),"",$AH574*365/MAX($W574,1))</f>
        <v/>
      </c>
      <c r="AJ574" s="14" t="str">
        <f aca="false">IF(OR($AE574="",$U574&lt;&gt;"Crédito",N($K574)=0),"",(N($K574)-IF(OR($M574="Cerrada",$M574="Rolada"),N($O574),0))/$K574)</f>
        <v/>
      </c>
      <c r="AK574" s="15" t="str">
        <f aca="false">IF(OR($C574="",$N574=""),"",DATE(YEAR($N574),MONTH($N574),1))</f>
        <v/>
      </c>
      <c r="AL574" s="11" t="str">
        <f aca="false">IF($C574="","",IF($M574="Abierta",0,1))</f>
        <v/>
      </c>
      <c r="AM574" s="16" t="str">
        <f aca="false">IF(OR($AE574="",$AD574=""),"",$AD574*MAX(N($X574),1))</f>
        <v/>
      </c>
      <c r="AN574" s="10" t="str">
        <f aca="false">IF($C574="","",IF(OR($B574="",$D574="",$H574="",$K574="",$M574=""),"Faltan datos obligatorios",IF($T574="","Estrategia no reconocida",IF(AND($M574&lt;&gt;"Abierta",$N574=""),"Falta fecha cierre",IF(AND(OR($M574="Cerrada",$M574="Rolada"),$O574=""),"Falta prima cierre",IF(AND($N574&lt;&gt;"",$N574&lt;$B574),"Cierre anterior a apertura",IF(AND($M574="Asignada",$R574=""),"Asignada: falta ID lote acciones",IF(AND($R574&lt;&gt;"",ISNA(MATCH($R574,Acciones!$A$2:$A$201,0))),"El ID lote no existe en Acciones",IF($AD574="","Revisa capital en riesgo","OK")))))))))</f>
        <v/>
      </c>
    </row>
    <row r="575" customFormat="false" ht="15" hidden="false" customHeight="true" outlineLevel="0" collapsed="false">
      <c r="A575" s="5"/>
      <c r="B575" s="6"/>
      <c r="C575" s="7"/>
      <c r="D575" s="7"/>
      <c r="E575" s="8"/>
      <c r="F575" s="8"/>
      <c r="G575" s="6"/>
      <c r="H575" s="5"/>
      <c r="I575" s="5" t="n">
        <v>100</v>
      </c>
      <c r="J575" s="8"/>
      <c r="K575" s="8"/>
      <c r="L575" s="9"/>
      <c r="M575" s="7"/>
      <c r="N575" s="6"/>
      <c r="O575" s="8"/>
      <c r="P575" s="9"/>
      <c r="Q575" s="9"/>
      <c r="R575" s="7"/>
      <c r="S575" s="7"/>
      <c r="T575" s="10" t="str">
        <f aca="false">IF($C575="","",IFERROR(INDEX(Listas!$B$2:$B$20,MATCH($D575,Listas!$A$2:$A$20,0)),""))</f>
        <v/>
      </c>
      <c r="U575" s="10" t="str">
        <f aca="false">IF($C575="","",IFERROR(INDEX(Listas!$C$2:$C$20,MATCH($D575,Listas!$A$2:$A$20,0)),""))</f>
        <v/>
      </c>
      <c r="V575" s="10" t="str">
        <f aca="false">IF($C575="","",IFERROR(INDEX(Listas!$D$2:$D$20,MATCH($D575,Listas!$A$2:$A$20,0)),""))</f>
        <v/>
      </c>
      <c r="W575" s="11" t="str">
        <f aca="false">IF(OR($C575="",$B575="",$G575=""),"",$G575-$B575)</f>
        <v/>
      </c>
      <c r="X575" s="11" t="str">
        <f aca="true">IF(OR($C575="",$B575=""),"",IF($N575&lt;&gt;"",$N575,TODAY())-$B575)</f>
        <v/>
      </c>
      <c r="Y575" s="11" t="str">
        <f aca="true">IF(OR($C575="",$M575&lt;&gt;"Abierta",$G575=""),"",MAX($G575-TODAY(),0))</f>
        <v/>
      </c>
      <c r="Z575" s="12" t="str">
        <f aca="false">IF($C575="","",N($K575)*N($H575)*N($I575)*IF($U575="Débito",-1,1))</f>
        <v/>
      </c>
      <c r="AA575" s="13" t="str">
        <f aca="false">IF($C575="","",IF(AND($U575="Débito",$F575&lt;&gt;""),$F575,$E575))</f>
        <v/>
      </c>
      <c r="AB575" s="13" t="str">
        <f aca="false">IF(OR($C575="",$T575="Mixta",$AA575=""),"",IF($V575="Subyacente",IF($J575="","",$J575-$K575),IF($T575="Put",$AA575-$K575,$AA575+$K575)))</f>
        <v/>
      </c>
      <c r="AC575" s="14" t="str">
        <f aca="false">IF(OR($C575="",$T575="Mixta",$J575="",$AA575=""),"",IF($T575="Put",($J575-$AA575)/$J575,($AA575-$J575)/$J575))</f>
        <v/>
      </c>
      <c r="AD575" s="12" t="str">
        <f aca="false">IF($C575="","",IF($Q575&lt;&gt;"",$Q575,IF($V575="Strike",N($E575)*$H575*$I575,IF($V575="Subyacente",IF($J575="","",$J575*$H575*$I575),IF($V575="Ancho",IF($F575="","",ABS($E575-$F575)*$H575*$I575-$K575*$H575*$I575),IF($V575="Prima",$K575*$H575*$I575,""))))))</f>
        <v/>
      </c>
      <c r="AE575" s="12" t="str">
        <f aca="false">IF(OR($C575="",$M575="Abierta",$M575=""),"",(N($K575)-IF(OR($M575="Cerrada",$M575="Rolada"),N($O575),0))*$H575*$I575*IF($U575="Débito",-1,1)-N($L575)-N($P575))</f>
        <v/>
      </c>
      <c r="AF575" s="14" t="str">
        <f aca="false">IF(OR($AE575="",$AD575=""),"",IF($AD575&lt;=0,"",$AE575/$AD575))</f>
        <v/>
      </c>
      <c r="AG575" s="14" t="str">
        <f aca="false">IF($AF575="","",$AF575*365/MAX(N($X575),1))</f>
        <v/>
      </c>
      <c r="AH575" s="14" t="str">
        <f aca="false">IF(OR($C575="",$U575&lt;&gt;"Crédito",$AD575=""),"",IF($AD575&lt;=0,"",($Z575-N($L575))/$AD575))</f>
        <v/>
      </c>
      <c r="AI575" s="14" t="str">
        <f aca="false">IF(OR($AH575="",$W575=""),"",$AH575*365/MAX($W575,1))</f>
        <v/>
      </c>
      <c r="AJ575" s="14" t="str">
        <f aca="false">IF(OR($AE575="",$U575&lt;&gt;"Crédito",N($K575)=0),"",(N($K575)-IF(OR($M575="Cerrada",$M575="Rolada"),N($O575),0))/$K575)</f>
        <v/>
      </c>
      <c r="AK575" s="15" t="str">
        <f aca="false">IF(OR($C575="",$N575=""),"",DATE(YEAR($N575),MONTH($N575),1))</f>
        <v/>
      </c>
      <c r="AL575" s="11" t="str">
        <f aca="false">IF($C575="","",IF($M575="Abierta",0,1))</f>
        <v/>
      </c>
      <c r="AM575" s="16" t="str">
        <f aca="false">IF(OR($AE575="",$AD575=""),"",$AD575*MAX(N($X575),1))</f>
        <v/>
      </c>
      <c r="AN575" s="10" t="str">
        <f aca="false">IF($C575="","",IF(OR($B575="",$D575="",$H575="",$K575="",$M575=""),"Faltan datos obligatorios",IF($T575="","Estrategia no reconocida",IF(AND($M575&lt;&gt;"Abierta",$N575=""),"Falta fecha cierre",IF(AND(OR($M575="Cerrada",$M575="Rolada"),$O575=""),"Falta prima cierre",IF(AND($N575&lt;&gt;"",$N575&lt;$B575),"Cierre anterior a apertura",IF(AND($M575="Asignada",$R575=""),"Asignada: falta ID lote acciones",IF(AND($R575&lt;&gt;"",ISNA(MATCH($R575,Acciones!$A$2:$A$201,0))),"El ID lote no existe en Acciones",IF($AD575="","Revisa capital en riesgo","OK")))))))))</f>
        <v/>
      </c>
    </row>
    <row r="576" customFormat="false" ht="15" hidden="false" customHeight="true" outlineLevel="0" collapsed="false">
      <c r="A576" s="5"/>
      <c r="B576" s="6"/>
      <c r="C576" s="7"/>
      <c r="D576" s="7"/>
      <c r="E576" s="8"/>
      <c r="F576" s="8"/>
      <c r="G576" s="6"/>
      <c r="H576" s="5"/>
      <c r="I576" s="5" t="n">
        <v>100</v>
      </c>
      <c r="J576" s="8"/>
      <c r="K576" s="8"/>
      <c r="L576" s="9"/>
      <c r="M576" s="7"/>
      <c r="N576" s="6"/>
      <c r="O576" s="8"/>
      <c r="P576" s="9"/>
      <c r="Q576" s="9"/>
      <c r="R576" s="7"/>
      <c r="S576" s="7"/>
      <c r="T576" s="10" t="str">
        <f aca="false">IF($C576="","",IFERROR(INDEX(Listas!$B$2:$B$20,MATCH($D576,Listas!$A$2:$A$20,0)),""))</f>
        <v/>
      </c>
      <c r="U576" s="10" t="str">
        <f aca="false">IF($C576="","",IFERROR(INDEX(Listas!$C$2:$C$20,MATCH($D576,Listas!$A$2:$A$20,0)),""))</f>
        <v/>
      </c>
      <c r="V576" s="10" t="str">
        <f aca="false">IF($C576="","",IFERROR(INDEX(Listas!$D$2:$D$20,MATCH($D576,Listas!$A$2:$A$20,0)),""))</f>
        <v/>
      </c>
      <c r="W576" s="11" t="str">
        <f aca="false">IF(OR($C576="",$B576="",$G576=""),"",$G576-$B576)</f>
        <v/>
      </c>
      <c r="X576" s="11" t="str">
        <f aca="true">IF(OR($C576="",$B576=""),"",IF($N576&lt;&gt;"",$N576,TODAY())-$B576)</f>
        <v/>
      </c>
      <c r="Y576" s="11" t="str">
        <f aca="true">IF(OR($C576="",$M576&lt;&gt;"Abierta",$G576=""),"",MAX($G576-TODAY(),0))</f>
        <v/>
      </c>
      <c r="Z576" s="12" t="str">
        <f aca="false">IF($C576="","",N($K576)*N($H576)*N($I576)*IF($U576="Débito",-1,1))</f>
        <v/>
      </c>
      <c r="AA576" s="13" t="str">
        <f aca="false">IF($C576="","",IF(AND($U576="Débito",$F576&lt;&gt;""),$F576,$E576))</f>
        <v/>
      </c>
      <c r="AB576" s="13" t="str">
        <f aca="false">IF(OR($C576="",$T576="Mixta",$AA576=""),"",IF($V576="Subyacente",IF($J576="","",$J576-$K576),IF($T576="Put",$AA576-$K576,$AA576+$K576)))</f>
        <v/>
      </c>
      <c r="AC576" s="14" t="str">
        <f aca="false">IF(OR($C576="",$T576="Mixta",$J576="",$AA576=""),"",IF($T576="Put",($J576-$AA576)/$J576,($AA576-$J576)/$J576))</f>
        <v/>
      </c>
      <c r="AD576" s="12" t="str">
        <f aca="false">IF($C576="","",IF($Q576&lt;&gt;"",$Q576,IF($V576="Strike",N($E576)*$H576*$I576,IF($V576="Subyacente",IF($J576="","",$J576*$H576*$I576),IF($V576="Ancho",IF($F576="","",ABS($E576-$F576)*$H576*$I576-$K576*$H576*$I576),IF($V576="Prima",$K576*$H576*$I576,""))))))</f>
        <v/>
      </c>
      <c r="AE576" s="12" t="str">
        <f aca="false">IF(OR($C576="",$M576="Abierta",$M576=""),"",(N($K576)-IF(OR($M576="Cerrada",$M576="Rolada"),N($O576),0))*$H576*$I576*IF($U576="Débito",-1,1)-N($L576)-N($P576))</f>
        <v/>
      </c>
      <c r="AF576" s="14" t="str">
        <f aca="false">IF(OR($AE576="",$AD576=""),"",IF($AD576&lt;=0,"",$AE576/$AD576))</f>
        <v/>
      </c>
      <c r="AG576" s="14" t="str">
        <f aca="false">IF($AF576="","",$AF576*365/MAX(N($X576),1))</f>
        <v/>
      </c>
      <c r="AH576" s="14" t="str">
        <f aca="false">IF(OR($C576="",$U576&lt;&gt;"Crédito",$AD576=""),"",IF($AD576&lt;=0,"",($Z576-N($L576))/$AD576))</f>
        <v/>
      </c>
      <c r="AI576" s="14" t="str">
        <f aca="false">IF(OR($AH576="",$W576=""),"",$AH576*365/MAX($W576,1))</f>
        <v/>
      </c>
      <c r="AJ576" s="14" t="str">
        <f aca="false">IF(OR($AE576="",$U576&lt;&gt;"Crédito",N($K576)=0),"",(N($K576)-IF(OR($M576="Cerrada",$M576="Rolada"),N($O576),0))/$K576)</f>
        <v/>
      </c>
      <c r="AK576" s="15" t="str">
        <f aca="false">IF(OR($C576="",$N576=""),"",DATE(YEAR($N576),MONTH($N576),1))</f>
        <v/>
      </c>
      <c r="AL576" s="11" t="str">
        <f aca="false">IF($C576="","",IF($M576="Abierta",0,1))</f>
        <v/>
      </c>
      <c r="AM576" s="16" t="str">
        <f aca="false">IF(OR($AE576="",$AD576=""),"",$AD576*MAX(N($X576),1))</f>
        <v/>
      </c>
      <c r="AN576" s="10" t="str">
        <f aca="false">IF($C576="","",IF(OR($B576="",$D576="",$H576="",$K576="",$M576=""),"Faltan datos obligatorios",IF($T576="","Estrategia no reconocida",IF(AND($M576&lt;&gt;"Abierta",$N576=""),"Falta fecha cierre",IF(AND(OR($M576="Cerrada",$M576="Rolada"),$O576=""),"Falta prima cierre",IF(AND($N576&lt;&gt;"",$N576&lt;$B576),"Cierre anterior a apertura",IF(AND($M576="Asignada",$R576=""),"Asignada: falta ID lote acciones",IF(AND($R576&lt;&gt;"",ISNA(MATCH($R576,Acciones!$A$2:$A$201,0))),"El ID lote no existe en Acciones",IF($AD576="","Revisa capital en riesgo","OK")))))))))</f>
        <v/>
      </c>
    </row>
    <row r="577" customFormat="false" ht="15" hidden="false" customHeight="true" outlineLevel="0" collapsed="false">
      <c r="A577" s="5"/>
      <c r="B577" s="6"/>
      <c r="C577" s="7"/>
      <c r="D577" s="7"/>
      <c r="E577" s="8"/>
      <c r="F577" s="8"/>
      <c r="G577" s="6"/>
      <c r="H577" s="5"/>
      <c r="I577" s="5" t="n">
        <v>100</v>
      </c>
      <c r="J577" s="8"/>
      <c r="K577" s="8"/>
      <c r="L577" s="9"/>
      <c r="M577" s="7"/>
      <c r="N577" s="6"/>
      <c r="O577" s="8"/>
      <c r="P577" s="9"/>
      <c r="Q577" s="9"/>
      <c r="R577" s="7"/>
      <c r="S577" s="7"/>
      <c r="T577" s="10" t="str">
        <f aca="false">IF($C577="","",IFERROR(INDEX(Listas!$B$2:$B$20,MATCH($D577,Listas!$A$2:$A$20,0)),""))</f>
        <v/>
      </c>
      <c r="U577" s="10" t="str">
        <f aca="false">IF($C577="","",IFERROR(INDEX(Listas!$C$2:$C$20,MATCH($D577,Listas!$A$2:$A$20,0)),""))</f>
        <v/>
      </c>
      <c r="V577" s="10" t="str">
        <f aca="false">IF($C577="","",IFERROR(INDEX(Listas!$D$2:$D$20,MATCH($D577,Listas!$A$2:$A$20,0)),""))</f>
        <v/>
      </c>
      <c r="W577" s="11" t="str">
        <f aca="false">IF(OR($C577="",$B577="",$G577=""),"",$G577-$B577)</f>
        <v/>
      </c>
      <c r="X577" s="11" t="str">
        <f aca="true">IF(OR($C577="",$B577=""),"",IF($N577&lt;&gt;"",$N577,TODAY())-$B577)</f>
        <v/>
      </c>
      <c r="Y577" s="11" t="str">
        <f aca="true">IF(OR($C577="",$M577&lt;&gt;"Abierta",$G577=""),"",MAX($G577-TODAY(),0))</f>
        <v/>
      </c>
      <c r="Z577" s="12" t="str">
        <f aca="false">IF($C577="","",N($K577)*N($H577)*N($I577)*IF($U577="Débito",-1,1))</f>
        <v/>
      </c>
      <c r="AA577" s="13" t="str">
        <f aca="false">IF($C577="","",IF(AND($U577="Débito",$F577&lt;&gt;""),$F577,$E577))</f>
        <v/>
      </c>
      <c r="AB577" s="13" t="str">
        <f aca="false">IF(OR($C577="",$T577="Mixta",$AA577=""),"",IF($V577="Subyacente",IF($J577="","",$J577-$K577),IF($T577="Put",$AA577-$K577,$AA577+$K577)))</f>
        <v/>
      </c>
      <c r="AC577" s="14" t="str">
        <f aca="false">IF(OR($C577="",$T577="Mixta",$J577="",$AA577=""),"",IF($T577="Put",($J577-$AA577)/$J577,($AA577-$J577)/$J577))</f>
        <v/>
      </c>
      <c r="AD577" s="12" t="str">
        <f aca="false">IF($C577="","",IF($Q577&lt;&gt;"",$Q577,IF($V577="Strike",N($E577)*$H577*$I577,IF($V577="Subyacente",IF($J577="","",$J577*$H577*$I577),IF($V577="Ancho",IF($F577="","",ABS($E577-$F577)*$H577*$I577-$K577*$H577*$I577),IF($V577="Prima",$K577*$H577*$I577,""))))))</f>
        <v/>
      </c>
      <c r="AE577" s="12" t="str">
        <f aca="false">IF(OR($C577="",$M577="Abierta",$M577=""),"",(N($K577)-IF(OR($M577="Cerrada",$M577="Rolada"),N($O577),0))*$H577*$I577*IF($U577="Débito",-1,1)-N($L577)-N($P577))</f>
        <v/>
      </c>
      <c r="AF577" s="14" t="str">
        <f aca="false">IF(OR($AE577="",$AD577=""),"",IF($AD577&lt;=0,"",$AE577/$AD577))</f>
        <v/>
      </c>
      <c r="AG577" s="14" t="str">
        <f aca="false">IF($AF577="","",$AF577*365/MAX(N($X577),1))</f>
        <v/>
      </c>
      <c r="AH577" s="14" t="str">
        <f aca="false">IF(OR($C577="",$U577&lt;&gt;"Crédito",$AD577=""),"",IF($AD577&lt;=0,"",($Z577-N($L577))/$AD577))</f>
        <v/>
      </c>
      <c r="AI577" s="14" t="str">
        <f aca="false">IF(OR($AH577="",$W577=""),"",$AH577*365/MAX($W577,1))</f>
        <v/>
      </c>
      <c r="AJ577" s="14" t="str">
        <f aca="false">IF(OR($AE577="",$U577&lt;&gt;"Crédito",N($K577)=0),"",(N($K577)-IF(OR($M577="Cerrada",$M577="Rolada"),N($O577),0))/$K577)</f>
        <v/>
      </c>
      <c r="AK577" s="15" t="str">
        <f aca="false">IF(OR($C577="",$N577=""),"",DATE(YEAR($N577),MONTH($N577),1))</f>
        <v/>
      </c>
      <c r="AL577" s="11" t="str">
        <f aca="false">IF($C577="","",IF($M577="Abierta",0,1))</f>
        <v/>
      </c>
      <c r="AM577" s="16" t="str">
        <f aca="false">IF(OR($AE577="",$AD577=""),"",$AD577*MAX(N($X577),1))</f>
        <v/>
      </c>
      <c r="AN577" s="10" t="str">
        <f aca="false">IF($C577="","",IF(OR($B577="",$D577="",$H577="",$K577="",$M577=""),"Faltan datos obligatorios",IF($T577="","Estrategia no reconocida",IF(AND($M577&lt;&gt;"Abierta",$N577=""),"Falta fecha cierre",IF(AND(OR($M577="Cerrada",$M577="Rolada"),$O577=""),"Falta prima cierre",IF(AND($N577&lt;&gt;"",$N577&lt;$B577),"Cierre anterior a apertura",IF(AND($M577="Asignada",$R577=""),"Asignada: falta ID lote acciones",IF(AND($R577&lt;&gt;"",ISNA(MATCH($R577,Acciones!$A$2:$A$201,0))),"El ID lote no existe en Acciones",IF($AD577="","Revisa capital en riesgo","OK")))))))))</f>
        <v/>
      </c>
    </row>
    <row r="578" customFormat="false" ht="15" hidden="false" customHeight="true" outlineLevel="0" collapsed="false">
      <c r="A578" s="5"/>
      <c r="B578" s="6"/>
      <c r="C578" s="7"/>
      <c r="D578" s="7"/>
      <c r="E578" s="8"/>
      <c r="F578" s="8"/>
      <c r="G578" s="6"/>
      <c r="H578" s="5"/>
      <c r="I578" s="5" t="n">
        <v>100</v>
      </c>
      <c r="J578" s="8"/>
      <c r="K578" s="8"/>
      <c r="L578" s="9"/>
      <c r="M578" s="7"/>
      <c r="N578" s="6"/>
      <c r="O578" s="8"/>
      <c r="P578" s="9"/>
      <c r="Q578" s="9"/>
      <c r="R578" s="7"/>
      <c r="S578" s="7"/>
      <c r="T578" s="10" t="str">
        <f aca="false">IF($C578="","",IFERROR(INDEX(Listas!$B$2:$B$20,MATCH($D578,Listas!$A$2:$A$20,0)),""))</f>
        <v/>
      </c>
      <c r="U578" s="10" t="str">
        <f aca="false">IF($C578="","",IFERROR(INDEX(Listas!$C$2:$C$20,MATCH($D578,Listas!$A$2:$A$20,0)),""))</f>
        <v/>
      </c>
      <c r="V578" s="10" t="str">
        <f aca="false">IF($C578="","",IFERROR(INDEX(Listas!$D$2:$D$20,MATCH($D578,Listas!$A$2:$A$20,0)),""))</f>
        <v/>
      </c>
      <c r="W578" s="11" t="str">
        <f aca="false">IF(OR($C578="",$B578="",$G578=""),"",$G578-$B578)</f>
        <v/>
      </c>
      <c r="X578" s="11" t="str">
        <f aca="true">IF(OR($C578="",$B578=""),"",IF($N578&lt;&gt;"",$N578,TODAY())-$B578)</f>
        <v/>
      </c>
      <c r="Y578" s="11" t="str">
        <f aca="true">IF(OR($C578="",$M578&lt;&gt;"Abierta",$G578=""),"",MAX($G578-TODAY(),0))</f>
        <v/>
      </c>
      <c r="Z578" s="12" t="str">
        <f aca="false">IF($C578="","",N($K578)*N($H578)*N($I578)*IF($U578="Débito",-1,1))</f>
        <v/>
      </c>
      <c r="AA578" s="13" t="str">
        <f aca="false">IF($C578="","",IF(AND($U578="Débito",$F578&lt;&gt;""),$F578,$E578))</f>
        <v/>
      </c>
      <c r="AB578" s="13" t="str">
        <f aca="false">IF(OR($C578="",$T578="Mixta",$AA578=""),"",IF($V578="Subyacente",IF($J578="","",$J578-$K578),IF($T578="Put",$AA578-$K578,$AA578+$K578)))</f>
        <v/>
      </c>
      <c r="AC578" s="14" t="str">
        <f aca="false">IF(OR($C578="",$T578="Mixta",$J578="",$AA578=""),"",IF($T578="Put",($J578-$AA578)/$J578,($AA578-$J578)/$J578))</f>
        <v/>
      </c>
      <c r="AD578" s="12" t="str">
        <f aca="false">IF($C578="","",IF($Q578&lt;&gt;"",$Q578,IF($V578="Strike",N($E578)*$H578*$I578,IF($V578="Subyacente",IF($J578="","",$J578*$H578*$I578),IF($V578="Ancho",IF($F578="","",ABS($E578-$F578)*$H578*$I578-$K578*$H578*$I578),IF($V578="Prima",$K578*$H578*$I578,""))))))</f>
        <v/>
      </c>
      <c r="AE578" s="12" t="str">
        <f aca="false">IF(OR($C578="",$M578="Abierta",$M578=""),"",(N($K578)-IF(OR($M578="Cerrada",$M578="Rolada"),N($O578),0))*$H578*$I578*IF($U578="Débito",-1,1)-N($L578)-N($P578))</f>
        <v/>
      </c>
      <c r="AF578" s="14" t="str">
        <f aca="false">IF(OR($AE578="",$AD578=""),"",IF($AD578&lt;=0,"",$AE578/$AD578))</f>
        <v/>
      </c>
      <c r="AG578" s="14" t="str">
        <f aca="false">IF($AF578="","",$AF578*365/MAX(N($X578),1))</f>
        <v/>
      </c>
      <c r="AH578" s="14" t="str">
        <f aca="false">IF(OR($C578="",$U578&lt;&gt;"Crédito",$AD578=""),"",IF($AD578&lt;=0,"",($Z578-N($L578))/$AD578))</f>
        <v/>
      </c>
      <c r="AI578" s="14" t="str">
        <f aca="false">IF(OR($AH578="",$W578=""),"",$AH578*365/MAX($W578,1))</f>
        <v/>
      </c>
      <c r="AJ578" s="14" t="str">
        <f aca="false">IF(OR($AE578="",$U578&lt;&gt;"Crédito",N($K578)=0),"",(N($K578)-IF(OR($M578="Cerrada",$M578="Rolada"),N($O578),0))/$K578)</f>
        <v/>
      </c>
      <c r="AK578" s="15" t="str">
        <f aca="false">IF(OR($C578="",$N578=""),"",DATE(YEAR($N578),MONTH($N578),1))</f>
        <v/>
      </c>
      <c r="AL578" s="11" t="str">
        <f aca="false">IF($C578="","",IF($M578="Abierta",0,1))</f>
        <v/>
      </c>
      <c r="AM578" s="16" t="str">
        <f aca="false">IF(OR($AE578="",$AD578=""),"",$AD578*MAX(N($X578),1))</f>
        <v/>
      </c>
      <c r="AN578" s="10" t="str">
        <f aca="false">IF($C578="","",IF(OR($B578="",$D578="",$H578="",$K578="",$M578=""),"Faltan datos obligatorios",IF($T578="","Estrategia no reconocida",IF(AND($M578&lt;&gt;"Abierta",$N578=""),"Falta fecha cierre",IF(AND(OR($M578="Cerrada",$M578="Rolada"),$O578=""),"Falta prima cierre",IF(AND($N578&lt;&gt;"",$N578&lt;$B578),"Cierre anterior a apertura",IF(AND($M578="Asignada",$R578=""),"Asignada: falta ID lote acciones",IF(AND($R578&lt;&gt;"",ISNA(MATCH($R578,Acciones!$A$2:$A$201,0))),"El ID lote no existe en Acciones",IF($AD578="","Revisa capital en riesgo","OK")))))))))</f>
        <v/>
      </c>
    </row>
    <row r="579" customFormat="false" ht="15" hidden="false" customHeight="true" outlineLevel="0" collapsed="false">
      <c r="A579" s="5"/>
      <c r="B579" s="6"/>
      <c r="C579" s="7"/>
      <c r="D579" s="7"/>
      <c r="E579" s="8"/>
      <c r="F579" s="8"/>
      <c r="G579" s="6"/>
      <c r="H579" s="5"/>
      <c r="I579" s="5" t="n">
        <v>100</v>
      </c>
      <c r="J579" s="8"/>
      <c r="K579" s="8"/>
      <c r="L579" s="9"/>
      <c r="M579" s="7"/>
      <c r="N579" s="6"/>
      <c r="O579" s="8"/>
      <c r="P579" s="9"/>
      <c r="Q579" s="9"/>
      <c r="R579" s="7"/>
      <c r="S579" s="7"/>
      <c r="T579" s="10" t="str">
        <f aca="false">IF($C579="","",IFERROR(INDEX(Listas!$B$2:$B$20,MATCH($D579,Listas!$A$2:$A$20,0)),""))</f>
        <v/>
      </c>
      <c r="U579" s="10" t="str">
        <f aca="false">IF($C579="","",IFERROR(INDEX(Listas!$C$2:$C$20,MATCH($D579,Listas!$A$2:$A$20,0)),""))</f>
        <v/>
      </c>
      <c r="V579" s="10" t="str">
        <f aca="false">IF($C579="","",IFERROR(INDEX(Listas!$D$2:$D$20,MATCH($D579,Listas!$A$2:$A$20,0)),""))</f>
        <v/>
      </c>
      <c r="W579" s="11" t="str">
        <f aca="false">IF(OR($C579="",$B579="",$G579=""),"",$G579-$B579)</f>
        <v/>
      </c>
      <c r="X579" s="11" t="str">
        <f aca="true">IF(OR($C579="",$B579=""),"",IF($N579&lt;&gt;"",$N579,TODAY())-$B579)</f>
        <v/>
      </c>
      <c r="Y579" s="11" t="str">
        <f aca="true">IF(OR($C579="",$M579&lt;&gt;"Abierta",$G579=""),"",MAX($G579-TODAY(),0))</f>
        <v/>
      </c>
      <c r="Z579" s="12" t="str">
        <f aca="false">IF($C579="","",N($K579)*N($H579)*N($I579)*IF($U579="Débito",-1,1))</f>
        <v/>
      </c>
      <c r="AA579" s="13" t="str">
        <f aca="false">IF($C579="","",IF(AND($U579="Débito",$F579&lt;&gt;""),$F579,$E579))</f>
        <v/>
      </c>
      <c r="AB579" s="13" t="str">
        <f aca="false">IF(OR($C579="",$T579="Mixta",$AA579=""),"",IF($V579="Subyacente",IF($J579="","",$J579-$K579),IF($T579="Put",$AA579-$K579,$AA579+$K579)))</f>
        <v/>
      </c>
      <c r="AC579" s="14" t="str">
        <f aca="false">IF(OR($C579="",$T579="Mixta",$J579="",$AA579=""),"",IF($T579="Put",($J579-$AA579)/$J579,($AA579-$J579)/$J579))</f>
        <v/>
      </c>
      <c r="AD579" s="12" t="str">
        <f aca="false">IF($C579="","",IF($Q579&lt;&gt;"",$Q579,IF($V579="Strike",N($E579)*$H579*$I579,IF($V579="Subyacente",IF($J579="","",$J579*$H579*$I579),IF($V579="Ancho",IF($F579="","",ABS($E579-$F579)*$H579*$I579-$K579*$H579*$I579),IF($V579="Prima",$K579*$H579*$I579,""))))))</f>
        <v/>
      </c>
      <c r="AE579" s="12" t="str">
        <f aca="false">IF(OR($C579="",$M579="Abierta",$M579=""),"",(N($K579)-IF(OR($M579="Cerrada",$M579="Rolada"),N($O579),0))*$H579*$I579*IF($U579="Débito",-1,1)-N($L579)-N($P579))</f>
        <v/>
      </c>
      <c r="AF579" s="14" t="str">
        <f aca="false">IF(OR($AE579="",$AD579=""),"",IF($AD579&lt;=0,"",$AE579/$AD579))</f>
        <v/>
      </c>
      <c r="AG579" s="14" t="str">
        <f aca="false">IF($AF579="","",$AF579*365/MAX(N($X579),1))</f>
        <v/>
      </c>
      <c r="AH579" s="14" t="str">
        <f aca="false">IF(OR($C579="",$U579&lt;&gt;"Crédito",$AD579=""),"",IF($AD579&lt;=0,"",($Z579-N($L579))/$AD579))</f>
        <v/>
      </c>
      <c r="AI579" s="14" t="str">
        <f aca="false">IF(OR($AH579="",$W579=""),"",$AH579*365/MAX($W579,1))</f>
        <v/>
      </c>
      <c r="AJ579" s="14" t="str">
        <f aca="false">IF(OR($AE579="",$U579&lt;&gt;"Crédito",N($K579)=0),"",(N($K579)-IF(OR($M579="Cerrada",$M579="Rolada"),N($O579),0))/$K579)</f>
        <v/>
      </c>
      <c r="AK579" s="15" t="str">
        <f aca="false">IF(OR($C579="",$N579=""),"",DATE(YEAR($N579),MONTH($N579),1))</f>
        <v/>
      </c>
      <c r="AL579" s="11" t="str">
        <f aca="false">IF($C579="","",IF($M579="Abierta",0,1))</f>
        <v/>
      </c>
      <c r="AM579" s="16" t="str">
        <f aca="false">IF(OR($AE579="",$AD579=""),"",$AD579*MAX(N($X579),1))</f>
        <v/>
      </c>
      <c r="AN579" s="10" t="str">
        <f aca="false">IF($C579="","",IF(OR($B579="",$D579="",$H579="",$K579="",$M579=""),"Faltan datos obligatorios",IF($T579="","Estrategia no reconocida",IF(AND($M579&lt;&gt;"Abierta",$N579=""),"Falta fecha cierre",IF(AND(OR($M579="Cerrada",$M579="Rolada"),$O579=""),"Falta prima cierre",IF(AND($N579&lt;&gt;"",$N579&lt;$B579),"Cierre anterior a apertura",IF(AND($M579="Asignada",$R579=""),"Asignada: falta ID lote acciones",IF(AND($R579&lt;&gt;"",ISNA(MATCH($R579,Acciones!$A$2:$A$201,0))),"El ID lote no existe en Acciones",IF($AD579="","Revisa capital en riesgo","OK")))))))))</f>
        <v/>
      </c>
    </row>
    <row r="580" customFormat="false" ht="15" hidden="false" customHeight="true" outlineLevel="0" collapsed="false">
      <c r="A580" s="5"/>
      <c r="B580" s="6"/>
      <c r="C580" s="7"/>
      <c r="D580" s="7"/>
      <c r="E580" s="8"/>
      <c r="F580" s="8"/>
      <c r="G580" s="6"/>
      <c r="H580" s="5"/>
      <c r="I580" s="5" t="n">
        <v>100</v>
      </c>
      <c r="J580" s="8"/>
      <c r="K580" s="8"/>
      <c r="L580" s="9"/>
      <c r="M580" s="7"/>
      <c r="N580" s="6"/>
      <c r="O580" s="8"/>
      <c r="P580" s="9"/>
      <c r="Q580" s="9"/>
      <c r="R580" s="7"/>
      <c r="S580" s="7"/>
      <c r="T580" s="10" t="str">
        <f aca="false">IF($C580="","",IFERROR(INDEX(Listas!$B$2:$B$20,MATCH($D580,Listas!$A$2:$A$20,0)),""))</f>
        <v/>
      </c>
      <c r="U580" s="10" t="str">
        <f aca="false">IF($C580="","",IFERROR(INDEX(Listas!$C$2:$C$20,MATCH($D580,Listas!$A$2:$A$20,0)),""))</f>
        <v/>
      </c>
      <c r="V580" s="10" t="str">
        <f aca="false">IF($C580="","",IFERROR(INDEX(Listas!$D$2:$D$20,MATCH($D580,Listas!$A$2:$A$20,0)),""))</f>
        <v/>
      </c>
      <c r="W580" s="11" t="str">
        <f aca="false">IF(OR($C580="",$B580="",$G580=""),"",$G580-$B580)</f>
        <v/>
      </c>
      <c r="X580" s="11" t="str">
        <f aca="true">IF(OR($C580="",$B580=""),"",IF($N580&lt;&gt;"",$N580,TODAY())-$B580)</f>
        <v/>
      </c>
      <c r="Y580" s="11" t="str">
        <f aca="true">IF(OR($C580="",$M580&lt;&gt;"Abierta",$G580=""),"",MAX($G580-TODAY(),0))</f>
        <v/>
      </c>
      <c r="Z580" s="12" t="str">
        <f aca="false">IF($C580="","",N($K580)*N($H580)*N($I580)*IF($U580="Débito",-1,1))</f>
        <v/>
      </c>
      <c r="AA580" s="13" t="str">
        <f aca="false">IF($C580="","",IF(AND($U580="Débito",$F580&lt;&gt;""),$F580,$E580))</f>
        <v/>
      </c>
      <c r="AB580" s="13" t="str">
        <f aca="false">IF(OR($C580="",$T580="Mixta",$AA580=""),"",IF($V580="Subyacente",IF($J580="","",$J580-$K580),IF($T580="Put",$AA580-$K580,$AA580+$K580)))</f>
        <v/>
      </c>
      <c r="AC580" s="14" t="str">
        <f aca="false">IF(OR($C580="",$T580="Mixta",$J580="",$AA580=""),"",IF($T580="Put",($J580-$AA580)/$J580,($AA580-$J580)/$J580))</f>
        <v/>
      </c>
      <c r="AD580" s="12" t="str">
        <f aca="false">IF($C580="","",IF($Q580&lt;&gt;"",$Q580,IF($V580="Strike",N($E580)*$H580*$I580,IF($V580="Subyacente",IF($J580="","",$J580*$H580*$I580),IF($V580="Ancho",IF($F580="","",ABS($E580-$F580)*$H580*$I580-$K580*$H580*$I580),IF($V580="Prima",$K580*$H580*$I580,""))))))</f>
        <v/>
      </c>
      <c r="AE580" s="12" t="str">
        <f aca="false">IF(OR($C580="",$M580="Abierta",$M580=""),"",(N($K580)-IF(OR($M580="Cerrada",$M580="Rolada"),N($O580),0))*$H580*$I580*IF($U580="Débito",-1,1)-N($L580)-N($P580))</f>
        <v/>
      </c>
      <c r="AF580" s="14" t="str">
        <f aca="false">IF(OR($AE580="",$AD580=""),"",IF($AD580&lt;=0,"",$AE580/$AD580))</f>
        <v/>
      </c>
      <c r="AG580" s="14" t="str">
        <f aca="false">IF($AF580="","",$AF580*365/MAX(N($X580),1))</f>
        <v/>
      </c>
      <c r="AH580" s="14" t="str">
        <f aca="false">IF(OR($C580="",$U580&lt;&gt;"Crédito",$AD580=""),"",IF($AD580&lt;=0,"",($Z580-N($L580))/$AD580))</f>
        <v/>
      </c>
      <c r="AI580" s="14" t="str">
        <f aca="false">IF(OR($AH580="",$W580=""),"",$AH580*365/MAX($W580,1))</f>
        <v/>
      </c>
      <c r="AJ580" s="14" t="str">
        <f aca="false">IF(OR($AE580="",$U580&lt;&gt;"Crédito",N($K580)=0),"",(N($K580)-IF(OR($M580="Cerrada",$M580="Rolada"),N($O580),0))/$K580)</f>
        <v/>
      </c>
      <c r="AK580" s="15" t="str">
        <f aca="false">IF(OR($C580="",$N580=""),"",DATE(YEAR($N580),MONTH($N580),1))</f>
        <v/>
      </c>
      <c r="AL580" s="11" t="str">
        <f aca="false">IF($C580="","",IF($M580="Abierta",0,1))</f>
        <v/>
      </c>
      <c r="AM580" s="16" t="str">
        <f aca="false">IF(OR($AE580="",$AD580=""),"",$AD580*MAX(N($X580),1))</f>
        <v/>
      </c>
      <c r="AN580" s="10" t="str">
        <f aca="false">IF($C580="","",IF(OR($B580="",$D580="",$H580="",$K580="",$M580=""),"Faltan datos obligatorios",IF($T580="","Estrategia no reconocida",IF(AND($M580&lt;&gt;"Abierta",$N580=""),"Falta fecha cierre",IF(AND(OR($M580="Cerrada",$M580="Rolada"),$O580=""),"Falta prima cierre",IF(AND($N580&lt;&gt;"",$N580&lt;$B580),"Cierre anterior a apertura",IF(AND($M580="Asignada",$R580=""),"Asignada: falta ID lote acciones",IF(AND($R580&lt;&gt;"",ISNA(MATCH($R580,Acciones!$A$2:$A$201,0))),"El ID lote no existe en Acciones",IF($AD580="","Revisa capital en riesgo","OK")))))))))</f>
        <v/>
      </c>
    </row>
    <row r="581" customFormat="false" ht="15" hidden="false" customHeight="true" outlineLevel="0" collapsed="false">
      <c r="A581" s="5"/>
      <c r="B581" s="6"/>
      <c r="C581" s="7"/>
      <c r="D581" s="7"/>
      <c r="E581" s="8"/>
      <c r="F581" s="8"/>
      <c r="G581" s="6"/>
      <c r="H581" s="5"/>
      <c r="I581" s="5" t="n">
        <v>100</v>
      </c>
      <c r="J581" s="8"/>
      <c r="K581" s="8"/>
      <c r="L581" s="9"/>
      <c r="M581" s="7"/>
      <c r="N581" s="6"/>
      <c r="O581" s="8"/>
      <c r="P581" s="9"/>
      <c r="Q581" s="9"/>
      <c r="R581" s="7"/>
      <c r="S581" s="7"/>
      <c r="T581" s="10" t="str">
        <f aca="false">IF($C581="","",IFERROR(INDEX(Listas!$B$2:$B$20,MATCH($D581,Listas!$A$2:$A$20,0)),""))</f>
        <v/>
      </c>
      <c r="U581" s="10" t="str">
        <f aca="false">IF($C581="","",IFERROR(INDEX(Listas!$C$2:$C$20,MATCH($D581,Listas!$A$2:$A$20,0)),""))</f>
        <v/>
      </c>
      <c r="V581" s="10" t="str">
        <f aca="false">IF($C581="","",IFERROR(INDEX(Listas!$D$2:$D$20,MATCH($D581,Listas!$A$2:$A$20,0)),""))</f>
        <v/>
      </c>
      <c r="W581" s="11" t="str">
        <f aca="false">IF(OR($C581="",$B581="",$G581=""),"",$G581-$B581)</f>
        <v/>
      </c>
      <c r="X581" s="11" t="str">
        <f aca="true">IF(OR($C581="",$B581=""),"",IF($N581&lt;&gt;"",$N581,TODAY())-$B581)</f>
        <v/>
      </c>
      <c r="Y581" s="11" t="str">
        <f aca="true">IF(OR($C581="",$M581&lt;&gt;"Abierta",$G581=""),"",MAX($G581-TODAY(),0))</f>
        <v/>
      </c>
      <c r="Z581" s="12" t="str">
        <f aca="false">IF($C581="","",N($K581)*N($H581)*N($I581)*IF($U581="Débito",-1,1))</f>
        <v/>
      </c>
      <c r="AA581" s="13" t="str">
        <f aca="false">IF($C581="","",IF(AND($U581="Débito",$F581&lt;&gt;""),$F581,$E581))</f>
        <v/>
      </c>
      <c r="AB581" s="13" t="str">
        <f aca="false">IF(OR($C581="",$T581="Mixta",$AA581=""),"",IF($V581="Subyacente",IF($J581="","",$J581-$K581),IF($T581="Put",$AA581-$K581,$AA581+$K581)))</f>
        <v/>
      </c>
      <c r="AC581" s="14" t="str">
        <f aca="false">IF(OR($C581="",$T581="Mixta",$J581="",$AA581=""),"",IF($T581="Put",($J581-$AA581)/$J581,($AA581-$J581)/$J581))</f>
        <v/>
      </c>
      <c r="AD581" s="12" t="str">
        <f aca="false">IF($C581="","",IF($Q581&lt;&gt;"",$Q581,IF($V581="Strike",N($E581)*$H581*$I581,IF($V581="Subyacente",IF($J581="","",$J581*$H581*$I581),IF($V581="Ancho",IF($F581="","",ABS($E581-$F581)*$H581*$I581-$K581*$H581*$I581),IF($V581="Prima",$K581*$H581*$I581,""))))))</f>
        <v/>
      </c>
      <c r="AE581" s="12" t="str">
        <f aca="false">IF(OR($C581="",$M581="Abierta",$M581=""),"",(N($K581)-IF(OR($M581="Cerrada",$M581="Rolada"),N($O581),0))*$H581*$I581*IF($U581="Débito",-1,1)-N($L581)-N($P581))</f>
        <v/>
      </c>
      <c r="AF581" s="14" t="str">
        <f aca="false">IF(OR($AE581="",$AD581=""),"",IF($AD581&lt;=0,"",$AE581/$AD581))</f>
        <v/>
      </c>
      <c r="AG581" s="14" t="str">
        <f aca="false">IF($AF581="","",$AF581*365/MAX(N($X581),1))</f>
        <v/>
      </c>
      <c r="AH581" s="14" t="str">
        <f aca="false">IF(OR($C581="",$U581&lt;&gt;"Crédito",$AD581=""),"",IF($AD581&lt;=0,"",($Z581-N($L581))/$AD581))</f>
        <v/>
      </c>
      <c r="AI581" s="14" t="str">
        <f aca="false">IF(OR($AH581="",$W581=""),"",$AH581*365/MAX($W581,1))</f>
        <v/>
      </c>
      <c r="AJ581" s="14" t="str">
        <f aca="false">IF(OR($AE581="",$U581&lt;&gt;"Crédito",N($K581)=0),"",(N($K581)-IF(OR($M581="Cerrada",$M581="Rolada"),N($O581),0))/$K581)</f>
        <v/>
      </c>
      <c r="AK581" s="15" t="str">
        <f aca="false">IF(OR($C581="",$N581=""),"",DATE(YEAR($N581),MONTH($N581),1))</f>
        <v/>
      </c>
      <c r="AL581" s="11" t="str">
        <f aca="false">IF($C581="","",IF($M581="Abierta",0,1))</f>
        <v/>
      </c>
      <c r="AM581" s="16" t="str">
        <f aca="false">IF(OR($AE581="",$AD581=""),"",$AD581*MAX(N($X581),1))</f>
        <v/>
      </c>
      <c r="AN581" s="10" t="str">
        <f aca="false">IF($C581="","",IF(OR($B581="",$D581="",$H581="",$K581="",$M581=""),"Faltan datos obligatorios",IF($T581="","Estrategia no reconocida",IF(AND($M581&lt;&gt;"Abierta",$N581=""),"Falta fecha cierre",IF(AND(OR($M581="Cerrada",$M581="Rolada"),$O581=""),"Falta prima cierre",IF(AND($N581&lt;&gt;"",$N581&lt;$B581),"Cierre anterior a apertura",IF(AND($M581="Asignada",$R581=""),"Asignada: falta ID lote acciones",IF(AND($R581&lt;&gt;"",ISNA(MATCH($R581,Acciones!$A$2:$A$201,0))),"El ID lote no existe en Acciones",IF($AD581="","Revisa capital en riesgo","OK")))))))))</f>
        <v/>
      </c>
    </row>
    <row r="582" customFormat="false" ht="15" hidden="false" customHeight="true" outlineLevel="0" collapsed="false">
      <c r="A582" s="5"/>
      <c r="B582" s="6"/>
      <c r="C582" s="7"/>
      <c r="D582" s="7"/>
      <c r="E582" s="8"/>
      <c r="F582" s="8"/>
      <c r="G582" s="6"/>
      <c r="H582" s="5"/>
      <c r="I582" s="5" t="n">
        <v>100</v>
      </c>
      <c r="J582" s="8"/>
      <c r="K582" s="8"/>
      <c r="L582" s="9"/>
      <c r="M582" s="7"/>
      <c r="N582" s="6"/>
      <c r="O582" s="8"/>
      <c r="P582" s="9"/>
      <c r="Q582" s="9"/>
      <c r="R582" s="7"/>
      <c r="S582" s="7"/>
      <c r="T582" s="10" t="str">
        <f aca="false">IF($C582="","",IFERROR(INDEX(Listas!$B$2:$B$20,MATCH($D582,Listas!$A$2:$A$20,0)),""))</f>
        <v/>
      </c>
      <c r="U582" s="10" t="str">
        <f aca="false">IF($C582="","",IFERROR(INDEX(Listas!$C$2:$C$20,MATCH($D582,Listas!$A$2:$A$20,0)),""))</f>
        <v/>
      </c>
      <c r="V582" s="10" t="str">
        <f aca="false">IF($C582="","",IFERROR(INDEX(Listas!$D$2:$D$20,MATCH($D582,Listas!$A$2:$A$20,0)),""))</f>
        <v/>
      </c>
      <c r="W582" s="11" t="str">
        <f aca="false">IF(OR($C582="",$B582="",$G582=""),"",$G582-$B582)</f>
        <v/>
      </c>
      <c r="X582" s="11" t="str">
        <f aca="true">IF(OR($C582="",$B582=""),"",IF($N582&lt;&gt;"",$N582,TODAY())-$B582)</f>
        <v/>
      </c>
      <c r="Y582" s="11" t="str">
        <f aca="true">IF(OR($C582="",$M582&lt;&gt;"Abierta",$G582=""),"",MAX($G582-TODAY(),0))</f>
        <v/>
      </c>
      <c r="Z582" s="12" t="str">
        <f aca="false">IF($C582="","",N($K582)*N($H582)*N($I582)*IF($U582="Débito",-1,1))</f>
        <v/>
      </c>
      <c r="AA582" s="13" t="str">
        <f aca="false">IF($C582="","",IF(AND($U582="Débito",$F582&lt;&gt;""),$F582,$E582))</f>
        <v/>
      </c>
      <c r="AB582" s="13" t="str">
        <f aca="false">IF(OR($C582="",$T582="Mixta",$AA582=""),"",IF($V582="Subyacente",IF($J582="","",$J582-$K582),IF($T582="Put",$AA582-$K582,$AA582+$K582)))</f>
        <v/>
      </c>
      <c r="AC582" s="14" t="str">
        <f aca="false">IF(OR($C582="",$T582="Mixta",$J582="",$AA582=""),"",IF($T582="Put",($J582-$AA582)/$J582,($AA582-$J582)/$J582))</f>
        <v/>
      </c>
      <c r="AD582" s="12" t="str">
        <f aca="false">IF($C582="","",IF($Q582&lt;&gt;"",$Q582,IF($V582="Strike",N($E582)*$H582*$I582,IF($V582="Subyacente",IF($J582="","",$J582*$H582*$I582),IF($V582="Ancho",IF($F582="","",ABS($E582-$F582)*$H582*$I582-$K582*$H582*$I582),IF($V582="Prima",$K582*$H582*$I582,""))))))</f>
        <v/>
      </c>
      <c r="AE582" s="12" t="str">
        <f aca="false">IF(OR($C582="",$M582="Abierta",$M582=""),"",(N($K582)-IF(OR($M582="Cerrada",$M582="Rolada"),N($O582),0))*$H582*$I582*IF($U582="Débito",-1,1)-N($L582)-N($P582))</f>
        <v/>
      </c>
      <c r="AF582" s="14" t="str">
        <f aca="false">IF(OR($AE582="",$AD582=""),"",IF($AD582&lt;=0,"",$AE582/$AD582))</f>
        <v/>
      </c>
      <c r="AG582" s="14" t="str">
        <f aca="false">IF($AF582="","",$AF582*365/MAX(N($X582),1))</f>
        <v/>
      </c>
      <c r="AH582" s="14" t="str">
        <f aca="false">IF(OR($C582="",$U582&lt;&gt;"Crédito",$AD582=""),"",IF($AD582&lt;=0,"",($Z582-N($L582))/$AD582))</f>
        <v/>
      </c>
      <c r="AI582" s="14" t="str">
        <f aca="false">IF(OR($AH582="",$W582=""),"",$AH582*365/MAX($W582,1))</f>
        <v/>
      </c>
      <c r="AJ582" s="14" t="str">
        <f aca="false">IF(OR($AE582="",$U582&lt;&gt;"Crédito",N($K582)=0),"",(N($K582)-IF(OR($M582="Cerrada",$M582="Rolada"),N($O582),0))/$K582)</f>
        <v/>
      </c>
      <c r="AK582" s="15" t="str">
        <f aca="false">IF(OR($C582="",$N582=""),"",DATE(YEAR($N582),MONTH($N582),1))</f>
        <v/>
      </c>
      <c r="AL582" s="11" t="str">
        <f aca="false">IF($C582="","",IF($M582="Abierta",0,1))</f>
        <v/>
      </c>
      <c r="AM582" s="16" t="str">
        <f aca="false">IF(OR($AE582="",$AD582=""),"",$AD582*MAX(N($X582),1))</f>
        <v/>
      </c>
      <c r="AN582" s="10" t="str">
        <f aca="false">IF($C582="","",IF(OR($B582="",$D582="",$H582="",$K582="",$M582=""),"Faltan datos obligatorios",IF($T582="","Estrategia no reconocida",IF(AND($M582&lt;&gt;"Abierta",$N582=""),"Falta fecha cierre",IF(AND(OR($M582="Cerrada",$M582="Rolada"),$O582=""),"Falta prima cierre",IF(AND($N582&lt;&gt;"",$N582&lt;$B582),"Cierre anterior a apertura",IF(AND($M582="Asignada",$R582=""),"Asignada: falta ID lote acciones",IF(AND($R582&lt;&gt;"",ISNA(MATCH($R582,Acciones!$A$2:$A$201,0))),"El ID lote no existe en Acciones",IF($AD582="","Revisa capital en riesgo","OK")))))))))</f>
        <v/>
      </c>
    </row>
    <row r="583" customFormat="false" ht="15" hidden="false" customHeight="true" outlineLevel="0" collapsed="false">
      <c r="A583" s="5"/>
      <c r="B583" s="6"/>
      <c r="C583" s="7"/>
      <c r="D583" s="7"/>
      <c r="E583" s="8"/>
      <c r="F583" s="8"/>
      <c r="G583" s="6"/>
      <c r="H583" s="5"/>
      <c r="I583" s="5" t="n">
        <v>100</v>
      </c>
      <c r="J583" s="8"/>
      <c r="K583" s="8"/>
      <c r="L583" s="9"/>
      <c r="M583" s="7"/>
      <c r="N583" s="6"/>
      <c r="O583" s="8"/>
      <c r="P583" s="9"/>
      <c r="Q583" s="9"/>
      <c r="R583" s="7"/>
      <c r="S583" s="7"/>
      <c r="T583" s="10" t="str">
        <f aca="false">IF($C583="","",IFERROR(INDEX(Listas!$B$2:$B$20,MATCH($D583,Listas!$A$2:$A$20,0)),""))</f>
        <v/>
      </c>
      <c r="U583" s="10" t="str">
        <f aca="false">IF($C583="","",IFERROR(INDEX(Listas!$C$2:$C$20,MATCH($D583,Listas!$A$2:$A$20,0)),""))</f>
        <v/>
      </c>
      <c r="V583" s="10" t="str">
        <f aca="false">IF($C583="","",IFERROR(INDEX(Listas!$D$2:$D$20,MATCH($D583,Listas!$A$2:$A$20,0)),""))</f>
        <v/>
      </c>
      <c r="W583" s="11" t="str">
        <f aca="false">IF(OR($C583="",$B583="",$G583=""),"",$G583-$B583)</f>
        <v/>
      </c>
      <c r="X583" s="11" t="str">
        <f aca="true">IF(OR($C583="",$B583=""),"",IF($N583&lt;&gt;"",$N583,TODAY())-$B583)</f>
        <v/>
      </c>
      <c r="Y583" s="11" t="str">
        <f aca="true">IF(OR($C583="",$M583&lt;&gt;"Abierta",$G583=""),"",MAX($G583-TODAY(),0))</f>
        <v/>
      </c>
      <c r="Z583" s="12" t="str">
        <f aca="false">IF($C583="","",N($K583)*N($H583)*N($I583)*IF($U583="Débito",-1,1))</f>
        <v/>
      </c>
      <c r="AA583" s="13" t="str">
        <f aca="false">IF($C583="","",IF(AND($U583="Débito",$F583&lt;&gt;""),$F583,$E583))</f>
        <v/>
      </c>
      <c r="AB583" s="13" t="str">
        <f aca="false">IF(OR($C583="",$T583="Mixta",$AA583=""),"",IF($V583="Subyacente",IF($J583="","",$J583-$K583),IF($T583="Put",$AA583-$K583,$AA583+$K583)))</f>
        <v/>
      </c>
      <c r="AC583" s="14" t="str">
        <f aca="false">IF(OR($C583="",$T583="Mixta",$J583="",$AA583=""),"",IF($T583="Put",($J583-$AA583)/$J583,($AA583-$J583)/$J583))</f>
        <v/>
      </c>
      <c r="AD583" s="12" t="str">
        <f aca="false">IF($C583="","",IF($Q583&lt;&gt;"",$Q583,IF($V583="Strike",N($E583)*$H583*$I583,IF($V583="Subyacente",IF($J583="","",$J583*$H583*$I583),IF($V583="Ancho",IF($F583="","",ABS($E583-$F583)*$H583*$I583-$K583*$H583*$I583),IF($V583="Prima",$K583*$H583*$I583,""))))))</f>
        <v/>
      </c>
      <c r="AE583" s="12" t="str">
        <f aca="false">IF(OR($C583="",$M583="Abierta",$M583=""),"",(N($K583)-IF(OR($M583="Cerrada",$M583="Rolada"),N($O583),0))*$H583*$I583*IF($U583="Débito",-1,1)-N($L583)-N($P583))</f>
        <v/>
      </c>
      <c r="AF583" s="14" t="str">
        <f aca="false">IF(OR($AE583="",$AD583=""),"",IF($AD583&lt;=0,"",$AE583/$AD583))</f>
        <v/>
      </c>
      <c r="AG583" s="14" t="str">
        <f aca="false">IF($AF583="","",$AF583*365/MAX(N($X583),1))</f>
        <v/>
      </c>
      <c r="AH583" s="14" t="str">
        <f aca="false">IF(OR($C583="",$U583&lt;&gt;"Crédito",$AD583=""),"",IF($AD583&lt;=0,"",($Z583-N($L583))/$AD583))</f>
        <v/>
      </c>
      <c r="AI583" s="14" t="str">
        <f aca="false">IF(OR($AH583="",$W583=""),"",$AH583*365/MAX($W583,1))</f>
        <v/>
      </c>
      <c r="AJ583" s="14" t="str">
        <f aca="false">IF(OR($AE583="",$U583&lt;&gt;"Crédito",N($K583)=0),"",(N($K583)-IF(OR($M583="Cerrada",$M583="Rolada"),N($O583),0))/$K583)</f>
        <v/>
      </c>
      <c r="AK583" s="15" t="str">
        <f aca="false">IF(OR($C583="",$N583=""),"",DATE(YEAR($N583),MONTH($N583),1))</f>
        <v/>
      </c>
      <c r="AL583" s="11" t="str">
        <f aca="false">IF($C583="","",IF($M583="Abierta",0,1))</f>
        <v/>
      </c>
      <c r="AM583" s="16" t="str">
        <f aca="false">IF(OR($AE583="",$AD583=""),"",$AD583*MAX(N($X583),1))</f>
        <v/>
      </c>
      <c r="AN583" s="10" t="str">
        <f aca="false">IF($C583="","",IF(OR($B583="",$D583="",$H583="",$K583="",$M583=""),"Faltan datos obligatorios",IF($T583="","Estrategia no reconocida",IF(AND($M583&lt;&gt;"Abierta",$N583=""),"Falta fecha cierre",IF(AND(OR($M583="Cerrada",$M583="Rolada"),$O583=""),"Falta prima cierre",IF(AND($N583&lt;&gt;"",$N583&lt;$B583),"Cierre anterior a apertura",IF(AND($M583="Asignada",$R583=""),"Asignada: falta ID lote acciones",IF(AND($R583&lt;&gt;"",ISNA(MATCH($R583,Acciones!$A$2:$A$201,0))),"El ID lote no existe en Acciones",IF($AD583="","Revisa capital en riesgo","OK")))))))))</f>
        <v/>
      </c>
    </row>
    <row r="584" customFormat="false" ht="15" hidden="false" customHeight="true" outlineLevel="0" collapsed="false">
      <c r="A584" s="5"/>
      <c r="B584" s="6"/>
      <c r="C584" s="7"/>
      <c r="D584" s="7"/>
      <c r="E584" s="8"/>
      <c r="F584" s="8"/>
      <c r="G584" s="6"/>
      <c r="H584" s="5"/>
      <c r="I584" s="5" t="n">
        <v>100</v>
      </c>
      <c r="J584" s="8"/>
      <c r="K584" s="8"/>
      <c r="L584" s="9"/>
      <c r="M584" s="7"/>
      <c r="N584" s="6"/>
      <c r="O584" s="8"/>
      <c r="P584" s="9"/>
      <c r="Q584" s="9"/>
      <c r="R584" s="7"/>
      <c r="S584" s="7"/>
      <c r="T584" s="10" t="str">
        <f aca="false">IF($C584="","",IFERROR(INDEX(Listas!$B$2:$B$20,MATCH($D584,Listas!$A$2:$A$20,0)),""))</f>
        <v/>
      </c>
      <c r="U584" s="10" t="str">
        <f aca="false">IF($C584="","",IFERROR(INDEX(Listas!$C$2:$C$20,MATCH($D584,Listas!$A$2:$A$20,0)),""))</f>
        <v/>
      </c>
      <c r="V584" s="10" t="str">
        <f aca="false">IF($C584="","",IFERROR(INDEX(Listas!$D$2:$D$20,MATCH($D584,Listas!$A$2:$A$20,0)),""))</f>
        <v/>
      </c>
      <c r="W584" s="11" t="str">
        <f aca="false">IF(OR($C584="",$B584="",$G584=""),"",$G584-$B584)</f>
        <v/>
      </c>
      <c r="X584" s="11" t="str">
        <f aca="true">IF(OR($C584="",$B584=""),"",IF($N584&lt;&gt;"",$N584,TODAY())-$B584)</f>
        <v/>
      </c>
      <c r="Y584" s="11" t="str">
        <f aca="true">IF(OR($C584="",$M584&lt;&gt;"Abierta",$G584=""),"",MAX($G584-TODAY(),0))</f>
        <v/>
      </c>
      <c r="Z584" s="12" t="str">
        <f aca="false">IF($C584="","",N($K584)*N($H584)*N($I584)*IF($U584="Débito",-1,1))</f>
        <v/>
      </c>
      <c r="AA584" s="13" t="str">
        <f aca="false">IF($C584="","",IF(AND($U584="Débito",$F584&lt;&gt;""),$F584,$E584))</f>
        <v/>
      </c>
      <c r="AB584" s="13" t="str">
        <f aca="false">IF(OR($C584="",$T584="Mixta",$AA584=""),"",IF($V584="Subyacente",IF($J584="","",$J584-$K584),IF($T584="Put",$AA584-$K584,$AA584+$K584)))</f>
        <v/>
      </c>
      <c r="AC584" s="14" t="str">
        <f aca="false">IF(OR($C584="",$T584="Mixta",$J584="",$AA584=""),"",IF($T584="Put",($J584-$AA584)/$J584,($AA584-$J584)/$J584))</f>
        <v/>
      </c>
      <c r="AD584" s="12" t="str">
        <f aca="false">IF($C584="","",IF($Q584&lt;&gt;"",$Q584,IF($V584="Strike",N($E584)*$H584*$I584,IF($V584="Subyacente",IF($J584="","",$J584*$H584*$I584),IF($V584="Ancho",IF($F584="","",ABS($E584-$F584)*$H584*$I584-$K584*$H584*$I584),IF($V584="Prima",$K584*$H584*$I584,""))))))</f>
        <v/>
      </c>
      <c r="AE584" s="12" t="str">
        <f aca="false">IF(OR($C584="",$M584="Abierta",$M584=""),"",(N($K584)-IF(OR($M584="Cerrada",$M584="Rolada"),N($O584),0))*$H584*$I584*IF($U584="Débito",-1,1)-N($L584)-N($P584))</f>
        <v/>
      </c>
      <c r="AF584" s="14" t="str">
        <f aca="false">IF(OR($AE584="",$AD584=""),"",IF($AD584&lt;=0,"",$AE584/$AD584))</f>
        <v/>
      </c>
      <c r="AG584" s="14" t="str">
        <f aca="false">IF($AF584="","",$AF584*365/MAX(N($X584),1))</f>
        <v/>
      </c>
      <c r="AH584" s="14" t="str">
        <f aca="false">IF(OR($C584="",$U584&lt;&gt;"Crédito",$AD584=""),"",IF($AD584&lt;=0,"",($Z584-N($L584))/$AD584))</f>
        <v/>
      </c>
      <c r="AI584" s="14" t="str">
        <f aca="false">IF(OR($AH584="",$W584=""),"",$AH584*365/MAX($W584,1))</f>
        <v/>
      </c>
      <c r="AJ584" s="14" t="str">
        <f aca="false">IF(OR($AE584="",$U584&lt;&gt;"Crédito",N($K584)=0),"",(N($K584)-IF(OR($M584="Cerrada",$M584="Rolada"),N($O584),0))/$K584)</f>
        <v/>
      </c>
      <c r="AK584" s="15" t="str">
        <f aca="false">IF(OR($C584="",$N584=""),"",DATE(YEAR($N584),MONTH($N584),1))</f>
        <v/>
      </c>
      <c r="AL584" s="11" t="str">
        <f aca="false">IF($C584="","",IF($M584="Abierta",0,1))</f>
        <v/>
      </c>
      <c r="AM584" s="16" t="str">
        <f aca="false">IF(OR($AE584="",$AD584=""),"",$AD584*MAX(N($X584),1))</f>
        <v/>
      </c>
      <c r="AN584" s="10" t="str">
        <f aca="false">IF($C584="","",IF(OR($B584="",$D584="",$H584="",$K584="",$M584=""),"Faltan datos obligatorios",IF($T584="","Estrategia no reconocida",IF(AND($M584&lt;&gt;"Abierta",$N584=""),"Falta fecha cierre",IF(AND(OR($M584="Cerrada",$M584="Rolada"),$O584=""),"Falta prima cierre",IF(AND($N584&lt;&gt;"",$N584&lt;$B584),"Cierre anterior a apertura",IF(AND($M584="Asignada",$R584=""),"Asignada: falta ID lote acciones",IF(AND($R584&lt;&gt;"",ISNA(MATCH($R584,Acciones!$A$2:$A$201,0))),"El ID lote no existe en Acciones",IF($AD584="","Revisa capital en riesgo","OK")))))))))</f>
        <v/>
      </c>
    </row>
    <row r="585" customFormat="false" ht="15" hidden="false" customHeight="true" outlineLevel="0" collapsed="false">
      <c r="A585" s="5"/>
      <c r="B585" s="6"/>
      <c r="C585" s="7"/>
      <c r="D585" s="7"/>
      <c r="E585" s="8"/>
      <c r="F585" s="8"/>
      <c r="G585" s="6"/>
      <c r="H585" s="5"/>
      <c r="I585" s="5" t="n">
        <v>100</v>
      </c>
      <c r="J585" s="8"/>
      <c r="K585" s="8"/>
      <c r="L585" s="9"/>
      <c r="M585" s="7"/>
      <c r="N585" s="6"/>
      <c r="O585" s="8"/>
      <c r="P585" s="9"/>
      <c r="Q585" s="9"/>
      <c r="R585" s="7"/>
      <c r="S585" s="7"/>
      <c r="T585" s="10" t="str">
        <f aca="false">IF($C585="","",IFERROR(INDEX(Listas!$B$2:$B$20,MATCH($D585,Listas!$A$2:$A$20,0)),""))</f>
        <v/>
      </c>
      <c r="U585" s="10" t="str">
        <f aca="false">IF($C585="","",IFERROR(INDEX(Listas!$C$2:$C$20,MATCH($D585,Listas!$A$2:$A$20,0)),""))</f>
        <v/>
      </c>
      <c r="V585" s="10" t="str">
        <f aca="false">IF($C585="","",IFERROR(INDEX(Listas!$D$2:$D$20,MATCH($D585,Listas!$A$2:$A$20,0)),""))</f>
        <v/>
      </c>
      <c r="W585" s="11" t="str">
        <f aca="false">IF(OR($C585="",$B585="",$G585=""),"",$G585-$B585)</f>
        <v/>
      </c>
      <c r="X585" s="11" t="str">
        <f aca="true">IF(OR($C585="",$B585=""),"",IF($N585&lt;&gt;"",$N585,TODAY())-$B585)</f>
        <v/>
      </c>
      <c r="Y585" s="11" t="str">
        <f aca="true">IF(OR($C585="",$M585&lt;&gt;"Abierta",$G585=""),"",MAX($G585-TODAY(),0))</f>
        <v/>
      </c>
      <c r="Z585" s="12" t="str">
        <f aca="false">IF($C585="","",N($K585)*N($H585)*N($I585)*IF($U585="Débito",-1,1))</f>
        <v/>
      </c>
      <c r="AA585" s="13" t="str">
        <f aca="false">IF($C585="","",IF(AND($U585="Débito",$F585&lt;&gt;""),$F585,$E585))</f>
        <v/>
      </c>
      <c r="AB585" s="13" t="str">
        <f aca="false">IF(OR($C585="",$T585="Mixta",$AA585=""),"",IF($V585="Subyacente",IF($J585="","",$J585-$K585),IF($T585="Put",$AA585-$K585,$AA585+$K585)))</f>
        <v/>
      </c>
      <c r="AC585" s="14" t="str">
        <f aca="false">IF(OR($C585="",$T585="Mixta",$J585="",$AA585=""),"",IF($T585="Put",($J585-$AA585)/$J585,($AA585-$J585)/$J585))</f>
        <v/>
      </c>
      <c r="AD585" s="12" t="str">
        <f aca="false">IF($C585="","",IF($Q585&lt;&gt;"",$Q585,IF($V585="Strike",N($E585)*$H585*$I585,IF($V585="Subyacente",IF($J585="","",$J585*$H585*$I585),IF($V585="Ancho",IF($F585="","",ABS($E585-$F585)*$H585*$I585-$K585*$H585*$I585),IF($V585="Prima",$K585*$H585*$I585,""))))))</f>
        <v/>
      </c>
      <c r="AE585" s="12" t="str">
        <f aca="false">IF(OR($C585="",$M585="Abierta",$M585=""),"",(N($K585)-IF(OR($M585="Cerrada",$M585="Rolada"),N($O585),0))*$H585*$I585*IF($U585="Débito",-1,1)-N($L585)-N($P585))</f>
        <v/>
      </c>
      <c r="AF585" s="14" t="str">
        <f aca="false">IF(OR($AE585="",$AD585=""),"",IF($AD585&lt;=0,"",$AE585/$AD585))</f>
        <v/>
      </c>
      <c r="AG585" s="14" t="str">
        <f aca="false">IF($AF585="","",$AF585*365/MAX(N($X585),1))</f>
        <v/>
      </c>
      <c r="AH585" s="14" t="str">
        <f aca="false">IF(OR($C585="",$U585&lt;&gt;"Crédito",$AD585=""),"",IF($AD585&lt;=0,"",($Z585-N($L585))/$AD585))</f>
        <v/>
      </c>
      <c r="AI585" s="14" t="str">
        <f aca="false">IF(OR($AH585="",$W585=""),"",$AH585*365/MAX($W585,1))</f>
        <v/>
      </c>
      <c r="AJ585" s="14" t="str">
        <f aca="false">IF(OR($AE585="",$U585&lt;&gt;"Crédito",N($K585)=0),"",(N($K585)-IF(OR($M585="Cerrada",$M585="Rolada"),N($O585),0))/$K585)</f>
        <v/>
      </c>
      <c r="AK585" s="15" t="str">
        <f aca="false">IF(OR($C585="",$N585=""),"",DATE(YEAR($N585),MONTH($N585),1))</f>
        <v/>
      </c>
      <c r="AL585" s="11" t="str">
        <f aca="false">IF($C585="","",IF($M585="Abierta",0,1))</f>
        <v/>
      </c>
      <c r="AM585" s="16" t="str">
        <f aca="false">IF(OR($AE585="",$AD585=""),"",$AD585*MAX(N($X585),1))</f>
        <v/>
      </c>
      <c r="AN585" s="10" t="str">
        <f aca="false">IF($C585="","",IF(OR($B585="",$D585="",$H585="",$K585="",$M585=""),"Faltan datos obligatorios",IF($T585="","Estrategia no reconocida",IF(AND($M585&lt;&gt;"Abierta",$N585=""),"Falta fecha cierre",IF(AND(OR($M585="Cerrada",$M585="Rolada"),$O585=""),"Falta prima cierre",IF(AND($N585&lt;&gt;"",$N585&lt;$B585),"Cierre anterior a apertura",IF(AND($M585="Asignada",$R585=""),"Asignada: falta ID lote acciones",IF(AND($R585&lt;&gt;"",ISNA(MATCH($R585,Acciones!$A$2:$A$201,0))),"El ID lote no existe en Acciones",IF($AD585="","Revisa capital en riesgo","OK")))))))))</f>
        <v/>
      </c>
    </row>
    <row r="586" customFormat="false" ht="15" hidden="false" customHeight="true" outlineLevel="0" collapsed="false">
      <c r="A586" s="5"/>
      <c r="B586" s="6"/>
      <c r="C586" s="7"/>
      <c r="D586" s="7"/>
      <c r="E586" s="8"/>
      <c r="F586" s="8"/>
      <c r="G586" s="6"/>
      <c r="H586" s="5"/>
      <c r="I586" s="5" t="n">
        <v>100</v>
      </c>
      <c r="J586" s="8"/>
      <c r="K586" s="8"/>
      <c r="L586" s="9"/>
      <c r="M586" s="7"/>
      <c r="N586" s="6"/>
      <c r="O586" s="8"/>
      <c r="P586" s="9"/>
      <c r="Q586" s="9"/>
      <c r="R586" s="7"/>
      <c r="S586" s="7"/>
      <c r="T586" s="10" t="str">
        <f aca="false">IF($C586="","",IFERROR(INDEX(Listas!$B$2:$B$20,MATCH($D586,Listas!$A$2:$A$20,0)),""))</f>
        <v/>
      </c>
      <c r="U586" s="10" t="str">
        <f aca="false">IF($C586="","",IFERROR(INDEX(Listas!$C$2:$C$20,MATCH($D586,Listas!$A$2:$A$20,0)),""))</f>
        <v/>
      </c>
      <c r="V586" s="10" t="str">
        <f aca="false">IF($C586="","",IFERROR(INDEX(Listas!$D$2:$D$20,MATCH($D586,Listas!$A$2:$A$20,0)),""))</f>
        <v/>
      </c>
      <c r="W586" s="11" t="str">
        <f aca="false">IF(OR($C586="",$B586="",$G586=""),"",$G586-$B586)</f>
        <v/>
      </c>
      <c r="X586" s="11" t="str">
        <f aca="true">IF(OR($C586="",$B586=""),"",IF($N586&lt;&gt;"",$N586,TODAY())-$B586)</f>
        <v/>
      </c>
      <c r="Y586" s="11" t="str">
        <f aca="true">IF(OR($C586="",$M586&lt;&gt;"Abierta",$G586=""),"",MAX($G586-TODAY(),0))</f>
        <v/>
      </c>
      <c r="Z586" s="12" t="str">
        <f aca="false">IF($C586="","",N($K586)*N($H586)*N($I586)*IF($U586="Débito",-1,1))</f>
        <v/>
      </c>
      <c r="AA586" s="13" t="str">
        <f aca="false">IF($C586="","",IF(AND($U586="Débito",$F586&lt;&gt;""),$F586,$E586))</f>
        <v/>
      </c>
      <c r="AB586" s="13" t="str">
        <f aca="false">IF(OR($C586="",$T586="Mixta",$AA586=""),"",IF($V586="Subyacente",IF($J586="","",$J586-$K586),IF($T586="Put",$AA586-$K586,$AA586+$K586)))</f>
        <v/>
      </c>
      <c r="AC586" s="14" t="str">
        <f aca="false">IF(OR($C586="",$T586="Mixta",$J586="",$AA586=""),"",IF($T586="Put",($J586-$AA586)/$J586,($AA586-$J586)/$J586))</f>
        <v/>
      </c>
      <c r="AD586" s="12" t="str">
        <f aca="false">IF($C586="","",IF($Q586&lt;&gt;"",$Q586,IF($V586="Strike",N($E586)*$H586*$I586,IF($V586="Subyacente",IF($J586="","",$J586*$H586*$I586),IF($V586="Ancho",IF($F586="","",ABS($E586-$F586)*$H586*$I586-$K586*$H586*$I586),IF($V586="Prima",$K586*$H586*$I586,""))))))</f>
        <v/>
      </c>
      <c r="AE586" s="12" t="str">
        <f aca="false">IF(OR($C586="",$M586="Abierta",$M586=""),"",(N($K586)-IF(OR($M586="Cerrada",$M586="Rolada"),N($O586),0))*$H586*$I586*IF($U586="Débito",-1,1)-N($L586)-N($P586))</f>
        <v/>
      </c>
      <c r="AF586" s="14" t="str">
        <f aca="false">IF(OR($AE586="",$AD586=""),"",IF($AD586&lt;=0,"",$AE586/$AD586))</f>
        <v/>
      </c>
      <c r="AG586" s="14" t="str">
        <f aca="false">IF($AF586="","",$AF586*365/MAX(N($X586),1))</f>
        <v/>
      </c>
      <c r="AH586" s="14" t="str">
        <f aca="false">IF(OR($C586="",$U586&lt;&gt;"Crédito",$AD586=""),"",IF($AD586&lt;=0,"",($Z586-N($L586))/$AD586))</f>
        <v/>
      </c>
      <c r="AI586" s="14" t="str">
        <f aca="false">IF(OR($AH586="",$W586=""),"",$AH586*365/MAX($W586,1))</f>
        <v/>
      </c>
      <c r="AJ586" s="14" t="str">
        <f aca="false">IF(OR($AE586="",$U586&lt;&gt;"Crédito",N($K586)=0),"",(N($K586)-IF(OR($M586="Cerrada",$M586="Rolada"),N($O586),0))/$K586)</f>
        <v/>
      </c>
      <c r="AK586" s="15" t="str">
        <f aca="false">IF(OR($C586="",$N586=""),"",DATE(YEAR($N586),MONTH($N586),1))</f>
        <v/>
      </c>
      <c r="AL586" s="11" t="str">
        <f aca="false">IF($C586="","",IF($M586="Abierta",0,1))</f>
        <v/>
      </c>
      <c r="AM586" s="16" t="str">
        <f aca="false">IF(OR($AE586="",$AD586=""),"",$AD586*MAX(N($X586),1))</f>
        <v/>
      </c>
      <c r="AN586" s="10" t="str">
        <f aca="false">IF($C586="","",IF(OR($B586="",$D586="",$H586="",$K586="",$M586=""),"Faltan datos obligatorios",IF($T586="","Estrategia no reconocida",IF(AND($M586&lt;&gt;"Abierta",$N586=""),"Falta fecha cierre",IF(AND(OR($M586="Cerrada",$M586="Rolada"),$O586=""),"Falta prima cierre",IF(AND($N586&lt;&gt;"",$N586&lt;$B586),"Cierre anterior a apertura",IF(AND($M586="Asignada",$R586=""),"Asignada: falta ID lote acciones",IF(AND($R586&lt;&gt;"",ISNA(MATCH($R586,Acciones!$A$2:$A$201,0))),"El ID lote no existe en Acciones",IF($AD586="","Revisa capital en riesgo","OK")))))))))</f>
        <v/>
      </c>
    </row>
    <row r="587" customFormat="false" ht="15" hidden="false" customHeight="true" outlineLevel="0" collapsed="false">
      <c r="A587" s="5"/>
      <c r="B587" s="6"/>
      <c r="C587" s="7"/>
      <c r="D587" s="7"/>
      <c r="E587" s="8"/>
      <c r="F587" s="8"/>
      <c r="G587" s="6"/>
      <c r="H587" s="5"/>
      <c r="I587" s="5" t="n">
        <v>100</v>
      </c>
      <c r="J587" s="8"/>
      <c r="K587" s="8"/>
      <c r="L587" s="9"/>
      <c r="M587" s="7"/>
      <c r="N587" s="6"/>
      <c r="O587" s="8"/>
      <c r="P587" s="9"/>
      <c r="Q587" s="9"/>
      <c r="R587" s="7"/>
      <c r="S587" s="7"/>
      <c r="T587" s="10" t="str">
        <f aca="false">IF($C587="","",IFERROR(INDEX(Listas!$B$2:$B$20,MATCH($D587,Listas!$A$2:$A$20,0)),""))</f>
        <v/>
      </c>
      <c r="U587" s="10" t="str">
        <f aca="false">IF($C587="","",IFERROR(INDEX(Listas!$C$2:$C$20,MATCH($D587,Listas!$A$2:$A$20,0)),""))</f>
        <v/>
      </c>
      <c r="V587" s="10" t="str">
        <f aca="false">IF($C587="","",IFERROR(INDEX(Listas!$D$2:$D$20,MATCH($D587,Listas!$A$2:$A$20,0)),""))</f>
        <v/>
      </c>
      <c r="W587" s="11" t="str">
        <f aca="false">IF(OR($C587="",$B587="",$G587=""),"",$G587-$B587)</f>
        <v/>
      </c>
      <c r="X587" s="11" t="str">
        <f aca="true">IF(OR($C587="",$B587=""),"",IF($N587&lt;&gt;"",$N587,TODAY())-$B587)</f>
        <v/>
      </c>
      <c r="Y587" s="11" t="str">
        <f aca="true">IF(OR($C587="",$M587&lt;&gt;"Abierta",$G587=""),"",MAX($G587-TODAY(),0))</f>
        <v/>
      </c>
      <c r="Z587" s="12" t="str">
        <f aca="false">IF($C587="","",N($K587)*N($H587)*N($I587)*IF($U587="Débito",-1,1))</f>
        <v/>
      </c>
      <c r="AA587" s="13" t="str">
        <f aca="false">IF($C587="","",IF(AND($U587="Débito",$F587&lt;&gt;""),$F587,$E587))</f>
        <v/>
      </c>
      <c r="AB587" s="13" t="str">
        <f aca="false">IF(OR($C587="",$T587="Mixta",$AA587=""),"",IF($V587="Subyacente",IF($J587="","",$J587-$K587),IF($T587="Put",$AA587-$K587,$AA587+$K587)))</f>
        <v/>
      </c>
      <c r="AC587" s="14" t="str">
        <f aca="false">IF(OR($C587="",$T587="Mixta",$J587="",$AA587=""),"",IF($T587="Put",($J587-$AA587)/$J587,($AA587-$J587)/$J587))</f>
        <v/>
      </c>
      <c r="AD587" s="12" t="str">
        <f aca="false">IF($C587="","",IF($Q587&lt;&gt;"",$Q587,IF($V587="Strike",N($E587)*$H587*$I587,IF($V587="Subyacente",IF($J587="","",$J587*$H587*$I587),IF($V587="Ancho",IF($F587="","",ABS($E587-$F587)*$H587*$I587-$K587*$H587*$I587),IF($V587="Prima",$K587*$H587*$I587,""))))))</f>
        <v/>
      </c>
      <c r="AE587" s="12" t="str">
        <f aca="false">IF(OR($C587="",$M587="Abierta",$M587=""),"",(N($K587)-IF(OR($M587="Cerrada",$M587="Rolada"),N($O587),0))*$H587*$I587*IF($U587="Débito",-1,1)-N($L587)-N($P587))</f>
        <v/>
      </c>
      <c r="AF587" s="14" t="str">
        <f aca="false">IF(OR($AE587="",$AD587=""),"",IF($AD587&lt;=0,"",$AE587/$AD587))</f>
        <v/>
      </c>
      <c r="AG587" s="14" t="str">
        <f aca="false">IF($AF587="","",$AF587*365/MAX(N($X587),1))</f>
        <v/>
      </c>
      <c r="AH587" s="14" t="str">
        <f aca="false">IF(OR($C587="",$U587&lt;&gt;"Crédito",$AD587=""),"",IF($AD587&lt;=0,"",($Z587-N($L587))/$AD587))</f>
        <v/>
      </c>
      <c r="AI587" s="14" t="str">
        <f aca="false">IF(OR($AH587="",$W587=""),"",$AH587*365/MAX($W587,1))</f>
        <v/>
      </c>
      <c r="AJ587" s="14" t="str">
        <f aca="false">IF(OR($AE587="",$U587&lt;&gt;"Crédito",N($K587)=0),"",(N($K587)-IF(OR($M587="Cerrada",$M587="Rolada"),N($O587),0))/$K587)</f>
        <v/>
      </c>
      <c r="AK587" s="15" t="str">
        <f aca="false">IF(OR($C587="",$N587=""),"",DATE(YEAR($N587),MONTH($N587),1))</f>
        <v/>
      </c>
      <c r="AL587" s="11" t="str">
        <f aca="false">IF($C587="","",IF($M587="Abierta",0,1))</f>
        <v/>
      </c>
      <c r="AM587" s="16" t="str">
        <f aca="false">IF(OR($AE587="",$AD587=""),"",$AD587*MAX(N($X587),1))</f>
        <v/>
      </c>
      <c r="AN587" s="10" t="str">
        <f aca="false">IF($C587="","",IF(OR($B587="",$D587="",$H587="",$K587="",$M587=""),"Faltan datos obligatorios",IF($T587="","Estrategia no reconocida",IF(AND($M587&lt;&gt;"Abierta",$N587=""),"Falta fecha cierre",IF(AND(OR($M587="Cerrada",$M587="Rolada"),$O587=""),"Falta prima cierre",IF(AND($N587&lt;&gt;"",$N587&lt;$B587),"Cierre anterior a apertura",IF(AND($M587="Asignada",$R587=""),"Asignada: falta ID lote acciones",IF(AND($R587&lt;&gt;"",ISNA(MATCH($R587,Acciones!$A$2:$A$201,0))),"El ID lote no existe en Acciones",IF($AD587="","Revisa capital en riesgo","OK")))))))))</f>
        <v/>
      </c>
    </row>
    <row r="588" customFormat="false" ht="15" hidden="false" customHeight="true" outlineLevel="0" collapsed="false">
      <c r="A588" s="5"/>
      <c r="B588" s="6"/>
      <c r="C588" s="7"/>
      <c r="D588" s="7"/>
      <c r="E588" s="8"/>
      <c r="F588" s="8"/>
      <c r="G588" s="6"/>
      <c r="H588" s="5"/>
      <c r="I588" s="5" t="n">
        <v>100</v>
      </c>
      <c r="J588" s="8"/>
      <c r="K588" s="8"/>
      <c r="L588" s="9"/>
      <c r="M588" s="7"/>
      <c r="N588" s="6"/>
      <c r="O588" s="8"/>
      <c r="P588" s="9"/>
      <c r="Q588" s="9"/>
      <c r="R588" s="7"/>
      <c r="S588" s="7"/>
      <c r="T588" s="10" t="str">
        <f aca="false">IF($C588="","",IFERROR(INDEX(Listas!$B$2:$B$20,MATCH($D588,Listas!$A$2:$A$20,0)),""))</f>
        <v/>
      </c>
      <c r="U588" s="10" t="str">
        <f aca="false">IF($C588="","",IFERROR(INDEX(Listas!$C$2:$C$20,MATCH($D588,Listas!$A$2:$A$20,0)),""))</f>
        <v/>
      </c>
      <c r="V588" s="10" t="str">
        <f aca="false">IF($C588="","",IFERROR(INDEX(Listas!$D$2:$D$20,MATCH($D588,Listas!$A$2:$A$20,0)),""))</f>
        <v/>
      </c>
      <c r="W588" s="11" t="str">
        <f aca="false">IF(OR($C588="",$B588="",$G588=""),"",$G588-$B588)</f>
        <v/>
      </c>
      <c r="X588" s="11" t="str">
        <f aca="true">IF(OR($C588="",$B588=""),"",IF($N588&lt;&gt;"",$N588,TODAY())-$B588)</f>
        <v/>
      </c>
      <c r="Y588" s="11" t="str">
        <f aca="true">IF(OR($C588="",$M588&lt;&gt;"Abierta",$G588=""),"",MAX($G588-TODAY(),0))</f>
        <v/>
      </c>
      <c r="Z588" s="12" t="str">
        <f aca="false">IF($C588="","",N($K588)*N($H588)*N($I588)*IF($U588="Débito",-1,1))</f>
        <v/>
      </c>
      <c r="AA588" s="13" t="str">
        <f aca="false">IF($C588="","",IF(AND($U588="Débito",$F588&lt;&gt;""),$F588,$E588))</f>
        <v/>
      </c>
      <c r="AB588" s="13" t="str">
        <f aca="false">IF(OR($C588="",$T588="Mixta",$AA588=""),"",IF($V588="Subyacente",IF($J588="","",$J588-$K588),IF($T588="Put",$AA588-$K588,$AA588+$K588)))</f>
        <v/>
      </c>
      <c r="AC588" s="14" t="str">
        <f aca="false">IF(OR($C588="",$T588="Mixta",$J588="",$AA588=""),"",IF($T588="Put",($J588-$AA588)/$J588,($AA588-$J588)/$J588))</f>
        <v/>
      </c>
      <c r="AD588" s="12" t="str">
        <f aca="false">IF($C588="","",IF($Q588&lt;&gt;"",$Q588,IF($V588="Strike",N($E588)*$H588*$I588,IF($V588="Subyacente",IF($J588="","",$J588*$H588*$I588),IF($V588="Ancho",IF($F588="","",ABS($E588-$F588)*$H588*$I588-$K588*$H588*$I588),IF($V588="Prima",$K588*$H588*$I588,""))))))</f>
        <v/>
      </c>
      <c r="AE588" s="12" t="str">
        <f aca="false">IF(OR($C588="",$M588="Abierta",$M588=""),"",(N($K588)-IF(OR($M588="Cerrada",$M588="Rolada"),N($O588),0))*$H588*$I588*IF($U588="Débito",-1,1)-N($L588)-N($P588))</f>
        <v/>
      </c>
      <c r="AF588" s="14" t="str">
        <f aca="false">IF(OR($AE588="",$AD588=""),"",IF($AD588&lt;=0,"",$AE588/$AD588))</f>
        <v/>
      </c>
      <c r="AG588" s="14" t="str">
        <f aca="false">IF($AF588="","",$AF588*365/MAX(N($X588),1))</f>
        <v/>
      </c>
      <c r="AH588" s="14" t="str">
        <f aca="false">IF(OR($C588="",$U588&lt;&gt;"Crédito",$AD588=""),"",IF($AD588&lt;=0,"",($Z588-N($L588))/$AD588))</f>
        <v/>
      </c>
      <c r="AI588" s="14" t="str">
        <f aca="false">IF(OR($AH588="",$W588=""),"",$AH588*365/MAX($W588,1))</f>
        <v/>
      </c>
      <c r="AJ588" s="14" t="str">
        <f aca="false">IF(OR($AE588="",$U588&lt;&gt;"Crédito",N($K588)=0),"",(N($K588)-IF(OR($M588="Cerrada",$M588="Rolada"),N($O588),0))/$K588)</f>
        <v/>
      </c>
      <c r="AK588" s="15" t="str">
        <f aca="false">IF(OR($C588="",$N588=""),"",DATE(YEAR($N588),MONTH($N588),1))</f>
        <v/>
      </c>
      <c r="AL588" s="11" t="str">
        <f aca="false">IF($C588="","",IF($M588="Abierta",0,1))</f>
        <v/>
      </c>
      <c r="AM588" s="16" t="str">
        <f aca="false">IF(OR($AE588="",$AD588=""),"",$AD588*MAX(N($X588),1))</f>
        <v/>
      </c>
      <c r="AN588" s="10" t="str">
        <f aca="false">IF($C588="","",IF(OR($B588="",$D588="",$H588="",$K588="",$M588=""),"Faltan datos obligatorios",IF($T588="","Estrategia no reconocida",IF(AND($M588&lt;&gt;"Abierta",$N588=""),"Falta fecha cierre",IF(AND(OR($M588="Cerrada",$M588="Rolada"),$O588=""),"Falta prima cierre",IF(AND($N588&lt;&gt;"",$N588&lt;$B588),"Cierre anterior a apertura",IF(AND($M588="Asignada",$R588=""),"Asignada: falta ID lote acciones",IF(AND($R588&lt;&gt;"",ISNA(MATCH($R588,Acciones!$A$2:$A$201,0))),"El ID lote no existe en Acciones",IF($AD588="","Revisa capital en riesgo","OK")))))))))</f>
        <v/>
      </c>
    </row>
    <row r="589" customFormat="false" ht="15" hidden="false" customHeight="true" outlineLevel="0" collapsed="false">
      <c r="A589" s="5"/>
      <c r="B589" s="6"/>
      <c r="C589" s="7"/>
      <c r="D589" s="7"/>
      <c r="E589" s="8"/>
      <c r="F589" s="8"/>
      <c r="G589" s="6"/>
      <c r="H589" s="5"/>
      <c r="I589" s="5" t="n">
        <v>100</v>
      </c>
      <c r="J589" s="8"/>
      <c r="K589" s="8"/>
      <c r="L589" s="9"/>
      <c r="M589" s="7"/>
      <c r="N589" s="6"/>
      <c r="O589" s="8"/>
      <c r="P589" s="9"/>
      <c r="Q589" s="9"/>
      <c r="R589" s="7"/>
      <c r="S589" s="7"/>
      <c r="T589" s="10" t="str">
        <f aca="false">IF($C589="","",IFERROR(INDEX(Listas!$B$2:$B$20,MATCH($D589,Listas!$A$2:$A$20,0)),""))</f>
        <v/>
      </c>
      <c r="U589" s="10" t="str">
        <f aca="false">IF($C589="","",IFERROR(INDEX(Listas!$C$2:$C$20,MATCH($D589,Listas!$A$2:$A$20,0)),""))</f>
        <v/>
      </c>
      <c r="V589" s="10" t="str">
        <f aca="false">IF($C589="","",IFERROR(INDEX(Listas!$D$2:$D$20,MATCH($D589,Listas!$A$2:$A$20,0)),""))</f>
        <v/>
      </c>
      <c r="W589" s="11" t="str">
        <f aca="false">IF(OR($C589="",$B589="",$G589=""),"",$G589-$B589)</f>
        <v/>
      </c>
      <c r="X589" s="11" t="str">
        <f aca="true">IF(OR($C589="",$B589=""),"",IF($N589&lt;&gt;"",$N589,TODAY())-$B589)</f>
        <v/>
      </c>
      <c r="Y589" s="11" t="str">
        <f aca="true">IF(OR($C589="",$M589&lt;&gt;"Abierta",$G589=""),"",MAX($G589-TODAY(),0))</f>
        <v/>
      </c>
      <c r="Z589" s="12" t="str">
        <f aca="false">IF($C589="","",N($K589)*N($H589)*N($I589)*IF($U589="Débito",-1,1))</f>
        <v/>
      </c>
      <c r="AA589" s="13" t="str">
        <f aca="false">IF($C589="","",IF(AND($U589="Débito",$F589&lt;&gt;""),$F589,$E589))</f>
        <v/>
      </c>
      <c r="AB589" s="13" t="str">
        <f aca="false">IF(OR($C589="",$T589="Mixta",$AA589=""),"",IF($V589="Subyacente",IF($J589="","",$J589-$K589),IF($T589="Put",$AA589-$K589,$AA589+$K589)))</f>
        <v/>
      </c>
      <c r="AC589" s="14" t="str">
        <f aca="false">IF(OR($C589="",$T589="Mixta",$J589="",$AA589=""),"",IF($T589="Put",($J589-$AA589)/$J589,($AA589-$J589)/$J589))</f>
        <v/>
      </c>
      <c r="AD589" s="12" t="str">
        <f aca="false">IF($C589="","",IF($Q589&lt;&gt;"",$Q589,IF($V589="Strike",N($E589)*$H589*$I589,IF($V589="Subyacente",IF($J589="","",$J589*$H589*$I589),IF($V589="Ancho",IF($F589="","",ABS($E589-$F589)*$H589*$I589-$K589*$H589*$I589),IF($V589="Prima",$K589*$H589*$I589,""))))))</f>
        <v/>
      </c>
      <c r="AE589" s="12" t="str">
        <f aca="false">IF(OR($C589="",$M589="Abierta",$M589=""),"",(N($K589)-IF(OR($M589="Cerrada",$M589="Rolada"),N($O589),0))*$H589*$I589*IF($U589="Débito",-1,1)-N($L589)-N($P589))</f>
        <v/>
      </c>
      <c r="AF589" s="14" t="str">
        <f aca="false">IF(OR($AE589="",$AD589=""),"",IF($AD589&lt;=0,"",$AE589/$AD589))</f>
        <v/>
      </c>
      <c r="AG589" s="14" t="str">
        <f aca="false">IF($AF589="","",$AF589*365/MAX(N($X589),1))</f>
        <v/>
      </c>
      <c r="AH589" s="14" t="str">
        <f aca="false">IF(OR($C589="",$U589&lt;&gt;"Crédito",$AD589=""),"",IF($AD589&lt;=0,"",($Z589-N($L589))/$AD589))</f>
        <v/>
      </c>
      <c r="AI589" s="14" t="str">
        <f aca="false">IF(OR($AH589="",$W589=""),"",$AH589*365/MAX($W589,1))</f>
        <v/>
      </c>
      <c r="AJ589" s="14" t="str">
        <f aca="false">IF(OR($AE589="",$U589&lt;&gt;"Crédito",N($K589)=0),"",(N($K589)-IF(OR($M589="Cerrada",$M589="Rolada"),N($O589),0))/$K589)</f>
        <v/>
      </c>
      <c r="AK589" s="15" t="str">
        <f aca="false">IF(OR($C589="",$N589=""),"",DATE(YEAR($N589),MONTH($N589),1))</f>
        <v/>
      </c>
      <c r="AL589" s="11" t="str">
        <f aca="false">IF($C589="","",IF($M589="Abierta",0,1))</f>
        <v/>
      </c>
      <c r="AM589" s="16" t="str">
        <f aca="false">IF(OR($AE589="",$AD589=""),"",$AD589*MAX(N($X589),1))</f>
        <v/>
      </c>
      <c r="AN589" s="10" t="str">
        <f aca="false">IF($C589="","",IF(OR($B589="",$D589="",$H589="",$K589="",$M589=""),"Faltan datos obligatorios",IF($T589="","Estrategia no reconocida",IF(AND($M589&lt;&gt;"Abierta",$N589=""),"Falta fecha cierre",IF(AND(OR($M589="Cerrada",$M589="Rolada"),$O589=""),"Falta prima cierre",IF(AND($N589&lt;&gt;"",$N589&lt;$B589),"Cierre anterior a apertura",IF(AND($M589="Asignada",$R589=""),"Asignada: falta ID lote acciones",IF(AND($R589&lt;&gt;"",ISNA(MATCH($R589,Acciones!$A$2:$A$201,0))),"El ID lote no existe en Acciones",IF($AD589="","Revisa capital en riesgo","OK")))))))))</f>
        <v/>
      </c>
    </row>
    <row r="590" customFormat="false" ht="15" hidden="false" customHeight="true" outlineLevel="0" collapsed="false">
      <c r="A590" s="5"/>
      <c r="B590" s="6"/>
      <c r="C590" s="7"/>
      <c r="D590" s="7"/>
      <c r="E590" s="8"/>
      <c r="F590" s="8"/>
      <c r="G590" s="6"/>
      <c r="H590" s="5"/>
      <c r="I590" s="5" t="n">
        <v>100</v>
      </c>
      <c r="J590" s="8"/>
      <c r="K590" s="8"/>
      <c r="L590" s="9"/>
      <c r="M590" s="7"/>
      <c r="N590" s="6"/>
      <c r="O590" s="8"/>
      <c r="P590" s="9"/>
      <c r="Q590" s="9"/>
      <c r="R590" s="7"/>
      <c r="S590" s="7"/>
      <c r="T590" s="10" t="str">
        <f aca="false">IF($C590="","",IFERROR(INDEX(Listas!$B$2:$B$20,MATCH($D590,Listas!$A$2:$A$20,0)),""))</f>
        <v/>
      </c>
      <c r="U590" s="10" t="str">
        <f aca="false">IF($C590="","",IFERROR(INDEX(Listas!$C$2:$C$20,MATCH($D590,Listas!$A$2:$A$20,0)),""))</f>
        <v/>
      </c>
      <c r="V590" s="10" t="str">
        <f aca="false">IF($C590="","",IFERROR(INDEX(Listas!$D$2:$D$20,MATCH($D590,Listas!$A$2:$A$20,0)),""))</f>
        <v/>
      </c>
      <c r="W590" s="11" t="str">
        <f aca="false">IF(OR($C590="",$B590="",$G590=""),"",$G590-$B590)</f>
        <v/>
      </c>
      <c r="X590" s="11" t="str">
        <f aca="true">IF(OR($C590="",$B590=""),"",IF($N590&lt;&gt;"",$N590,TODAY())-$B590)</f>
        <v/>
      </c>
      <c r="Y590" s="11" t="str">
        <f aca="true">IF(OR($C590="",$M590&lt;&gt;"Abierta",$G590=""),"",MAX($G590-TODAY(),0))</f>
        <v/>
      </c>
      <c r="Z590" s="12" t="str">
        <f aca="false">IF($C590="","",N($K590)*N($H590)*N($I590)*IF($U590="Débito",-1,1))</f>
        <v/>
      </c>
      <c r="AA590" s="13" t="str">
        <f aca="false">IF($C590="","",IF(AND($U590="Débito",$F590&lt;&gt;""),$F590,$E590))</f>
        <v/>
      </c>
      <c r="AB590" s="13" t="str">
        <f aca="false">IF(OR($C590="",$T590="Mixta",$AA590=""),"",IF($V590="Subyacente",IF($J590="","",$J590-$K590),IF($T590="Put",$AA590-$K590,$AA590+$K590)))</f>
        <v/>
      </c>
      <c r="AC590" s="14" t="str">
        <f aca="false">IF(OR($C590="",$T590="Mixta",$J590="",$AA590=""),"",IF($T590="Put",($J590-$AA590)/$J590,($AA590-$J590)/$J590))</f>
        <v/>
      </c>
      <c r="AD590" s="12" t="str">
        <f aca="false">IF($C590="","",IF($Q590&lt;&gt;"",$Q590,IF($V590="Strike",N($E590)*$H590*$I590,IF($V590="Subyacente",IF($J590="","",$J590*$H590*$I590),IF($V590="Ancho",IF($F590="","",ABS($E590-$F590)*$H590*$I590-$K590*$H590*$I590),IF($V590="Prima",$K590*$H590*$I590,""))))))</f>
        <v/>
      </c>
      <c r="AE590" s="12" t="str">
        <f aca="false">IF(OR($C590="",$M590="Abierta",$M590=""),"",(N($K590)-IF(OR($M590="Cerrada",$M590="Rolada"),N($O590),0))*$H590*$I590*IF($U590="Débito",-1,1)-N($L590)-N($P590))</f>
        <v/>
      </c>
      <c r="AF590" s="14" t="str">
        <f aca="false">IF(OR($AE590="",$AD590=""),"",IF($AD590&lt;=0,"",$AE590/$AD590))</f>
        <v/>
      </c>
      <c r="AG590" s="14" t="str">
        <f aca="false">IF($AF590="","",$AF590*365/MAX(N($X590),1))</f>
        <v/>
      </c>
      <c r="AH590" s="14" t="str">
        <f aca="false">IF(OR($C590="",$U590&lt;&gt;"Crédito",$AD590=""),"",IF($AD590&lt;=0,"",($Z590-N($L590))/$AD590))</f>
        <v/>
      </c>
      <c r="AI590" s="14" t="str">
        <f aca="false">IF(OR($AH590="",$W590=""),"",$AH590*365/MAX($W590,1))</f>
        <v/>
      </c>
      <c r="AJ590" s="14" t="str">
        <f aca="false">IF(OR($AE590="",$U590&lt;&gt;"Crédito",N($K590)=0),"",(N($K590)-IF(OR($M590="Cerrada",$M590="Rolada"),N($O590),0))/$K590)</f>
        <v/>
      </c>
      <c r="AK590" s="15" t="str">
        <f aca="false">IF(OR($C590="",$N590=""),"",DATE(YEAR($N590),MONTH($N590),1))</f>
        <v/>
      </c>
      <c r="AL590" s="11" t="str">
        <f aca="false">IF($C590="","",IF($M590="Abierta",0,1))</f>
        <v/>
      </c>
      <c r="AM590" s="16" t="str">
        <f aca="false">IF(OR($AE590="",$AD590=""),"",$AD590*MAX(N($X590),1))</f>
        <v/>
      </c>
      <c r="AN590" s="10" t="str">
        <f aca="false">IF($C590="","",IF(OR($B590="",$D590="",$H590="",$K590="",$M590=""),"Faltan datos obligatorios",IF($T590="","Estrategia no reconocida",IF(AND($M590&lt;&gt;"Abierta",$N590=""),"Falta fecha cierre",IF(AND(OR($M590="Cerrada",$M590="Rolada"),$O590=""),"Falta prima cierre",IF(AND($N590&lt;&gt;"",$N590&lt;$B590),"Cierre anterior a apertura",IF(AND($M590="Asignada",$R590=""),"Asignada: falta ID lote acciones",IF(AND($R590&lt;&gt;"",ISNA(MATCH($R590,Acciones!$A$2:$A$201,0))),"El ID lote no existe en Acciones",IF($AD590="","Revisa capital en riesgo","OK")))))))))</f>
        <v/>
      </c>
    </row>
    <row r="591" customFormat="false" ht="15" hidden="false" customHeight="true" outlineLevel="0" collapsed="false">
      <c r="A591" s="5"/>
      <c r="B591" s="6"/>
      <c r="C591" s="7"/>
      <c r="D591" s="7"/>
      <c r="E591" s="8"/>
      <c r="F591" s="8"/>
      <c r="G591" s="6"/>
      <c r="H591" s="5"/>
      <c r="I591" s="5" t="n">
        <v>100</v>
      </c>
      <c r="J591" s="8"/>
      <c r="K591" s="8"/>
      <c r="L591" s="9"/>
      <c r="M591" s="7"/>
      <c r="N591" s="6"/>
      <c r="O591" s="8"/>
      <c r="P591" s="9"/>
      <c r="Q591" s="9"/>
      <c r="R591" s="7"/>
      <c r="S591" s="7"/>
      <c r="T591" s="10" t="str">
        <f aca="false">IF($C591="","",IFERROR(INDEX(Listas!$B$2:$B$20,MATCH($D591,Listas!$A$2:$A$20,0)),""))</f>
        <v/>
      </c>
      <c r="U591" s="10" t="str">
        <f aca="false">IF($C591="","",IFERROR(INDEX(Listas!$C$2:$C$20,MATCH($D591,Listas!$A$2:$A$20,0)),""))</f>
        <v/>
      </c>
      <c r="V591" s="10" t="str">
        <f aca="false">IF($C591="","",IFERROR(INDEX(Listas!$D$2:$D$20,MATCH($D591,Listas!$A$2:$A$20,0)),""))</f>
        <v/>
      </c>
      <c r="W591" s="11" t="str">
        <f aca="false">IF(OR($C591="",$B591="",$G591=""),"",$G591-$B591)</f>
        <v/>
      </c>
      <c r="X591" s="11" t="str">
        <f aca="true">IF(OR($C591="",$B591=""),"",IF($N591&lt;&gt;"",$N591,TODAY())-$B591)</f>
        <v/>
      </c>
      <c r="Y591" s="11" t="str">
        <f aca="true">IF(OR($C591="",$M591&lt;&gt;"Abierta",$G591=""),"",MAX($G591-TODAY(),0))</f>
        <v/>
      </c>
      <c r="Z591" s="12" t="str">
        <f aca="false">IF($C591="","",N($K591)*N($H591)*N($I591)*IF($U591="Débito",-1,1))</f>
        <v/>
      </c>
      <c r="AA591" s="13" t="str">
        <f aca="false">IF($C591="","",IF(AND($U591="Débito",$F591&lt;&gt;""),$F591,$E591))</f>
        <v/>
      </c>
      <c r="AB591" s="13" t="str">
        <f aca="false">IF(OR($C591="",$T591="Mixta",$AA591=""),"",IF($V591="Subyacente",IF($J591="","",$J591-$K591),IF($T591="Put",$AA591-$K591,$AA591+$K591)))</f>
        <v/>
      </c>
      <c r="AC591" s="14" t="str">
        <f aca="false">IF(OR($C591="",$T591="Mixta",$J591="",$AA591=""),"",IF($T591="Put",($J591-$AA591)/$J591,($AA591-$J591)/$J591))</f>
        <v/>
      </c>
      <c r="AD591" s="12" t="str">
        <f aca="false">IF($C591="","",IF($Q591&lt;&gt;"",$Q591,IF($V591="Strike",N($E591)*$H591*$I591,IF($V591="Subyacente",IF($J591="","",$J591*$H591*$I591),IF($V591="Ancho",IF($F591="","",ABS($E591-$F591)*$H591*$I591-$K591*$H591*$I591),IF($V591="Prima",$K591*$H591*$I591,""))))))</f>
        <v/>
      </c>
      <c r="AE591" s="12" t="str">
        <f aca="false">IF(OR($C591="",$M591="Abierta",$M591=""),"",(N($K591)-IF(OR($M591="Cerrada",$M591="Rolada"),N($O591),0))*$H591*$I591*IF($U591="Débito",-1,1)-N($L591)-N($P591))</f>
        <v/>
      </c>
      <c r="AF591" s="14" t="str">
        <f aca="false">IF(OR($AE591="",$AD591=""),"",IF($AD591&lt;=0,"",$AE591/$AD591))</f>
        <v/>
      </c>
      <c r="AG591" s="14" t="str">
        <f aca="false">IF($AF591="","",$AF591*365/MAX(N($X591),1))</f>
        <v/>
      </c>
      <c r="AH591" s="14" t="str">
        <f aca="false">IF(OR($C591="",$U591&lt;&gt;"Crédito",$AD591=""),"",IF($AD591&lt;=0,"",($Z591-N($L591))/$AD591))</f>
        <v/>
      </c>
      <c r="AI591" s="14" t="str">
        <f aca="false">IF(OR($AH591="",$W591=""),"",$AH591*365/MAX($W591,1))</f>
        <v/>
      </c>
      <c r="AJ591" s="14" t="str">
        <f aca="false">IF(OR($AE591="",$U591&lt;&gt;"Crédito",N($K591)=0),"",(N($K591)-IF(OR($M591="Cerrada",$M591="Rolada"),N($O591),0))/$K591)</f>
        <v/>
      </c>
      <c r="AK591" s="15" t="str">
        <f aca="false">IF(OR($C591="",$N591=""),"",DATE(YEAR($N591),MONTH($N591),1))</f>
        <v/>
      </c>
      <c r="AL591" s="11" t="str">
        <f aca="false">IF($C591="","",IF($M591="Abierta",0,1))</f>
        <v/>
      </c>
      <c r="AM591" s="16" t="str">
        <f aca="false">IF(OR($AE591="",$AD591=""),"",$AD591*MAX(N($X591),1))</f>
        <v/>
      </c>
      <c r="AN591" s="10" t="str">
        <f aca="false">IF($C591="","",IF(OR($B591="",$D591="",$H591="",$K591="",$M591=""),"Faltan datos obligatorios",IF($T591="","Estrategia no reconocida",IF(AND($M591&lt;&gt;"Abierta",$N591=""),"Falta fecha cierre",IF(AND(OR($M591="Cerrada",$M591="Rolada"),$O591=""),"Falta prima cierre",IF(AND($N591&lt;&gt;"",$N591&lt;$B591),"Cierre anterior a apertura",IF(AND($M591="Asignada",$R591=""),"Asignada: falta ID lote acciones",IF(AND($R591&lt;&gt;"",ISNA(MATCH($R591,Acciones!$A$2:$A$201,0))),"El ID lote no existe en Acciones",IF($AD591="","Revisa capital en riesgo","OK")))))))))</f>
        <v/>
      </c>
    </row>
    <row r="592" customFormat="false" ht="15" hidden="false" customHeight="true" outlineLevel="0" collapsed="false">
      <c r="A592" s="5"/>
      <c r="B592" s="6"/>
      <c r="C592" s="7"/>
      <c r="D592" s="7"/>
      <c r="E592" s="8"/>
      <c r="F592" s="8"/>
      <c r="G592" s="6"/>
      <c r="H592" s="5"/>
      <c r="I592" s="5" t="n">
        <v>100</v>
      </c>
      <c r="J592" s="8"/>
      <c r="K592" s="8"/>
      <c r="L592" s="9"/>
      <c r="M592" s="7"/>
      <c r="N592" s="6"/>
      <c r="O592" s="8"/>
      <c r="P592" s="9"/>
      <c r="Q592" s="9"/>
      <c r="R592" s="7"/>
      <c r="S592" s="7"/>
      <c r="T592" s="10" t="str">
        <f aca="false">IF($C592="","",IFERROR(INDEX(Listas!$B$2:$B$20,MATCH($D592,Listas!$A$2:$A$20,0)),""))</f>
        <v/>
      </c>
      <c r="U592" s="10" t="str">
        <f aca="false">IF($C592="","",IFERROR(INDEX(Listas!$C$2:$C$20,MATCH($D592,Listas!$A$2:$A$20,0)),""))</f>
        <v/>
      </c>
      <c r="V592" s="10" t="str">
        <f aca="false">IF($C592="","",IFERROR(INDEX(Listas!$D$2:$D$20,MATCH($D592,Listas!$A$2:$A$20,0)),""))</f>
        <v/>
      </c>
      <c r="W592" s="11" t="str">
        <f aca="false">IF(OR($C592="",$B592="",$G592=""),"",$G592-$B592)</f>
        <v/>
      </c>
      <c r="X592" s="11" t="str">
        <f aca="true">IF(OR($C592="",$B592=""),"",IF($N592&lt;&gt;"",$N592,TODAY())-$B592)</f>
        <v/>
      </c>
      <c r="Y592" s="11" t="str">
        <f aca="true">IF(OR($C592="",$M592&lt;&gt;"Abierta",$G592=""),"",MAX($G592-TODAY(),0))</f>
        <v/>
      </c>
      <c r="Z592" s="12" t="str">
        <f aca="false">IF($C592="","",N($K592)*N($H592)*N($I592)*IF($U592="Débito",-1,1))</f>
        <v/>
      </c>
      <c r="AA592" s="13" t="str">
        <f aca="false">IF($C592="","",IF(AND($U592="Débito",$F592&lt;&gt;""),$F592,$E592))</f>
        <v/>
      </c>
      <c r="AB592" s="13" t="str">
        <f aca="false">IF(OR($C592="",$T592="Mixta",$AA592=""),"",IF($V592="Subyacente",IF($J592="","",$J592-$K592),IF($T592="Put",$AA592-$K592,$AA592+$K592)))</f>
        <v/>
      </c>
      <c r="AC592" s="14" t="str">
        <f aca="false">IF(OR($C592="",$T592="Mixta",$J592="",$AA592=""),"",IF($T592="Put",($J592-$AA592)/$J592,($AA592-$J592)/$J592))</f>
        <v/>
      </c>
      <c r="AD592" s="12" t="str">
        <f aca="false">IF($C592="","",IF($Q592&lt;&gt;"",$Q592,IF($V592="Strike",N($E592)*$H592*$I592,IF($V592="Subyacente",IF($J592="","",$J592*$H592*$I592),IF($V592="Ancho",IF($F592="","",ABS($E592-$F592)*$H592*$I592-$K592*$H592*$I592),IF($V592="Prima",$K592*$H592*$I592,""))))))</f>
        <v/>
      </c>
      <c r="AE592" s="12" t="str">
        <f aca="false">IF(OR($C592="",$M592="Abierta",$M592=""),"",(N($K592)-IF(OR($M592="Cerrada",$M592="Rolada"),N($O592),0))*$H592*$I592*IF($U592="Débito",-1,1)-N($L592)-N($P592))</f>
        <v/>
      </c>
      <c r="AF592" s="14" t="str">
        <f aca="false">IF(OR($AE592="",$AD592=""),"",IF($AD592&lt;=0,"",$AE592/$AD592))</f>
        <v/>
      </c>
      <c r="AG592" s="14" t="str">
        <f aca="false">IF($AF592="","",$AF592*365/MAX(N($X592),1))</f>
        <v/>
      </c>
      <c r="AH592" s="14" t="str">
        <f aca="false">IF(OR($C592="",$U592&lt;&gt;"Crédito",$AD592=""),"",IF($AD592&lt;=0,"",($Z592-N($L592))/$AD592))</f>
        <v/>
      </c>
      <c r="AI592" s="14" t="str">
        <f aca="false">IF(OR($AH592="",$W592=""),"",$AH592*365/MAX($W592,1))</f>
        <v/>
      </c>
      <c r="AJ592" s="14" t="str">
        <f aca="false">IF(OR($AE592="",$U592&lt;&gt;"Crédito",N($K592)=0),"",(N($K592)-IF(OR($M592="Cerrada",$M592="Rolada"),N($O592),0))/$K592)</f>
        <v/>
      </c>
      <c r="AK592" s="15" t="str">
        <f aca="false">IF(OR($C592="",$N592=""),"",DATE(YEAR($N592),MONTH($N592),1))</f>
        <v/>
      </c>
      <c r="AL592" s="11" t="str">
        <f aca="false">IF($C592="","",IF($M592="Abierta",0,1))</f>
        <v/>
      </c>
      <c r="AM592" s="16" t="str">
        <f aca="false">IF(OR($AE592="",$AD592=""),"",$AD592*MAX(N($X592),1))</f>
        <v/>
      </c>
      <c r="AN592" s="10" t="str">
        <f aca="false">IF($C592="","",IF(OR($B592="",$D592="",$H592="",$K592="",$M592=""),"Faltan datos obligatorios",IF($T592="","Estrategia no reconocida",IF(AND($M592&lt;&gt;"Abierta",$N592=""),"Falta fecha cierre",IF(AND(OR($M592="Cerrada",$M592="Rolada"),$O592=""),"Falta prima cierre",IF(AND($N592&lt;&gt;"",$N592&lt;$B592),"Cierre anterior a apertura",IF(AND($M592="Asignada",$R592=""),"Asignada: falta ID lote acciones",IF(AND($R592&lt;&gt;"",ISNA(MATCH($R592,Acciones!$A$2:$A$201,0))),"El ID lote no existe en Acciones",IF($AD592="","Revisa capital en riesgo","OK")))))))))</f>
        <v/>
      </c>
    </row>
    <row r="593" customFormat="false" ht="15" hidden="false" customHeight="true" outlineLevel="0" collapsed="false">
      <c r="A593" s="5"/>
      <c r="B593" s="6"/>
      <c r="C593" s="7"/>
      <c r="D593" s="7"/>
      <c r="E593" s="8"/>
      <c r="F593" s="8"/>
      <c r="G593" s="6"/>
      <c r="H593" s="5"/>
      <c r="I593" s="5" t="n">
        <v>100</v>
      </c>
      <c r="J593" s="8"/>
      <c r="K593" s="8"/>
      <c r="L593" s="9"/>
      <c r="M593" s="7"/>
      <c r="N593" s="6"/>
      <c r="O593" s="8"/>
      <c r="P593" s="9"/>
      <c r="Q593" s="9"/>
      <c r="R593" s="7"/>
      <c r="S593" s="7"/>
      <c r="T593" s="10" t="str">
        <f aca="false">IF($C593="","",IFERROR(INDEX(Listas!$B$2:$B$20,MATCH($D593,Listas!$A$2:$A$20,0)),""))</f>
        <v/>
      </c>
      <c r="U593" s="10" t="str">
        <f aca="false">IF($C593="","",IFERROR(INDEX(Listas!$C$2:$C$20,MATCH($D593,Listas!$A$2:$A$20,0)),""))</f>
        <v/>
      </c>
      <c r="V593" s="10" t="str">
        <f aca="false">IF($C593="","",IFERROR(INDEX(Listas!$D$2:$D$20,MATCH($D593,Listas!$A$2:$A$20,0)),""))</f>
        <v/>
      </c>
      <c r="W593" s="11" t="str">
        <f aca="false">IF(OR($C593="",$B593="",$G593=""),"",$G593-$B593)</f>
        <v/>
      </c>
      <c r="X593" s="11" t="str">
        <f aca="true">IF(OR($C593="",$B593=""),"",IF($N593&lt;&gt;"",$N593,TODAY())-$B593)</f>
        <v/>
      </c>
      <c r="Y593" s="11" t="str">
        <f aca="true">IF(OR($C593="",$M593&lt;&gt;"Abierta",$G593=""),"",MAX($G593-TODAY(),0))</f>
        <v/>
      </c>
      <c r="Z593" s="12" t="str">
        <f aca="false">IF($C593="","",N($K593)*N($H593)*N($I593)*IF($U593="Débito",-1,1))</f>
        <v/>
      </c>
      <c r="AA593" s="13" t="str">
        <f aca="false">IF($C593="","",IF(AND($U593="Débito",$F593&lt;&gt;""),$F593,$E593))</f>
        <v/>
      </c>
      <c r="AB593" s="13" t="str">
        <f aca="false">IF(OR($C593="",$T593="Mixta",$AA593=""),"",IF($V593="Subyacente",IF($J593="","",$J593-$K593),IF($T593="Put",$AA593-$K593,$AA593+$K593)))</f>
        <v/>
      </c>
      <c r="AC593" s="14" t="str">
        <f aca="false">IF(OR($C593="",$T593="Mixta",$J593="",$AA593=""),"",IF($T593="Put",($J593-$AA593)/$J593,($AA593-$J593)/$J593))</f>
        <v/>
      </c>
      <c r="AD593" s="12" t="str">
        <f aca="false">IF($C593="","",IF($Q593&lt;&gt;"",$Q593,IF($V593="Strike",N($E593)*$H593*$I593,IF($V593="Subyacente",IF($J593="","",$J593*$H593*$I593),IF($V593="Ancho",IF($F593="","",ABS($E593-$F593)*$H593*$I593-$K593*$H593*$I593),IF($V593="Prima",$K593*$H593*$I593,""))))))</f>
        <v/>
      </c>
      <c r="AE593" s="12" t="str">
        <f aca="false">IF(OR($C593="",$M593="Abierta",$M593=""),"",(N($K593)-IF(OR($M593="Cerrada",$M593="Rolada"),N($O593),0))*$H593*$I593*IF($U593="Débito",-1,1)-N($L593)-N($P593))</f>
        <v/>
      </c>
      <c r="AF593" s="14" t="str">
        <f aca="false">IF(OR($AE593="",$AD593=""),"",IF($AD593&lt;=0,"",$AE593/$AD593))</f>
        <v/>
      </c>
      <c r="AG593" s="14" t="str">
        <f aca="false">IF($AF593="","",$AF593*365/MAX(N($X593),1))</f>
        <v/>
      </c>
      <c r="AH593" s="14" t="str">
        <f aca="false">IF(OR($C593="",$U593&lt;&gt;"Crédito",$AD593=""),"",IF($AD593&lt;=0,"",($Z593-N($L593))/$AD593))</f>
        <v/>
      </c>
      <c r="AI593" s="14" t="str">
        <f aca="false">IF(OR($AH593="",$W593=""),"",$AH593*365/MAX($W593,1))</f>
        <v/>
      </c>
      <c r="AJ593" s="14" t="str">
        <f aca="false">IF(OR($AE593="",$U593&lt;&gt;"Crédito",N($K593)=0),"",(N($K593)-IF(OR($M593="Cerrada",$M593="Rolada"),N($O593),0))/$K593)</f>
        <v/>
      </c>
      <c r="AK593" s="15" t="str">
        <f aca="false">IF(OR($C593="",$N593=""),"",DATE(YEAR($N593),MONTH($N593),1))</f>
        <v/>
      </c>
      <c r="AL593" s="11" t="str">
        <f aca="false">IF($C593="","",IF($M593="Abierta",0,1))</f>
        <v/>
      </c>
      <c r="AM593" s="16" t="str">
        <f aca="false">IF(OR($AE593="",$AD593=""),"",$AD593*MAX(N($X593),1))</f>
        <v/>
      </c>
      <c r="AN593" s="10" t="str">
        <f aca="false">IF($C593="","",IF(OR($B593="",$D593="",$H593="",$K593="",$M593=""),"Faltan datos obligatorios",IF($T593="","Estrategia no reconocida",IF(AND($M593&lt;&gt;"Abierta",$N593=""),"Falta fecha cierre",IF(AND(OR($M593="Cerrada",$M593="Rolada"),$O593=""),"Falta prima cierre",IF(AND($N593&lt;&gt;"",$N593&lt;$B593),"Cierre anterior a apertura",IF(AND($M593="Asignada",$R593=""),"Asignada: falta ID lote acciones",IF(AND($R593&lt;&gt;"",ISNA(MATCH($R593,Acciones!$A$2:$A$201,0))),"El ID lote no existe en Acciones",IF($AD593="","Revisa capital en riesgo","OK")))))))))</f>
        <v/>
      </c>
    </row>
    <row r="594" customFormat="false" ht="15" hidden="false" customHeight="true" outlineLevel="0" collapsed="false">
      <c r="A594" s="5"/>
      <c r="B594" s="6"/>
      <c r="C594" s="7"/>
      <c r="D594" s="7"/>
      <c r="E594" s="8"/>
      <c r="F594" s="8"/>
      <c r="G594" s="6"/>
      <c r="H594" s="5"/>
      <c r="I594" s="5" t="n">
        <v>100</v>
      </c>
      <c r="J594" s="8"/>
      <c r="K594" s="8"/>
      <c r="L594" s="9"/>
      <c r="M594" s="7"/>
      <c r="N594" s="6"/>
      <c r="O594" s="8"/>
      <c r="P594" s="9"/>
      <c r="Q594" s="9"/>
      <c r="R594" s="7"/>
      <c r="S594" s="7"/>
      <c r="T594" s="10" t="str">
        <f aca="false">IF($C594="","",IFERROR(INDEX(Listas!$B$2:$B$20,MATCH($D594,Listas!$A$2:$A$20,0)),""))</f>
        <v/>
      </c>
      <c r="U594" s="10" t="str">
        <f aca="false">IF($C594="","",IFERROR(INDEX(Listas!$C$2:$C$20,MATCH($D594,Listas!$A$2:$A$20,0)),""))</f>
        <v/>
      </c>
      <c r="V594" s="10" t="str">
        <f aca="false">IF($C594="","",IFERROR(INDEX(Listas!$D$2:$D$20,MATCH($D594,Listas!$A$2:$A$20,0)),""))</f>
        <v/>
      </c>
      <c r="W594" s="11" t="str">
        <f aca="false">IF(OR($C594="",$B594="",$G594=""),"",$G594-$B594)</f>
        <v/>
      </c>
      <c r="X594" s="11" t="str">
        <f aca="true">IF(OR($C594="",$B594=""),"",IF($N594&lt;&gt;"",$N594,TODAY())-$B594)</f>
        <v/>
      </c>
      <c r="Y594" s="11" t="str">
        <f aca="true">IF(OR($C594="",$M594&lt;&gt;"Abierta",$G594=""),"",MAX($G594-TODAY(),0))</f>
        <v/>
      </c>
      <c r="Z594" s="12" t="str">
        <f aca="false">IF($C594="","",N($K594)*N($H594)*N($I594)*IF($U594="Débito",-1,1))</f>
        <v/>
      </c>
      <c r="AA594" s="13" t="str">
        <f aca="false">IF($C594="","",IF(AND($U594="Débito",$F594&lt;&gt;""),$F594,$E594))</f>
        <v/>
      </c>
      <c r="AB594" s="13" t="str">
        <f aca="false">IF(OR($C594="",$T594="Mixta",$AA594=""),"",IF($V594="Subyacente",IF($J594="","",$J594-$K594),IF($T594="Put",$AA594-$K594,$AA594+$K594)))</f>
        <v/>
      </c>
      <c r="AC594" s="14" t="str">
        <f aca="false">IF(OR($C594="",$T594="Mixta",$J594="",$AA594=""),"",IF($T594="Put",($J594-$AA594)/$J594,($AA594-$J594)/$J594))</f>
        <v/>
      </c>
      <c r="AD594" s="12" t="str">
        <f aca="false">IF($C594="","",IF($Q594&lt;&gt;"",$Q594,IF($V594="Strike",N($E594)*$H594*$I594,IF($V594="Subyacente",IF($J594="","",$J594*$H594*$I594),IF($V594="Ancho",IF($F594="","",ABS($E594-$F594)*$H594*$I594-$K594*$H594*$I594),IF($V594="Prima",$K594*$H594*$I594,""))))))</f>
        <v/>
      </c>
      <c r="AE594" s="12" t="str">
        <f aca="false">IF(OR($C594="",$M594="Abierta",$M594=""),"",(N($K594)-IF(OR($M594="Cerrada",$M594="Rolada"),N($O594),0))*$H594*$I594*IF($U594="Débito",-1,1)-N($L594)-N($P594))</f>
        <v/>
      </c>
      <c r="AF594" s="14" t="str">
        <f aca="false">IF(OR($AE594="",$AD594=""),"",IF($AD594&lt;=0,"",$AE594/$AD594))</f>
        <v/>
      </c>
      <c r="AG594" s="14" t="str">
        <f aca="false">IF($AF594="","",$AF594*365/MAX(N($X594),1))</f>
        <v/>
      </c>
      <c r="AH594" s="14" t="str">
        <f aca="false">IF(OR($C594="",$U594&lt;&gt;"Crédito",$AD594=""),"",IF($AD594&lt;=0,"",($Z594-N($L594))/$AD594))</f>
        <v/>
      </c>
      <c r="AI594" s="14" t="str">
        <f aca="false">IF(OR($AH594="",$W594=""),"",$AH594*365/MAX($W594,1))</f>
        <v/>
      </c>
      <c r="AJ594" s="14" t="str">
        <f aca="false">IF(OR($AE594="",$U594&lt;&gt;"Crédito",N($K594)=0),"",(N($K594)-IF(OR($M594="Cerrada",$M594="Rolada"),N($O594),0))/$K594)</f>
        <v/>
      </c>
      <c r="AK594" s="15" t="str">
        <f aca="false">IF(OR($C594="",$N594=""),"",DATE(YEAR($N594),MONTH($N594),1))</f>
        <v/>
      </c>
      <c r="AL594" s="11" t="str">
        <f aca="false">IF($C594="","",IF($M594="Abierta",0,1))</f>
        <v/>
      </c>
      <c r="AM594" s="16" t="str">
        <f aca="false">IF(OR($AE594="",$AD594=""),"",$AD594*MAX(N($X594),1))</f>
        <v/>
      </c>
      <c r="AN594" s="10" t="str">
        <f aca="false">IF($C594="","",IF(OR($B594="",$D594="",$H594="",$K594="",$M594=""),"Faltan datos obligatorios",IF($T594="","Estrategia no reconocida",IF(AND($M594&lt;&gt;"Abierta",$N594=""),"Falta fecha cierre",IF(AND(OR($M594="Cerrada",$M594="Rolada"),$O594=""),"Falta prima cierre",IF(AND($N594&lt;&gt;"",$N594&lt;$B594),"Cierre anterior a apertura",IF(AND($M594="Asignada",$R594=""),"Asignada: falta ID lote acciones",IF(AND($R594&lt;&gt;"",ISNA(MATCH($R594,Acciones!$A$2:$A$201,0))),"El ID lote no existe en Acciones",IF($AD594="","Revisa capital en riesgo","OK")))))))))</f>
        <v/>
      </c>
    </row>
    <row r="595" customFormat="false" ht="15" hidden="false" customHeight="true" outlineLevel="0" collapsed="false">
      <c r="A595" s="5"/>
      <c r="B595" s="6"/>
      <c r="C595" s="7"/>
      <c r="D595" s="7"/>
      <c r="E595" s="8"/>
      <c r="F595" s="8"/>
      <c r="G595" s="6"/>
      <c r="H595" s="5"/>
      <c r="I595" s="5" t="n">
        <v>100</v>
      </c>
      <c r="J595" s="8"/>
      <c r="K595" s="8"/>
      <c r="L595" s="9"/>
      <c r="M595" s="7"/>
      <c r="N595" s="6"/>
      <c r="O595" s="8"/>
      <c r="P595" s="9"/>
      <c r="Q595" s="9"/>
      <c r="R595" s="7"/>
      <c r="S595" s="7"/>
      <c r="T595" s="10" t="str">
        <f aca="false">IF($C595="","",IFERROR(INDEX(Listas!$B$2:$B$20,MATCH($D595,Listas!$A$2:$A$20,0)),""))</f>
        <v/>
      </c>
      <c r="U595" s="10" t="str">
        <f aca="false">IF($C595="","",IFERROR(INDEX(Listas!$C$2:$C$20,MATCH($D595,Listas!$A$2:$A$20,0)),""))</f>
        <v/>
      </c>
      <c r="V595" s="10" t="str">
        <f aca="false">IF($C595="","",IFERROR(INDEX(Listas!$D$2:$D$20,MATCH($D595,Listas!$A$2:$A$20,0)),""))</f>
        <v/>
      </c>
      <c r="W595" s="11" t="str">
        <f aca="false">IF(OR($C595="",$B595="",$G595=""),"",$G595-$B595)</f>
        <v/>
      </c>
      <c r="X595" s="11" t="str">
        <f aca="true">IF(OR($C595="",$B595=""),"",IF($N595&lt;&gt;"",$N595,TODAY())-$B595)</f>
        <v/>
      </c>
      <c r="Y595" s="11" t="str">
        <f aca="true">IF(OR($C595="",$M595&lt;&gt;"Abierta",$G595=""),"",MAX($G595-TODAY(),0))</f>
        <v/>
      </c>
      <c r="Z595" s="12" t="str">
        <f aca="false">IF($C595="","",N($K595)*N($H595)*N($I595)*IF($U595="Débito",-1,1))</f>
        <v/>
      </c>
      <c r="AA595" s="13" t="str">
        <f aca="false">IF($C595="","",IF(AND($U595="Débito",$F595&lt;&gt;""),$F595,$E595))</f>
        <v/>
      </c>
      <c r="AB595" s="13" t="str">
        <f aca="false">IF(OR($C595="",$T595="Mixta",$AA595=""),"",IF($V595="Subyacente",IF($J595="","",$J595-$K595),IF($T595="Put",$AA595-$K595,$AA595+$K595)))</f>
        <v/>
      </c>
      <c r="AC595" s="14" t="str">
        <f aca="false">IF(OR($C595="",$T595="Mixta",$J595="",$AA595=""),"",IF($T595="Put",($J595-$AA595)/$J595,($AA595-$J595)/$J595))</f>
        <v/>
      </c>
      <c r="AD595" s="12" t="str">
        <f aca="false">IF($C595="","",IF($Q595&lt;&gt;"",$Q595,IF($V595="Strike",N($E595)*$H595*$I595,IF($V595="Subyacente",IF($J595="","",$J595*$H595*$I595),IF($V595="Ancho",IF($F595="","",ABS($E595-$F595)*$H595*$I595-$K595*$H595*$I595),IF($V595="Prima",$K595*$H595*$I595,""))))))</f>
        <v/>
      </c>
      <c r="AE595" s="12" t="str">
        <f aca="false">IF(OR($C595="",$M595="Abierta",$M595=""),"",(N($K595)-IF(OR($M595="Cerrada",$M595="Rolada"),N($O595),0))*$H595*$I595*IF($U595="Débito",-1,1)-N($L595)-N($P595))</f>
        <v/>
      </c>
      <c r="AF595" s="14" t="str">
        <f aca="false">IF(OR($AE595="",$AD595=""),"",IF($AD595&lt;=0,"",$AE595/$AD595))</f>
        <v/>
      </c>
      <c r="AG595" s="14" t="str">
        <f aca="false">IF($AF595="","",$AF595*365/MAX(N($X595),1))</f>
        <v/>
      </c>
      <c r="AH595" s="14" t="str">
        <f aca="false">IF(OR($C595="",$U595&lt;&gt;"Crédito",$AD595=""),"",IF($AD595&lt;=0,"",($Z595-N($L595))/$AD595))</f>
        <v/>
      </c>
      <c r="AI595" s="14" t="str">
        <f aca="false">IF(OR($AH595="",$W595=""),"",$AH595*365/MAX($W595,1))</f>
        <v/>
      </c>
      <c r="AJ595" s="14" t="str">
        <f aca="false">IF(OR($AE595="",$U595&lt;&gt;"Crédito",N($K595)=0),"",(N($K595)-IF(OR($M595="Cerrada",$M595="Rolada"),N($O595),0))/$K595)</f>
        <v/>
      </c>
      <c r="AK595" s="15" t="str">
        <f aca="false">IF(OR($C595="",$N595=""),"",DATE(YEAR($N595),MONTH($N595),1))</f>
        <v/>
      </c>
      <c r="AL595" s="11" t="str">
        <f aca="false">IF($C595="","",IF($M595="Abierta",0,1))</f>
        <v/>
      </c>
      <c r="AM595" s="16" t="str">
        <f aca="false">IF(OR($AE595="",$AD595=""),"",$AD595*MAX(N($X595),1))</f>
        <v/>
      </c>
      <c r="AN595" s="10" t="str">
        <f aca="false">IF($C595="","",IF(OR($B595="",$D595="",$H595="",$K595="",$M595=""),"Faltan datos obligatorios",IF($T595="","Estrategia no reconocida",IF(AND($M595&lt;&gt;"Abierta",$N595=""),"Falta fecha cierre",IF(AND(OR($M595="Cerrada",$M595="Rolada"),$O595=""),"Falta prima cierre",IF(AND($N595&lt;&gt;"",$N595&lt;$B595),"Cierre anterior a apertura",IF(AND($M595="Asignada",$R595=""),"Asignada: falta ID lote acciones",IF(AND($R595&lt;&gt;"",ISNA(MATCH($R595,Acciones!$A$2:$A$201,0))),"El ID lote no existe en Acciones",IF($AD595="","Revisa capital en riesgo","OK")))))))))</f>
        <v/>
      </c>
    </row>
    <row r="596" customFormat="false" ht="15" hidden="false" customHeight="true" outlineLevel="0" collapsed="false">
      <c r="A596" s="5"/>
      <c r="B596" s="6"/>
      <c r="C596" s="7"/>
      <c r="D596" s="7"/>
      <c r="E596" s="8"/>
      <c r="F596" s="8"/>
      <c r="G596" s="6"/>
      <c r="H596" s="5"/>
      <c r="I596" s="5" t="n">
        <v>100</v>
      </c>
      <c r="J596" s="8"/>
      <c r="K596" s="8"/>
      <c r="L596" s="9"/>
      <c r="M596" s="7"/>
      <c r="N596" s="6"/>
      <c r="O596" s="8"/>
      <c r="P596" s="9"/>
      <c r="Q596" s="9"/>
      <c r="R596" s="7"/>
      <c r="S596" s="7"/>
      <c r="T596" s="10" t="str">
        <f aca="false">IF($C596="","",IFERROR(INDEX(Listas!$B$2:$B$20,MATCH($D596,Listas!$A$2:$A$20,0)),""))</f>
        <v/>
      </c>
      <c r="U596" s="10" t="str">
        <f aca="false">IF($C596="","",IFERROR(INDEX(Listas!$C$2:$C$20,MATCH($D596,Listas!$A$2:$A$20,0)),""))</f>
        <v/>
      </c>
      <c r="V596" s="10" t="str">
        <f aca="false">IF($C596="","",IFERROR(INDEX(Listas!$D$2:$D$20,MATCH($D596,Listas!$A$2:$A$20,0)),""))</f>
        <v/>
      </c>
      <c r="W596" s="11" t="str">
        <f aca="false">IF(OR($C596="",$B596="",$G596=""),"",$G596-$B596)</f>
        <v/>
      </c>
      <c r="X596" s="11" t="str">
        <f aca="true">IF(OR($C596="",$B596=""),"",IF($N596&lt;&gt;"",$N596,TODAY())-$B596)</f>
        <v/>
      </c>
      <c r="Y596" s="11" t="str">
        <f aca="true">IF(OR($C596="",$M596&lt;&gt;"Abierta",$G596=""),"",MAX($G596-TODAY(),0))</f>
        <v/>
      </c>
      <c r="Z596" s="12" t="str">
        <f aca="false">IF($C596="","",N($K596)*N($H596)*N($I596)*IF($U596="Débito",-1,1))</f>
        <v/>
      </c>
      <c r="AA596" s="13" t="str">
        <f aca="false">IF($C596="","",IF(AND($U596="Débito",$F596&lt;&gt;""),$F596,$E596))</f>
        <v/>
      </c>
      <c r="AB596" s="13" t="str">
        <f aca="false">IF(OR($C596="",$T596="Mixta",$AA596=""),"",IF($V596="Subyacente",IF($J596="","",$J596-$K596),IF($T596="Put",$AA596-$K596,$AA596+$K596)))</f>
        <v/>
      </c>
      <c r="AC596" s="14" t="str">
        <f aca="false">IF(OR($C596="",$T596="Mixta",$J596="",$AA596=""),"",IF($T596="Put",($J596-$AA596)/$J596,($AA596-$J596)/$J596))</f>
        <v/>
      </c>
      <c r="AD596" s="12" t="str">
        <f aca="false">IF($C596="","",IF($Q596&lt;&gt;"",$Q596,IF($V596="Strike",N($E596)*$H596*$I596,IF($V596="Subyacente",IF($J596="","",$J596*$H596*$I596),IF($V596="Ancho",IF($F596="","",ABS($E596-$F596)*$H596*$I596-$K596*$H596*$I596),IF($V596="Prima",$K596*$H596*$I596,""))))))</f>
        <v/>
      </c>
      <c r="AE596" s="12" t="str">
        <f aca="false">IF(OR($C596="",$M596="Abierta",$M596=""),"",(N($K596)-IF(OR($M596="Cerrada",$M596="Rolada"),N($O596),0))*$H596*$I596*IF($U596="Débito",-1,1)-N($L596)-N($P596))</f>
        <v/>
      </c>
      <c r="AF596" s="14" t="str">
        <f aca="false">IF(OR($AE596="",$AD596=""),"",IF($AD596&lt;=0,"",$AE596/$AD596))</f>
        <v/>
      </c>
      <c r="AG596" s="14" t="str">
        <f aca="false">IF($AF596="","",$AF596*365/MAX(N($X596),1))</f>
        <v/>
      </c>
      <c r="AH596" s="14" t="str">
        <f aca="false">IF(OR($C596="",$U596&lt;&gt;"Crédito",$AD596=""),"",IF($AD596&lt;=0,"",($Z596-N($L596))/$AD596))</f>
        <v/>
      </c>
      <c r="AI596" s="14" t="str">
        <f aca="false">IF(OR($AH596="",$W596=""),"",$AH596*365/MAX($W596,1))</f>
        <v/>
      </c>
      <c r="AJ596" s="14" t="str">
        <f aca="false">IF(OR($AE596="",$U596&lt;&gt;"Crédito",N($K596)=0),"",(N($K596)-IF(OR($M596="Cerrada",$M596="Rolada"),N($O596),0))/$K596)</f>
        <v/>
      </c>
      <c r="AK596" s="15" t="str">
        <f aca="false">IF(OR($C596="",$N596=""),"",DATE(YEAR($N596),MONTH($N596),1))</f>
        <v/>
      </c>
      <c r="AL596" s="11" t="str">
        <f aca="false">IF($C596="","",IF($M596="Abierta",0,1))</f>
        <v/>
      </c>
      <c r="AM596" s="16" t="str">
        <f aca="false">IF(OR($AE596="",$AD596=""),"",$AD596*MAX(N($X596),1))</f>
        <v/>
      </c>
      <c r="AN596" s="10" t="str">
        <f aca="false">IF($C596="","",IF(OR($B596="",$D596="",$H596="",$K596="",$M596=""),"Faltan datos obligatorios",IF($T596="","Estrategia no reconocida",IF(AND($M596&lt;&gt;"Abierta",$N596=""),"Falta fecha cierre",IF(AND(OR($M596="Cerrada",$M596="Rolada"),$O596=""),"Falta prima cierre",IF(AND($N596&lt;&gt;"",$N596&lt;$B596),"Cierre anterior a apertura",IF(AND($M596="Asignada",$R596=""),"Asignada: falta ID lote acciones",IF(AND($R596&lt;&gt;"",ISNA(MATCH($R596,Acciones!$A$2:$A$201,0))),"El ID lote no existe en Acciones",IF($AD596="","Revisa capital en riesgo","OK")))))))))</f>
        <v/>
      </c>
    </row>
    <row r="597" customFormat="false" ht="15" hidden="false" customHeight="true" outlineLevel="0" collapsed="false">
      <c r="A597" s="5"/>
      <c r="B597" s="6"/>
      <c r="C597" s="7"/>
      <c r="D597" s="7"/>
      <c r="E597" s="8"/>
      <c r="F597" s="8"/>
      <c r="G597" s="6"/>
      <c r="H597" s="5"/>
      <c r="I597" s="5" t="n">
        <v>100</v>
      </c>
      <c r="J597" s="8"/>
      <c r="K597" s="8"/>
      <c r="L597" s="9"/>
      <c r="M597" s="7"/>
      <c r="N597" s="6"/>
      <c r="O597" s="8"/>
      <c r="P597" s="9"/>
      <c r="Q597" s="9"/>
      <c r="R597" s="7"/>
      <c r="S597" s="7"/>
      <c r="T597" s="10" t="str">
        <f aca="false">IF($C597="","",IFERROR(INDEX(Listas!$B$2:$B$20,MATCH($D597,Listas!$A$2:$A$20,0)),""))</f>
        <v/>
      </c>
      <c r="U597" s="10" t="str">
        <f aca="false">IF($C597="","",IFERROR(INDEX(Listas!$C$2:$C$20,MATCH($D597,Listas!$A$2:$A$20,0)),""))</f>
        <v/>
      </c>
      <c r="V597" s="10" t="str">
        <f aca="false">IF($C597="","",IFERROR(INDEX(Listas!$D$2:$D$20,MATCH($D597,Listas!$A$2:$A$20,0)),""))</f>
        <v/>
      </c>
      <c r="W597" s="11" t="str">
        <f aca="false">IF(OR($C597="",$B597="",$G597=""),"",$G597-$B597)</f>
        <v/>
      </c>
      <c r="X597" s="11" t="str">
        <f aca="true">IF(OR($C597="",$B597=""),"",IF($N597&lt;&gt;"",$N597,TODAY())-$B597)</f>
        <v/>
      </c>
      <c r="Y597" s="11" t="str">
        <f aca="true">IF(OR($C597="",$M597&lt;&gt;"Abierta",$G597=""),"",MAX($G597-TODAY(),0))</f>
        <v/>
      </c>
      <c r="Z597" s="12" t="str">
        <f aca="false">IF($C597="","",N($K597)*N($H597)*N($I597)*IF($U597="Débito",-1,1))</f>
        <v/>
      </c>
      <c r="AA597" s="13" t="str">
        <f aca="false">IF($C597="","",IF(AND($U597="Débito",$F597&lt;&gt;""),$F597,$E597))</f>
        <v/>
      </c>
      <c r="AB597" s="13" t="str">
        <f aca="false">IF(OR($C597="",$T597="Mixta",$AA597=""),"",IF($V597="Subyacente",IF($J597="","",$J597-$K597),IF($T597="Put",$AA597-$K597,$AA597+$K597)))</f>
        <v/>
      </c>
      <c r="AC597" s="14" t="str">
        <f aca="false">IF(OR($C597="",$T597="Mixta",$J597="",$AA597=""),"",IF($T597="Put",($J597-$AA597)/$J597,($AA597-$J597)/$J597))</f>
        <v/>
      </c>
      <c r="AD597" s="12" t="str">
        <f aca="false">IF($C597="","",IF($Q597&lt;&gt;"",$Q597,IF($V597="Strike",N($E597)*$H597*$I597,IF($V597="Subyacente",IF($J597="","",$J597*$H597*$I597),IF($V597="Ancho",IF($F597="","",ABS($E597-$F597)*$H597*$I597-$K597*$H597*$I597),IF($V597="Prima",$K597*$H597*$I597,""))))))</f>
        <v/>
      </c>
      <c r="AE597" s="12" t="str">
        <f aca="false">IF(OR($C597="",$M597="Abierta",$M597=""),"",(N($K597)-IF(OR($M597="Cerrada",$M597="Rolada"),N($O597),0))*$H597*$I597*IF($U597="Débito",-1,1)-N($L597)-N($P597))</f>
        <v/>
      </c>
      <c r="AF597" s="14" t="str">
        <f aca="false">IF(OR($AE597="",$AD597=""),"",IF($AD597&lt;=0,"",$AE597/$AD597))</f>
        <v/>
      </c>
      <c r="AG597" s="14" t="str">
        <f aca="false">IF($AF597="","",$AF597*365/MAX(N($X597),1))</f>
        <v/>
      </c>
      <c r="AH597" s="14" t="str">
        <f aca="false">IF(OR($C597="",$U597&lt;&gt;"Crédito",$AD597=""),"",IF($AD597&lt;=0,"",($Z597-N($L597))/$AD597))</f>
        <v/>
      </c>
      <c r="AI597" s="14" t="str">
        <f aca="false">IF(OR($AH597="",$W597=""),"",$AH597*365/MAX($W597,1))</f>
        <v/>
      </c>
      <c r="AJ597" s="14" t="str">
        <f aca="false">IF(OR($AE597="",$U597&lt;&gt;"Crédito",N($K597)=0),"",(N($K597)-IF(OR($M597="Cerrada",$M597="Rolada"),N($O597),0))/$K597)</f>
        <v/>
      </c>
      <c r="AK597" s="15" t="str">
        <f aca="false">IF(OR($C597="",$N597=""),"",DATE(YEAR($N597),MONTH($N597),1))</f>
        <v/>
      </c>
      <c r="AL597" s="11" t="str">
        <f aca="false">IF($C597="","",IF($M597="Abierta",0,1))</f>
        <v/>
      </c>
      <c r="AM597" s="16" t="str">
        <f aca="false">IF(OR($AE597="",$AD597=""),"",$AD597*MAX(N($X597),1))</f>
        <v/>
      </c>
      <c r="AN597" s="10" t="str">
        <f aca="false">IF($C597="","",IF(OR($B597="",$D597="",$H597="",$K597="",$M597=""),"Faltan datos obligatorios",IF($T597="","Estrategia no reconocida",IF(AND($M597&lt;&gt;"Abierta",$N597=""),"Falta fecha cierre",IF(AND(OR($M597="Cerrada",$M597="Rolada"),$O597=""),"Falta prima cierre",IF(AND($N597&lt;&gt;"",$N597&lt;$B597),"Cierre anterior a apertura",IF(AND($M597="Asignada",$R597=""),"Asignada: falta ID lote acciones",IF(AND($R597&lt;&gt;"",ISNA(MATCH($R597,Acciones!$A$2:$A$201,0))),"El ID lote no existe en Acciones",IF($AD597="","Revisa capital en riesgo","OK")))))))))</f>
        <v/>
      </c>
    </row>
    <row r="598" customFormat="false" ht="15" hidden="false" customHeight="true" outlineLevel="0" collapsed="false">
      <c r="A598" s="5"/>
      <c r="B598" s="6"/>
      <c r="C598" s="7"/>
      <c r="D598" s="7"/>
      <c r="E598" s="8"/>
      <c r="F598" s="8"/>
      <c r="G598" s="6"/>
      <c r="H598" s="5"/>
      <c r="I598" s="5" t="n">
        <v>100</v>
      </c>
      <c r="J598" s="8"/>
      <c r="K598" s="8"/>
      <c r="L598" s="9"/>
      <c r="M598" s="7"/>
      <c r="N598" s="6"/>
      <c r="O598" s="8"/>
      <c r="P598" s="9"/>
      <c r="Q598" s="9"/>
      <c r="R598" s="7"/>
      <c r="S598" s="7"/>
      <c r="T598" s="10" t="str">
        <f aca="false">IF($C598="","",IFERROR(INDEX(Listas!$B$2:$B$20,MATCH($D598,Listas!$A$2:$A$20,0)),""))</f>
        <v/>
      </c>
      <c r="U598" s="10" t="str">
        <f aca="false">IF($C598="","",IFERROR(INDEX(Listas!$C$2:$C$20,MATCH($D598,Listas!$A$2:$A$20,0)),""))</f>
        <v/>
      </c>
      <c r="V598" s="10" t="str">
        <f aca="false">IF($C598="","",IFERROR(INDEX(Listas!$D$2:$D$20,MATCH($D598,Listas!$A$2:$A$20,0)),""))</f>
        <v/>
      </c>
      <c r="W598" s="11" t="str">
        <f aca="false">IF(OR($C598="",$B598="",$G598=""),"",$G598-$B598)</f>
        <v/>
      </c>
      <c r="X598" s="11" t="str">
        <f aca="true">IF(OR($C598="",$B598=""),"",IF($N598&lt;&gt;"",$N598,TODAY())-$B598)</f>
        <v/>
      </c>
      <c r="Y598" s="11" t="str">
        <f aca="true">IF(OR($C598="",$M598&lt;&gt;"Abierta",$G598=""),"",MAX($G598-TODAY(),0))</f>
        <v/>
      </c>
      <c r="Z598" s="12" t="str">
        <f aca="false">IF($C598="","",N($K598)*N($H598)*N($I598)*IF($U598="Débito",-1,1))</f>
        <v/>
      </c>
      <c r="AA598" s="13" t="str">
        <f aca="false">IF($C598="","",IF(AND($U598="Débito",$F598&lt;&gt;""),$F598,$E598))</f>
        <v/>
      </c>
      <c r="AB598" s="13" t="str">
        <f aca="false">IF(OR($C598="",$T598="Mixta",$AA598=""),"",IF($V598="Subyacente",IF($J598="","",$J598-$K598),IF($T598="Put",$AA598-$K598,$AA598+$K598)))</f>
        <v/>
      </c>
      <c r="AC598" s="14" t="str">
        <f aca="false">IF(OR($C598="",$T598="Mixta",$J598="",$AA598=""),"",IF($T598="Put",($J598-$AA598)/$J598,($AA598-$J598)/$J598))</f>
        <v/>
      </c>
      <c r="AD598" s="12" t="str">
        <f aca="false">IF($C598="","",IF($Q598&lt;&gt;"",$Q598,IF($V598="Strike",N($E598)*$H598*$I598,IF($V598="Subyacente",IF($J598="","",$J598*$H598*$I598),IF($V598="Ancho",IF($F598="","",ABS($E598-$F598)*$H598*$I598-$K598*$H598*$I598),IF($V598="Prima",$K598*$H598*$I598,""))))))</f>
        <v/>
      </c>
      <c r="AE598" s="12" t="str">
        <f aca="false">IF(OR($C598="",$M598="Abierta",$M598=""),"",(N($K598)-IF(OR($M598="Cerrada",$M598="Rolada"),N($O598),0))*$H598*$I598*IF($U598="Débito",-1,1)-N($L598)-N($P598))</f>
        <v/>
      </c>
      <c r="AF598" s="14" t="str">
        <f aca="false">IF(OR($AE598="",$AD598=""),"",IF($AD598&lt;=0,"",$AE598/$AD598))</f>
        <v/>
      </c>
      <c r="AG598" s="14" t="str">
        <f aca="false">IF($AF598="","",$AF598*365/MAX(N($X598),1))</f>
        <v/>
      </c>
      <c r="AH598" s="14" t="str">
        <f aca="false">IF(OR($C598="",$U598&lt;&gt;"Crédito",$AD598=""),"",IF($AD598&lt;=0,"",($Z598-N($L598))/$AD598))</f>
        <v/>
      </c>
      <c r="AI598" s="14" t="str">
        <f aca="false">IF(OR($AH598="",$W598=""),"",$AH598*365/MAX($W598,1))</f>
        <v/>
      </c>
      <c r="AJ598" s="14" t="str">
        <f aca="false">IF(OR($AE598="",$U598&lt;&gt;"Crédito",N($K598)=0),"",(N($K598)-IF(OR($M598="Cerrada",$M598="Rolada"),N($O598),0))/$K598)</f>
        <v/>
      </c>
      <c r="AK598" s="15" t="str">
        <f aca="false">IF(OR($C598="",$N598=""),"",DATE(YEAR($N598),MONTH($N598),1))</f>
        <v/>
      </c>
      <c r="AL598" s="11" t="str">
        <f aca="false">IF($C598="","",IF($M598="Abierta",0,1))</f>
        <v/>
      </c>
      <c r="AM598" s="16" t="str">
        <f aca="false">IF(OR($AE598="",$AD598=""),"",$AD598*MAX(N($X598),1))</f>
        <v/>
      </c>
      <c r="AN598" s="10" t="str">
        <f aca="false">IF($C598="","",IF(OR($B598="",$D598="",$H598="",$K598="",$M598=""),"Faltan datos obligatorios",IF($T598="","Estrategia no reconocida",IF(AND($M598&lt;&gt;"Abierta",$N598=""),"Falta fecha cierre",IF(AND(OR($M598="Cerrada",$M598="Rolada"),$O598=""),"Falta prima cierre",IF(AND($N598&lt;&gt;"",$N598&lt;$B598),"Cierre anterior a apertura",IF(AND($M598="Asignada",$R598=""),"Asignada: falta ID lote acciones",IF(AND($R598&lt;&gt;"",ISNA(MATCH($R598,Acciones!$A$2:$A$201,0))),"El ID lote no existe en Acciones",IF($AD598="","Revisa capital en riesgo","OK")))))))))</f>
        <v/>
      </c>
    </row>
    <row r="599" customFormat="false" ht="15" hidden="false" customHeight="true" outlineLevel="0" collapsed="false">
      <c r="A599" s="5"/>
      <c r="B599" s="6"/>
      <c r="C599" s="7"/>
      <c r="D599" s="7"/>
      <c r="E599" s="8"/>
      <c r="F599" s="8"/>
      <c r="G599" s="6"/>
      <c r="H599" s="5"/>
      <c r="I599" s="5" t="n">
        <v>100</v>
      </c>
      <c r="J599" s="8"/>
      <c r="K599" s="8"/>
      <c r="L599" s="9"/>
      <c r="M599" s="7"/>
      <c r="N599" s="6"/>
      <c r="O599" s="8"/>
      <c r="P599" s="9"/>
      <c r="Q599" s="9"/>
      <c r="R599" s="7"/>
      <c r="S599" s="7"/>
      <c r="T599" s="10" t="str">
        <f aca="false">IF($C599="","",IFERROR(INDEX(Listas!$B$2:$B$20,MATCH($D599,Listas!$A$2:$A$20,0)),""))</f>
        <v/>
      </c>
      <c r="U599" s="10" t="str">
        <f aca="false">IF($C599="","",IFERROR(INDEX(Listas!$C$2:$C$20,MATCH($D599,Listas!$A$2:$A$20,0)),""))</f>
        <v/>
      </c>
      <c r="V599" s="10" t="str">
        <f aca="false">IF($C599="","",IFERROR(INDEX(Listas!$D$2:$D$20,MATCH($D599,Listas!$A$2:$A$20,0)),""))</f>
        <v/>
      </c>
      <c r="W599" s="11" t="str">
        <f aca="false">IF(OR($C599="",$B599="",$G599=""),"",$G599-$B599)</f>
        <v/>
      </c>
      <c r="X599" s="11" t="str">
        <f aca="true">IF(OR($C599="",$B599=""),"",IF($N599&lt;&gt;"",$N599,TODAY())-$B599)</f>
        <v/>
      </c>
      <c r="Y599" s="11" t="str">
        <f aca="true">IF(OR($C599="",$M599&lt;&gt;"Abierta",$G599=""),"",MAX($G599-TODAY(),0))</f>
        <v/>
      </c>
      <c r="Z599" s="12" t="str">
        <f aca="false">IF($C599="","",N($K599)*N($H599)*N($I599)*IF($U599="Débito",-1,1))</f>
        <v/>
      </c>
      <c r="AA599" s="13" t="str">
        <f aca="false">IF($C599="","",IF(AND($U599="Débito",$F599&lt;&gt;""),$F599,$E599))</f>
        <v/>
      </c>
      <c r="AB599" s="13" t="str">
        <f aca="false">IF(OR($C599="",$T599="Mixta",$AA599=""),"",IF($V599="Subyacente",IF($J599="","",$J599-$K599),IF($T599="Put",$AA599-$K599,$AA599+$K599)))</f>
        <v/>
      </c>
      <c r="AC599" s="14" t="str">
        <f aca="false">IF(OR($C599="",$T599="Mixta",$J599="",$AA599=""),"",IF($T599="Put",($J599-$AA599)/$J599,($AA599-$J599)/$J599))</f>
        <v/>
      </c>
      <c r="AD599" s="12" t="str">
        <f aca="false">IF($C599="","",IF($Q599&lt;&gt;"",$Q599,IF($V599="Strike",N($E599)*$H599*$I599,IF($V599="Subyacente",IF($J599="","",$J599*$H599*$I599),IF($V599="Ancho",IF($F599="","",ABS($E599-$F599)*$H599*$I599-$K599*$H599*$I599),IF($V599="Prima",$K599*$H599*$I599,""))))))</f>
        <v/>
      </c>
      <c r="AE599" s="12" t="str">
        <f aca="false">IF(OR($C599="",$M599="Abierta",$M599=""),"",(N($K599)-IF(OR($M599="Cerrada",$M599="Rolada"),N($O599),0))*$H599*$I599*IF($U599="Débito",-1,1)-N($L599)-N($P599))</f>
        <v/>
      </c>
      <c r="AF599" s="14" t="str">
        <f aca="false">IF(OR($AE599="",$AD599=""),"",IF($AD599&lt;=0,"",$AE599/$AD599))</f>
        <v/>
      </c>
      <c r="AG599" s="14" t="str">
        <f aca="false">IF($AF599="","",$AF599*365/MAX(N($X599),1))</f>
        <v/>
      </c>
      <c r="AH599" s="14" t="str">
        <f aca="false">IF(OR($C599="",$U599&lt;&gt;"Crédito",$AD599=""),"",IF($AD599&lt;=0,"",($Z599-N($L599))/$AD599))</f>
        <v/>
      </c>
      <c r="AI599" s="14" t="str">
        <f aca="false">IF(OR($AH599="",$W599=""),"",$AH599*365/MAX($W599,1))</f>
        <v/>
      </c>
      <c r="AJ599" s="14" t="str">
        <f aca="false">IF(OR($AE599="",$U599&lt;&gt;"Crédito",N($K599)=0),"",(N($K599)-IF(OR($M599="Cerrada",$M599="Rolada"),N($O599),0))/$K599)</f>
        <v/>
      </c>
      <c r="AK599" s="15" t="str">
        <f aca="false">IF(OR($C599="",$N599=""),"",DATE(YEAR($N599),MONTH($N599),1))</f>
        <v/>
      </c>
      <c r="AL599" s="11" t="str">
        <f aca="false">IF($C599="","",IF($M599="Abierta",0,1))</f>
        <v/>
      </c>
      <c r="AM599" s="16" t="str">
        <f aca="false">IF(OR($AE599="",$AD599=""),"",$AD599*MAX(N($X599),1))</f>
        <v/>
      </c>
      <c r="AN599" s="10" t="str">
        <f aca="false">IF($C599="","",IF(OR($B599="",$D599="",$H599="",$K599="",$M599=""),"Faltan datos obligatorios",IF($T599="","Estrategia no reconocida",IF(AND($M599&lt;&gt;"Abierta",$N599=""),"Falta fecha cierre",IF(AND(OR($M599="Cerrada",$M599="Rolada"),$O599=""),"Falta prima cierre",IF(AND($N599&lt;&gt;"",$N599&lt;$B599),"Cierre anterior a apertura",IF(AND($M599="Asignada",$R599=""),"Asignada: falta ID lote acciones",IF(AND($R599&lt;&gt;"",ISNA(MATCH($R599,Acciones!$A$2:$A$201,0))),"El ID lote no existe en Acciones",IF($AD599="","Revisa capital en riesgo","OK")))))))))</f>
        <v/>
      </c>
    </row>
    <row r="600" customFormat="false" ht="15" hidden="false" customHeight="true" outlineLevel="0" collapsed="false">
      <c r="A600" s="5"/>
      <c r="B600" s="6"/>
      <c r="C600" s="7"/>
      <c r="D600" s="7"/>
      <c r="E600" s="8"/>
      <c r="F600" s="8"/>
      <c r="G600" s="6"/>
      <c r="H600" s="5"/>
      <c r="I600" s="5" t="n">
        <v>100</v>
      </c>
      <c r="J600" s="8"/>
      <c r="K600" s="8"/>
      <c r="L600" s="9"/>
      <c r="M600" s="7"/>
      <c r="N600" s="6"/>
      <c r="O600" s="8"/>
      <c r="P600" s="9"/>
      <c r="Q600" s="9"/>
      <c r="R600" s="7"/>
      <c r="S600" s="7"/>
      <c r="T600" s="10" t="str">
        <f aca="false">IF($C600="","",IFERROR(INDEX(Listas!$B$2:$B$20,MATCH($D600,Listas!$A$2:$A$20,0)),""))</f>
        <v/>
      </c>
      <c r="U600" s="10" t="str">
        <f aca="false">IF($C600="","",IFERROR(INDEX(Listas!$C$2:$C$20,MATCH($D600,Listas!$A$2:$A$20,0)),""))</f>
        <v/>
      </c>
      <c r="V600" s="10" t="str">
        <f aca="false">IF($C600="","",IFERROR(INDEX(Listas!$D$2:$D$20,MATCH($D600,Listas!$A$2:$A$20,0)),""))</f>
        <v/>
      </c>
      <c r="W600" s="11" t="str">
        <f aca="false">IF(OR($C600="",$B600="",$G600=""),"",$G600-$B600)</f>
        <v/>
      </c>
      <c r="X600" s="11" t="str">
        <f aca="true">IF(OR($C600="",$B600=""),"",IF($N600&lt;&gt;"",$N600,TODAY())-$B600)</f>
        <v/>
      </c>
      <c r="Y600" s="11" t="str">
        <f aca="true">IF(OR($C600="",$M600&lt;&gt;"Abierta",$G600=""),"",MAX($G600-TODAY(),0))</f>
        <v/>
      </c>
      <c r="Z600" s="12" t="str">
        <f aca="false">IF($C600="","",N($K600)*N($H600)*N($I600)*IF($U600="Débito",-1,1))</f>
        <v/>
      </c>
      <c r="AA600" s="13" t="str">
        <f aca="false">IF($C600="","",IF(AND($U600="Débito",$F600&lt;&gt;""),$F600,$E600))</f>
        <v/>
      </c>
      <c r="AB600" s="13" t="str">
        <f aca="false">IF(OR($C600="",$T600="Mixta",$AA600=""),"",IF($V600="Subyacente",IF($J600="","",$J600-$K600),IF($T600="Put",$AA600-$K600,$AA600+$K600)))</f>
        <v/>
      </c>
      <c r="AC600" s="14" t="str">
        <f aca="false">IF(OR($C600="",$T600="Mixta",$J600="",$AA600=""),"",IF($T600="Put",($J600-$AA600)/$J600,($AA600-$J600)/$J600))</f>
        <v/>
      </c>
      <c r="AD600" s="12" t="str">
        <f aca="false">IF($C600="","",IF($Q600&lt;&gt;"",$Q600,IF($V600="Strike",N($E600)*$H600*$I600,IF($V600="Subyacente",IF($J600="","",$J600*$H600*$I600),IF($V600="Ancho",IF($F600="","",ABS($E600-$F600)*$H600*$I600-$K600*$H600*$I600),IF($V600="Prima",$K600*$H600*$I600,""))))))</f>
        <v/>
      </c>
      <c r="AE600" s="12" t="str">
        <f aca="false">IF(OR($C600="",$M600="Abierta",$M600=""),"",(N($K600)-IF(OR($M600="Cerrada",$M600="Rolada"),N($O600),0))*$H600*$I600*IF($U600="Débito",-1,1)-N($L600)-N($P600))</f>
        <v/>
      </c>
      <c r="AF600" s="14" t="str">
        <f aca="false">IF(OR($AE600="",$AD600=""),"",IF($AD600&lt;=0,"",$AE600/$AD600))</f>
        <v/>
      </c>
      <c r="AG600" s="14" t="str">
        <f aca="false">IF($AF600="","",$AF600*365/MAX(N($X600),1))</f>
        <v/>
      </c>
      <c r="AH600" s="14" t="str">
        <f aca="false">IF(OR($C600="",$U600&lt;&gt;"Crédito",$AD600=""),"",IF($AD600&lt;=0,"",($Z600-N($L600))/$AD600))</f>
        <v/>
      </c>
      <c r="AI600" s="14" t="str">
        <f aca="false">IF(OR($AH600="",$W600=""),"",$AH600*365/MAX($W600,1))</f>
        <v/>
      </c>
      <c r="AJ600" s="14" t="str">
        <f aca="false">IF(OR($AE600="",$U600&lt;&gt;"Crédito",N($K600)=0),"",(N($K600)-IF(OR($M600="Cerrada",$M600="Rolada"),N($O600),0))/$K600)</f>
        <v/>
      </c>
      <c r="AK600" s="15" t="str">
        <f aca="false">IF(OR($C600="",$N600=""),"",DATE(YEAR($N600),MONTH($N600),1))</f>
        <v/>
      </c>
      <c r="AL600" s="11" t="str">
        <f aca="false">IF($C600="","",IF($M600="Abierta",0,1))</f>
        <v/>
      </c>
      <c r="AM600" s="16" t="str">
        <f aca="false">IF(OR($AE600="",$AD600=""),"",$AD600*MAX(N($X600),1))</f>
        <v/>
      </c>
      <c r="AN600" s="10" t="str">
        <f aca="false">IF($C600="","",IF(OR($B600="",$D600="",$H600="",$K600="",$M600=""),"Faltan datos obligatorios",IF($T600="","Estrategia no reconocida",IF(AND($M600&lt;&gt;"Abierta",$N600=""),"Falta fecha cierre",IF(AND(OR($M600="Cerrada",$M600="Rolada"),$O600=""),"Falta prima cierre",IF(AND($N600&lt;&gt;"",$N600&lt;$B600),"Cierre anterior a apertura",IF(AND($M600="Asignada",$R600=""),"Asignada: falta ID lote acciones",IF(AND($R600&lt;&gt;"",ISNA(MATCH($R600,Acciones!$A$2:$A$201,0))),"El ID lote no existe en Acciones",IF($AD600="","Revisa capital en riesgo","OK")))))))))</f>
        <v/>
      </c>
    </row>
    <row r="601" customFormat="false" ht="15" hidden="false" customHeight="true" outlineLevel="0" collapsed="false">
      <c r="A601" s="5"/>
      <c r="B601" s="6"/>
      <c r="C601" s="7"/>
      <c r="D601" s="7"/>
      <c r="E601" s="8"/>
      <c r="F601" s="8"/>
      <c r="G601" s="6"/>
      <c r="H601" s="5"/>
      <c r="I601" s="5" t="n">
        <v>100</v>
      </c>
      <c r="J601" s="8"/>
      <c r="K601" s="8"/>
      <c r="L601" s="9"/>
      <c r="M601" s="7"/>
      <c r="N601" s="6"/>
      <c r="O601" s="8"/>
      <c r="P601" s="9"/>
      <c r="Q601" s="9"/>
      <c r="R601" s="7"/>
      <c r="S601" s="7"/>
      <c r="T601" s="10" t="str">
        <f aca="false">IF($C601="","",IFERROR(INDEX(Listas!$B$2:$B$20,MATCH($D601,Listas!$A$2:$A$20,0)),""))</f>
        <v/>
      </c>
      <c r="U601" s="10" t="str">
        <f aca="false">IF($C601="","",IFERROR(INDEX(Listas!$C$2:$C$20,MATCH($D601,Listas!$A$2:$A$20,0)),""))</f>
        <v/>
      </c>
      <c r="V601" s="10" t="str">
        <f aca="false">IF($C601="","",IFERROR(INDEX(Listas!$D$2:$D$20,MATCH($D601,Listas!$A$2:$A$20,0)),""))</f>
        <v/>
      </c>
      <c r="W601" s="11" t="str">
        <f aca="false">IF(OR($C601="",$B601="",$G601=""),"",$G601-$B601)</f>
        <v/>
      </c>
      <c r="X601" s="11" t="str">
        <f aca="true">IF(OR($C601="",$B601=""),"",IF($N601&lt;&gt;"",$N601,TODAY())-$B601)</f>
        <v/>
      </c>
      <c r="Y601" s="11" t="str">
        <f aca="true">IF(OR($C601="",$M601&lt;&gt;"Abierta",$G601=""),"",MAX($G601-TODAY(),0))</f>
        <v/>
      </c>
      <c r="Z601" s="12" t="str">
        <f aca="false">IF($C601="","",N($K601)*N($H601)*N($I601)*IF($U601="Débito",-1,1))</f>
        <v/>
      </c>
      <c r="AA601" s="13" t="str">
        <f aca="false">IF($C601="","",IF(AND($U601="Débito",$F601&lt;&gt;""),$F601,$E601))</f>
        <v/>
      </c>
      <c r="AB601" s="13" t="str">
        <f aca="false">IF(OR($C601="",$T601="Mixta",$AA601=""),"",IF($V601="Subyacente",IF($J601="","",$J601-$K601),IF($T601="Put",$AA601-$K601,$AA601+$K601)))</f>
        <v/>
      </c>
      <c r="AC601" s="14" t="str">
        <f aca="false">IF(OR($C601="",$T601="Mixta",$J601="",$AA601=""),"",IF($T601="Put",($J601-$AA601)/$J601,($AA601-$J601)/$J601))</f>
        <v/>
      </c>
      <c r="AD601" s="12" t="str">
        <f aca="false">IF($C601="","",IF($Q601&lt;&gt;"",$Q601,IF($V601="Strike",N($E601)*$H601*$I601,IF($V601="Subyacente",IF($J601="","",$J601*$H601*$I601),IF($V601="Ancho",IF($F601="","",ABS($E601-$F601)*$H601*$I601-$K601*$H601*$I601),IF($V601="Prima",$K601*$H601*$I601,""))))))</f>
        <v/>
      </c>
      <c r="AE601" s="12" t="str">
        <f aca="false">IF(OR($C601="",$M601="Abierta",$M601=""),"",(N($K601)-IF(OR($M601="Cerrada",$M601="Rolada"),N($O601),0))*$H601*$I601*IF($U601="Débito",-1,1)-N($L601)-N($P601))</f>
        <v/>
      </c>
      <c r="AF601" s="14" t="str">
        <f aca="false">IF(OR($AE601="",$AD601=""),"",IF($AD601&lt;=0,"",$AE601/$AD601))</f>
        <v/>
      </c>
      <c r="AG601" s="14" t="str">
        <f aca="false">IF($AF601="","",$AF601*365/MAX(N($X601),1))</f>
        <v/>
      </c>
      <c r="AH601" s="14" t="str">
        <f aca="false">IF(OR($C601="",$U601&lt;&gt;"Crédito",$AD601=""),"",IF($AD601&lt;=0,"",($Z601-N($L601))/$AD601))</f>
        <v/>
      </c>
      <c r="AI601" s="14" t="str">
        <f aca="false">IF(OR($AH601="",$W601=""),"",$AH601*365/MAX($W601,1))</f>
        <v/>
      </c>
      <c r="AJ601" s="14" t="str">
        <f aca="false">IF(OR($AE601="",$U601&lt;&gt;"Crédito",N($K601)=0),"",(N($K601)-IF(OR($M601="Cerrada",$M601="Rolada"),N($O601),0))/$K601)</f>
        <v/>
      </c>
      <c r="AK601" s="15" t="str">
        <f aca="false">IF(OR($C601="",$N601=""),"",DATE(YEAR($N601),MONTH($N601),1))</f>
        <v/>
      </c>
      <c r="AL601" s="11" t="str">
        <f aca="false">IF($C601="","",IF($M601="Abierta",0,1))</f>
        <v/>
      </c>
      <c r="AM601" s="16" t="str">
        <f aca="false">IF(OR($AE601="",$AD601=""),"",$AD601*MAX(N($X601),1))</f>
        <v/>
      </c>
      <c r="AN601" s="10" t="str">
        <f aca="false">IF($C601="","",IF(OR($B601="",$D601="",$H601="",$K601="",$M601=""),"Faltan datos obligatorios",IF($T601="","Estrategia no reconocida",IF(AND($M601&lt;&gt;"Abierta",$N601=""),"Falta fecha cierre",IF(AND(OR($M601="Cerrada",$M601="Rolada"),$O601=""),"Falta prima cierre",IF(AND($N601&lt;&gt;"",$N601&lt;$B601),"Cierre anterior a apertura",IF(AND($M601="Asignada",$R601=""),"Asignada: falta ID lote acciones",IF(AND($R601&lt;&gt;"",ISNA(MATCH($R601,Acciones!$A$2:$A$201,0))),"El ID lote no existe en Acciones",IF($AD601="","Revisa capital en riesgo","OK")))))))))</f>
        <v/>
      </c>
    </row>
    <row r="602" customFormat="false" ht="15" hidden="false" customHeight="true" outlineLevel="0" collapsed="false">
      <c r="A602" s="5"/>
      <c r="B602" s="6"/>
      <c r="C602" s="7"/>
      <c r="D602" s="7"/>
      <c r="E602" s="8"/>
      <c r="F602" s="8"/>
      <c r="G602" s="6"/>
      <c r="H602" s="5"/>
      <c r="I602" s="5" t="n">
        <v>100</v>
      </c>
      <c r="J602" s="8"/>
      <c r="K602" s="8"/>
      <c r="L602" s="9"/>
      <c r="M602" s="7"/>
      <c r="N602" s="6"/>
      <c r="O602" s="8"/>
      <c r="P602" s="9"/>
      <c r="Q602" s="9"/>
      <c r="R602" s="7"/>
      <c r="S602" s="7"/>
      <c r="T602" s="10" t="str">
        <f aca="false">IF($C602="","",IFERROR(INDEX(Listas!$B$2:$B$20,MATCH($D602,Listas!$A$2:$A$20,0)),""))</f>
        <v/>
      </c>
      <c r="U602" s="10" t="str">
        <f aca="false">IF($C602="","",IFERROR(INDEX(Listas!$C$2:$C$20,MATCH($D602,Listas!$A$2:$A$20,0)),""))</f>
        <v/>
      </c>
      <c r="V602" s="10" t="str">
        <f aca="false">IF($C602="","",IFERROR(INDEX(Listas!$D$2:$D$20,MATCH($D602,Listas!$A$2:$A$20,0)),""))</f>
        <v/>
      </c>
      <c r="W602" s="11" t="str">
        <f aca="false">IF(OR($C602="",$B602="",$G602=""),"",$G602-$B602)</f>
        <v/>
      </c>
      <c r="X602" s="11" t="str">
        <f aca="true">IF(OR($C602="",$B602=""),"",IF($N602&lt;&gt;"",$N602,TODAY())-$B602)</f>
        <v/>
      </c>
      <c r="Y602" s="11" t="str">
        <f aca="true">IF(OR($C602="",$M602&lt;&gt;"Abierta",$G602=""),"",MAX($G602-TODAY(),0))</f>
        <v/>
      </c>
      <c r="Z602" s="12" t="str">
        <f aca="false">IF($C602="","",N($K602)*N($H602)*N($I602)*IF($U602="Débito",-1,1))</f>
        <v/>
      </c>
      <c r="AA602" s="13" t="str">
        <f aca="false">IF($C602="","",IF(AND($U602="Débito",$F602&lt;&gt;""),$F602,$E602))</f>
        <v/>
      </c>
      <c r="AB602" s="13" t="str">
        <f aca="false">IF(OR($C602="",$T602="Mixta",$AA602=""),"",IF($V602="Subyacente",IF($J602="","",$J602-$K602),IF($T602="Put",$AA602-$K602,$AA602+$K602)))</f>
        <v/>
      </c>
      <c r="AC602" s="14" t="str">
        <f aca="false">IF(OR($C602="",$T602="Mixta",$J602="",$AA602=""),"",IF($T602="Put",($J602-$AA602)/$J602,($AA602-$J602)/$J602))</f>
        <v/>
      </c>
      <c r="AD602" s="12" t="str">
        <f aca="false">IF($C602="","",IF($Q602&lt;&gt;"",$Q602,IF($V602="Strike",N($E602)*$H602*$I602,IF($V602="Subyacente",IF($J602="","",$J602*$H602*$I602),IF($V602="Ancho",IF($F602="","",ABS($E602-$F602)*$H602*$I602-$K602*$H602*$I602),IF($V602="Prima",$K602*$H602*$I602,""))))))</f>
        <v/>
      </c>
      <c r="AE602" s="12" t="str">
        <f aca="false">IF(OR($C602="",$M602="Abierta",$M602=""),"",(N($K602)-IF(OR($M602="Cerrada",$M602="Rolada"),N($O602),0))*$H602*$I602*IF($U602="Débito",-1,1)-N($L602)-N($P602))</f>
        <v/>
      </c>
      <c r="AF602" s="14" t="str">
        <f aca="false">IF(OR($AE602="",$AD602=""),"",IF($AD602&lt;=0,"",$AE602/$AD602))</f>
        <v/>
      </c>
      <c r="AG602" s="14" t="str">
        <f aca="false">IF($AF602="","",$AF602*365/MAX(N($X602),1))</f>
        <v/>
      </c>
      <c r="AH602" s="14" t="str">
        <f aca="false">IF(OR($C602="",$U602&lt;&gt;"Crédito",$AD602=""),"",IF($AD602&lt;=0,"",($Z602-N($L602))/$AD602))</f>
        <v/>
      </c>
      <c r="AI602" s="14" t="str">
        <f aca="false">IF(OR($AH602="",$W602=""),"",$AH602*365/MAX($W602,1))</f>
        <v/>
      </c>
      <c r="AJ602" s="14" t="str">
        <f aca="false">IF(OR($AE602="",$U602&lt;&gt;"Crédito",N($K602)=0),"",(N($K602)-IF(OR($M602="Cerrada",$M602="Rolada"),N($O602),0))/$K602)</f>
        <v/>
      </c>
      <c r="AK602" s="15" t="str">
        <f aca="false">IF(OR($C602="",$N602=""),"",DATE(YEAR($N602),MONTH($N602),1))</f>
        <v/>
      </c>
      <c r="AL602" s="11" t="str">
        <f aca="false">IF($C602="","",IF($M602="Abierta",0,1))</f>
        <v/>
      </c>
      <c r="AM602" s="16" t="str">
        <f aca="false">IF(OR($AE602="",$AD602=""),"",$AD602*MAX(N($X602),1))</f>
        <v/>
      </c>
      <c r="AN602" s="10" t="str">
        <f aca="false">IF($C602="","",IF(OR($B602="",$D602="",$H602="",$K602="",$M602=""),"Faltan datos obligatorios",IF($T602="","Estrategia no reconocida",IF(AND($M602&lt;&gt;"Abierta",$N602=""),"Falta fecha cierre",IF(AND(OR($M602="Cerrada",$M602="Rolada"),$O602=""),"Falta prima cierre",IF(AND($N602&lt;&gt;"",$N602&lt;$B602),"Cierre anterior a apertura",IF(AND($M602="Asignada",$R602=""),"Asignada: falta ID lote acciones",IF(AND($R602&lt;&gt;"",ISNA(MATCH($R602,Acciones!$A$2:$A$201,0))),"El ID lote no existe en Acciones",IF($AD602="","Revisa capital en riesgo","OK")))))))))</f>
        <v/>
      </c>
    </row>
    <row r="603" customFormat="false" ht="15" hidden="false" customHeight="true" outlineLevel="0" collapsed="false">
      <c r="A603" s="5"/>
      <c r="B603" s="6"/>
      <c r="C603" s="7"/>
      <c r="D603" s="7"/>
      <c r="E603" s="8"/>
      <c r="F603" s="8"/>
      <c r="G603" s="6"/>
      <c r="H603" s="5"/>
      <c r="I603" s="5" t="n">
        <v>100</v>
      </c>
      <c r="J603" s="8"/>
      <c r="K603" s="8"/>
      <c r="L603" s="9"/>
      <c r="M603" s="7"/>
      <c r="N603" s="6"/>
      <c r="O603" s="8"/>
      <c r="P603" s="9"/>
      <c r="Q603" s="9"/>
      <c r="R603" s="7"/>
      <c r="S603" s="7"/>
      <c r="T603" s="10" t="str">
        <f aca="false">IF($C603="","",IFERROR(INDEX(Listas!$B$2:$B$20,MATCH($D603,Listas!$A$2:$A$20,0)),""))</f>
        <v/>
      </c>
      <c r="U603" s="10" t="str">
        <f aca="false">IF($C603="","",IFERROR(INDEX(Listas!$C$2:$C$20,MATCH($D603,Listas!$A$2:$A$20,0)),""))</f>
        <v/>
      </c>
      <c r="V603" s="10" t="str">
        <f aca="false">IF($C603="","",IFERROR(INDEX(Listas!$D$2:$D$20,MATCH($D603,Listas!$A$2:$A$20,0)),""))</f>
        <v/>
      </c>
      <c r="W603" s="11" t="str">
        <f aca="false">IF(OR($C603="",$B603="",$G603=""),"",$G603-$B603)</f>
        <v/>
      </c>
      <c r="X603" s="11" t="str">
        <f aca="true">IF(OR($C603="",$B603=""),"",IF($N603&lt;&gt;"",$N603,TODAY())-$B603)</f>
        <v/>
      </c>
      <c r="Y603" s="11" t="str">
        <f aca="true">IF(OR($C603="",$M603&lt;&gt;"Abierta",$G603=""),"",MAX($G603-TODAY(),0))</f>
        <v/>
      </c>
      <c r="Z603" s="12" t="str">
        <f aca="false">IF($C603="","",N($K603)*N($H603)*N($I603)*IF($U603="Débito",-1,1))</f>
        <v/>
      </c>
      <c r="AA603" s="13" t="str">
        <f aca="false">IF($C603="","",IF(AND($U603="Débito",$F603&lt;&gt;""),$F603,$E603))</f>
        <v/>
      </c>
      <c r="AB603" s="13" t="str">
        <f aca="false">IF(OR($C603="",$T603="Mixta",$AA603=""),"",IF($V603="Subyacente",IF($J603="","",$J603-$K603),IF($T603="Put",$AA603-$K603,$AA603+$K603)))</f>
        <v/>
      </c>
      <c r="AC603" s="14" t="str">
        <f aca="false">IF(OR($C603="",$T603="Mixta",$J603="",$AA603=""),"",IF($T603="Put",($J603-$AA603)/$J603,($AA603-$J603)/$J603))</f>
        <v/>
      </c>
      <c r="AD603" s="12" t="str">
        <f aca="false">IF($C603="","",IF($Q603&lt;&gt;"",$Q603,IF($V603="Strike",N($E603)*$H603*$I603,IF($V603="Subyacente",IF($J603="","",$J603*$H603*$I603),IF($V603="Ancho",IF($F603="","",ABS($E603-$F603)*$H603*$I603-$K603*$H603*$I603),IF($V603="Prima",$K603*$H603*$I603,""))))))</f>
        <v/>
      </c>
      <c r="AE603" s="12" t="str">
        <f aca="false">IF(OR($C603="",$M603="Abierta",$M603=""),"",(N($K603)-IF(OR($M603="Cerrada",$M603="Rolada"),N($O603),0))*$H603*$I603*IF($U603="Débito",-1,1)-N($L603)-N($P603))</f>
        <v/>
      </c>
      <c r="AF603" s="14" t="str">
        <f aca="false">IF(OR($AE603="",$AD603=""),"",IF($AD603&lt;=0,"",$AE603/$AD603))</f>
        <v/>
      </c>
      <c r="AG603" s="14" t="str">
        <f aca="false">IF($AF603="","",$AF603*365/MAX(N($X603),1))</f>
        <v/>
      </c>
      <c r="AH603" s="14" t="str">
        <f aca="false">IF(OR($C603="",$U603&lt;&gt;"Crédito",$AD603=""),"",IF($AD603&lt;=0,"",($Z603-N($L603))/$AD603))</f>
        <v/>
      </c>
      <c r="AI603" s="14" t="str">
        <f aca="false">IF(OR($AH603="",$W603=""),"",$AH603*365/MAX($W603,1))</f>
        <v/>
      </c>
      <c r="AJ603" s="14" t="str">
        <f aca="false">IF(OR($AE603="",$U603&lt;&gt;"Crédito",N($K603)=0),"",(N($K603)-IF(OR($M603="Cerrada",$M603="Rolada"),N($O603),0))/$K603)</f>
        <v/>
      </c>
      <c r="AK603" s="15" t="str">
        <f aca="false">IF(OR($C603="",$N603=""),"",DATE(YEAR($N603),MONTH($N603),1))</f>
        <v/>
      </c>
      <c r="AL603" s="11" t="str">
        <f aca="false">IF($C603="","",IF($M603="Abierta",0,1))</f>
        <v/>
      </c>
      <c r="AM603" s="16" t="str">
        <f aca="false">IF(OR($AE603="",$AD603=""),"",$AD603*MAX(N($X603),1))</f>
        <v/>
      </c>
      <c r="AN603" s="10" t="str">
        <f aca="false">IF($C603="","",IF(OR($B603="",$D603="",$H603="",$K603="",$M603=""),"Faltan datos obligatorios",IF($T603="","Estrategia no reconocida",IF(AND($M603&lt;&gt;"Abierta",$N603=""),"Falta fecha cierre",IF(AND(OR($M603="Cerrada",$M603="Rolada"),$O603=""),"Falta prima cierre",IF(AND($N603&lt;&gt;"",$N603&lt;$B603),"Cierre anterior a apertura",IF(AND($M603="Asignada",$R603=""),"Asignada: falta ID lote acciones",IF(AND($R603&lt;&gt;"",ISNA(MATCH($R603,Acciones!$A$2:$A$201,0))),"El ID lote no existe en Acciones",IF($AD603="","Revisa capital en riesgo","OK")))))))))</f>
        <v/>
      </c>
    </row>
    <row r="604" customFormat="false" ht="15" hidden="false" customHeight="true" outlineLevel="0" collapsed="false">
      <c r="A604" s="5"/>
      <c r="B604" s="6"/>
      <c r="C604" s="7"/>
      <c r="D604" s="7"/>
      <c r="E604" s="8"/>
      <c r="F604" s="8"/>
      <c r="G604" s="6"/>
      <c r="H604" s="5"/>
      <c r="I604" s="5" t="n">
        <v>100</v>
      </c>
      <c r="J604" s="8"/>
      <c r="K604" s="8"/>
      <c r="L604" s="9"/>
      <c r="M604" s="7"/>
      <c r="N604" s="6"/>
      <c r="O604" s="8"/>
      <c r="P604" s="9"/>
      <c r="Q604" s="9"/>
      <c r="R604" s="7"/>
      <c r="S604" s="7"/>
      <c r="T604" s="10" t="str">
        <f aca="false">IF($C604="","",IFERROR(INDEX(Listas!$B$2:$B$20,MATCH($D604,Listas!$A$2:$A$20,0)),""))</f>
        <v/>
      </c>
      <c r="U604" s="10" t="str">
        <f aca="false">IF($C604="","",IFERROR(INDEX(Listas!$C$2:$C$20,MATCH($D604,Listas!$A$2:$A$20,0)),""))</f>
        <v/>
      </c>
      <c r="V604" s="10" t="str">
        <f aca="false">IF($C604="","",IFERROR(INDEX(Listas!$D$2:$D$20,MATCH($D604,Listas!$A$2:$A$20,0)),""))</f>
        <v/>
      </c>
      <c r="W604" s="11" t="str">
        <f aca="false">IF(OR($C604="",$B604="",$G604=""),"",$G604-$B604)</f>
        <v/>
      </c>
      <c r="X604" s="11" t="str">
        <f aca="true">IF(OR($C604="",$B604=""),"",IF($N604&lt;&gt;"",$N604,TODAY())-$B604)</f>
        <v/>
      </c>
      <c r="Y604" s="11" t="str">
        <f aca="true">IF(OR($C604="",$M604&lt;&gt;"Abierta",$G604=""),"",MAX($G604-TODAY(),0))</f>
        <v/>
      </c>
      <c r="Z604" s="12" t="str">
        <f aca="false">IF($C604="","",N($K604)*N($H604)*N($I604)*IF($U604="Débito",-1,1))</f>
        <v/>
      </c>
      <c r="AA604" s="13" t="str">
        <f aca="false">IF($C604="","",IF(AND($U604="Débito",$F604&lt;&gt;""),$F604,$E604))</f>
        <v/>
      </c>
      <c r="AB604" s="13" t="str">
        <f aca="false">IF(OR($C604="",$T604="Mixta",$AA604=""),"",IF($V604="Subyacente",IF($J604="","",$J604-$K604),IF($T604="Put",$AA604-$K604,$AA604+$K604)))</f>
        <v/>
      </c>
      <c r="AC604" s="14" t="str">
        <f aca="false">IF(OR($C604="",$T604="Mixta",$J604="",$AA604=""),"",IF($T604="Put",($J604-$AA604)/$J604,($AA604-$J604)/$J604))</f>
        <v/>
      </c>
      <c r="AD604" s="12" t="str">
        <f aca="false">IF($C604="","",IF($Q604&lt;&gt;"",$Q604,IF($V604="Strike",N($E604)*$H604*$I604,IF($V604="Subyacente",IF($J604="","",$J604*$H604*$I604),IF($V604="Ancho",IF($F604="","",ABS($E604-$F604)*$H604*$I604-$K604*$H604*$I604),IF($V604="Prima",$K604*$H604*$I604,""))))))</f>
        <v/>
      </c>
      <c r="AE604" s="12" t="str">
        <f aca="false">IF(OR($C604="",$M604="Abierta",$M604=""),"",(N($K604)-IF(OR($M604="Cerrada",$M604="Rolada"),N($O604),0))*$H604*$I604*IF($U604="Débito",-1,1)-N($L604)-N($P604))</f>
        <v/>
      </c>
      <c r="AF604" s="14" t="str">
        <f aca="false">IF(OR($AE604="",$AD604=""),"",IF($AD604&lt;=0,"",$AE604/$AD604))</f>
        <v/>
      </c>
      <c r="AG604" s="14" t="str">
        <f aca="false">IF($AF604="","",$AF604*365/MAX(N($X604),1))</f>
        <v/>
      </c>
      <c r="AH604" s="14" t="str">
        <f aca="false">IF(OR($C604="",$U604&lt;&gt;"Crédito",$AD604=""),"",IF($AD604&lt;=0,"",($Z604-N($L604))/$AD604))</f>
        <v/>
      </c>
      <c r="AI604" s="14" t="str">
        <f aca="false">IF(OR($AH604="",$W604=""),"",$AH604*365/MAX($W604,1))</f>
        <v/>
      </c>
      <c r="AJ604" s="14" t="str">
        <f aca="false">IF(OR($AE604="",$U604&lt;&gt;"Crédito",N($K604)=0),"",(N($K604)-IF(OR($M604="Cerrada",$M604="Rolada"),N($O604),0))/$K604)</f>
        <v/>
      </c>
      <c r="AK604" s="15" t="str">
        <f aca="false">IF(OR($C604="",$N604=""),"",DATE(YEAR($N604),MONTH($N604),1))</f>
        <v/>
      </c>
      <c r="AL604" s="11" t="str">
        <f aca="false">IF($C604="","",IF($M604="Abierta",0,1))</f>
        <v/>
      </c>
      <c r="AM604" s="16" t="str">
        <f aca="false">IF(OR($AE604="",$AD604=""),"",$AD604*MAX(N($X604),1))</f>
        <v/>
      </c>
      <c r="AN604" s="10" t="str">
        <f aca="false">IF($C604="","",IF(OR($B604="",$D604="",$H604="",$K604="",$M604=""),"Faltan datos obligatorios",IF($T604="","Estrategia no reconocida",IF(AND($M604&lt;&gt;"Abierta",$N604=""),"Falta fecha cierre",IF(AND(OR($M604="Cerrada",$M604="Rolada"),$O604=""),"Falta prima cierre",IF(AND($N604&lt;&gt;"",$N604&lt;$B604),"Cierre anterior a apertura",IF(AND($M604="Asignada",$R604=""),"Asignada: falta ID lote acciones",IF(AND($R604&lt;&gt;"",ISNA(MATCH($R604,Acciones!$A$2:$A$201,0))),"El ID lote no existe en Acciones",IF($AD604="","Revisa capital en riesgo","OK")))))))))</f>
        <v/>
      </c>
    </row>
    <row r="605" customFormat="false" ht="15" hidden="false" customHeight="true" outlineLevel="0" collapsed="false">
      <c r="A605" s="5"/>
      <c r="B605" s="6"/>
      <c r="C605" s="7"/>
      <c r="D605" s="7"/>
      <c r="E605" s="8"/>
      <c r="F605" s="8"/>
      <c r="G605" s="6"/>
      <c r="H605" s="5"/>
      <c r="I605" s="5" t="n">
        <v>100</v>
      </c>
      <c r="J605" s="8"/>
      <c r="K605" s="8"/>
      <c r="L605" s="9"/>
      <c r="M605" s="7"/>
      <c r="N605" s="6"/>
      <c r="O605" s="8"/>
      <c r="P605" s="9"/>
      <c r="Q605" s="9"/>
      <c r="R605" s="7"/>
      <c r="S605" s="7"/>
      <c r="T605" s="10" t="str">
        <f aca="false">IF($C605="","",IFERROR(INDEX(Listas!$B$2:$B$20,MATCH($D605,Listas!$A$2:$A$20,0)),""))</f>
        <v/>
      </c>
      <c r="U605" s="10" t="str">
        <f aca="false">IF($C605="","",IFERROR(INDEX(Listas!$C$2:$C$20,MATCH($D605,Listas!$A$2:$A$20,0)),""))</f>
        <v/>
      </c>
      <c r="V605" s="10" t="str">
        <f aca="false">IF($C605="","",IFERROR(INDEX(Listas!$D$2:$D$20,MATCH($D605,Listas!$A$2:$A$20,0)),""))</f>
        <v/>
      </c>
      <c r="W605" s="11" t="str">
        <f aca="false">IF(OR($C605="",$B605="",$G605=""),"",$G605-$B605)</f>
        <v/>
      </c>
      <c r="X605" s="11" t="str">
        <f aca="true">IF(OR($C605="",$B605=""),"",IF($N605&lt;&gt;"",$N605,TODAY())-$B605)</f>
        <v/>
      </c>
      <c r="Y605" s="11" t="str">
        <f aca="true">IF(OR($C605="",$M605&lt;&gt;"Abierta",$G605=""),"",MAX($G605-TODAY(),0))</f>
        <v/>
      </c>
      <c r="Z605" s="12" t="str">
        <f aca="false">IF($C605="","",N($K605)*N($H605)*N($I605)*IF($U605="Débito",-1,1))</f>
        <v/>
      </c>
      <c r="AA605" s="13" t="str">
        <f aca="false">IF($C605="","",IF(AND($U605="Débito",$F605&lt;&gt;""),$F605,$E605))</f>
        <v/>
      </c>
      <c r="AB605" s="13" t="str">
        <f aca="false">IF(OR($C605="",$T605="Mixta",$AA605=""),"",IF($V605="Subyacente",IF($J605="","",$J605-$K605),IF($T605="Put",$AA605-$K605,$AA605+$K605)))</f>
        <v/>
      </c>
      <c r="AC605" s="14" t="str">
        <f aca="false">IF(OR($C605="",$T605="Mixta",$J605="",$AA605=""),"",IF($T605="Put",($J605-$AA605)/$J605,($AA605-$J605)/$J605))</f>
        <v/>
      </c>
      <c r="AD605" s="12" t="str">
        <f aca="false">IF($C605="","",IF($Q605&lt;&gt;"",$Q605,IF($V605="Strike",N($E605)*$H605*$I605,IF($V605="Subyacente",IF($J605="","",$J605*$H605*$I605),IF($V605="Ancho",IF($F605="","",ABS($E605-$F605)*$H605*$I605-$K605*$H605*$I605),IF($V605="Prima",$K605*$H605*$I605,""))))))</f>
        <v/>
      </c>
      <c r="AE605" s="12" t="str">
        <f aca="false">IF(OR($C605="",$M605="Abierta",$M605=""),"",(N($K605)-IF(OR($M605="Cerrada",$M605="Rolada"),N($O605),0))*$H605*$I605*IF($U605="Débito",-1,1)-N($L605)-N($P605))</f>
        <v/>
      </c>
      <c r="AF605" s="14" t="str">
        <f aca="false">IF(OR($AE605="",$AD605=""),"",IF($AD605&lt;=0,"",$AE605/$AD605))</f>
        <v/>
      </c>
      <c r="AG605" s="14" t="str">
        <f aca="false">IF($AF605="","",$AF605*365/MAX(N($X605),1))</f>
        <v/>
      </c>
      <c r="AH605" s="14" t="str">
        <f aca="false">IF(OR($C605="",$U605&lt;&gt;"Crédito",$AD605=""),"",IF($AD605&lt;=0,"",($Z605-N($L605))/$AD605))</f>
        <v/>
      </c>
      <c r="AI605" s="14" t="str">
        <f aca="false">IF(OR($AH605="",$W605=""),"",$AH605*365/MAX($W605,1))</f>
        <v/>
      </c>
      <c r="AJ605" s="14" t="str">
        <f aca="false">IF(OR($AE605="",$U605&lt;&gt;"Crédito",N($K605)=0),"",(N($K605)-IF(OR($M605="Cerrada",$M605="Rolada"),N($O605),0))/$K605)</f>
        <v/>
      </c>
      <c r="AK605" s="15" t="str">
        <f aca="false">IF(OR($C605="",$N605=""),"",DATE(YEAR($N605),MONTH($N605),1))</f>
        <v/>
      </c>
      <c r="AL605" s="11" t="str">
        <f aca="false">IF($C605="","",IF($M605="Abierta",0,1))</f>
        <v/>
      </c>
      <c r="AM605" s="16" t="str">
        <f aca="false">IF(OR($AE605="",$AD605=""),"",$AD605*MAX(N($X605),1))</f>
        <v/>
      </c>
      <c r="AN605" s="10" t="str">
        <f aca="false">IF($C605="","",IF(OR($B605="",$D605="",$H605="",$K605="",$M605=""),"Faltan datos obligatorios",IF($T605="","Estrategia no reconocida",IF(AND($M605&lt;&gt;"Abierta",$N605=""),"Falta fecha cierre",IF(AND(OR($M605="Cerrada",$M605="Rolada"),$O605=""),"Falta prima cierre",IF(AND($N605&lt;&gt;"",$N605&lt;$B605),"Cierre anterior a apertura",IF(AND($M605="Asignada",$R605=""),"Asignada: falta ID lote acciones",IF(AND($R605&lt;&gt;"",ISNA(MATCH($R605,Acciones!$A$2:$A$201,0))),"El ID lote no existe en Acciones",IF($AD605="","Revisa capital en riesgo","OK")))))))))</f>
        <v/>
      </c>
    </row>
    <row r="606" customFormat="false" ht="15" hidden="false" customHeight="true" outlineLevel="0" collapsed="false">
      <c r="A606" s="5"/>
      <c r="B606" s="6"/>
      <c r="C606" s="7"/>
      <c r="D606" s="7"/>
      <c r="E606" s="8"/>
      <c r="F606" s="8"/>
      <c r="G606" s="6"/>
      <c r="H606" s="5"/>
      <c r="I606" s="5" t="n">
        <v>100</v>
      </c>
      <c r="J606" s="8"/>
      <c r="K606" s="8"/>
      <c r="L606" s="9"/>
      <c r="M606" s="7"/>
      <c r="N606" s="6"/>
      <c r="O606" s="8"/>
      <c r="P606" s="9"/>
      <c r="Q606" s="9"/>
      <c r="R606" s="7"/>
      <c r="S606" s="7"/>
      <c r="T606" s="10" t="str">
        <f aca="false">IF($C606="","",IFERROR(INDEX(Listas!$B$2:$B$20,MATCH($D606,Listas!$A$2:$A$20,0)),""))</f>
        <v/>
      </c>
      <c r="U606" s="10" t="str">
        <f aca="false">IF($C606="","",IFERROR(INDEX(Listas!$C$2:$C$20,MATCH($D606,Listas!$A$2:$A$20,0)),""))</f>
        <v/>
      </c>
      <c r="V606" s="10" t="str">
        <f aca="false">IF($C606="","",IFERROR(INDEX(Listas!$D$2:$D$20,MATCH($D606,Listas!$A$2:$A$20,0)),""))</f>
        <v/>
      </c>
      <c r="W606" s="11" t="str">
        <f aca="false">IF(OR($C606="",$B606="",$G606=""),"",$G606-$B606)</f>
        <v/>
      </c>
      <c r="X606" s="11" t="str">
        <f aca="true">IF(OR($C606="",$B606=""),"",IF($N606&lt;&gt;"",$N606,TODAY())-$B606)</f>
        <v/>
      </c>
      <c r="Y606" s="11" t="str">
        <f aca="true">IF(OR($C606="",$M606&lt;&gt;"Abierta",$G606=""),"",MAX($G606-TODAY(),0))</f>
        <v/>
      </c>
      <c r="Z606" s="12" t="str">
        <f aca="false">IF($C606="","",N($K606)*N($H606)*N($I606)*IF($U606="Débito",-1,1))</f>
        <v/>
      </c>
      <c r="AA606" s="13" t="str">
        <f aca="false">IF($C606="","",IF(AND($U606="Débito",$F606&lt;&gt;""),$F606,$E606))</f>
        <v/>
      </c>
      <c r="AB606" s="13" t="str">
        <f aca="false">IF(OR($C606="",$T606="Mixta",$AA606=""),"",IF($V606="Subyacente",IF($J606="","",$J606-$K606),IF($T606="Put",$AA606-$K606,$AA606+$K606)))</f>
        <v/>
      </c>
      <c r="AC606" s="14" t="str">
        <f aca="false">IF(OR($C606="",$T606="Mixta",$J606="",$AA606=""),"",IF($T606="Put",($J606-$AA606)/$J606,($AA606-$J606)/$J606))</f>
        <v/>
      </c>
      <c r="AD606" s="12" t="str">
        <f aca="false">IF($C606="","",IF($Q606&lt;&gt;"",$Q606,IF($V606="Strike",N($E606)*$H606*$I606,IF($V606="Subyacente",IF($J606="","",$J606*$H606*$I606),IF($V606="Ancho",IF($F606="","",ABS($E606-$F606)*$H606*$I606-$K606*$H606*$I606),IF($V606="Prima",$K606*$H606*$I606,""))))))</f>
        <v/>
      </c>
      <c r="AE606" s="12" t="str">
        <f aca="false">IF(OR($C606="",$M606="Abierta",$M606=""),"",(N($K606)-IF(OR($M606="Cerrada",$M606="Rolada"),N($O606),0))*$H606*$I606*IF($U606="Débito",-1,1)-N($L606)-N($P606))</f>
        <v/>
      </c>
      <c r="AF606" s="14" t="str">
        <f aca="false">IF(OR($AE606="",$AD606=""),"",IF($AD606&lt;=0,"",$AE606/$AD606))</f>
        <v/>
      </c>
      <c r="AG606" s="14" t="str">
        <f aca="false">IF($AF606="","",$AF606*365/MAX(N($X606),1))</f>
        <v/>
      </c>
      <c r="AH606" s="14" t="str">
        <f aca="false">IF(OR($C606="",$U606&lt;&gt;"Crédito",$AD606=""),"",IF($AD606&lt;=0,"",($Z606-N($L606))/$AD606))</f>
        <v/>
      </c>
      <c r="AI606" s="14" t="str">
        <f aca="false">IF(OR($AH606="",$W606=""),"",$AH606*365/MAX($W606,1))</f>
        <v/>
      </c>
      <c r="AJ606" s="14" t="str">
        <f aca="false">IF(OR($AE606="",$U606&lt;&gt;"Crédito",N($K606)=0),"",(N($K606)-IF(OR($M606="Cerrada",$M606="Rolada"),N($O606),0))/$K606)</f>
        <v/>
      </c>
      <c r="AK606" s="15" t="str">
        <f aca="false">IF(OR($C606="",$N606=""),"",DATE(YEAR($N606),MONTH($N606),1))</f>
        <v/>
      </c>
      <c r="AL606" s="11" t="str">
        <f aca="false">IF($C606="","",IF($M606="Abierta",0,1))</f>
        <v/>
      </c>
      <c r="AM606" s="16" t="str">
        <f aca="false">IF(OR($AE606="",$AD606=""),"",$AD606*MAX(N($X606),1))</f>
        <v/>
      </c>
      <c r="AN606" s="10" t="str">
        <f aca="false">IF($C606="","",IF(OR($B606="",$D606="",$H606="",$K606="",$M606=""),"Faltan datos obligatorios",IF($T606="","Estrategia no reconocida",IF(AND($M606&lt;&gt;"Abierta",$N606=""),"Falta fecha cierre",IF(AND(OR($M606="Cerrada",$M606="Rolada"),$O606=""),"Falta prima cierre",IF(AND($N606&lt;&gt;"",$N606&lt;$B606),"Cierre anterior a apertura",IF(AND($M606="Asignada",$R606=""),"Asignada: falta ID lote acciones",IF(AND($R606&lt;&gt;"",ISNA(MATCH($R606,Acciones!$A$2:$A$201,0))),"El ID lote no existe en Acciones",IF($AD606="","Revisa capital en riesgo","OK")))))))))</f>
        <v/>
      </c>
    </row>
    <row r="607" customFormat="false" ht="15" hidden="false" customHeight="true" outlineLevel="0" collapsed="false">
      <c r="A607" s="5"/>
      <c r="B607" s="6"/>
      <c r="C607" s="7"/>
      <c r="D607" s="7"/>
      <c r="E607" s="8"/>
      <c r="F607" s="8"/>
      <c r="G607" s="6"/>
      <c r="H607" s="5"/>
      <c r="I607" s="5" t="n">
        <v>100</v>
      </c>
      <c r="J607" s="8"/>
      <c r="K607" s="8"/>
      <c r="L607" s="9"/>
      <c r="M607" s="7"/>
      <c r="N607" s="6"/>
      <c r="O607" s="8"/>
      <c r="P607" s="9"/>
      <c r="Q607" s="9"/>
      <c r="R607" s="7"/>
      <c r="S607" s="7"/>
      <c r="T607" s="10" t="str">
        <f aca="false">IF($C607="","",IFERROR(INDEX(Listas!$B$2:$B$20,MATCH($D607,Listas!$A$2:$A$20,0)),""))</f>
        <v/>
      </c>
      <c r="U607" s="10" t="str">
        <f aca="false">IF($C607="","",IFERROR(INDEX(Listas!$C$2:$C$20,MATCH($D607,Listas!$A$2:$A$20,0)),""))</f>
        <v/>
      </c>
      <c r="V607" s="10" t="str">
        <f aca="false">IF($C607="","",IFERROR(INDEX(Listas!$D$2:$D$20,MATCH($D607,Listas!$A$2:$A$20,0)),""))</f>
        <v/>
      </c>
      <c r="W607" s="11" t="str">
        <f aca="false">IF(OR($C607="",$B607="",$G607=""),"",$G607-$B607)</f>
        <v/>
      </c>
      <c r="X607" s="11" t="str">
        <f aca="true">IF(OR($C607="",$B607=""),"",IF($N607&lt;&gt;"",$N607,TODAY())-$B607)</f>
        <v/>
      </c>
      <c r="Y607" s="11" t="str">
        <f aca="true">IF(OR($C607="",$M607&lt;&gt;"Abierta",$G607=""),"",MAX($G607-TODAY(),0))</f>
        <v/>
      </c>
      <c r="Z607" s="12" t="str">
        <f aca="false">IF($C607="","",N($K607)*N($H607)*N($I607)*IF($U607="Débito",-1,1))</f>
        <v/>
      </c>
      <c r="AA607" s="13" t="str">
        <f aca="false">IF($C607="","",IF(AND($U607="Débito",$F607&lt;&gt;""),$F607,$E607))</f>
        <v/>
      </c>
      <c r="AB607" s="13" t="str">
        <f aca="false">IF(OR($C607="",$T607="Mixta",$AA607=""),"",IF($V607="Subyacente",IF($J607="","",$J607-$K607),IF($T607="Put",$AA607-$K607,$AA607+$K607)))</f>
        <v/>
      </c>
      <c r="AC607" s="14" t="str">
        <f aca="false">IF(OR($C607="",$T607="Mixta",$J607="",$AA607=""),"",IF($T607="Put",($J607-$AA607)/$J607,($AA607-$J607)/$J607))</f>
        <v/>
      </c>
      <c r="AD607" s="12" t="str">
        <f aca="false">IF($C607="","",IF($Q607&lt;&gt;"",$Q607,IF($V607="Strike",N($E607)*$H607*$I607,IF($V607="Subyacente",IF($J607="","",$J607*$H607*$I607),IF($V607="Ancho",IF($F607="","",ABS($E607-$F607)*$H607*$I607-$K607*$H607*$I607),IF($V607="Prima",$K607*$H607*$I607,""))))))</f>
        <v/>
      </c>
      <c r="AE607" s="12" t="str">
        <f aca="false">IF(OR($C607="",$M607="Abierta",$M607=""),"",(N($K607)-IF(OR($M607="Cerrada",$M607="Rolada"),N($O607),0))*$H607*$I607*IF($U607="Débito",-1,1)-N($L607)-N($P607))</f>
        <v/>
      </c>
      <c r="AF607" s="14" t="str">
        <f aca="false">IF(OR($AE607="",$AD607=""),"",IF($AD607&lt;=0,"",$AE607/$AD607))</f>
        <v/>
      </c>
      <c r="AG607" s="14" t="str">
        <f aca="false">IF($AF607="","",$AF607*365/MAX(N($X607),1))</f>
        <v/>
      </c>
      <c r="AH607" s="14" t="str">
        <f aca="false">IF(OR($C607="",$U607&lt;&gt;"Crédito",$AD607=""),"",IF($AD607&lt;=0,"",($Z607-N($L607))/$AD607))</f>
        <v/>
      </c>
      <c r="AI607" s="14" t="str">
        <f aca="false">IF(OR($AH607="",$W607=""),"",$AH607*365/MAX($W607,1))</f>
        <v/>
      </c>
      <c r="AJ607" s="14" t="str">
        <f aca="false">IF(OR($AE607="",$U607&lt;&gt;"Crédito",N($K607)=0),"",(N($K607)-IF(OR($M607="Cerrada",$M607="Rolada"),N($O607),0))/$K607)</f>
        <v/>
      </c>
      <c r="AK607" s="15" t="str">
        <f aca="false">IF(OR($C607="",$N607=""),"",DATE(YEAR($N607),MONTH($N607),1))</f>
        <v/>
      </c>
      <c r="AL607" s="11" t="str">
        <f aca="false">IF($C607="","",IF($M607="Abierta",0,1))</f>
        <v/>
      </c>
      <c r="AM607" s="16" t="str">
        <f aca="false">IF(OR($AE607="",$AD607=""),"",$AD607*MAX(N($X607),1))</f>
        <v/>
      </c>
      <c r="AN607" s="10" t="str">
        <f aca="false">IF($C607="","",IF(OR($B607="",$D607="",$H607="",$K607="",$M607=""),"Faltan datos obligatorios",IF($T607="","Estrategia no reconocida",IF(AND($M607&lt;&gt;"Abierta",$N607=""),"Falta fecha cierre",IF(AND(OR($M607="Cerrada",$M607="Rolada"),$O607=""),"Falta prima cierre",IF(AND($N607&lt;&gt;"",$N607&lt;$B607),"Cierre anterior a apertura",IF(AND($M607="Asignada",$R607=""),"Asignada: falta ID lote acciones",IF(AND($R607&lt;&gt;"",ISNA(MATCH($R607,Acciones!$A$2:$A$201,0))),"El ID lote no existe en Acciones",IF($AD607="","Revisa capital en riesgo","OK")))))))))</f>
        <v/>
      </c>
    </row>
    <row r="608" customFormat="false" ht="15" hidden="false" customHeight="true" outlineLevel="0" collapsed="false">
      <c r="A608" s="5"/>
      <c r="B608" s="6"/>
      <c r="C608" s="7"/>
      <c r="D608" s="7"/>
      <c r="E608" s="8"/>
      <c r="F608" s="8"/>
      <c r="G608" s="6"/>
      <c r="H608" s="5"/>
      <c r="I608" s="5" t="n">
        <v>100</v>
      </c>
      <c r="J608" s="8"/>
      <c r="K608" s="8"/>
      <c r="L608" s="9"/>
      <c r="M608" s="7"/>
      <c r="N608" s="6"/>
      <c r="O608" s="8"/>
      <c r="P608" s="9"/>
      <c r="Q608" s="9"/>
      <c r="R608" s="7"/>
      <c r="S608" s="7"/>
      <c r="T608" s="10" t="str">
        <f aca="false">IF($C608="","",IFERROR(INDEX(Listas!$B$2:$B$20,MATCH($D608,Listas!$A$2:$A$20,0)),""))</f>
        <v/>
      </c>
      <c r="U608" s="10" t="str">
        <f aca="false">IF($C608="","",IFERROR(INDEX(Listas!$C$2:$C$20,MATCH($D608,Listas!$A$2:$A$20,0)),""))</f>
        <v/>
      </c>
      <c r="V608" s="10" t="str">
        <f aca="false">IF($C608="","",IFERROR(INDEX(Listas!$D$2:$D$20,MATCH($D608,Listas!$A$2:$A$20,0)),""))</f>
        <v/>
      </c>
      <c r="W608" s="11" t="str">
        <f aca="false">IF(OR($C608="",$B608="",$G608=""),"",$G608-$B608)</f>
        <v/>
      </c>
      <c r="X608" s="11" t="str">
        <f aca="true">IF(OR($C608="",$B608=""),"",IF($N608&lt;&gt;"",$N608,TODAY())-$B608)</f>
        <v/>
      </c>
      <c r="Y608" s="11" t="str">
        <f aca="true">IF(OR($C608="",$M608&lt;&gt;"Abierta",$G608=""),"",MAX($G608-TODAY(),0))</f>
        <v/>
      </c>
      <c r="Z608" s="12" t="str">
        <f aca="false">IF($C608="","",N($K608)*N($H608)*N($I608)*IF($U608="Débito",-1,1))</f>
        <v/>
      </c>
      <c r="AA608" s="13" t="str">
        <f aca="false">IF($C608="","",IF(AND($U608="Débito",$F608&lt;&gt;""),$F608,$E608))</f>
        <v/>
      </c>
      <c r="AB608" s="13" t="str">
        <f aca="false">IF(OR($C608="",$T608="Mixta",$AA608=""),"",IF($V608="Subyacente",IF($J608="","",$J608-$K608),IF($T608="Put",$AA608-$K608,$AA608+$K608)))</f>
        <v/>
      </c>
      <c r="AC608" s="14" t="str">
        <f aca="false">IF(OR($C608="",$T608="Mixta",$J608="",$AA608=""),"",IF($T608="Put",($J608-$AA608)/$J608,($AA608-$J608)/$J608))</f>
        <v/>
      </c>
      <c r="AD608" s="12" t="str">
        <f aca="false">IF($C608="","",IF($Q608&lt;&gt;"",$Q608,IF($V608="Strike",N($E608)*$H608*$I608,IF($V608="Subyacente",IF($J608="","",$J608*$H608*$I608),IF($V608="Ancho",IF($F608="","",ABS($E608-$F608)*$H608*$I608-$K608*$H608*$I608),IF($V608="Prima",$K608*$H608*$I608,""))))))</f>
        <v/>
      </c>
      <c r="AE608" s="12" t="str">
        <f aca="false">IF(OR($C608="",$M608="Abierta",$M608=""),"",(N($K608)-IF(OR($M608="Cerrada",$M608="Rolada"),N($O608),0))*$H608*$I608*IF($U608="Débito",-1,1)-N($L608)-N($P608))</f>
        <v/>
      </c>
      <c r="AF608" s="14" t="str">
        <f aca="false">IF(OR($AE608="",$AD608=""),"",IF($AD608&lt;=0,"",$AE608/$AD608))</f>
        <v/>
      </c>
      <c r="AG608" s="14" t="str">
        <f aca="false">IF($AF608="","",$AF608*365/MAX(N($X608),1))</f>
        <v/>
      </c>
      <c r="AH608" s="14" t="str">
        <f aca="false">IF(OR($C608="",$U608&lt;&gt;"Crédito",$AD608=""),"",IF($AD608&lt;=0,"",($Z608-N($L608))/$AD608))</f>
        <v/>
      </c>
      <c r="AI608" s="14" t="str">
        <f aca="false">IF(OR($AH608="",$W608=""),"",$AH608*365/MAX($W608,1))</f>
        <v/>
      </c>
      <c r="AJ608" s="14" t="str">
        <f aca="false">IF(OR($AE608="",$U608&lt;&gt;"Crédito",N($K608)=0),"",(N($K608)-IF(OR($M608="Cerrada",$M608="Rolada"),N($O608),0))/$K608)</f>
        <v/>
      </c>
      <c r="AK608" s="15" t="str">
        <f aca="false">IF(OR($C608="",$N608=""),"",DATE(YEAR($N608),MONTH($N608),1))</f>
        <v/>
      </c>
      <c r="AL608" s="11" t="str">
        <f aca="false">IF($C608="","",IF($M608="Abierta",0,1))</f>
        <v/>
      </c>
      <c r="AM608" s="16" t="str">
        <f aca="false">IF(OR($AE608="",$AD608=""),"",$AD608*MAX(N($X608),1))</f>
        <v/>
      </c>
      <c r="AN608" s="10" t="str">
        <f aca="false">IF($C608="","",IF(OR($B608="",$D608="",$H608="",$K608="",$M608=""),"Faltan datos obligatorios",IF($T608="","Estrategia no reconocida",IF(AND($M608&lt;&gt;"Abierta",$N608=""),"Falta fecha cierre",IF(AND(OR($M608="Cerrada",$M608="Rolada"),$O608=""),"Falta prima cierre",IF(AND($N608&lt;&gt;"",$N608&lt;$B608),"Cierre anterior a apertura",IF(AND($M608="Asignada",$R608=""),"Asignada: falta ID lote acciones",IF(AND($R608&lt;&gt;"",ISNA(MATCH($R608,Acciones!$A$2:$A$201,0))),"El ID lote no existe en Acciones",IF($AD608="","Revisa capital en riesgo","OK")))))))))</f>
        <v/>
      </c>
    </row>
    <row r="609" customFormat="false" ht="15" hidden="false" customHeight="true" outlineLevel="0" collapsed="false">
      <c r="A609" s="5"/>
      <c r="B609" s="6"/>
      <c r="C609" s="7"/>
      <c r="D609" s="7"/>
      <c r="E609" s="8"/>
      <c r="F609" s="8"/>
      <c r="G609" s="6"/>
      <c r="H609" s="5"/>
      <c r="I609" s="5" t="n">
        <v>100</v>
      </c>
      <c r="J609" s="8"/>
      <c r="K609" s="8"/>
      <c r="L609" s="9"/>
      <c r="M609" s="7"/>
      <c r="N609" s="6"/>
      <c r="O609" s="8"/>
      <c r="P609" s="9"/>
      <c r="Q609" s="9"/>
      <c r="R609" s="7"/>
      <c r="S609" s="7"/>
      <c r="T609" s="10" t="str">
        <f aca="false">IF($C609="","",IFERROR(INDEX(Listas!$B$2:$B$20,MATCH($D609,Listas!$A$2:$A$20,0)),""))</f>
        <v/>
      </c>
      <c r="U609" s="10" t="str">
        <f aca="false">IF($C609="","",IFERROR(INDEX(Listas!$C$2:$C$20,MATCH($D609,Listas!$A$2:$A$20,0)),""))</f>
        <v/>
      </c>
      <c r="V609" s="10" t="str">
        <f aca="false">IF($C609="","",IFERROR(INDEX(Listas!$D$2:$D$20,MATCH($D609,Listas!$A$2:$A$20,0)),""))</f>
        <v/>
      </c>
      <c r="W609" s="11" t="str">
        <f aca="false">IF(OR($C609="",$B609="",$G609=""),"",$G609-$B609)</f>
        <v/>
      </c>
      <c r="X609" s="11" t="str">
        <f aca="true">IF(OR($C609="",$B609=""),"",IF($N609&lt;&gt;"",$N609,TODAY())-$B609)</f>
        <v/>
      </c>
      <c r="Y609" s="11" t="str">
        <f aca="true">IF(OR($C609="",$M609&lt;&gt;"Abierta",$G609=""),"",MAX($G609-TODAY(),0))</f>
        <v/>
      </c>
      <c r="Z609" s="12" t="str">
        <f aca="false">IF($C609="","",N($K609)*N($H609)*N($I609)*IF($U609="Débito",-1,1))</f>
        <v/>
      </c>
      <c r="AA609" s="13" t="str">
        <f aca="false">IF($C609="","",IF(AND($U609="Débito",$F609&lt;&gt;""),$F609,$E609))</f>
        <v/>
      </c>
      <c r="AB609" s="13" t="str">
        <f aca="false">IF(OR($C609="",$T609="Mixta",$AA609=""),"",IF($V609="Subyacente",IF($J609="","",$J609-$K609),IF($T609="Put",$AA609-$K609,$AA609+$K609)))</f>
        <v/>
      </c>
      <c r="AC609" s="14" t="str">
        <f aca="false">IF(OR($C609="",$T609="Mixta",$J609="",$AA609=""),"",IF($T609="Put",($J609-$AA609)/$J609,($AA609-$J609)/$J609))</f>
        <v/>
      </c>
      <c r="AD609" s="12" t="str">
        <f aca="false">IF($C609="","",IF($Q609&lt;&gt;"",$Q609,IF($V609="Strike",N($E609)*$H609*$I609,IF($V609="Subyacente",IF($J609="","",$J609*$H609*$I609),IF($V609="Ancho",IF($F609="","",ABS($E609-$F609)*$H609*$I609-$K609*$H609*$I609),IF($V609="Prima",$K609*$H609*$I609,""))))))</f>
        <v/>
      </c>
      <c r="AE609" s="12" t="str">
        <f aca="false">IF(OR($C609="",$M609="Abierta",$M609=""),"",(N($K609)-IF(OR($M609="Cerrada",$M609="Rolada"),N($O609),0))*$H609*$I609*IF($U609="Débito",-1,1)-N($L609)-N($P609))</f>
        <v/>
      </c>
      <c r="AF609" s="14" t="str">
        <f aca="false">IF(OR($AE609="",$AD609=""),"",IF($AD609&lt;=0,"",$AE609/$AD609))</f>
        <v/>
      </c>
      <c r="AG609" s="14" t="str">
        <f aca="false">IF($AF609="","",$AF609*365/MAX(N($X609),1))</f>
        <v/>
      </c>
      <c r="AH609" s="14" t="str">
        <f aca="false">IF(OR($C609="",$U609&lt;&gt;"Crédito",$AD609=""),"",IF($AD609&lt;=0,"",($Z609-N($L609))/$AD609))</f>
        <v/>
      </c>
      <c r="AI609" s="14" t="str">
        <f aca="false">IF(OR($AH609="",$W609=""),"",$AH609*365/MAX($W609,1))</f>
        <v/>
      </c>
      <c r="AJ609" s="14" t="str">
        <f aca="false">IF(OR($AE609="",$U609&lt;&gt;"Crédito",N($K609)=0),"",(N($K609)-IF(OR($M609="Cerrada",$M609="Rolada"),N($O609),0))/$K609)</f>
        <v/>
      </c>
      <c r="AK609" s="15" t="str">
        <f aca="false">IF(OR($C609="",$N609=""),"",DATE(YEAR($N609),MONTH($N609),1))</f>
        <v/>
      </c>
      <c r="AL609" s="11" t="str">
        <f aca="false">IF($C609="","",IF($M609="Abierta",0,1))</f>
        <v/>
      </c>
      <c r="AM609" s="16" t="str">
        <f aca="false">IF(OR($AE609="",$AD609=""),"",$AD609*MAX(N($X609),1))</f>
        <v/>
      </c>
      <c r="AN609" s="10" t="str">
        <f aca="false">IF($C609="","",IF(OR($B609="",$D609="",$H609="",$K609="",$M609=""),"Faltan datos obligatorios",IF($T609="","Estrategia no reconocida",IF(AND($M609&lt;&gt;"Abierta",$N609=""),"Falta fecha cierre",IF(AND(OR($M609="Cerrada",$M609="Rolada"),$O609=""),"Falta prima cierre",IF(AND($N609&lt;&gt;"",$N609&lt;$B609),"Cierre anterior a apertura",IF(AND($M609="Asignada",$R609=""),"Asignada: falta ID lote acciones",IF(AND($R609&lt;&gt;"",ISNA(MATCH($R609,Acciones!$A$2:$A$201,0))),"El ID lote no existe en Acciones",IF($AD609="","Revisa capital en riesgo","OK")))))))))</f>
        <v/>
      </c>
    </row>
    <row r="610" customFormat="false" ht="15" hidden="false" customHeight="true" outlineLevel="0" collapsed="false">
      <c r="A610" s="5"/>
      <c r="B610" s="6"/>
      <c r="C610" s="7"/>
      <c r="D610" s="7"/>
      <c r="E610" s="8"/>
      <c r="F610" s="8"/>
      <c r="G610" s="6"/>
      <c r="H610" s="5"/>
      <c r="I610" s="5" t="n">
        <v>100</v>
      </c>
      <c r="J610" s="8"/>
      <c r="K610" s="8"/>
      <c r="L610" s="9"/>
      <c r="M610" s="7"/>
      <c r="N610" s="6"/>
      <c r="O610" s="8"/>
      <c r="P610" s="9"/>
      <c r="Q610" s="9"/>
      <c r="R610" s="7"/>
      <c r="S610" s="7"/>
      <c r="T610" s="10" t="str">
        <f aca="false">IF($C610="","",IFERROR(INDEX(Listas!$B$2:$B$20,MATCH($D610,Listas!$A$2:$A$20,0)),""))</f>
        <v/>
      </c>
      <c r="U610" s="10" t="str">
        <f aca="false">IF($C610="","",IFERROR(INDEX(Listas!$C$2:$C$20,MATCH($D610,Listas!$A$2:$A$20,0)),""))</f>
        <v/>
      </c>
      <c r="V610" s="10" t="str">
        <f aca="false">IF($C610="","",IFERROR(INDEX(Listas!$D$2:$D$20,MATCH($D610,Listas!$A$2:$A$20,0)),""))</f>
        <v/>
      </c>
      <c r="W610" s="11" t="str">
        <f aca="false">IF(OR($C610="",$B610="",$G610=""),"",$G610-$B610)</f>
        <v/>
      </c>
      <c r="X610" s="11" t="str">
        <f aca="true">IF(OR($C610="",$B610=""),"",IF($N610&lt;&gt;"",$N610,TODAY())-$B610)</f>
        <v/>
      </c>
      <c r="Y610" s="11" t="str">
        <f aca="true">IF(OR($C610="",$M610&lt;&gt;"Abierta",$G610=""),"",MAX($G610-TODAY(),0))</f>
        <v/>
      </c>
      <c r="Z610" s="12" t="str">
        <f aca="false">IF($C610="","",N($K610)*N($H610)*N($I610)*IF($U610="Débito",-1,1))</f>
        <v/>
      </c>
      <c r="AA610" s="13" t="str">
        <f aca="false">IF($C610="","",IF(AND($U610="Débito",$F610&lt;&gt;""),$F610,$E610))</f>
        <v/>
      </c>
      <c r="AB610" s="13" t="str">
        <f aca="false">IF(OR($C610="",$T610="Mixta",$AA610=""),"",IF($V610="Subyacente",IF($J610="","",$J610-$K610),IF($T610="Put",$AA610-$K610,$AA610+$K610)))</f>
        <v/>
      </c>
      <c r="AC610" s="14" t="str">
        <f aca="false">IF(OR($C610="",$T610="Mixta",$J610="",$AA610=""),"",IF($T610="Put",($J610-$AA610)/$J610,($AA610-$J610)/$J610))</f>
        <v/>
      </c>
      <c r="AD610" s="12" t="str">
        <f aca="false">IF($C610="","",IF($Q610&lt;&gt;"",$Q610,IF($V610="Strike",N($E610)*$H610*$I610,IF($V610="Subyacente",IF($J610="","",$J610*$H610*$I610),IF($V610="Ancho",IF($F610="","",ABS($E610-$F610)*$H610*$I610-$K610*$H610*$I610),IF($V610="Prima",$K610*$H610*$I610,""))))))</f>
        <v/>
      </c>
      <c r="AE610" s="12" t="str">
        <f aca="false">IF(OR($C610="",$M610="Abierta",$M610=""),"",(N($K610)-IF(OR($M610="Cerrada",$M610="Rolada"),N($O610),0))*$H610*$I610*IF($U610="Débito",-1,1)-N($L610)-N($P610))</f>
        <v/>
      </c>
      <c r="AF610" s="14" t="str">
        <f aca="false">IF(OR($AE610="",$AD610=""),"",IF($AD610&lt;=0,"",$AE610/$AD610))</f>
        <v/>
      </c>
      <c r="AG610" s="14" t="str">
        <f aca="false">IF($AF610="","",$AF610*365/MAX(N($X610),1))</f>
        <v/>
      </c>
      <c r="AH610" s="14" t="str">
        <f aca="false">IF(OR($C610="",$U610&lt;&gt;"Crédito",$AD610=""),"",IF($AD610&lt;=0,"",($Z610-N($L610))/$AD610))</f>
        <v/>
      </c>
      <c r="AI610" s="14" t="str">
        <f aca="false">IF(OR($AH610="",$W610=""),"",$AH610*365/MAX($W610,1))</f>
        <v/>
      </c>
      <c r="AJ610" s="14" t="str">
        <f aca="false">IF(OR($AE610="",$U610&lt;&gt;"Crédito",N($K610)=0),"",(N($K610)-IF(OR($M610="Cerrada",$M610="Rolada"),N($O610),0))/$K610)</f>
        <v/>
      </c>
      <c r="AK610" s="15" t="str">
        <f aca="false">IF(OR($C610="",$N610=""),"",DATE(YEAR($N610),MONTH($N610),1))</f>
        <v/>
      </c>
      <c r="AL610" s="11" t="str">
        <f aca="false">IF($C610="","",IF($M610="Abierta",0,1))</f>
        <v/>
      </c>
      <c r="AM610" s="16" t="str">
        <f aca="false">IF(OR($AE610="",$AD610=""),"",$AD610*MAX(N($X610),1))</f>
        <v/>
      </c>
      <c r="AN610" s="10" t="str">
        <f aca="false">IF($C610="","",IF(OR($B610="",$D610="",$H610="",$K610="",$M610=""),"Faltan datos obligatorios",IF($T610="","Estrategia no reconocida",IF(AND($M610&lt;&gt;"Abierta",$N610=""),"Falta fecha cierre",IF(AND(OR($M610="Cerrada",$M610="Rolada"),$O610=""),"Falta prima cierre",IF(AND($N610&lt;&gt;"",$N610&lt;$B610),"Cierre anterior a apertura",IF(AND($M610="Asignada",$R610=""),"Asignada: falta ID lote acciones",IF(AND($R610&lt;&gt;"",ISNA(MATCH($R610,Acciones!$A$2:$A$201,0))),"El ID lote no existe en Acciones",IF($AD610="","Revisa capital en riesgo","OK")))))))))</f>
        <v/>
      </c>
    </row>
    <row r="611" customFormat="false" ht="15" hidden="false" customHeight="true" outlineLevel="0" collapsed="false">
      <c r="A611" s="5"/>
      <c r="B611" s="6"/>
      <c r="C611" s="7"/>
      <c r="D611" s="7"/>
      <c r="E611" s="8"/>
      <c r="F611" s="8"/>
      <c r="G611" s="6"/>
      <c r="H611" s="5"/>
      <c r="I611" s="5" t="n">
        <v>100</v>
      </c>
      <c r="J611" s="8"/>
      <c r="K611" s="8"/>
      <c r="L611" s="9"/>
      <c r="M611" s="7"/>
      <c r="N611" s="6"/>
      <c r="O611" s="8"/>
      <c r="P611" s="9"/>
      <c r="Q611" s="9"/>
      <c r="R611" s="7"/>
      <c r="S611" s="7"/>
      <c r="T611" s="10" t="str">
        <f aca="false">IF($C611="","",IFERROR(INDEX(Listas!$B$2:$B$20,MATCH($D611,Listas!$A$2:$A$20,0)),""))</f>
        <v/>
      </c>
      <c r="U611" s="10" t="str">
        <f aca="false">IF($C611="","",IFERROR(INDEX(Listas!$C$2:$C$20,MATCH($D611,Listas!$A$2:$A$20,0)),""))</f>
        <v/>
      </c>
      <c r="V611" s="10" t="str">
        <f aca="false">IF($C611="","",IFERROR(INDEX(Listas!$D$2:$D$20,MATCH($D611,Listas!$A$2:$A$20,0)),""))</f>
        <v/>
      </c>
      <c r="W611" s="11" t="str">
        <f aca="false">IF(OR($C611="",$B611="",$G611=""),"",$G611-$B611)</f>
        <v/>
      </c>
      <c r="X611" s="11" t="str">
        <f aca="true">IF(OR($C611="",$B611=""),"",IF($N611&lt;&gt;"",$N611,TODAY())-$B611)</f>
        <v/>
      </c>
      <c r="Y611" s="11" t="str">
        <f aca="true">IF(OR($C611="",$M611&lt;&gt;"Abierta",$G611=""),"",MAX($G611-TODAY(),0))</f>
        <v/>
      </c>
      <c r="Z611" s="12" t="str">
        <f aca="false">IF($C611="","",N($K611)*N($H611)*N($I611)*IF($U611="Débito",-1,1))</f>
        <v/>
      </c>
      <c r="AA611" s="13" t="str">
        <f aca="false">IF($C611="","",IF(AND($U611="Débito",$F611&lt;&gt;""),$F611,$E611))</f>
        <v/>
      </c>
      <c r="AB611" s="13" t="str">
        <f aca="false">IF(OR($C611="",$T611="Mixta",$AA611=""),"",IF($V611="Subyacente",IF($J611="","",$J611-$K611),IF($T611="Put",$AA611-$K611,$AA611+$K611)))</f>
        <v/>
      </c>
      <c r="AC611" s="14" t="str">
        <f aca="false">IF(OR($C611="",$T611="Mixta",$J611="",$AA611=""),"",IF($T611="Put",($J611-$AA611)/$J611,($AA611-$J611)/$J611))</f>
        <v/>
      </c>
      <c r="AD611" s="12" t="str">
        <f aca="false">IF($C611="","",IF($Q611&lt;&gt;"",$Q611,IF($V611="Strike",N($E611)*$H611*$I611,IF($V611="Subyacente",IF($J611="","",$J611*$H611*$I611),IF($V611="Ancho",IF($F611="","",ABS($E611-$F611)*$H611*$I611-$K611*$H611*$I611),IF($V611="Prima",$K611*$H611*$I611,""))))))</f>
        <v/>
      </c>
      <c r="AE611" s="12" t="str">
        <f aca="false">IF(OR($C611="",$M611="Abierta",$M611=""),"",(N($K611)-IF(OR($M611="Cerrada",$M611="Rolada"),N($O611),0))*$H611*$I611*IF($U611="Débito",-1,1)-N($L611)-N($P611))</f>
        <v/>
      </c>
      <c r="AF611" s="14" t="str">
        <f aca="false">IF(OR($AE611="",$AD611=""),"",IF($AD611&lt;=0,"",$AE611/$AD611))</f>
        <v/>
      </c>
      <c r="AG611" s="14" t="str">
        <f aca="false">IF($AF611="","",$AF611*365/MAX(N($X611),1))</f>
        <v/>
      </c>
      <c r="AH611" s="14" t="str">
        <f aca="false">IF(OR($C611="",$U611&lt;&gt;"Crédito",$AD611=""),"",IF($AD611&lt;=0,"",($Z611-N($L611))/$AD611))</f>
        <v/>
      </c>
      <c r="AI611" s="14" t="str">
        <f aca="false">IF(OR($AH611="",$W611=""),"",$AH611*365/MAX($W611,1))</f>
        <v/>
      </c>
      <c r="AJ611" s="14" t="str">
        <f aca="false">IF(OR($AE611="",$U611&lt;&gt;"Crédito",N($K611)=0),"",(N($K611)-IF(OR($M611="Cerrada",$M611="Rolada"),N($O611),0))/$K611)</f>
        <v/>
      </c>
      <c r="AK611" s="15" t="str">
        <f aca="false">IF(OR($C611="",$N611=""),"",DATE(YEAR($N611),MONTH($N611),1))</f>
        <v/>
      </c>
      <c r="AL611" s="11" t="str">
        <f aca="false">IF($C611="","",IF($M611="Abierta",0,1))</f>
        <v/>
      </c>
      <c r="AM611" s="16" t="str">
        <f aca="false">IF(OR($AE611="",$AD611=""),"",$AD611*MAX(N($X611),1))</f>
        <v/>
      </c>
      <c r="AN611" s="10" t="str">
        <f aca="false">IF($C611="","",IF(OR($B611="",$D611="",$H611="",$K611="",$M611=""),"Faltan datos obligatorios",IF($T611="","Estrategia no reconocida",IF(AND($M611&lt;&gt;"Abierta",$N611=""),"Falta fecha cierre",IF(AND(OR($M611="Cerrada",$M611="Rolada"),$O611=""),"Falta prima cierre",IF(AND($N611&lt;&gt;"",$N611&lt;$B611),"Cierre anterior a apertura",IF(AND($M611="Asignada",$R611=""),"Asignada: falta ID lote acciones",IF(AND($R611&lt;&gt;"",ISNA(MATCH($R611,Acciones!$A$2:$A$201,0))),"El ID lote no existe en Acciones",IF($AD611="","Revisa capital en riesgo","OK")))))))))</f>
        <v/>
      </c>
    </row>
    <row r="612" customFormat="false" ht="15" hidden="false" customHeight="true" outlineLevel="0" collapsed="false">
      <c r="A612" s="5"/>
      <c r="B612" s="6"/>
      <c r="C612" s="7"/>
      <c r="D612" s="7"/>
      <c r="E612" s="8"/>
      <c r="F612" s="8"/>
      <c r="G612" s="6"/>
      <c r="H612" s="5"/>
      <c r="I612" s="5" t="n">
        <v>100</v>
      </c>
      <c r="J612" s="8"/>
      <c r="K612" s="8"/>
      <c r="L612" s="9"/>
      <c r="M612" s="7"/>
      <c r="N612" s="6"/>
      <c r="O612" s="8"/>
      <c r="P612" s="9"/>
      <c r="Q612" s="9"/>
      <c r="R612" s="7"/>
      <c r="S612" s="7"/>
      <c r="T612" s="10" t="str">
        <f aca="false">IF($C612="","",IFERROR(INDEX(Listas!$B$2:$B$20,MATCH($D612,Listas!$A$2:$A$20,0)),""))</f>
        <v/>
      </c>
      <c r="U612" s="10" t="str">
        <f aca="false">IF($C612="","",IFERROR(INDEX(Listas!$C$2:$C$20,MATCH($D612,Listas!$A$2:$A$20,0)),""))</f>
        <v/>
      </c>
      <c r="V612" s="10" t="str">
        <f aca="false">IF($C612="","",IFERROR(INDEX(Listas!$D$2:$D$20,MATCH($D612,Listas!$A$2:$A$20,0)),""))</f>
        <v/>
      </c>
      <c r="W612" s="11" t="str">
        <f aca="false">IF(OR($C612="",$B612="",$G612=""),"",$G612-$B612)</f>
        <v/>
      </c>
      <c r="X612" s="11" t="str">
        <f aca="true">IF(OR($C612="",$B612=""),"",IF($N612&lt;&gt;"",$N612,TODAY())-$B612)</f>
        <v/>
      </c>
      <c r="Y612" s="11" t="str">
        <f aca="true">IF(OR($C612="",$M612&lt;&gt;"Abierta",$G612=""),"",MAX($G612-TODAY(),0))</f>
        <v/>
      </c>
      <c r="Z612" s="12" t="str">
        <f aca="false">IF($C612="","",N($K612)*N($H612)*N($I612)*IF($U612="Débito",-1,1))</f>
        <v/>
      </c>
      <c r="AA612" s="13" t="str">
        <f aca="false">IF($C612="","",IF(AND($U612="Débito",$F612&lt;&gt;""),$F612,$E612))</f>
        <v/>
      </c>
      <c r="AB612" s="13" t="str">
        <f aca="false">IF(OR($C612="",$T612="Mixta",$AA612=""),"",IF($V612="Subyacente",IF($J612="","",$J612-$K612),IF($T612="Put",$AA612-$K612,$AA612+$K612)))</f>
        <v/>
      </c>
      <c r="AC612" s="14" t="str">
        <f aca="false">IF(OR($C612="",$T612="Mixta",$J612="",$AA612=""),"",IF($T612="Put",($J612-$AA612)/$J612,($AA612-$J612)/$J612))</f>
        <v/>
      </c>
      <c r="AD612" s="12" t="str">
        <f aca="false">IF($C612="","",IF($Q612&lt;&gt;"",$Q612,IF($V612="Strike",N($E612)*$H612*$I612,IF($V612="Subyacente",IF($J612="","",$J612*$H612*$I612),IF($V612="Ancho",IF($F612="","",ABS($E612-$F612)*$H612*$I612-$K612*$H612*$I612),IF($V612="Prima",$K612*$H612*$I612,""))))))</f>
        <v/>
      </c>
      <c r="AE612" s="12" t="str">
        <f aca="false">IF(OR($C612="",$M612="Abierta",$M612=""),"",(N($K612)-IF(OR($M612="Cerrada",$M612="Rolada"),N($O612),0))*$H612*$I612*IF($U612="Débito",-1,1)-N($L612)-N($P612))</f>
        <v/>
      </c>
      <c r="AF612" s="14" t="str">
        <f aca="false">IF(OR($AE612="",$AD612=""),"",IF($AD612&lt;=0,"",$AE612/$AD612))</f>
        <v/>
      </c>
      <c r="AG612" s="14" t="str">
        <f aca="false">IF($AF612="","",$AF612*365/MAX(N($X612),1))</f>
        <v/>
      </c>
      <c r="AH612" s="14" t="str">
        <f aca="false">IF(OR($C612="",$U612&lt;&gt;"Crédito",$AD612=""),"",IF($AD612&lt;=0,"",($Z612-N($L612))/$AD612))</f>
        <v/>
      </c>
      <c r="AI612" s="14" t="str">
        <f aca="false">IF(OR($AH612="",$W612=""),"",$AH612*365/MAX($W612,1))</f>
        <v/>
      </c>
      <c r="AJ612" s="14" t="str">
        <f aca="false">IF(OR($AE612="",$U612&lt;&gt;"Crédito",N($K612)=0),"",(N($K612)-IF(OR($M612="Cerrada",$M612="Rolada"),N($O612),0))/$K612)</f>
        <v/>
      </c>
      <c r="AK612" s="15" t="str">
        <f aca="false">IF(OR($C612="",$N612=""),"",DATE(YEAR($N612),MONTH($N612),1))</f>
        <v/>
      </c>
      <c r="AL612" s="11" t="str">
        <f aca="false">IF($C612="","",IF($M612="Abierta",0,1))</f>
        <v/>
      </c>
      <c r="AM612" s="16" t="str">
        <f aca="false">IF(OR($AE612="",$AD612=""),"",$AD612*MAX(N($X612),1))</f>
        <v/>
      </c>
      <c r="AN612" s="10" t="str">
        <f aca="false">IF($C612="","",IF(OR($B612="",$D612="",$H612="",$K612="",$M612=""),"Faltan datos obligatorios",IF($T612="","Estrategia no reconocida",IF(AND($M612&lt;&gt;"Abierta",$N612=""),"Falta fecha cierre",IF(AND(OR($M612="Cerrada",$M612="Rolada"),$O612=""),"Falta prima cierre",IF(AND($N612&lt;&gt;"",$N612&lt;$B612),"Cierre anterior a apertura",IF(AND($M612="Asignada",$R612=""),"Asignada: falta ID lote acciones",IF(AND($R612&lt;&gt;"",ISNA(MATCH($R612,Acciones!$A$2:$A$201,0))),"El ID lote no existe en Acciones",IF($AD612="","Revisa capital en riesgo","OK")))))))))</f>
        <v/>
      </c>
    </row>
    <row r="613" customFormat="false" ht="15" hidden="false" customHeight="true" outlineLevel="0" collapsed="false">
      <c r="A613" s="5"/>
      <c r="B613" s="6"/>
      <c r="C613" s="7"/>
      <c r="D613" s="7"/>
      <c r="E613" s="8"/>
      <c r="F613" s="8"/>
      <c r="G613" s="6"/>
      <c r="H613" s="5"/>
      <c r="I613" s="5" t="n">
        <v>100</v>
      </c>
      <c r="J613" s="8"/>
      <c r="K613" s="8"/>
      <c r="L613" s="9"/>
      <c r="M613" s="7"/>
      <c r="N613" s="6"/>
      <c r="O613" s="8"/>
      <c r="P613" s="9"/>
      <c r="Q613" s="9"/>
      <c r="R613" s="7"/>
      <c r="S613" s="7"/>
      <c r="T613" s="10" t="str">
        <f aca="false">IF($C613="","",IFERROR(INDEX(Listas!$B$2:$B$20,MATCH($D613,Listas!$A$2:$A$20,0)),""))</f>
        <v/>
      </c>
      <c r="U613" s="10" t="str">
        <f aca="false">IF($C613="","",IFERROR(INDEX(Listas!$C$2:$C$20,MATCH($D613,Listas!$A$2:$A$20,0)),""))</f>
        <v/>
      </c>
      <c r="V613" s="10" t="str">
        <f aca="false">IF($C613="","",IFERROR(INDEX(Listas!$D$2:$D$20,MATCH($D613,Listas!$A$2:$A$20,0)),""))</f>
        <v/>
      </c>
      <c r="W613" s="11" t="str">
        <f aca="false">IF(OR($C613="",$B613="",$G613=""),"",$G613-$B613)</f>
        <v/>
      </c>
      <c r="X613" s="11" t="str">
        <f aca="true">IF(OR($C613="",$B613=""),"",IF($N613&lt;&gt;"",$N613,TODAY())-$B613)</f>
        <v/>
      </c>
      <c r="Y613" s="11" t="str">
        <f aca="true">IF(OR($C613="",$M613&lt;&gt;"Abierta",$G613=""),"",MAX($G613-TODAY(),0))</f>
        <v/>
      </c>
      <c r="Z613" s="12" t="str">
        <f aca="false">IF($C613="","",N($K613)*N($H613)*N($I613)*IF($U613="Débito",-1,1))</f>
        <v/>
      </c>
      <c r="AA613" s="13" t="str">
        <f aca="false">IF($C613="","",IF(AND($U613="Débito",$F613&lt;&gt;""),$F613,$E613))</f>
        <v/>
      </c>
      <c r="AB613" s="13" t="str">
        <f aca="false">IF(OR($C613="",$T613="Mixta",$AA613=""),"",IF($V613="Subyacente",IF($J613="","",$J613-$K613),IF($T613="Put",$AA613-$K613,$AA613+$K613)))</f>
        <v/>
      </c>
      <c r="AC613" s="14" t="str">
        <f aca="false">IF(OR($C613="",$T613="Mixta",$J613="",$AA613=""),"",IF($T613="Put",($J613-$AA613)/$J613,($AA613-$J613)/$J613))</f>
        <v/>
      </c>
      <c r="AD613" s="12" t="str">
        <f aca="false">IF($C613="","",IF($Q613&lt;&gt;"",$Q613,IF($V613="Strike",N($E613)*$H613*$I613,IF($V613="Subyacente",IF($J613="","",$J613*$H613*$I613),IF($V613="Ancho",IF($F613="","",ABS($E613-$F613)*$H613*$I613-$K613*$H613*$I613),IF($V613="Prima",$K613*$H613*$I613,""))))))</f>
        <v/>
      </c>
      <c r="AE613" s="12" t="str">
        <f aca="false">IF(OR($C613="",$M613="Abierta",$M613=""),"",(N($K613)-IF(OR($M613="Cerrada",$M613="Rolada"),N($O613),0))*$H613*$I613*IF($U613="Débito",-1,1)-N($L613)-N($P613))</f>
        <v/>
      </c>
      <c r="AF613" s="14" t="str">
        <f aca="false">IF(OR($AE613="",$AD613=""),"",IF($AD613&lt;=0,"",$AE613/$AD613))</f>
        <v/>
      </c>
      <c r="AG613" s="14" t="str">
        <f aca="false">IF($AF613="","",$AF613*365/MAX(N($X613),1))</f>
        <v/>
      </c>
      <c r="AH613" s="14" t="str">
        <f aca="false">IF(OR($C613="",$U613&lt;&gt;"Crédito",$AD613=""),"",IF($AD613&lt;=0,"",($Z613-N($L613))/$AD613))</f>
        <v/>
      </c>
      <c r="AI613" s="14" t="str">
        <f aca="false">IF(OR($AH613="",$W613=""),"",$AH613*365/MAX($W613,1))</f>
        <v/>
      </c>
      <c r="AJ613" s="14" t="str">
        <f aca="false">IF(OR($AE613="",$U613&lt;&gt;"Crédito",N($K613)=0),"",(N($K613)-IF(OR($M613="Cerrada",$M613="Rolada"),N($O613),0))/$K613)</f>
        <v/>
      </c>
      <c r="AK613" s="15" t="str">
        <f aca="false">IF(OR($C613="",$N613=""),"",DATE(YEAR($N613),MONTH($N613),1))</f>
        <v/>
      </c>
      <c r="AL613" s="11" t="str">
        <f aca="false">IF($C613="","",IF($M613="Abierta",0,1))</f>
        <v/>
      </c>
      <c r="AM613" s="16" t="str">
        <f aca="false">IF(OR($AE613="",$AD613=""),"",$AD613*MAX(N($X613),1))</f>
        <v/>
      </c>
      <c r="AN613" s="10" t="str">
        <f aca="false">IF($C613="","",IF(OR($B613="",$D613="",$H613="",$K613="",$M613=""),"Faltan datos obligatorios",IF($T613="","Estrategia no reconocida",IF(AND($M613&lt;&gt;"Abierta",$N613=""),"Falta fecha cierre",IF(AND(OR($M613="Cerrada",$M613="Rolada"),$O613=""),"Falta prima cierre",IF(AND($N613&lt;&gt;"",$N613&lt;$B613),"Cierre anterior a apertura",IF(AND($M613="Asignada",$R613=""),"Asignada: falta ID lote acciones",IF(AND($R613&lt;&gt;"",ISNA(MATCH($R613,Acciones!$A$2:$A$201,0))),"El ID lote no existe en Acciones",IF($AD613="","Revisa capital en riesgo","OK")))))))))</f>
        <v/>
      </c>
    </row>
    <row r="614" customFormat="false" ht="15" hidden="false" customHeight="true" outlineLevel="0" collapsed="false">
      <c r="A614" s="5"/>
      <c r="B614" s="6"/>
      <c r="C614" s="7"/>
      <c r="D614" s="7"/>
      <c r="E614" s="8"/>
      <c r="F614" s="8"/>
      <c r="G614" s="6"/>
      <c r="H614" s="5"/>
      <c r="I614" s="5" t="n">
        <v>100</v>
      </c>
      <c r="J614" s="8"/>
      <c r="K614" s="8"/>
      <c r="L614" s="9"/>
      <c r="M614" s="7"/>
      <c r="N614" s="6"/>
      <c r="O614" s="8"/>
      <c r="P614" s="9"/>
      <c r="Q614" s="9"/>
      <c r="R614" s="7"/>
      <c r="S614" s="7"/>
      <c r="T614" s="10" t="str">
        <f aca="false">IF($C614="","",IFERROR(INDEX(Listas!$B$2:$B$20,MATCH($D614,Listas!$A$2:$A$20,0)),""))</f>
        <v/>
      </c>
      <c r="U614" s="10" t="str">
        <f aca="false">IF($C614="","",IFERROR(INDEX(Listas!$C$2:$C$20,MATCH($D614,Listas!$A$2:$A$20,0)),""))</f>
        <v/>
      </c>
      <c r="V614" s="10" t="str">
        <f aca="false">IF($C614="","",IFERROR(INDEX(Listas!$D$2:$D$20,MATCH($D614,Listas!$A$2:$A$20,0)),""))</f>
        <v/>
      </c>
      <c r="W614" s="11" t="str">
        <f aca="false">IF(OR($C614="",$B614="",$G614=""),"",$G614-$B614)</f>
        <v/>
      </c>
      <c r="X614" s="11" t="str">
        <f aca="true">IF(OR($C614="",$B614=""),"",IF($N614&lt;&gt;"",$N614,TODAY())-$B614)</f>
        <v/>
      </c>
      <c r="Y614" s="11" t="str">
        <f aca="true">IF(OR($C614="",$M614&lt;&gt;"Abierta",$G614=""),"",MAX($G614-TODAY(),0))</f>
        <v/>
      </c>
      <c r="Z614" s="12" t="str">
        <f aca="false">IF($C614="","",N($K614)*N($H614)*N($I614)*IF($U614="Débito",-1,1))</f>
        <v/>
      </c>
      <c r="AA614" s="13" t="str">
        <f aca="false">IF($C614="","",IF(AND($U614="Débito",$F614&lt;&gt;""),$F614,$E614))</f>
        <v/>
      </c>
      <c r="AB614" s="13" t="str">
        <f aca="false">IF(OR($C614="",$T614="Mixta",$AA614=""),"",IF($V614="Subyacente",IF($J614="","",$J614-$K614),IF($T614="Put",$AA614-$K614,$AA614+$K614)))</f>
        <v/>
      </c>
      <c r="AC614" s="14" t="str">
        <f aca="false">IF(OR($C614="",$T614="Mixta",$J614="",$AA614=""),"",IF($T614="Put",($J614-$AA614)/$J614,($AA614-$J614)/$J614))</f>
        <v/>
      </c>
      <c r="AD614" s="12" t="str">
        <f aca="false">IF($C614="","",IF($Q614&lt;&gt;"",$Q614,IF($V614="Strike",N($E614)*$H614*$I614,IF($V614="Subyacente",IF($J614="","",$J614*$H614*$I614),IF($V614="Ancho",IF($F614="","",ABS($E614-$F614)*$H614*$I614-$K614*$H614*$I614),IF($V614="Prima",$K614*$H614*$I614,""))))))</f>
        <v/>
      </c>
      <c r="AE614" s="12" t="str">
        <f aca="false">IF(OR($C614="",$M614="Abierta",$M614=""),"",(N($K614)-IF(OR($M614="Cerrada",$M614="Rolada"),N($O614),0))*$H614*$I614*IF($U614="Débito",-1,1)-N($L614)-N($P614))</f>
        <v/>
      </c>
      <c r="AF614" s="14" t="str">
        <f aca="false">IF(OR($AE614="",$AD614=""),"",IF($AD614&lt;=0,"",$AE614/$AD614))</f>
        <v/>
      </c>
      <c r="AG614" s="14" t="str">
        <f aca="false">IF($AF614="","",$AF614*365/MAX(N($X614),1))</f>
        <v/>
      </c>
      <c r="AH614" s="14" t="str">
        <f aca="false">IF(OR($C614="",$U614&lt;&gt;"Crédito",$AD614=""),"",IF($AD614&lt;=0,"",($Z614-N($L614))/$AD614))</f>
        <v/>
      </c>
      <c r="AI614" s="14" t="str">
        <f aca="false">IF(OR($AH614="",$W614=""),"",$AH614*365/MAX($W614,1))</f>
        <v/>
      </c>
      <c r="AJ614" s="14" t="str">
        <f aca="false">IF(OR($AE614="",$U614&lt;&gt;"Crédito",N($K614)=0),"",(N($K614)-IF(OR($M614="Cerrada",$M614="Rolada"),N($O614),0))/$K614)</f>
        <v/>
      </c>
      <c r="AK614" s="15" t="str">
        <f aca="false">IF(OR($C614="",$N614=""),"",DATE(YEAR($N614),MONTH($N614),1))</f>
        <v/>
      </c>
      <c r="AL614" s="11" t="str">
        <f aca="false">IF($C614="","",IF($M614="Abierta",0,1))</f>
        <v/>
      </c>
      <c r="AM614" s="16" t="str">
        <f aca="false">IF(OR($AE614="",$AD614=""),"",$AD614*MAX(N($X614),1))</f>
        <v/>
      </c>
      <c r="AN614" s="10" t="str">
        <f aca="false">IF($C614="","",IF(OR($B614="",$D614="",$H614="",$K614="",$M614=""),"Faltan datos obligatorios",IF($T614="","Estrategia no reconocida",IF(AND($M614&lt;&gt;"Abierta",$N614=""),"Falta fecha cierre",IF(AND(OR($M614="Cerrada",$M614="Rolada"),$O614=""),"Falta prima cierre",IF(AND($N614&lt;&gt;"",$N614&lt;$B614),"Cierre anterior a apertura",IF(AND($M614="Asignada",$R614=""),"Asignada: falta ID lote acciones",IF(AND($R614&lt;&gt;"",ISNA(MATCH($R614,Acciones!$A$2:$A$201,0))),"El ID lote no existe en Acciones",IF($AD614="","Revisa capital en riesgo","OK")))))))))</f>
        <v/>
      </c>
    </row>
    <row r="615" customFormat="false" ht="15" hidden="false" customHeight="true" outlineLevel="0" collapsed="false">
      <c r="A615" s="5"/>
      <c r="B615" s="6"/>
      <c r="C615" s="7"/>
      <c r="D615" s="7"/>
      <c r="E615" s="8"/>
      <c r="F615" s="8"/>
      <c r="G615" s="6"/>
      <c r="H615" s="5"/>
      <c r="I615" s="5" t="n">
        <v>100</v>
      </c>
      <c r="J615" s="8"/>
      <c r="K615" s="8"/>
      <c r="L615" s="9"/>
      <c r="M615" s="7"/>
      <c r="N615" s="6"/>
      <c r="O615" s="8"/>
      <c r="P615" s="9"/>
      <c r="Q615" s="9"/>
      <c r="R615" s="7"/>
      <c r="S615" s="7"/>
      <c r="T615" s="10" t="str">
        <f aca="false">IF($C615="","",IFERROR(INDEX(Listas!$B$2:$B$20,MATCH($D615,Listas!$A$2:$A$20,0)),""))</f>
        <v/>
      </c>
      <c r="U615" s="10" t="str">
        <f aca="false">IF($C615="","",IFERROR(INDEX(Listas!$C$2:$C$20,MATCH($D615,Listas!$A$2:$A$20,0)),""))</f>
        <v/>
      </c>
      <c r="V615" s="10" t="str">
        <f aca="false">IF($C615="","",IFERROR(INDEX(Listas!$D$2:$D$20,MATCH($D615,Listas!$A$2:$A$20,0)),""))</f>
        <v/>
      </c>
      <c r="W615" s="11" t="str">
        <f aca="false">IF(OR($C615="",$B615="",$G615=""),"",$G615-$B615)</f>
        <v/>
      </c>
      <c r="X615" s="11" t="str">
        <f aca="true">IF(OR($C615="",$B615=""),"",IF($N615&lt;&gt;"",$N615,TODAY())-$B615)</f>
        <v/>
      </c>
      <c r="Y615" s="11" t="str">
        <f aca="true">IF(OR($C615="",$M615&lt;&gt;"Abierta",$G615=""),"",MAX($G615-TODAY(),0))</f>
        <v/>
      </c>
      <c r="Z615" s="12" t="str">
        <f aca="false">IF($C615="","",N($K615)*N($H615)*N($I615)*IF($U615="Débito",-1,1))</f>
        <v/>
      </c>
      <c r="AA615" s="13" t="str">
        <f aca="false">IF($C615="","",IF(AND($U615="Débito",$F615&lt;&gt;""),$F615,$E615))</f>
        <v/>
      </c>
      <c r="AB615" s="13" t="str">
        <f aca="false">IF(OR($C615="",$T615="Mixta",$AA615=""),"",IF($V615="Subyacente",IF($J615="","",$J615-$K615),IF($T615="Put",$AA615-$K615,$AA615+$K615)))</f>
        <v/>
      </c>
      <c r="AC615" s="14" t="str">
        <f aca="false">IF(OR($C615="",$T615="Mixta",$J615="",$AA615=""),"",IF($T615="Put",($J615-$AA615)/$J615,($AA615-$J615)/$J615))</f>
        <v/>
      </c>
      <c r="AD615" s="12" t="str">
        <f aca="false">IF($C615="","",IF($Q615&lt;&gt;"",$Q615,IF($V615="Strike",N($E615)*$H615*$I615,IF($V615="Subyacente",IF($J615="","",$J615*$H615*$I615),IF($V615="Ancho",IF($F615="","",ABS($E615-$F615)*$H615*$I615-$K615*$H615*$I615),IF($V615="Prima",$K615*$H615*$I615,""))))))</f>
        <v/>
      </c>
      <c r="AE615" s="12" t="str">
        <f aca="false">IF(OR($C615="",$M615="Abierta",$M615=""),"",(N($K615)-IF(OR($M615="Cerrada",$M615="Rolada"),N($O615),0))*$H615*$I615*IF($U615="Débito",-1,1)-N($L615)-N($P615))</f>
        <v/>
      </c>
      <c r="AF615" s="14" t="str">
        <f aca="false">IF(OR($AE615="",$AD615=""),"",IF($AD615&lt;=0,"",$AE615/$AD615))</f>
        <v/>
      </c>
      <c r="AG615" s="14" t="str">
        <f aca="false">IF($AF615="","",$AF615*365/MAX(N($X615),1))</f>
        <v/>
      </c>
      <c r="AH615" s="14" t="str">
        <f aca="false">IF(OR($C615="",$U615&lt;&gt;"Crédito",$AD615=""),"",IF($AD615&lt;=0,"",($Z615-N($L615))/$AD615))</f>
        <v/>
      </c>
      <c r="AI615" s="14" t="str">
        <f aca="false">IF(OR($AH615="",$W615=""),"",$AH615*365/MAX($W615,1))</f>
        <v/>
      </c>
      <c r="AJ615" s="14" t="str">
        <f aca="false">IF(OR($AE615="",$U615&lt;&gt;"Crédito",N($K615)=0),"",(N($K615)-IF(OR($M615="Cerrada",$M615="Rolada"),N($O615),0))/$K615)</f>
        <v/>
      </c>
      <c r="AK615" s="15" t="str">
        <f aca="false">IF(OR($C615="",$N615=""),"",DATE(YEAR($N615),MONTH($N615),1))</f>
        <v/>
      </c>
      <c r="AL615" s="11" t="str">
        <f aca="false">IF($C615="","",IF($M615="Abierta",0,1))</f>
        <v/>
      </c>
      <c r="AM615" s="16" t="str">
        <f aca="false">IF(OR($AE615="",$AD615=""),"",$AD615*MAX(N($X615),1))</f>
        <v/>
      </c>
      <c r="AN615" s="10" t="str">
        <f aca="false">IF($C615="","",IF(OR($B615="",$D615="",$H615="",$K615="",$M615=""),"Faltan datos obligatorios",IF($T615="","Estrategia no reconocida",IF(AND($M615&lt;&gt;"Abierta",$N615=""),"Falta fecha cierre",IF(AND(OR($M615="Cerrada",$M615="Rolada"),$O615=""),"Falta prima cierre",IF(AND($N615&lt;&gt;"",$N615&lt;$B615),"Cierre anterior a apertura",IF(AND($M615="Asignada",$R615=""),"Asignada: falta ID lote acciones",IF(AND($R615&lt;&gt;"",ISNA(MATCH($R615,Acciones!$A$2:$A$201,0))),"El ID lote no existe en Acciones",IF($AD615="","Revisa capital en riesgo","OK")))))))))</f>
        <v/>
      </c>
    </row>
    <row r="616" customFormat="false" ht="15" hidden="false" customHeight="true" outlineLevel="0" collapsed="false">
      <c r="A616" s="5"/>
      <c r="B616" s="6"/>
      <c r="C616" s="7"/>
      <c r="D616" s="7"/>
      <c r="E616" s="8"/>
      <c r="F616" s="8"/>
      <c r="G616" s="6"/>
      <c r="H616" s="5"/>
      <c r="I616" s="5" t="n">
        <v>100</v>
      </c>
      <c r="J616" s="8"/>
      <c r="K616" s="8"/>
      <c r="L616" s="9"/>
      <c r="M616" s="7"/>
      <c r="N616" s="6"/>
      <c r="O616" s="8"/>
      <c r="P616" s="9"/>
      <c r="Q616" s="9"/>
      <c r="R616" s="7"/>
      <c r="S616" s="7"/>
      <c r="T616" s="10" t="str">
        <f aca="false">IF($C616="","",IFERROR(INDEX(Listas!$B$2:$B$20,MATCH($D616,Listas!$A$2:$A$20,0)),""))</f>
        <v/>
      </c>
      <c r="U616" s="10" t="str">
        <f aca="false">IF($C616="","",IFERROR(INDEX(Listas!$C$2:$C$20,MATCH($D616,Listas!$A$2:$A$20,0)),""))</f>
        <v/>
      </c>
      <c r="V616" s="10" t="str">
        <f aca="false">IF($C616="","",IFERROR(INDEX(Listas!$D$2:$D$20,MATCH($D616,Listas!$A$2:$A$20,0)),""))</f>
        <v/>
      </c>
      <c r="W616" s="11" t="str">
        <f aca="false">IF(OR($C616="",$B616="",$G616=""),"",$G616-$B616)</f>
        <v/>
      </c>
      <c r="X616" s="11" t="str">
        <f aca="true">IF(OR($C616="",$B616=""),"",IF($N616&lt;&gt;"",$N616,TODAY())-$B616)</f>
        <v/>
      </c>
      <c r="Y616" s="11" t="str">
        <f aca="true">IF(OR($C616="",$M616&lt;&gt;"Abierta",$G616=""),"",MAX($G616-TODAY(),0))</f>
        <v/>
      </c>
      <c r="Z616" s="12" t="str">
        <f aca="false">IF($C616="","",N($K616)*N($H616)*N($I616)*IF($U616="Débito",-1,1))</f>
        <v/>
      </c>
      <c r="AA616" s="13" t="str">
        <f aca="false">IF($C616="","",IF(AND($U616="Débito",$F616&lt;&gt;""),$F616,$E616))</f>
        <v/>
      </c>
      <c r="AB616" s="13" t="str">
        <f aca="false">IF(OR($C616="",$T616="Mixta",$AA616=""),"",IF($V616="Subyacente",IF($J616="","",$J616-$K616),IF($T616="Put",$AA616-$K616,$AA616+$K616)))</f>
        <v/>
      </c>
      <c r="AC616" s="14" t="str">
        <f aca="false">IF(OR($C616="",$T616="Mixta",$J616="",$AA616=""),"",IF($T616="Put",($J616-$AA616)/$J616,($AA616-$J616)/$J616))</f>
        <v/>
      </c>
      <c r="AD616" s="12" t="str">
        <f aca="false">IF($C616="","",IF($Q616&lt;&gt;"",$Q616,IF($V616="Strike",N($E616)*$H616*$I616,IF($V616="Subyacente",IF($J616="","",$J616*$H616*$I616),IF($V616="Ancho",IF($F616="","",ABS($E616-$F616)*$H616*$I616-$K616*$H616*$I616),IF($V616="Prima",$K616*$H616*$I616,""))))))</f>
        <v/>
      </c>
      <c r="AE616" s="12" t="str">
        <f aca="false">IF(OR($C616="",$M616="Abierta",$M616=""),"",(N($K616)-IF(OR($M616="Cerrada",$M616="Rolada"),N($O616),0))*$H616*$I616*IF($U616="Débito",-1,1)-N($L616)-N($P616))</f>
        <v/>
      </c>
      <c r="AF616" s="14" t="str">
        <f aca="false">IF(OR($AE616="",$AD616=""),"",IF($AD616&lt;=0,"",$AE616/$AD616))</f>
        <v/>
      </c>
      <c r="AG616" s="14" t="str">
        <f aca="false">IF($AF616="","",$AF616*365/MAX(N($X616),1))</f>
        <v/>
      </c>
      <c r="AH616" s="14" t="str">
        <f aca="false">IF(OR($C616="",$U616&lt;&gt;"Crédito",$AD616=""),"",IF($AD616&lt;=0,"",($Z616-N($L616))/$AD616))</f>
        <v/>
      </c>
      <c r="AI616" s="14" t="str">
        <f aca="false">IF(OR($AH616="",$W616=""),"",$AH616*365/MAX($W616,1))</f>
        <v/>
      </c>
      <c r="AJ616" s="14" t="str">
        <f aca="false">IF(OR($AE616="",$U616&lt;&gt;"Crédito",N($K616)=0),"",(N($K616)-IF(OR($M616="Cerrada",$M616="Rolada"),N($O616),0))/$K616)</f>
        <v/>
      </c>
      <c r="AK616" s="15" t="str">
        <f aca="false">IF(OR($C616="",$N616=""),"",DATE(YEAR($N616),MONTH($N616),1))</f>
        <v/>
      </c>
      <c r="AL616" s="11" t="str">
        <f aca="false">IF($C616="","",IF($M616="Abierta",0,1))</f>
        <v/>
      </c>
      <c r="AM616" s="16" t="str">
        <f aca="false">IF(OR($AE616="",$AD616=""),"",$AD616*MAX(N($X616),1))</f>
        <v/>
      </c>
      <c r="AN616" s="10" t="str">
        <f aca="false">IF($C616="","",IF(OR($B616="",$D616="",$H616="",$K616="",$M616=""),"Faltan datos obligatorios",IF($T616="","Estrategia no reconocida",IF(AND($M616&lt;&gt;"Abierta",$N616=""),"Falta fecha cierre",IF(AND(OR($M616="Cerrada",$M616="Rolada"),$O616=""),"Falta prima cierre",IF(AND($N616&lt;&gt;"",$N616&lt;$B616),"Cierre anterior a apertura",IF(AND($M616="Asignada",$R616=""),"Asignada: falta ID lote acciones",IF(AND($R616&lt;&gt;"",ISNA(MATCH($R616,Acciones!$A$2:$A$201,0))),"El ID lote no existe en Acciones",IF($AD616="","Revisa capital en riesgo","OK")))))))))</f>
        <v/>
      </c>
    </row>
    <row r="617" customFormat="false" ht="15" hidden="false" customHeight="true" outlineLevel="0" collapsed="false">
      <c r="A617" s="5"/>
      <c r="B617" s="6"/>
      <c r="C617" s="7"/>
      <c r="D617" s="7"/>
      <c r="E617" s="8"/>
      <c r="F617" s="8"/>
      <c r="G617" s="6"/>
      <c r="H617" s="5"/>
      <c r="I617" s="5" t="n">
        <v>100</v>
      </c>
      <c r="J617" s="8"/>
      <c r="K617" s="8"/>
      <c r="L617" s="9"/>
      <c r="M617" s="7"/>
      <c r="N617" s="6"/>
      <c r="O617" s="8"/>
      <c r="P617" s="9"/>
      <c r="Q617" s="9"/>
      <c r="R617" s="7"/>
      <c r="S617" s="7"/>
      <c r="T617" s="10" t="str">
        <f aca="false">IF($C617="","",IFERROR(INDEX(Listas!$B$2:$B$20,MATCH($D617,Listas!$A$2:$A$20,0)),""))</f>
        <v/>
      </c>
      <c r="U617" s="10" t="str">
        <f aca="false">IF($C617="","",IFERROR(INDEX(Listas!$C$2:$C$20,MATCH($D617,Listas!$A$2:$A$20,0)),""))</f>
        <v/>
      </c>
      <c r="V617" s="10" t="str">
        <f aca="false">IF($C617="","",IFERROR(INDEX(Listas!$D$2:$D$20,MATCH($D617,Listas!$A$2:$A$20,0)),""))</f>
        <v/>
      </c>
      <c r="W617" s="11" t="str">
        <f aca="false">IF(OR($C617="",$B617="",$G617=""),"",$G617-$B617)</f>
        <v/>
      </c>
      <c r="X617" s="11" t="str">
        <f aca="true">IF(OR($C617="",$B617=""),"",IF($N617&lt;&gt;"",$N617,TODAY())-$B617)</f>
        <v/>
      </c>
      <c r="Y617" s="11" t="str">
        <f aca="true">IF(OR($C617="",$M617&lt;&gt;"Abierta",$G617=""),"",MAX($G617-TODAY(),0))</f>
        <v/>
      </c>
      <c r="Z617" s="12" t="str">
        <f aca="false">IF($C617="","",N($K617)*N($H617)*N($I617)*IF($U617="Débito",-1,1))</f>
        <v/>
      </c>
      <c r="AA617" s="13" t="str">
        <f aca="false">IF($C617="","",IF(AND($U617="Débito",$F617&lt;&gt;""),$F617,$E617))</f>
        <v/>
      </c>
      <c r="AB617" s="13" t="str">
        <f aca="false">IF(OR($C617="",$T617="Mixta",$AA617=""),"",IF($V617="Subyacente",IF($J617="","",$J617-$K617),IF($T617="Put",$AA617-$K617,$AA617+$K617)))</f>
        <v/>
      </c>
      <c r="AC617" s="14" t="str">
        <f aca="false">IF(OR($C617="",$T617="Mixta",$J617="",$AA617=""),"",IF($T617="Put",($J617-$AA617)/$J617,($AA617-$J617)/$J617))</f>
        <v/>
      </c>
      <c r="AD617" s="12" t="str">
        <f aca="false">IF($C617="","",IF($Q617&lt;&gt;"",$Q617,IF($V617="Strike",N($E617)*$H617*$I617,IF($V617="Subyacente",IF($J617="","",$J617*$H617*$I617),IF($V617="Ancho",IF($F617="","",ABS($E617-$F617)*$H617*$I617-$K617*$H617*$I617),IF($V617="Prima",$K617*$H617*$I617,""))))))</f>
        <v/>
      </c>
      <c r="AE617" s="12" t="str">
        <f aca="false">IF(OR($C617="",$M617="Abierta",$M617=""),"",(N($K617)-IF(OR($M617="Cerrada",$M617="Rolada"),N($O617),0))*$H617*$I617*IF($U617="Débito",-1,1)-N($L617)-N($P617))</f>
        <v/>
      </c>
      <c r="AF617" s="14" t="str">
        <f aca="false">IF(OR($AE617="",$AD617=""),"",IF($AD617&lt;=0,"",$AE617/$AD617))</f>
        <v/>
      </c>
      <c r="AG617" s="14" t="str">
        <f aca="false">IF($AF617="","",$AF617*365/MAX(N($X617),1))</f>
        <v/>
      </c>
      <c r="AH617" s="14" t="str">
        <f aca="false">IF(OR($C617="",$U617&lt;&gt;"Crédito",$AD617=""),"",IF($AD617&lt;=0,"",($Z617-N($L617))/$AD617))</f>
        <v/>
      </c>
      <c r="AI617" s="14" t="str">
        <f aca="false">IF(OR($AH617="",$W617=""),"",$AH617*365/MAX($W617,1))</f>
        <v/>
      </c>
      <c r="AJ617" s="14" t="str">
        <f aca="false">IF(OR($AE617="",$U617&lt;&gt;"Crédito",N($K617)=0),"",(N($K617)-IF(OR($M617="Cerrada",$M617="Rolada"),N($O617),0))/$K617)</f>
        <v/>
      </c>
      <c r="AK617" s="15" t="str">
        <f aca="false">IF(OR($C617="",$N617=""),"",DATE(YEAR($N617),MONTH($N617),1))</f>
        <v/>
      </c>
      <c r="AL617" s="11" t="str">
        <f aca="false">IF($C617="","",IF($M617="Abierta",0,1))</f>
        <v/>
      </c>
      <c r="AM617" s="16" t="str">
        <f aca="false">IF(OR($AE617="",$AD617=""),"",$AD617*MAX(N($X617),1))</f>
        <v/>
      </c>
      <c r="AN617" s="10" t="str">
        <f aca="false">IF($C617="","",IF(OR($B617="",$D617="",$H617="",$K617="",$M617=""),"Faltan datos obligatorios",IF($T617="","Estrategia no reconocida",IF(AND($M617&lt;&gt;"Abierta",$N617=""),"Falta fecha cierre",IF(AND(OR($M617="Cerrada",$M617="Rolada"),$O617=""),"Falta prima cierre",IF(AND($N617&lt;&gt;"",$N617&lt;$B617),"Cierre anterior a apertura",IF(AND($M617="Asignada",$R617=""),"Asignada: falta ID lote acciones",IF(AND($R617&lt;&gt;"",ISNA(MATCH($R617,Acciones!$A$2:$A$201,0))),"El ID lote no existe en Acciones",IF($AD617="","Revisa capital en riesgo","OK")))))))))</f>
        <v/>
      </c>
    </row>
    <row r="618" customFormat="false" ht="15" hidden="false" customHeight="true" outlineLevel="0" collapsed="false">
      <c r="A618" s="5"/>
      <c r="B618" s="6"/>
      <c r="C618" s="7"/>
      <c r="D618" s="7"/>
      <c r="E618" s="8"/>
      <c r="F618" s="8"/>
      <c r="G618" s="6"/>
      <c r="H618" s="5"/>
      <c r="I618" s="5" t="n">
        <v>100</v>
      </c>
      <c r="J618" s="8"/>
      <c r="K618" s="8"/>
      <c r="L618" s="9"/>
      <c r="M618" s="7"/>
      <c r="N618" s="6"/>
      <c r="O618" s="8"/>
      <c r="P618" s="9"/>
      <c r="Q618" s="9"/>
      <c r="R618" s="7"/>
      <c r="S618" s="7"/>
      <c r="T618" s="10" t="str">
        <f aca="false">IF($C618="","",IFERROR(INDEX(Listas!$B$2:$B$20,MATCH($D618,Listas!$A$2:$A$20,0)),""))</f>
        <v/>
      </c>
      <c r="U618" s="10" t="str">
        <f aca="false">IF($C618="","",IFERROR(INDEX(Listas!$C$2:$C$20,MATCH($D618,Listas!$A$2:$A$20,0)),""))</f>
        <v/>
      </c>
      <c r="V618" s="10" t="str">
        <f aca="false">IF($C618="","",IFERROR(INDEX(Listas!$D$2:$D$20,MATCH($D618,Listas!$A$2:$A$20,0)),""))</f>
        <v/>
      </c>
      <c r="W618" s="11" t="str">
        <f aca="false">IF(OR($C618="",$B618="",$G618=""),"",$G618-$B618)</f>
        <v/>
      </c>
      <c r="X618" s="11" t="str">
        <f aca="true">IF(OR($C618="",$B618=""),"",IF($N618&lt;&gt;"",$N618,TODAY())-$B618)</f>
        <v/>
      </c>
      <c r="Y618" s="11" t="str">
        <f aca="true">IF(OR($C618="",$M618&lt;&gt;"Abierta",$G618=""),"",MAX($G618-TODAY(),0))</f>
        <v/>
      </c>
      <c r="Z618" s="12" t="str">
        <f aca="false">IF($C618="","",N($K618)*N($H618)*N($I618)*IF($U618="Débito",-1,1))</f>
        <v/>
      </c>
      <c r="AA618" s="13" t="str">
        <f aca="false">IF($C618="","",IF(AND($U618="Débito",$F618&lt;&gt;""),$F618,$E618))</f>
        <v/>
      </c>
      <c r="AB618" s="13" t="str">
        <f aca="false">IF(OR($C618="",$T618="Mixta",$AA618=""),"",IF($V618="Subyacente",IF($J618="","",$J618-$K618),IF($T618="Put",$AA618-$K618,$AA618+$K618)))</f>
        <v/>
      </c>
      <c r="AC618" s="14" t="str">
        <f aca="false">IF(OR($C618="",$T618="Mixta",$J618="",$AA618=""),"",IF($T618="Put",($J618-$AA618)/$J618,($AA618-$J618)/$J618))</f>
        <v/>
      </c>
      <c r="AD618" s="12" t="str">
        <f aca="false">IF($C618="","",IF($Q618&lt;&gt;"",$Q618,IF($V618="Strike",N($E618)*$H618*$I618,IF($V618="Subyacente",IF($J618="","",$J618*$H618*$I618),IF($V618="Ancho",IF($F618="","",ABS($E618-$F618)*$H618*$I618-$K618*$H618*$I618),IF($V618="Prima",$K618*$H618*$I618,""))))))</f>
        <v/>
      </c>
      <c r="AE618" s="12" t="str">
        <f aca="false">IF(OR($C618="",$M618="Abierta",$M618=""),"",(N($K618)-IF(OR($M618="Cerrada",$M618="Rolada"),N($O618),0))*$H618*$I618*IF($U618="Débito",-1,1)-N($L618)-N($P618))</f>
        <v/>
      </c>
      <c r="AF618" s="14" t="str">
        <f aca="false">IF(OR($AE618="",$AD618=""),"",IF($AD618&lt;=0,"",$AE618/$AD618))</f>
        <v/>
      </c>
      <c r="AG618" s="14" t="str">
        <f aca="false">IF($AF618="","",$AF618*365/MAX(N($X618),1))</f>
        <v/>
      </c>
      <c r="AH618" s="14" t="str">
        <f aca="false">IF(OR($C618="",$U618&lt;&gt;"Crédito",$AD618=""),"",IF($AD618&lt;=0,"",($Z618-N($L618))/$AD618))</f>
        <v/>
      </c>
      <c r="AI618" s="14" t="str">
        <f aca="false">IF(OR($AH618="",$W618=""),"",$AH618*365/MAX($W618,1))</f>
        <v/>
      </c>
      <c r="AJ618" s="14" t="str">
        <f aca="false">IF(OR($AE618="",$U618&lt;&gt;"Crédito",N($K618)=0),"",(N($K618)-IF(OR($M618="Cerrada",$M618="Rolada"),N($O618),0))/$K618)</f>
        <v/>
      </c>
      <c r="AK618" s="15" t="str">
        <f aca="false">IF(OR($C618="",$N618=""),"",DATE(YEAR($N618),MONTH($N618),1))</f>
        <v/>
      </c>
      <c r="AL618" s="11" t="str">
        <f aca="false">IF($C618="","",IF($M618="Abierta",0,1))</f>
        <v/>
      </c>
      <c r="AM618" s="16" t="str">
        <f aca="false">IF(OR($AE618="",$AD618=""),"",$AD618*MAX(N($X618),1))</f>
        <v/>
      </c>
      <c r="AN618" s="10" t="str">
        <f aca="false">IF($C618="","",IF(OR($B618="",$D618="",$H618="",$K618="",$M618=""),"Faltan datos obligatorios",IF($T618="","Estrategia no reconocida",IF(AND($M618&lt;&gt;"Abierta",$N618=""),"Falta fecha cierre",IF(AND(OR($M618="Cerrada",$M618="Rolada"),$O618=""),"Falta prima cierre",IF(AND($N618&lt;&gt;"",$N618&lt;$B618),"Cierre anterior a apertura",IF(AND($M618="Asignada",$R618=""),"Asignada: falta ID lote acciones",IF(AND($R618&lt;&gt;"",ISNA(MATCH($R618,Acciones!$A$2:$A$201,0))),"El ID lote no existe en Acciones",IF($AD618="","Revisa capital en riesgo","OK")))))))))</f>
        <v/>
      </c>
    </row>
    <row r="619" customFormat="false" ht="15" hidden="false" customHeight="true" outlineLevel="0" collapsed="false">
      <c r="A619" s="5"/>
      <c r="B619" s="6"/>
      <c r="C619" s="7"/>
      <c r="D619" s="7"/>
      <c r="E619" s="8"/>
      <c r="F619" s="8"/>
      <c r="G619" s="6"/>
      <c r="H619" s="5"/>
      <c r="I619" s="5" t="n">
        <v>100</v>
      </c>
      <c r="J619" s="8"/>
      <c r="K619" s="8"/>
      <c r="L619" s="9"/>
      <c r="M619" s="7"/>
      <c r="N619" s="6"/>
      <c r="O619" s="8"/>
      <c r="P619" s="9"/>
      <c r="Q619" s="9"/>
      <c r="R619" s="7"/>
      <c r="S619" s="7"/>
      <c r="T619" s="10" t="str">
        <f aca="false">IF($C619="","",IFERROR(INDEX(Listas!$B$2:$B$20,MATCH($D619,Listas!$A$2:$A$20,0)),""))</f>
        <v/>
      </c>
      <c r="U619" s="10" t="str">
        <f aca="false">IF($C619="","",IFERROR(INDEX(Listas!$C$2:$C$20,MATCH($D619,Listas!$A$2:$A$20,0)),""))</f>
        <v/>
      </c>
      <c r="V619" s="10" t="str">
        <f aca="false">IF($C619="","",IFERROR(INDEX(Listas!$D$2:$D$20,MATCH($D619,Listas!$A$2:$A$20,0)),""))</f>
        <v/>
      </c>
      <c r="W619" s="11" t="str">
        <f aca="false">IF(OR($C619="",$B619="",$G619=""),"",$G619-$B619)</f>
        <v/>
      </c>
      <c r="X619" s="11" t="str">
        <f aca="true">IF(OR($C619="",$B619=""),"",IF($N619&lt;&gt;"",$N619,TODAY())-$B619)</f>
        <v/>
      </c>
      <c r="Y619" s="11" t="str">
        <f aca="true">IF(OR($C619="",$M619&lt;&gt;"Abierta",$G619=""),"",MAX($G619-TODAY(),0))</f>
        <v/>
      </c>
      <c r="Z619" s="12" t="str">
        <f aca="false">IF($C619="","",N($K619)*N($H619)*N($I619)*IF($U619="Débito",-1,1))</f>
        <v/>
      </c>
      <c r="AA619" s="13" t="str">
        <f aca="false">IF($C619="","",IF(AND($U619="Débito",$F619&lt;&gt;""),$F619,$E619))</f>
        <v/>
      </c>
      <c r="AB619" s="13" t="str">
        <f aca="false">IF(OR($C619="",$T619="Mixta",$AA619=""),"",IF($V619="Subyacente",IF($J619="","",$J619-$K619),IF($T619="Put",$AA619-$K619,$AA619+$K619)))</f>
        <v/>
      </c>
      <c r="AC619" s="14" t="str">
        <f aca="false">IF(OR($C619="",$T619="Mixta",$J619="",$AA619=""),"",IF($T619="Put",($J619-$AA619)/$J619,($AA619-$J619)/$J619))</f>
        <v/>
      </c>
      <c r="AD619" s="12" t="str">
        <f aca="false">IF($C619="","",IF($Q619&lt;&gt;"",$Q619,IF($V619="Strike",N($E619)*$H619*$I619,IF($V619="Subyacente",IF($J619="","",$J619*$H619*$I619),IF($V619="Ancho",IF($F619="","",ABS($E619-$F619)*$H619*$I619-$K619*$H619*$I619),IF($V619="Prima",$K619*$H619*$I619,""))))))</f>
        <v/>
      </c>
      <c r="AE619" s="12" t="str">
        <f aca="false">IF(OR($C619="",$M619="Abierta",$M619=""),"",(N($K619)-IF(OR($M619="Cerrada",$M619="Rolada"),N($O619),0))*$H619*$I619*IF($U619="Débito",-1,1)-N($L619)-N($P619))</f>
        <v/>
      </c>
      <c r="AF619" s="14" t="str">
        <f aca="false">IF(OR($AE619="",$AD619=""),"",IF($AD619&lt;=0,"",$AE619/$AD619))</f>
        <v/>
      </c>
      <c r="AG619" s="14" t="str">
        <f aca="false">IF($AF619="","",$AF619*365/MAX(N($X619),1))</f>
        <v/>
      </c>
      <c r="AH619" s="14" t="str">
        <f aca="false">IF(OR($C619="",$U619&lt;&gt;"Crédito",$AD619=""),"",IF($AD619&lt;=0,"",($Z619-N($L619))/$AD619))</f>
        <v/>
      </c>
      <c r="AI619" s="14" t="str">
        <f aca="false">IF(OR($AH619="",$W619=""),"",$AH619*365/MAX($W619,1))</f>
        <v/>
      </c>
      <c r="AJ619" s="14" t="str">
        <f aca="false">IF(OR($AE619="",$U619&lt;&gt;"Crédito",N($K619)=0),"",(N($K619)-IF(OR($M619="Cerrada",$M619="Rolada"),N($O619),0))/$K619)</f>
        <v/>
      </c>
      <c r="AK619" s="15" t="str">
        <f aca="false">IF(OR($C619="",$N619=""),"",DATE(YEAR($N619),MONTH($N619),1))</f>
        <v/>
      </c>
      <c r="AL619" s="11" t="str">
        <f aca="false">IF($C619="","",IF($M619="Abierta",0,1))</f>
        <v/>
      </c>
      <c r="AM619" s="16" t="str">
        <f aca="false">IF(OR($AE619="",$AD619=""),"",$AD619*MAX(N($X619),1))</f>
        <v/>
      </c>
      <c r="AN619" s="10" t="str">
        <f aca="false">IF($C619="","",IF(OR($B619="",$D619="",$H619="",$K619="",$M619=""),"Faltan datos obligatorios",IF($T619="","Estrategia no reconocida",IF(AND($M619&lt;&gt;"Abierta",$N619=""),"Falta fecha cierre",IF(AND(OR($M619="Cerrada",$M619="Rolada"),$O619=""),"Falta prima cierre",IF(AND($N619&lt;&gt;"",$N619&lt;$B619),"Cierre anterior a apertura",IF(AND($M619="Asignada",$R619=""),"Asignada: falta ID lote acciones",IF(AND($R619&lt;&gt;"",ISNA(MATCH($R619,Acciones!$A$2:$A$201,0))),"El ID lote no existe en Acciones",IF($AD619="","Revisa capital en riesgo","OK")))))))))</f>
        <v/>
      </c>
    </row>
    <row r="620" customFormat="false" ht="15" hidden="false" customHeight="true" outlineLevel="0" collapsed="false">
      <c r="A620" s="5"/>
      <c r="B620" s="6"/>
      <c r="C620" s="7"/>
      <c r="D620" s="7"/>
      <c r="E620" s="8"/>
      <c r="F620" s="8"/>
      <c r="G620" s="6"/>
      <c r="H620" s="5"/>
      <c r="I620" s="5" t="n">
        <v>100</v>
      </c>
      <c r="J620" s="8"/>
      <c r="K620" s="8"/>
      <c r="L620" s="9"/>
      <c r="M620" s="7"/>
      <c r="N620" s="6"/>
      <c r="O620" s="8"/>
      <c r="P620" s="9"/>
      <c r="Q620" s="9"/>
      <c r="R620" s="7"/>
      <c r="S620" s="7"/>
      <c r="T620" s="10" t="str">
        <f aca="false">IF($C620="","",IFERROR(INDEX(Listas!$B$2:$B$20,MATCH($D620,Listas!$A$2:$A$20,0)),""))</f>
        <v/>
      </c>
      <c r="U620" s="10" t="str">
        <f aca="false">IF($C620="","",IFERROR(INDEX(Listas!$C$2:$C$20,MATCH($D620,Listas!$A$2:$A$20,0)),""))</f>
        <v/>
      </c>
      <c r="V620" s="10" t="str">
        <f aca="false">IF($C620="","",IFERROR(INDEX(Listas!$D$2:$D$20,MATCH($D620,Listas!$A$2:$A$20,0)),""))</f>
        <v/>
      </c>
      <c r="W620" s="11" t="str">
        <f aca="false">IF(OR($C620="",$B620="",$G620=""),"",$G620-$B620)</f>
        <v/>
      </c>
      <c r="X620" s="11" t="str">
        <f aca="true">IF(OR($C620="",$B620=""),"",IF($N620&lt;&gt;"",$N620,TODAY())-$B620)</f>
        <v/>
      </c>
      <c r="Y620" s="11" t="str">
        <f aca="true">IF(OR($C620="",$M620&lt;&gt;"Abierta",$G620=""),"",MAX($G620-TODAY(),0))</f>
        <v/>
      </c>
      <c r="Z620" s="12" t="str">
        <f aca="false">IF($C620="","",N($K620)*N($H620)*N($I620)*IF($U620="Débito",-1,1))</f>
        <v/>
      </c>
      <c r="AA620" s="13" t="str">
        <f aca="false">IF($C620="","",IF(AND($U620="Débito",$F620&lt;&gt;""),$F620,$E620))</f>
        <v/>
      </c>
      <c r="AB620" s="13" t="str">
        <f aca="false">IF(OR($C620="",$T620="Mixta",$AA620=""),"",IF($V620="Subyacente",IF($J620="","",$J620-$K620),IF($T620="Put",$AA620-$K620,$AA620+$K620)))</f>
        <v/>
      </c>
      <c r="AC620" s="14" t="str">
        <f aca="false">IF(OR($C620="",$T620="Mixta",$J620="",$AA620=""),"",IF($T620="Put",($J620-$AA620)/$J620,($AA620-$J620)/$J620))</f>
        <v/>
      </c>
      <c r="AD620" s="12" t="str">
        <f aca="false">IF($C620="","",IF($Q620&lt;&gt;"",$Q620,IF($V620="Strike",N($E620)*$H620*$I620,IF($V620="Subyacente",IF($J620="","",$J620*$H620*$I620),IF($V620="Ancho",IF($F620="","",ABS($E620-$F620)*$H620*$I620-$K620*$H620*$I620),IF($V620="Prima",$K620*$H620*$I620,""))))))</f>
        <v/>
      </c>
      <c r="AE620" s="12" t="str">
        <f aca="false">IF(OR($C620="",$M620="Abierta",$M620=""),"",(N($K620)-IF(OR($M620="Cerrada",$M620="Rolada"),N($O620),0))*$H620*$I620*IF($U620="Débito",-1,1)-N($L620)-N($P620))</f>
        <v/>
      </c>
      <c r="AF620" s="14" t="str">
        <f aca="false">IF(OR($AE620="",$AD620=""),"",IF($AD620&lt;=0,"",$AE620/$AD620))</f>
        <v/>
      </c>
      <c r="AG620" s="14" t="str">
        <f aca="false">IF($AF620="","",$AF620*365/MAX(N($X620),1))</f>
        <v/>
      </c>
      <c r="AH620" s="14" t="str">
        <f aca="false">IF(OR($C620="",$U620&lt;&gt;"Crédito",$AD620=""),"",IF($AD620&lt;=0,"",($Z620-N($L620))/$AD620))</f>
        <v/>
      </c>
      <c r="AI620" s="14" t="str">
        <f aca="false">IF(OR($AH620="",$W620=""),"",$AH620*365/MAX($W620,1))</f>
        <v/>
      </c>
      <c r="AJ620" s="14" t="str">
        <f aca="false">IF(OR($AE620="",$U620&lt;&gt;"Crédito",N($K620)=0),"",(N($K620)-IF(OR($M620="Cerrada",$M620="Rolada"),N($O620),0))/$K620)</f>
        <v/>
      </c>
      <c r="AK620" s="15" t="str">
        <f aca="false">IF(OR($C620="",$N620=""),"",DATE(YEAR($N620),MONTH($N620),1))</f>
        <v/>
      </c>
      <c r="AL620" s="11" t="str">
        <f aca="false">IF($C620="","",IF($M620="Abierta",0,1))</f>
        <v/>
      </c>
      <c r="AM620" s="16" t="str">
        <f aca="false">IF(OR($AE620="",$AD620=""),"",$AD620*MAX(N($X620),1))</f>
        <v/>
      </c>
      <c r="AN620" s="10" t="str">
        <f aca="false">IF($C620="","",IF(OR($B620="",$D620="",$H620="",$K620="",$M620=""),"Faltan datos obligatorios",IF($T620="","Estrategia no reconocida",IF(AND($M620&lt;&gt;"Abierta",$N620=""),"Falta fecha cierre",IF(AND(OR($M620="Cerrada",$M620="Rolada"),$O620=""),"Falta prima cierre",IF(AND($N620&lt;&gt;"",$N620&lt;$B620),"Cierre anterior a apertura",IF(AND($M620="Asignada",$R620=""),"Asignada: falta ID lote acciones",IF(AND($R620&lt;&gt;"",ISNA(MATCH($R620,Acciones!$A$2:$A$201,0))),"El ID lote no existe en Acciones",IF($AD620="","Revisa capital en riesgo","OK")))))))))</f>
        <v/>
      </c>
    </row>
    <row r="621" customFormat="false" ht="15" hidden="false" customHeight="true" outlineLevel="0" collapsed="false">
      <c r="A621" s="5"/>
      <c r="B621" s="6"/>
      <c r="C621" s="7"/>
      <c r="D621" s="7"/>
      <c r="E621" s="8"/>
      <c r="F621" s="8"/>
      <c r="G621" s="6"/>
      <c r="H621" s="5"/>
      <c r="I621" s="5" t="n">
        <v>100</v>
      </c>
      <c r="J621" s="8"/>
      <c r="K621" s="8"/>
      <c r="L621" s="9"/>
      <c r="M621" s="7"/>
      <c r="N621" s="6"/>
      <c r="O621" s="8"/>
      <c r="P621" s="9"/>
      <c r="Q621" s="9"/>
      <c r="R621" s="7"/>
      <c r="S621" s="7"/>
      <c r="T621" s="10" t="str">
        <f aca="false">IF($C621="","",IFERROR(INDEX(Listas!$B$2:$B$20,MATCH($D621,Listas!$A$2:$A$20,0)),""))</f>
        <v/>
      </c>
      <c r="U621" s="10" t="str">
        <f aca="false">IF($C621="","",IFERROR(INDEX(Listas!$C$2:$C$20,MATCH($D621,Listas!$A$2:$A$20,0)),""))</f>
        <v/>
      </c>
      <c r="V621" s="10" t="str">
        <f aca="false">IF($C621="","",IFERROR(INDEX(Listas!$D$2:$D$20,MATCH($D621,Listas!$A$2:$A$20,0)),""))</f>
        <v/>
      </c>
      <c r="W621" s="11" t="str">
        <f aca="false">IF(OR($C621="",$B621="",$G621=""),"",$G621-$B621)</f>
        <v/>
      </c>
      <c r="X621" s="11" t="str">
        <f aca="true">IF(OR($C621="",$B621=""),"",IF($N621&lt;&gt;"",$N621,TODAY())-$B621)</f>
        <v/>
      </c>
      <c r="Y621" s="11" t="str">
        <f aca="true">IF(OR($C621="",$M621&lt;&gt;"Abierta",$G621=""),"",MAX($G621-TODAY(),0))</f>
        <v/>
      </c>
      <c r="Z621" s="12" t="str">
        <f aca="false">IF($C621="","",N($K621)*N($H621)*N($I621)*IF($U621="Débito",-1,1))</f>
        <v/>
      </c>
      <c r="AA621" s="13" t="str">
        <f aca="false">IF($C621="","",IF(AND($U621="Débito",$F621&lt;&gt;""),$F621,$E621))</f>
        <v/>
      </c>
      <c r="AB621" s="13" t="str">
        <f aca="false">IF(OR($C621="",$T621="Mixta",$AA621=""),"",IF($V621="Subyacente",IF($J621="","",$J621-$K621),IF($T621="Put",$AA621-$K621,$AA621+$K621)))</f>
        <v/>
      </c>
      <c r="AC621" s="14" t="str">
        <f aca="false">IF(OR($C621="",$T621="Mixta",$J621="",$AA621=""),"",IF($T621="Put",($J621-$AA621)/$J621,($AA621-$J621)/$J621))</f>
        <v/>
      </c>
      <c r="AD621" s="12" t="str">
        <f aca="false">IF($C621="","",IF($Q621&lt;&gt;"",$Q621,IF($V621="Strike",N($E621)*$H621*$I621,IF($V621="Subyacente",IF($J621="","",$J621*$H621*$I621),IF($V621="Ancho",IF($F621="","",ABS($E621-$F621)*$H621*$I621-$K621*$H621*$I621),IF($V621="Prima",$K621*$H621*$I621,""))))))</f>
        <v/>
      </c>
      <c r="AE621" s="12" t="str">
        <f aca="false">IF(OR($C621="",$M621="Abierta",$M621=""),"",(N($K621)-IF(OR($M621="Cerrada",$M621="Rolada"),N($O621),0))*$H621*$I621*IF($U621="Débito",-1,1)-N($L621)-N($P621))</f>
        <v/>
      </c>
      <c r="AF621" s="14" t="str">
        <f aca="false">IF(OR($AE621="",$AD621=""),"",IF($AD621&lt;=0,"",$AE621/$AD621))</f>
        <v/>
      </c>
      <c r="AG621" s="14" t="str">
        <f aca="false">IF($AF621="","",$AF621*365/MAX(N($X621),1))</f>
        <v/>
      </c>
      <c r="AH621" s="14" t="str">
        <f aca="false">IF(OR($C621="",$U621&lt;&gt;"Crédito",$AD621=""),"",IF($AD621&lt;=0,"",($Z621-N($L621))/$AD621))</f>
        <v/>
      </c>
      <c r="AI621" s="14" t="str">
        <f aca="false">IF(OR($AH621="",$W621=""),"",$AH621*365/MAX($W621,1))</f>
        <v/>
      </c>
      <c r="AJ621" s="14" t="str">
        <f aca="false">IF(OR($AE621="",$U621&lt;&gt;"Crédito",N($K621)=0),"",(N($K621)-IF(OR($M621="Cerrada",$M621="Rolada"),N($O621),0))/$K621)</f>
        <v/>
      </c>
      <c r="AK621" s="15" t="str">
        <f aca="false">IF(OR($C621="",$N621=""),"",DATE(YEAR($N621),MONTH($N621),1))</f>
        <v/>
      </c>
      <c r="AL621" s="11" t="str">
        <f aca="false">IF($C621="","",IF($M621="Abierta",0,1))</f>
        <v/>
      </c>
      <c r="AM621" s="16" t="str">
        <f aca="false">IF(OR($AE621="",$AD621=""),"",$AD621*MAX(N($X621),1))</f>
        <v/>
      </c>
      <c r="AN621" s="10" t="str">
        <f aca="false">IF($C621="","",IF(OR($B621="",$D621="",$H621="",$K621="",$M621=""),"Faltan datos obligatorios",IF($T621="","Estrategia no reconocida",IF(AND($M621&lt;&gt;"Abierta",$N621=""),"Falta fecha cierre",IF(AND(OR($M621="Cerrada",$M621="Rolada"),$O621=""),"Falta prima cierre",IF(AND($N621&lt;&gt;"",$N621&lt;$B621),"Cierre anterior a apertura",IF(AND($M621="Asignada",$R621=""),"Asignada: falta ID lote acciones",IF(AND($R621&lt;&gt;"",ISNA(MATCH($R621,Acciones!$A$2:$A$201,0))),"El ID lote no existe en Acciones",IF($AD621="","Revisa capital en riesgo","OK")))))))))</f>
        <v/>
      </c>
    </row>
    <row r="622" customFormat="false" ht="15" hidden="false" customHeight="true" outlineLevel="0" collapsed="false">
      <c r="A622" s="5"/>
      <c r="B622" s="6"/>
      <c r="C622" s="7"/>
      <c r="D622" s="7"/>
      <c r="E622" s="8"/>
      <c r="F622" s="8"/>
      <c r="G622" s="6"/>
      <c r="H622" s="5"/>
      <c r="I622" s="5" t="n">
        <v>100</v>
      </c>
      <c r="J622" s="8"/>
      <c r="K622" s="8"/>
      <c r="L622" s="9"/>
      <c r="M622" s="7"/>
      <c r="N622" s="6"/>
      <c r="O622" s="8"/>
      <c r="P622" s="9"/>
      <c r="Q622" s="9"/>
      <c r="R622" s="7"/>
      <c r="S622" s="7"/>
      <c r="T622" s="10" t="str">
        <f aca="false">IF($C622="","",IFERROR(INDEX(Listas!$B$2:$B$20,MATCH($D622,Listas!$A$2:$A$20,0)),""))</f>
        <v/>
      </c>
      <c r="U622" s="10" t="str">
        <f aca="false">IF($C622="","",IFERROR(INDEX(Listas!$C$2:$C$20,MATCH($D622,Listas!$A$2:$A$20,0)),""))</f>
        <v/>
      </c>
      <c r="V622" s="10" t="str">
        <f aca="false">IF($C622="","",IFERROR(INDEX(Listas!$D$2:$D$20,MATCH($D622,Listas!$A$2:$A$20,0)),""))</f>
        <v/>
      </c>
      <c r="W622" s="11" t="str">
        <f aca="false">IF(OR($C622="",$B622="",$G622=""),"",$G622-$B622)</f>
        <v/>
      </c>
      <c r="X622" s="11" t="str">
        <f aca="true">IF(OR($C622="",$B622=""),"",IF($N622&lt;&gt;"",$N622,TODAY())-$B622)</f>
        <v/>
      </c>
      <c r="Y622" s="11" t="str">
        <f aca="true">IF(OR($C622="",$M622&lt;&gt;"Abierta",$G622=""),"",MAX($G622-TODAY(),0))</f>
        <v/>
      </c>
      <c r="Z622" s="12" t="str">
        <f aca="false">IF($C622="","",N($K622)*N($H622)*N($I622)*IF($U622="Débito",-1,1))</f>
        <v/>
      </c>
      <c r="AA622" s="13" t="str">
        <f aca="false">IF($C622="","",IF(AND($U622="Débito",$F622&lt;&gt;""),$F622,$E622))</f>
        <v/>
      </c>
      <c r="AB622" s="13" t="str">
        <f aca="false">IF(OR($C622="",$T622="Mixta",$AA622=""),"",IF($V622="Subyacente",IF($J622="","",$J622-$K622),IF($T622="Put",$AA622-$K622,$AA622+$K622)))</f>
        <v/>
      </c>
      <c r="AC622" s="14" t="str">
        <f aca="false">IF(OR($C622="",$T622="Mixta",$J622="",$AA622=""),"",IF($T622="Put",($J622-$AA622)/$J622,($AA622-$J622)/$J622))</f>
        <v/>
      </c>
      <c r="AD622" s="12" t="str">
        <f aca="false">IF($C622="","",IF($Q622&lt;&gt;"",$Q622,IF($V622="Strike",N($E622)*$H622*$I622,IF($V622="Subyacente",IF($J622="","",$J622*$H622*$I622),IF($V622="Ancho",IF($F622="","",ABS($E622-$F622)*$H622*$I622-$K622*$H622*$I622),IF($V622="Prima",$K622*$H622*$I622,""))))))</f>
        <v/>
      </c>
      <c r="AE622" s="12" t="str">
        <f aca="false">IF(OR($C622="",$M622="Abierta",$M622=""),"",(N($K622)-IF(OR($M622="Cerrada",$M622="Rolada"),N($O622),0))*$H622*$I622*IF($U622="Débito",-1,1)-N($L622)-N($P622))</f>
        <v/>
      </c>
      <c r="AF622" s="14" t="str">
        <f aca="false">IF(OR($AE622="",$AD622=""),"",IF($AD622&lt;=0,"",$AE622/$AD622))</f>
        <v/>
      </c>
      <c r="AG622" s="14" t="str">
        <f aca="false">IF($AF622="","",$AF622*365/MAX(N($X622),1))</f>
        <v/>
      </c>
      <c r="AH622" s="14" t="str">
        <f aca="false">IF(OR($C622="",$U622&lt;&gt;"Crédito",$AD622=""),"",IF($AD622&lt;=0,"",($Z622-N($L622))/$AD622))</f>
        <v/>
      </c>
      <c r="AI622" s="14" t="str">
        <f aca="false">IF(OR($AH622="",$W622=""),"",$AH622*365/MAX($W622,1))</f>
        <v/>
      </c>
      <c r="AJ622" s="14" t="str">
        <f aca="false">IF(OR($AE622="",$U622&lt;&gt;"Crédito",N($K622)=0),"",(N($K622)-IF(OR($M622="Cerrada",$M622="Rolada"),N($O622),0))/$K622)</f>
        <v/>
      </c>
      <c r="AK622" s="15" t="str">
        <f aca="false">IF(OR($C622="",$N622=""),"",DATE(YEAR($N622),MONTH($N622),1))</f>
        <v/>
      </c>
      <c r="AL622" s="11" t="str">
        <f aca="false">IF($C622="","",IF($M622="Abierta",0,1))</f>
        <v/>
      </c>
      <c r="AM622" s="16" t="str">
        <f aca="false">IF(OR($AE622="",$AD622=""),"",$AD622*MAX(N($X622),1))</f>
        <v/>
      </c>
      <c r="AN622" s="10" t="str">
        <f aca="false">IF($C622="","",IF(OR($B622="",$D622="",$H622="",$K622="",$M622=""),"Faltan datos obligatorios",IF($T622="","Estrategia no reconocida",IF(AND($M622&lt;&gt;"Abierta",$N622=""),"Falta fecha cierre",IF(AND(OR($M622="Cerrada",$M622="Rolada"),$O622=""),"Falta prima cierre",IF(AND($N622&lt;&gt;"",$N622&lt;$B622),"Cierre anterior a apertura",IF(AND($M622="Asignada",$R622=""),"Asignada: falta ID lote acciones",IF(AND($R622&lt;&gt;"",ISNA(MATCH($R622,Acciones!$A$2:$A$201,0))),"El ID lote no existe en Acciones",IF($AD622="","Revisa capital en riesgo","OK")))))))))</f>
        <v/>
      </c>
    </row>
    <row r="623" customFormat="false" ht="15" hidden="false" customHeight="true" outlineLevel="0" collapsed="false">
      <c r="A623" s="5"/>
      <c r="B623" s="6"/>
      <c r="C623" s="7"/>
      <c r="D623" s="7"/>
      <c r="E623" s="8"/>
      <c r="F623" s="8"/>
      <c r="G623" s="6"/>
      <c r="H623" s="5"/>
      <c r="I623" s="5" t="n">
        <v>100</v>
      </c>
      <c r="J623" s="8"/>
      <c r="K623" s="8"/>
      <c r="L623" s="9"/>
      <c r="M623" s="7"/>
      <c r="N623" s="6"/>
      <c r="O623" s="8"/>
      <c r="P623" s="9"/>
      <c r="Q623" s="9"/>
      <c r="R623" s="7"/>
      <c r="S623" s="7"/>
      <c r="T623" s="10" t="str">
        <f aca="false">IF($C623="","",IFERROR(INDEX(Listas!$B$2:$B$20,MATCH($D623,Listas!$A$2:$A$20,0)),""))</f>
        <v/>
      </c>
      <c r="U623" s="10" t="str">
        <f aca="false">IF($C623="","",IFERROR(INDEX(Listas!$C$2:$C$20,MATCH($D623,Listas!$A$2:$A$20,0)),""))</f>
        <v/>
      </c>
      <c r="V623" s="10" t="str">
        <f aca="false">IF($C623="","",IFERROR(INDEX(Listas!$D$2:$D$20,MATCH($D623,Listas!$A$2:$A$20,0)),""))</f>
        <v/>
      </c>
      <c r="W623" s="11" t="str">
        <f aca="false">IF(OR($C623="",$B623="",$G623=""),"",$G623-$B623)</f>
        <v/>
      </c>
      <c r="X623" s="11" t="str">
        <f aca="true">IF(OR($C623="",$B623=""),"",IF($N623&lt;&gt;"",$N623,TODAY())-$B623)</f>
        <v/>
      </c>
      <c r="Y623" s="11" t="str">
        <f aca="true">IF(OR($C623="",$M623&lt;&gt;"Abierta",$G623=""),"",MAX($G623-TODAY(),0))</f>
        <v/>
      </c>
      <c r="Z623" s="12" t="str">
        <f aca="false">IF($C623="","",N($K623)*N($H623)*N($I623)*IF($U623="Débito",-1,1))</f>
        <v/>
      </c>
      <c r="AA623" s="13" t="str">
        <f aca="false">IF($C623="","",IF(AND($U623="Débito",$F623&lt;&gt;""),$F623,$E623))</f>
        <v/>
      </c>
      <c r="AB623" s="13" t="str">
        <f aca="false">IF(OR($C623="",$T623="Mixta",$AA623=""),"",IF($V623="Subyacente",IF($J623="","",$J623-$K623),IF($T623="Put",$AA623-$K623,$AA623+$K623)))</f>
        <v/>
      </c>
      <c r="AC623" s="14" t="str">
        <f aca="false">IF(OR($C623="",$T623="Mixta",$J623="",$AA623=""),"",IF($T623="Put",($J623-$AA623)/$J623,($AA623-$J623)/$J623))</f>
        <v/>
      </c>
      <c r="AD623" s="12" t="str">
        <f aca="false">IF($C623="","",IF($Q623&lt;&gt;"",$Q623,IF($V623="Strike",N($E623)*$H623*$I623,IF($V623="Subyacente",IF($J623="","",$J623*$H623*$I623),IF($V623="Ancho",IF($F623="","",ABS($E623-$F623)*$H623*$I623-$K623*$H623*$I623),IF($V623="Prima",$K623*$H623*$I623,""))))))</f>
        <v/>
      </c>
      <c r="AE623" s="12" t="str">
        <f aca="false">IF(OR($C623="",$M623="Abierta",$M623=""),"",(N($K623)-IF(OR($M623="Cerrada",$M623="Rolada"),N($O623),0))*$H623*$I623*IF($U623="Débito",-1,1)-N($L623)-N($P623))</f>
        <v/>
      </c>
      <c r="AF623" s="14" t="str">
        <f aca="false">IF(OR($AE623="",$AD623=""),"",IF($AD623&lt;=0,"",$AE623/$AD623))</f>
        <v/>
      </c>
      <c r="AG623" s="14" t="str">
        <f aca="false">IF($AF623="","",$AF623*365/MAX(N($X623),1))</f>
        <v/>
      </c>
      <c r="AH623" s="14" t="str">
        <f aca="false">IF(OR($C623="",$U623&lt;&gt;"Crédito",$AD623=""),"",IF($AD623&lt;=0,"",($Z623-N($L623))/$AD623))</f>
        <v/>
      </c>
      <c r="AI623" s="14" t="str">
        <f aca="false">IF(OR($AH623="",$W623=""),"",$AH623*365/MAX($W623,1))</f>
        <v/>
      </c>
      <c r="AJ623" s="14" t="str">
        <f aca="false">IF(OR($AE623="",$U623&lt;&gt;"Crédito",N($K623)=0),"",(N($K623)-IF(OR($M623="Cerrada",$M623="Rolada"),N($O623),0))/$K623)</f>
        <v/>
      </c>
      <c r="AK623" s="15" t="str">
        <f aca="false">IF(OR($C623="",$N623=""),"",DATE(YEAR($N623),MONTH($N623),1))</f>
        <v/>
      </c>
      <c r="AL623" s="11" t="str">
        <f aca="false">IF($C623="","",IF($M623="Abierta",0,1))</f>
        <v/>
      </c>
      <c r="AM623" s="16" t="str">
        <f aca="false">IF(OR($AE623="",$AD623=""),"",$AD623*MAX(N($X623),1))</f>
        <v/>
      </c>
      <c r="AN623" s="10" t="str">
        <f aca="false">IF($C623="","",IF(OR($B623="",$D623="",$H623="",$K623="",$M623=""),"Faltan datos obligatorios",IF($T623="","Estrategia no reconocida",IF(AND($M623&lt;&gt;"Abierta",$N623=""),"Falta fecha cierre",IF(AND(OR($M623="Cerrada",$M623="Rolada"),$O623=""),"Falta prima cierre",IF(AND($N623&lt;&gt;"",$N623&lt;$B623),"Cierre anterior a apertura",IF(AND($M623="Asignada",$R623=""),"Asignada: falta ID lote acciones",IF(AND($R623&lt;&gt;"",ISNA(MATCH($R623,Acciones!$A$2:$A$201,0))),"El ID lote no existe en Acciones",IF($AD623="","Revisa capital en riesgo","OK")))))))))</f>
        <v/>
      </c>
    </row>
    <row r="624" customFormat="false" ht="15" hidden="false" customHeight="true" outlineLevel="0" collapsed="false">
      <c r="A624" s="5"/>
      <c r="B624" s="6"/>
      <c r="C624" s="7"/>
      <c r="D624" s="7"/>
      <c r="E624" s="8"/>
      <c r="F624" s="8"/>
      <c r="G624" s="6"/>
      <c r="H624" s="5"/>
      <c r="I624" s="5" t="n">
        <v>100</v>
      </c>
      <c r="J624" s="8"/>
      <c r="K624" s="8"/>
      <c r="L624" s="9"/>
      <c r="M624" s="7"/>
      <c r="N624" s="6"/>
      <c r="O624" s="8"/>
      <c r="P624" s="9"/>
      <c r="Q624" s="9"/>
      <c r="R624" s="7"/>
      <c r="S624" s="7"/>
      <c r="T624" s="10" t="str">
        <f aca="false">IF($C624="","",IFERROR(INDEX(Listas!$B$2:$B$20,MATCH($D624,Listas!$A$2:$A$20,0)),""))</f>
        <v/>
      </c>
      <c r="U624" s="10" t="str">
        <f aca="false">IF($C624="","",IFERROR(INDEX(Listas!$C$2:$C$20,MATCH($D624,Listas!$A$2:$A$20,0)),""))</f>
        <v/>
      </c>
      <c r="V624" s="10" t="str">
        <f aca="false">IF($C624="","",IFERROR(INDEX(Listas!$D$2:$D$20,MATCH($D624,Listas!$A$2:$A$20,0)),""))</f>
        <v/>
      </c>
      <c r="W624" s="11" t="str">
        <f aca="false">IF(OR($C624="",$B624="",$G624=""),"",$G624-$B624)</f>
        <v/>
      </c>
      <c r="X624" s="11" t="str">
        <f aca="true">IF(OR($C624="",$B624=""),"",IF($N624&lt;&gt;"",$N624,TODAY())-$B624)</f>
        <v/>
      </c>
      <c r="Y624" s="11" t="str">
        <f aca="true">IF(OR($C624="",$M624&lt;&gt;"Abierta",$G624=""),"",MAX($G624-TODAY(),0))</f>
        <v/>
      </c>
      <c r="Z624" s="12" t="str">
        <f aca="false">IF($C624="","",N($K624)*N($H624)*N($I624)*IF($U624="Débito",-1,1))</f>
        <v/>
      </c>
      <c r="AA624" s="13" t="str">
        <f aca="false">IF($C624="","",IF(AND($U624="Débito",$F624&lt;&gt;""),$F624,$E624))</f>
        <v/>
      </c>
      <c r="AB624" s="13" t="str">
        <f aca="false">IF(OR($C624="",$T624="Mixta",$AA624=""),"",IF($V624="Subyacente",IF($J624="","",$J624-$K624),IF($T624="Put",$AA624-$K624,$AA624+$K624)))</f>
        <v/>
      </c>
      <c r="AC624" s="14" t="str">
        <f aca="false">IF(OR($C624="",$T624="Mixta",$J624="",$AA624=""),"",IF($T624="Put",($J624-$AA624)/$J624,($AA624-$J624)/$J624))</f>
        <v/>
      </c>
      <c r="AD624" s="12" t="str">
        <f aca="false">IF($C624="","",IF($Q624&lt;&gt;"",$Q624,IF($V624="Strike",N($E624)*$H624*$I624,IF($V624="Subyacente",IF($J624="","",$J624*$H624*$I624),IF($V624="Ancho",IF($F624="","",ABS($E624-$F624)*$H624*$I624-$K624*$H624*$I624),IF($V624="Prima",$K624*$H624*$I624,""))))))</f>
        <v/>
      </c>
      <c r="AE624" s="12" t="str">
        <f aca="false">IF(OR($C624="",$M624="Abierta",$M624=""),"",(N($K624)-IF(OR($M624="Cerrada",$M624="Rolada"),N($O624),0))*$H624*$I624*IF($U624="Débito",-1,1)-N($L624)-N($P624))</f>
        <v/>
      </c>
      <c r="AF624" s="14" t="str">
        <f aca="false">IF(OR($AE624="",$AD624=""),"",IF($AD624&lt;=0,"",$AE624/$AD624))</f>
        <v/>
      </c>
      <c r="AG624" s="14" t="str">
        <f aca="false">IF($AF624="","",$AF624*365/MAX(N($X624),1))</f>
        <v/>
      </c>
      <c r="AH624" s="14" t="str">
        <f aca="false">IF(OR($C624="",$U624&lt;&gt;"Crédito",$AD624=""),"",IF($AD624&lt;=0,"",($Z624-N($L624))/$AD624))</f>
        <v/>
      </c>
      <c r="AI624" s="14" t="str">
        <f aca="false">IF(OR($AH624="",$W624=""),"",$AH624*365/MAX($W624,1))</f>
        <v/>
      </c>
      <c r="AJ624" s="14" t="str">
        <f aca="false">IF(OR($AE624="",$U624&lt;&gt;"Crédito",N($K624)=0),"",(N($K624)-IF(OR($M624="Cerrada",$M624="Rolada"),N($O624),0))/$K624)</f>
        <v/>
      </c>
      <c r="AK624" s="15" t="str">
        <f aca="false">IF(OR($C624="",$N624=""),"",DATE(YEAR($N624),MONTH($N624),1))</f>
        <v/>
      </c>
      <c r="AL624" s="11" t="str">
        <f aca="false">IF($C624="","",IF($M624="Abierta",0,1))</f>
        <v/>
      </c>
      <c r="AM624" s="16" t="str">
        <f aca="false">IF(OR($AE624="",$AD624=""),"",$AD624*MAX(N($X624),1))</f>
        <v/>
      </c>
      <c r="AN624" s="10" t="str">
        <f aca="false">IF($C624="","",IF(OR($B624="",$D624="",$H624="",$K624="",$M624=""),"Faltan datos obligatorios",IF($T624="","Estrategia no reconocida",IF(AND($M624&lt;&gt;"Abierta",$N624=""),"Falta fecha cierre",IF(AND(OR($M624="Cerrada",$M624="Rolada"),$O624=""),"Falta prima cierre",IF(AND($N624&lt;&gt;"",$N624&lt;$B624),"Cierre anterior a apertura",IF(AND($M624="Asignada",$R624=""),"Asignada: falta ID lote acciones",IF(AND($R624&lt;&gt;"",ISNA(MATCH($R624,Acciones!$A$2:$A$201,0))),"El ID lote no existe en Acciones",IF($AD624="","Revisa capital en riesgo","OK")))))))))</f>
        <v/>
      </c>
    </row>
    <row r="625" customFormat="false" ht="15" hidden="false" customHeight="true" outlineLevel="0" collapsed="false">
      <c r="A625" s="5"/>
      <c r="B625" s="6"/>
      <c r="C625" s="7"/>
      <c r="D625" s="7"/>
      <c r="E625" s="8"/>
      <c r="F625" s="8"/>
      <c r="G625" s="6"/>
      <c r="H625" s="5"/>
      <c r="I625" s="5" t="n">
        <v>100</v>
      </c>
      <c r="J625" s="8"/>
      <c r="K625" s="8"/>
      <c r="L625" s="9"/>
      <c r="M625" s="7"/>
      <c r="N625" s="6"/>
      <c r="O625" s="8"/>
      <c r="P625" s="9"/>
      <c r="Q625" s="9"/>
      <c r="R625" s="7"/>
      <c r="S625" s="7"/>
      <c r="T625" s="10" t="str">
        <f aca="false">IF($C625="","",IFERROR(INDEX(Listas!$B$2:$B$20,MATCH($D625,Listas!$A$2:$A$20,0)),""))</f>
        <v/>
      </c>
      <c r="U625" s="10" t="str">
        <f aca="false">IF($C625="","",IFERROR(INDEX(Listas!$C$2:$C$20,MATCH($D625,Listas!$A$2:$A$20,0)),""))</f>
        <v/>
      </c>
      <c r="V625" s="10" t="str">
        <f aca="false">IF($C625="","",IFERROR(INDEX(Listas!$D$2:$D$20,MATCH($D625,Listas!$A$2:$A$20,0)),""))</f>
        <v/>
      </c>
      <c r="W625" s="11" t="str">
        <f aca="false">IF(OR($C625="",$B625="",$G625=""),"",$G625-$B625)</f>
        <v/>
      </c>
      <c r="X625" s="11" t="str">
        <f aca="true">IF(OR($C625="",$B625=""),"",IF($N625&lt;&gt;"",$N625,TODAY())-$B625)</f>
        <v/>
      </c>
      <c r="Y625" s="11" t="str">
        <f aca="true">IF(OR($C625="",$M625&lt;&gt;"Abierta",$G625=""),"",MAX($G625-TODAY(),0))</f>
        <v/>
      </c>
      <c r="Z625" s="12" t="str">
        <f aca="false">IF($C625="","",N($K625)*N($H625)*N($I625)*IF($U625="Débito",-1,1))</f>
        <v/>
      </c>
      <c r="AA625" s="13" t="str">
        <f aca="false">IF($C625="","",IF(AND($U625="Débito",$F625&lt;&gt;""),$F625,$E625))</f>
        <v/>
      </c>
      <c r="AB625" s="13" t="str">
        <f aca="false">IF(OR($C625="",$T625="Mixta",$AA625=""),"",IF($V625="Subyacente",IF($J625="","",$J625-$K625),IF($T625="Put",$AA625-$K625,$AA625+$K625)))</f>
        <v/>
      </c>
      <c r="AC625" s="14" t="str">
        <f aca="false">IF(OR($C625="",$T625="Mixta",$J625="",$AA625=""),"",IF($T625="Put",($J625-$AA625)/$J625,($AA625-$J625)/$J625))</f>
        <v/>
      </c>
      <c r="AD625" s="12" t="str">
        <f aca="false">IF($C625="","",IF($Q625&lt;&gt;"",$Q625,IF($V625="Strike",N($E625)*$H625*$I625,IF($V625="Subyacente",IF($J625="","",$J625*$H625*$I625),IF($V625="Ancho",IF($F625="","",ABS($E625-$F625)*$H625*$I625-$K625*$H625*$I625),IF($V625="Prima",$K625*$H625*$I625,""))))))</f>
        <v/>
      </c>
      <c r="AE625" s="12" t="str">
        <f aca="false">IF(OR($C625="",$M625="Abierta",$M625=""),"",(N($K625)-IF(OR($M625="Cerrada",$M625="Rolada"),N($O625),0))*$H625*$I625*IF($U625="Débito",-1,1)-N($L625)-N($P625))</f>
        <v/>
      </c>
      <c r="AF625" s="14" t="str">
        <f aca="false">IF(OR($AE625="",$AD625=""),"",IF($AD625&lt;=0,"",$AE625/$AD625))</f>
        <v/>
      </c>
      <c r="AG625" s="14" t="str">
        <f aca="false">IF($AF625="","",$AF625*365/MAX(N($X625),1))</f>
        <v/>
      </c>
      <c r="AH625" s="14" t="str">
        <f aca="false">IF(OR($C625="",$U625&lt;&gt;"Crédito",$AD625=""),"",IF($AD625&lt;=0,"",($Z625-N($L625))/$AD625))</f>
        <v/>
      </c>
      <c r="AI625" s="14" t="str">
        <f aca="false">IF(OR($AH625="",$W625=""),"",$AH625*365/MAX($W625,1))</f>
        <v/>
      </c>
      <c r="AJ625" s="14" t="str">
        <f aca="false">IF(OR($AE625="",$U625&lt;&gt;"Crédito",N($K625)=0),"",(N($K625)-IF(OR($M625="Cerrada",$M625="Rolada"),N($O625),0))/$K625)</f>
        <v/>
      </c>
      <c r="AK625" s="15" t="str">
        <f aca="false">IF(OR($C625="",$N625=""),"",DATE(YEAR($N625),MONTH($N625),1))</f>
        <v/>
      </c>
      <c r="AL625" s="11" t="str">
        <f aca="false">IF($C625="","",IF($M625="Abierta",0,1))</f>
        <v/>
      </c>
      <c r="AM625" s="16" t="str">
        <f aca="false">IF(OR($AE625="",$AD625=""),"",$AD625*MAX(N($X625),1))</f>
        <v/>
      </c>
      <c r="AN625" s="10" t="str">
        <f aca="false">IF($C625="","",IF(OR($B625="",$D625="",$H625="",$K625="",$M625=""),"Faltan datos obligatorios",IF($T625="","Estrategia no reconocida",IF(AND($M625&lt;&gt;"Abierta",$N625=""),"Falta fecha cierre",IF(AND(OR($M625="Cerrada",$M625="Rolada"),$O625=""),"Falta prima cierre",IF(AND($N625&lt;&gt;"",$N625&lt;$B625),"Cierre anterior a apertura",IF(AND($M625="Asignada",$R625=""),"Asignada: falta ID lote acciones",IF(AND($R625&lt;&gt;"",ISNA(MATCH($R625,Acciones!$A$2:$A$201,0))),"El ID lote no existe en Acciones",IF($AD625="","Revisa capital en riesgo","OK")))))))))</f>
        <v/>
      </c>
    </row>
    <row r="626" customFormat="false" ht="15" hidden="false" customHeight="true" outlineLevel="0" collapsed="false">
      <c r="A626" s="5"/>
      <c r="B626" s="6"/>
      <c r="C626" s="7"/>
      <c r="D626" s="7"/>
      <c r="E626" s="8"/>
      <c r="F626" s="8"/>
      <c r="G626" s="6"/>
      <c r="H626" s="5"/>
      <c r="I626" s="5" t="n">
        <v>100</v>
      </c>
      <c r="J626" s="8"/>
      <c r="K626" s="8"/>
      <c r="L626" s="9"/>
      <c r="M626" s="7"/>
      <c r="N626" s="6"/>
      <c r="O626" s="8"/>
      <c r="P626" s="9"/>
      <c r="Q626" s="9"/>
      <c r="R626" s="7"/>
      <c r="S626" s="7"/>
      <c r="T626" s="10" t="str">
        <f aca="false">IF($C626="","",IFERROR(INDEX(Listas!$B$2:$B$20,MATCH($D626,Listas!$A$2:$A$20,0)),""))</f>
        <v/>
      </c>
      <c r="U626" s="10" t="str">
        <f aca="false">IF($C626="","",IFERROR(INDEX(Listas!$C$2:$C$20,MATCH($D626,Listas!$A$2:$A$20,0)),""))</f>
        <v/>
      </c>
      <c r="V626" s="10" t="str">
        <f aca="false">IF($C626="","",IFERROR(INDEX(Listas!$D$2:$D$20,MATCH($D626,Listas!$A$2:$A$20,0)),""))</f>
        <v/>
      </c>
      <c r="W626" s="11" t="str">
        <f aca="false">IF(OR($C626="",$B626="",$G626=""),"",$G626-$B626)</f>
        <v/>
      </c>
      <c r="X626" s="11" t="str">
        <f aca="true">IF(OR($C626="",$B626=""),"",IF($N626&lt;&gt;"",$N626,TODAY())-$B626)</f>
        <v/>
      </c>
      <c r="Y626" s="11" t="str">
        <f aca="true">IF(OR($C626="",$M626&lt;&gt;"Abierta",$G626=""),"",MAX($G626-TODAY(),0))</f>
        <v/>
      </c>
      <c r="Z626" s="12" t="str">
        <f aca="false">IF($C626="","",N($K626)*N($H626)*N($I626)*IF($U626="Débito",-1,1))</f>
        <v/>
      </c>
      <c r="AA626" s="13" t="str">
        <f aca="false">IF($C626="","",IF(AND($U626="Débito",$F626&lt;&gt;""),$F626,$E626))</f>
        <v/>
      </c>
      <c r="AB626" s="13" t="str">
        <f aca="false">IF(OR($C626="",$T626="Mixta",$AA626=""),"",IF($V626="Subyacente",IF($J626="","",$J626-$K626),IF($T626="Put",$AA626-$K626,$AA626+$K626)))</f>
        <v/>
      </c>
      <c r="AC626" s="14" t="str">
        <f aca="false">IF(OR($C626="",$T626="Mixta",$J626="",$AA626=""),"",IF($T626="Put",($J626-$AA626)/$J626,($AA626-$J626)/$J626))</f>
        <v/>
      </c>
      <c r="AD626" s="12" t="str">
        <f aca="false">IF($C626="","",IF($Q626&lt;&gt;"",$Q626,IF($V626="Strike",N($E626)*$H626*$I626,IF($V626="Subyacente",IF($J626="","",$J626*$H626*$I626),IF($V626="Ancho",IF($F626="","",ABS($E626-$F626)*$H626*$I626-$K626*$H626*$I626),IF($V626="Prima",$K626*$H626*$I626,""))))))</f>
        <v/>
      </c>
      <c r="AE626" s="12" t="str">
        <f aca="false">IF(OR($C626="",$M626="Abierta",$M626=""),"",(N($K626)-IF(OR($M626="Cerrada",$M626="Rolada"),N($O626),0))*$H626*$I626*IF($U626="Débito",-1,1)-N($L626)-N($P626))</f>
        <v/>
      </c>
      <c r="AF626" s="14" t="str">
        <f aca="false">IF(OR($AE626="",$AD626=""),"",IF($AD626&lt;=0,"",$AE626/$AD626))</f>
        <v/>
      </c>
      <c r="AG626" s="14" t="str">
        <f aca="false">IF($AF626="","",$AF626*365/MAX(N($X626),1))</f>
        <v/>
      </c>
      <c r="AH626" s="14" t="str">
        <f aca="false">IF(OR($C626="",$U626&lt;&gt;"Crédito",$AD626=""),"",IF($AD626&lt;=0,"",($Z626-N($L626))/$AD626))</f>
        <v/>
      </c>
      <c r="AI626" s="14" t="str">
        <f aca="false">IF(OR($AH626="",$W626=""),"",$AH626*365/MAX($W626,1))</f>
        <v/>
      </c>
      <c r="AJ626" s="14" t="str">
        <f aca="false">IF(OR($AE626="",$U626&lt;&gt;"Crédito",N($K626)=0),"",(N($K626)-IF(OR($M626="Cerrada",$M626="Rolada"),N($O626),0))/$K626)</f>
        <v/>
      </c>
      <c r="AK626" s="15" t="str">
        <f aca="false">IF(OR($C626="",$N626=""),"",DATE(YEAR($N626),MONTH($N626),1))</f>
        <v/>
      </c>
      <c r="AL626" s="11" t="str">
        <f aca="false">IF($C626="","",IF($M626="Abierta",0,1))</f>
        <v/>
      </c>
      <c r="AM626" s="16" t="str">
        <f aca="false">IF(OR($AE626="",$AD626=""),"",$AD626*MAX(N($X626),1))</f>
        <v/>
      </c>
      <c r="AN626" s="10" t="str">
        <f aca="false">IF($C626="","",IF(OR($B626="",$D626="",$H626="",$K626="",$M626=""),"Faltan datos obligatorios",IF($T626="","Estrategia no reconocida",IF(AND($M626&lt;&gt;"Abierta",$N626=""),"Falta fecha cierre",IF(AND(OR($M626="Cerrada",$M626="Rolada"),$O626=""),"Falta prima cierre",IF(AND($N626&lt;&gt;"",$N626&lt;$B626),"Cierre anterior a apertura",IF(AND($M626="Asignada",$R626=""),"Asignada: falta ID lote acciones",IF(AND($R626&lt;&gt;"",ISNA(MATCH($R626,Acciones!$A$2:$A$201,0))),"El ID lote no existe en Acciones",IF($AD626="","Revisa capital en riesgo","OK")))))))))</f>
        <v/>
      </c>
    </row>
    <row r="627" customFormat="false" ht="15" hidden="false" customHeight="true" outlineLevel="0" collapsed="false">
      <c r="A627" s="5"/>
      <c r="B627" s="6"/>
      <c r="C627" s="7"/>
      <c r="D627" s="7"/>
      <c r="E627" s="8"/>
      <c r="F627" s="8"/>
      <c r="G627" s="6"/>
      <c r="H627" s="5"/>
      <c r="I627" s="5" t="n">
        <v>100</v>
      </c>
      <c r="J627" s="8"/>
      <c r="K627" s="8"/>
      <c r="L627" s="9"/>
      <c r="M627" s="7"/>
      <c r="N627" s="6"/>
      <c r="O627" s="8"/>
      <c r="P627" s="9"/>
      <c r="Q627" s="9"/>
      <c r="R627" s="7"/>
      <c r="S627" s="7"/>
      <c r="T627" s="10" t="str">
        <f aca="false">IF($C627="","",IFERROR(INDEX(Listas!$B$2:$B$20,MATCH($D627,Listas!$A$2:$A$20,0)),""))</f>
        <v/>
      </c>
      <c r="U627" s="10" t="str">
        <f aca="false">IF($C627="","",IFERROR(INDEX(Listas!$C$2:$C$20,MATCH($D627,Listas!$A$2:$A$20,0)),""))</f>
        <v/>
      </c>
      <c r="V627" s="10" t="str">
        <f aca="false">IF($C627="","",IFERROR(INDEX(Listas!$D$2:$D$20,MATCH($D627,Listas!$A$2:$A$20,0)),""))</f>
        <v/>
      </c>
      <c r="W627" s="11" t="str">
        <f aca="false">IF(OR($C627="",$B627="",$G627=""),"",$G627-$B627)</f>
        <v/>
      </c>
      <c r="X627" s="11" t="str">
        <f aca="true">IF(OR($C627="",$B627=""),"",IF($N627&lt;&gt;"",$N627,TODAY())-$B627)</f>
        <v/>
      </c>
      <c r="Y627" s="11" t="str">
        <f aca="true">IF(OR($C627="",$M627&lt;&gt;"Abierta",$G627=""),"",MAX($G627-TODAY(),0))</f>
        <v/>
      </c>
      <c r="Z627" s="12" t="str">
        <f aca="false">IF($C627="","",N($K627)*N($H627)*N($I627)*IF($U627="Débito",-1,1))</f>
        <v/>
      </c>
      <c r="AA627" s="13" t="str">
        <f aca="false">IF($C627="","",IF(AND($U627="Débito",$F627&lt;&gt;""),$F627,$E627))</f>
        <v/>
      </c>
      <c r="AB627" s="13" t="str">
        <f aca="false">IF(OR($C627="",$T627="Mixta",$AA627=""),"",IF($V627="Subyacente",IF($J627="","",$J627-$K627),IF($T627="Put",$AA627-$K627,$AA627+$K627)))</f>
        <v/>
      </c>
      <c r="AC627" s="14" t="str">
        <f aca="false">IF(OR($C627="",$T627="Mixta",$J627="",$AA627=""),"",IF($T627="Put",($J627-$AA627)/$J627,($AA627-$J627)/$J627))</f>
        <v/>
      </c>
      <c r="AD627" s="12" t="str">
        <f aca="false">IF($C627="","",IF($Q627&lt;&gt;"",$Q627,IF($V627="Strike",N($E627)*$H627*$I627,IF($V627="Subyacente",IF($J627="","",$J627*$H627*$I627),IF($V627="Ancho",IF($F627="","",ABS($E627-$F627)*$H627*$I627-$K627*$H627*$I627),IF($V627="Prima",$K627*$H627*$I627,""))))))</f>
        <v/>
      </c>
      <c r="AE627" s="12" t="str">
        <f aca="false">IF(OR($C627="",$M627="Abierta",$M627=""),"",(N($K627)-IF(OR($M627="Cerrada",$M627="Rolada"),N($O627),0))*$H627*$I627*IF($U627="Débito",-1,1)-N($L627)-N($P627))</f>
        <v/>
      </c>
      <c r="AF627" s="14" t="str">
        <f aca="false">IF(OR($AE627="",$AD627=""),"",IF($AD627&lt;=0,"",$AE627/$AD627))</f>
        <v/>
      </c>
      <c r="AG627" s="14" t="str">
        <f aca="false">IF($AF627="","",$AF627*365/MAX(N($X627),1))</f>
        <v/>
      </c>
      <c r="AH627" s="14" t="str">
        <f aca="false">IF(OR($C627="",$U627&lt;&gt;"Crédito",$AD627=""),"",IF($AD627&lt;=0,"",($Z627-N($L627))/$AD627))</f>
        <v/>
      </c>
      <c r="AI627" s="14" t="str">
        <f aca="false">IF(OR($AH627="",$W627=""),"",$AH627*365/MAX($W627,1))</f>
        <v/>
      </c>
      <c r="AJ627" s="14" t="str">
        <f aca="false">IF(OR($AE627="",$U627&lt;&gt;"Crédito",N($K627)=0),"",(N($K627)-IF(OR($M627="Cerrada",$M627="Rolada"),N($O627),0))/$K627)</f>
        <v/>
      </c>
      <c r="AK627" s="15" t="str">
        <f aca="false">IF(OR($C627="",$N627=""),"",DATE(YEAR($N627),MONTH($N627),1))</f>
        <v/>
      </c>
      <c r="AL627" s="11" t="str">
        <f aca="false">IF($C627="","",IF($M627="Abierta",0,1))</f>
        <v/>
      </c>
      <c r="AM627" s="16" t="str">
        <f aca="false">IF(OR($AE627="",$AD627=""),"",$AD627*MAX(N($X627),1))</f>
        <v/>
      </c>
      <c r="AN627" s="10" t="str">
        <f aca="false">IF($C627="","",IF(OR($B627="",$D627="",$H627="",$K627="",$M627=""),"Faltan datos obligatorios",IF($T627="","Estrategia no reconocida",IF(AND($M627&lt;&gt;"Abierta",$N627=""),"Falta fecha cierre",IF(AND(OR($M627="Cerrada",$M627="Rolada"),$O627=""),"Falta prima cierre",IF(AND($N627&lt;&gt;"",$N627&lt;$B627),"Cierre anterior a apertura",IF(AND($M627="Asignada",$R627=""),"Asignada: falta ID lote acciones",IF(AND($R627&lt;&gt;"",ISNA(MATCH($R627,Acciones!$A$2:$A$201,0))),"El ID lote no existe en Acciones",IF($AD627="","Revisa capital en riesgo","OK")))))))))</f>
        <v/>
      </c>
    </row>
    <row r="628" customFormat="false" ht="15" hidden="false" customHeight="true" outlineLevel="0" collapsed="false">
      <c r="A628" s="5"/>
      <c r="B628" s="6"/>
      <c r="C628" s="7"/>
      <c r="D628" s="7"/>
      <c r="E628" s="8"/>
      <c r="F628" s="8"/>
      <c r="G628" s="6"/>
      <c r="H628" s="5"/>
      <c r="I628" s="5" t="n">
        <v>100</v>
      </c>
      <c r="J628" s="8"/>
      <c r="K628" s="8"/>
      <c r="L628" s="9"/>
      <c r="M628" s="7"/>
      <c r="N628" s="6"/>
      <c r="O628" s="8"/>
      <c r="P628" s="9"/>
      <c r="Q628" s="9"/>
      <c r="R628" s="7"/>
      <c r="S628" s="7"/>
      <c r="T628" s="10" t="str">
        <f aca="false">IF($C628="","",IFERROR(INDEX(Listas!$B$2:$B$20,MATCH($D628,Listas!$A$2:$A$20,0)),""))</f>
        <v/>
      </c>
      <c r="U628" s="10" t="str">
        <f aca="false">IF($C628="","",IFERROR(INDEX(Listas!$C$2:$C$20,MATCH($D628,Listas!$A$2:$A$20,0)),""))</f>
        <v/>
      </c>
      <c r="V628" s="10" t="str">
        <f aca="false">IF($C628="","",IFERROR(INDEX(Listas!$D$2:$D$20,MATCH($D628,Listas!$A$2:$A$20,0)),""))</f>
        <v/>
      </c>
      <c r="W628" s="11" t="str">
        <f aca="false">IF(OR($C628="",$B628="",$G628=""),"",$G628-$B628)</f>
        <v/>
      </c>
      <c r="X628" s="11" t="str">
        <f aca="true">IF(OR($C628="",$B628=""),"",IF($N628&lt;&gt;"",$N628,TODAY())-$B628)</f>
        <v/>
      </c>
      <c r="Y628" s="11" t="str">
        <f aca="true">IF(OR($C628="",$M628&lt;&gt;"Abierta",$G628=""),"",MAX($G628-TODAY(),0))</f>
        <v/>
      </c>
      <c r="Z628" s="12" t="str">
        <f aca="false">IF($C628="","",N($K628)*N($H628)*N($I628)*IF($U628="Débito",-1,1))</f>
        <v/>
      </c>
      <c r="AA628" s="13" t="str">
        <f aca="false">IF($C628="","",IF(AND($U628="Débito",$F628&lt;&gt;""),$F628,$E628))</f>
        <v/>
      </c>
      <c r="AB628" s="13" t="str">
        <f aca="false">IF(OR($C628="",$T628="Mixta",$AA628=""),"",IF($V628="Subyacente",IF($J628="","",$J628-$K628),IF($T628="Put",$AA628-$K628,$AA628+$K628)))</f>
        <v/>
      </c>
      <c r="AC628" s="14" t="str">
        <f aca="false">IF(OR($C628="",$T628="Mixta",$J628="",$AA628=""),"",IF($T628="Put",($J628-$AA628)/$J628,($AA628-$J628)/$J628))</f>
        <v/>
      </c>
      <c r="AD628" s="12" t="str">
        <f aca="false">IF($C628="","",IF($Q628&lt;&gt;"",$Q628,IF($V628="Strike",N($E628)*$H628*$I628,IF($V628="Subyacente",IF($J628="","",$J628*$H628*$I628),IF($V628="Ancho",IF($F628="","",ABS($E628-$F628)*$H628*$I628-$K628*$H628*$I628),IF($V628="Prima",$K628*$H628*$I628,""))))))</f>
        <v/>
      </c>
      <c r="AE628" s="12" t="str">
        <f aca="false">IF(OR($C628="",$M628="Abierta",$M628=""),"",(N($K628)-IF(OR($M628="Cerrada",$M628="Rolada"),N($O628),0))*$H628*$I628*IF($U628="Débito",-1,1)-N($L628)-N($P628))</f>
        <v/>
      </c>
      <c r="AF628" s="14" t="str">
        <f aca="false">IF(OR($AE628="",$AD628=""),"",IF($AD628&lt;=0,"",$AE628/$AD628))</f>
        <v/>
      </c>
      <c r="AG628" s="14" t="str">
        <f aca="false">IF($AF628="","",$AF628*365/MAX(N($X628),1))</f>
        <v/>
      </c>
      <c r="AH628" s="14" t="str">
        <f aca="false">IF(OR($C628="",$U628&lt;&gt;"Crédito",$AD628=""),"",IF($AD628&lt;=0,"",($Z628-N($L628))/$AD628))</f>
        <v/>
      </c>
      <c r="AI628" s="14" t="str">
        <f aca="false">IF(OR($AH628="",$W628=""),"",$AH628*365/MAX($W628,1))</f>
        <v/>
      </c>
      <c r="AJ628" s="14" t="str">
        <f aca="false">IF(OR($AE628="",$U628&lt;&gt;"Crédito",N($K628)=0),"",(N($K628)-IF(OR($M628="Cerrada",$M628="Rolada"),N($O628),0))/$K628)</f>
        <v/>
      </c>
      <c r="AK628" s="15" t="str">
        <f aca="false">IF(OR($C628="",$N628=""),"",DATE(YEAR($N628),MONTH($N628),1))</f>
        <v/>
      </c>
      <c r="AL628" s="11" t="str">
        <f aca="false">IF($C628="","",IF($M628="Abierta",0,1))</f>
        <v/>
      </c>
      <c r="AM628" s="16" t="str">
        <f aca="false">IF(OR($AE628="",$AD628=""),"",$AD628*MAX(N($X628),1))</f>
        <v/>
      </c>
      <c r="AN628" s="10" t="str">
        <f aca="false">IF($C628="","",IF(OR($B628="",$D628="",$H628="",$K628="",$M628=""),"Faltan datos obligatorios",IF($T628="","Estrategia no reconocida",IF(AND($M628&lt;&gt;"Abierta",$N628=""),"Falta fecha cierre",IF(AND(OR($M628="Cerrada",$M628="Rolada"),$O628=""),"Falta prima cierre",IF(AND($N628&lt;&gt;"",$N628&lt;$B628),"Cierre anterior a apertura",IF(AND($M628="Asignada",$R628=""),"Asignada: falta ID lote acciones",IF(AND($R628&lt;&gt;"",ISNA(MATCH($R628,Acciones!$A$2:$A$201,0))),"El ID lote no existe en Acciones",IF($AD628="","Revisa capital en riesgo","OK")))))))))</f>
        <v/>
      </c>
    </row>
    <row r="629" customFormat="false" ht="15" hidden="false" customHeight="true" outlineLevel="0" collapsed="false">
      <c r="A629" s="5"/>
      <c r="B629" s="6"/>
      <c r="C629" s="7"/>
      <c r="D629" s="7"/>
      <c r="E629" s="8"/>
      <c r="F629" s="8"/>
      <c r="G629" s="6"/>
      <c r="H629" s="5"/>
      <c r="I629" s="5" t="n">
        <v>100</v>
      </c>
      <c r="J629" s="8"/>
      <c r="K629" s="8"/>
      <c r="L629" s="9"/>
      <c r="M629" s="7"/>
      <c r="N629" s="6"/>
      <c r="O629" s="8"/>
      <c r="P629" s="9"/>
      <c r="Q629" s="9"/>
      <c r="R629" s="7"/>
      <c r="S629" s="7"/>
      <c r="T629" s="10" t="str">
        <f aca="false">IF($C629="","",IFERROR(INDEX(Listas!$B$2:$B$20,MATCH($D629,Listas!$A$2:$A$20,0)),""))</f>
        <v/>
      </c>
      <c r="U629" s="10" t="str">
        <f aca="false">IF($C629="","",IFERROR(INDEX(Listas!$C$2:$C$20,MATCH($D629,Listas!$A$2:$A$20,0)),""))</f>
        <v/>
      </c>
      <c r="V629" s="10" t="str">
        <f aca="false">IF($C629="","",IFERROR(INDEX(Listas!$D$2:$D$20,MATCH($D629,Listas!$A$2:$A$20,0)),""))</f>
        <v/>
      </c>
      <c r="W629" s="11" t="str">
        <f aca="false">IF(OR($C629="",$B629="",$G629=""),"",$G629-$B629)</f>
        <v/>
      </c>
      <c r="X629" s="11" t="str">
        <f aca="true">IF(OR($C629="",$B629=""),"",IF($N629&lt;&gt;"",$N629,TODAY())-$B629)</f>
        <v/>
      </c>
      <c r="Y629" s="11" t="str">
        <f aca="true">IF(OR($C629="",$M629&lt;&gt;"Abierta",$G629=""),"",MAX($G629-TODAY(),0))</f>
        <v/>
      </c>
      <c r="Z629" s="12" t="str">
        <f aca="false">IF($C629="","",N($K629)*N($H629)*N($I629)*IF($U629="Débito",-1,1))</f>
        <v/>
      </c>
      <c r="AA629" s="13" t="str">
        <f aca="false">IF($C629="","",IF(AND($U629="Débito",$F629&lt;&gt;""),$F629,$E629))</f>
        <v/>
      </c>
      <c r="AB629" s="13" t="str">
        <f aca="false">IF(OR($C629="",$T629="Mixta",$AA629=""),"",IF($V629="Subyacente",IF($J629="","",$J629-$K629),IF($T629="Put",$AA629-$K629,$AA629+$K629)))</f>
        <v/>
      </c>
      <c r="AC629" s="14" t="str">
        <f aca="false">IF(OR($C629="",$T629="Mixta",$J629="",$AA629=""),"",IF($T629="Put",($J629-$AA629)/$J629,($AA629-$J629)/$J629))</f>
        <v/>
      </c>
      <c r="AD629" s="12" t="str">
        <f aca="false">IF($C629="","",IF($Q629&lt;&gt;"",$Q629,IF($V629="Strike",N($E629)*$H629*$I629,IF($V629="Subyacente",IF($J629="","",$J629*$H629*$I629),IF($V629="Ancho",IF($F629="","",ABS($E629-$F629)*$H629*$I629-$K629*$H629*$I629),IF($V629="Prima",$K629*$H629*$I629,""))))))</f>
        <v/>
      </c>
      <c r="AE629" s="12" t="str">
        <f aca="false">IF(OR($C629="",$M629="Abierta",$M629=""),"",(N($K629)-IF(OR($M629="Cerrada",$M629="Rolada"),N($O629),0))*$H629*$I629*IF($U629="Débito",-1,1)-N($L629)-N($P629))</f>
        <v/>
      </c>
      <c r="AF629" s="14" t="str">
        <f aca="false">IF(OR($AE629="",$AD629=""),"",IF($AD629&lt;=0,"",$AE629/$AD629))</f>
        <v/>
      </c>
      <c r="AG629" s="14" t="str">
        <f aca="false">IF($AF629="","",$AF629*365/MAX(N($X629),1))</f>
        <v/>
      </c>
      <c r="AH629" s="14" t="str">
        <f aca="false">IF(OR($C629="",$U629&lt;&gt;"Crédito",$AD629=""),"",IF($AD629&lt;=0,"",($Z629-N($L629))/$AD629))</f>
        <v/>
      </c>
      <c r="AI629" s="14" t="str">
        <f aca="false">IF(OR($AH629="",$W629=""),"",$AH629*365/MAX($W629,1))</f>
        <v/>
      </c>
      <c r="AJ629" s="14" t="str">
        <f aca="false">IF(OR($AE629="",$U629&lt;&gt;"Crédito",N($K629)=0),"",(N($K629)-IF(OR($M629="Cerrada",$M629="Rolada"),N($O629),0))/$K629)</f>
        <v/>
      </c>
      <c r="AK629" s="15" t="str">
        <f aca="false">IF(OR($C629="",$N629=""),"",DATE(YEAR($N629),MONTH($N629),1))</f>
        <v/>
      </c>
      <c r="AL629" s="11" t="str">
        <f aca="false">IF($C629="","",IF($M629="Abierta",0,1))</f>
        <v/>
      </c>
      <c r="AM629" s="16" t="str">
        <f aca="false">IF(OR($AE629="",$AD629=""),"",$AD629*MAX(N($X629),1))</f>
        <v/>
      </c>
      <c r="AN629" s="10" t="str">
        <f aca="false">IF($C629="","",IF(OR($B629="",$D629="",$H629="",$K629="",$M629=""),"Faltan datos obligatorios",IF($T629="","Estrategia no reconocida",IF(AND($M629&lt;&gt;"Abierta",$N629=""),"Falta fecha cierre",IF(AND(OR($M629="Cerrada",$M629="Rolada"),$O629=""),"Falta prima cierre",IF(AND($N629&lt;&gt;"",$N629&lt;$B629),"Cierre anterior a apertura",IF(AND($M629="Asignada",$R629=""),"Asignada: falta ID lote acciones",IF(AND($R629&lt;&gt;"",ISNA(MATCH($R629,Acciones!$A$2:$A$201,0))),"El ID lote no existe en Acciones",IF($AD629="","Revisa capital en riesgo","OK")))))))))</f>
        <v/>
      </c>
    </row>
    <row r="630" customFormat="false" ht="15" hidden="false" customHeight="true" outlineLevel="0" collapsed="false">
      <c r="A630" s="5"/>
      <c r="B630" s="6"/>
      <c r="C630" s="7"/>
      <c r="D630" s="7"/>
      <c r="E630" s="8"/>
      <c r="F630" s="8"/>
      <c r="G630" s="6"/>
      <c r="H630" s="5"/>
      <c r="I630" s="5" t="n">
        <v>100</v>
      </c>
      <c r="J630" s="8"/>
      <c r="K630" s="8"/>
      <c r="L630" s="9"/>
      <c r="M630" s="7"/>
      <c r="N630" s="6"/>
      <c r="O630" s="8"/>
      <c r="P630" s="9"/>
      <c r="Q630" s="9"/>
      <c r="R630" s="7"/>
      <c r="S630" s="7"/>
      <c r="T630" s="10" t="str">
        <f aca="false">IF($C630="","",IFERROR(INDEX(Listas!$B$2:$B$20,MATCH($D630,Listas!$A$2:$A$20,0)),""))</f>
        <v/>
      </c>
      <c r="U630" s="10" t="str">
        <f aca="false">IF($C630="","",IFERROR(INDEX(Listas!$C$2:$C$20,MATCH($D630,Listas!$A$2:$A$20,0)),""))</f>
        <v/>
      </c>
      <c r="V630" s="10" t="str">
        <f aca="false">IF($C630="","",IFERROR(INDEX(Listas!$D$2:$D$20,MATCH($D630,Listas!$A$2:$A$20,0)),""))</f>
        <v/>
      </c>
      <c r="W630" s="11" t="str">
        <f aca="false">IF(OR($C630="",$B630="",$G630=""),"",$G630-$B630)</f>
        <v/>
      </c>
      <c r="X630" s="11" t="str">
        <f aca="true">IF(OR($C630="",$B630=""),"",IF($N630&lt;&gt;"",$N630,TODAY())-$B630)</f>
        <v/>
      </c>
      <c r="Y630" s="11" t="str">
        <f aca="true">IF(OR($C630="",$M630&lt;&gt;"Abierta",$G630=""),"",MAX($G630-TODAY(),0))</f>
        <v/>
      </c>
      <c r="Z630" s="12" t="str">
        <f aca="false">IF($C630="","",N($K630)*N($H630)*N($I630)*IF($U630="Débito",-1,1))</f>
        <v/>
      </c>
      <c r="AA630" s="13" t="str">
        <f aca="false">IF($C630="","",IF(AND($U630="Débito",$F630&lt;&gt;""),$F630,$E630))</f>
        <v/>
      </c>
      <c r="AB630" s="13" t="str">
        <f aca="false">IF(OR($C630="",$T630="Mixta",$AA630=""),"",IF($V630="Subyacente",IF($J630="","",$J630-$K630),IF($T630="Put",$AA630-$K630,$AA630+$K630)))</f>
        <v/>
      </c>
      <c r="AC630" s="14" t="str">
        <f aca="false">IF(OR($C630="",$T630="Mixta",$J630="",$AA630=""),"",IF($T630="Put",($J630-$AA630)/$J630,($AA630-$J630)/$J630))</f>
        <v/>
      </c>
      <c r="AD630" s="12" t="str">
        <f aca="false">IF($C630="","",IF($Q630&lt;&gt;"",$Q630,IF($V630="Strike",N($E630)*$H630*$I630,IF($V630="Subyacente",IF($J630="","",$J630*$H630*$I630),IF($V630="Ancho",IF($F630="","",ABS($E630-$F630)*$H630*$I630-$K630*$H630*$I630),IF($V630="Prima",$K630*$H630*$I630,""))))))</f>
        <v/>
      </c>
      <c r="AE630" s="12" t="str">
        <f aca="false">IF(OR($C630="",$M630="Abierta",$M630=""),"",(N($K630)-IF(OR($M630="Cerrada",$M630="Rolada"),N($O630),0))*$H630*$I630*IF($U630="Débito",-1,1)-N($L630)-N($P630))</f>
        <v/>
      </c>
      <c r="AF630" s="14" t="str">
        <f aca="false">IF(OR($AE630="",$AD630=""),"",IF($AD630&lt;=0,"",$AE630/$AD630))</f>
        <v/>
      </c>
      <c r="AG630" s="14" t="str">
        <f aca="false">IF($AF630="","",$AF630*365/MAX(N($X630),1))</f>
        <v/>
      </c>
      <c r="AH630" s="14" t="str">
        <f aca="false">IF(OR($C630="",$U630&lt;&gt;"Crédito",$AD630=""),"",IF($AD630&lt;=0,"",($Z630-N($L630))/$AD630))</f>
        <v/>
      </c>
      <c r="AI630" s="14" t="str">
        <f aca="false">IF(OR($AH630="",$W630=""),"",$AH630*365/MAX($W630,1))</f>
        <v/>
      </c>
      <c r="AJ630" s="14" t="str">
        <f aca="false">IF(OR($AE630="",$U630&lt;&gt;"Crédito",N($K630)=0),"",(N($K630)-IF(OR($M630="Cerrada",$M630="Rolada"),N($O630),0))/$K630)</f>
        <v/>
      </c>
      <c r="AK630" s="15" t="str">
        <f aca="false">IF(OR($C630="",$N630=""),"",DATE(YEAR($N630),MONTH($N630),1))</f>
        <v/>
      </c>
      <c r="AL630" s="11" t="str">
        <f aca="false">IF($C630="","",IF($M630="Abierta",0,1))</f>
        <v/>
      </c>
      <c r="AM630" s="16" t="str">
        <f aca="false">IF(OR($AE630="",$AD630=""),"",$AD630*MAX(N($X630),1))</f>
        <v/>
      </c>
      <c r="AN630" s="10" t="str">
        <f aca="false">IF($C630="","",IF(OR($B630="",$D630="",$H630="",$K630="",$M630=""),"Faltan datos obligatorios",IF($T630="","Estrategia no reconocida",IF(AND($M630&lt;&gt;"Abierta",$N630=""),"Falta fecha cierre",IF(AND(OR($M630="Cerrada",$M630="Rolada"),$O630=""),"Falta prima cierre",IF(AND($N630&lt;&gt;"",$N630&lt;$B630),"Cierre anterior a apertura",IF(AND($M630="Asignada",$R630=""),"Asignada: falta ID lote acciones",IF(AND($R630&lt;&gt;"",ISNA(MATCH($R630,Acciones!$A$2:$A$201,0))),"El ID lote no existe en Acciones",IF($AD630="","Revisa capital en riesgo","OK")))))))))</f>
        <v/>
      </c>
    </row>
    <row r="631" customFormat="false" ht="15" hidden="false" customHeight="true" outlineLevel="0" collapsed="false">
      <c r="A631" s="5"/>
      <c r="B631" s="6"/>
      <c r="C631" s="7"/>
      <c r="D631" s="7"/>
      <c r="E631" s="8"/>
      <c r="F631" s="8"/>
      <c r="G631" s="6"/>
      <c r="H631" s="5"/>
      <c r="I631" s="5" t="n">
        <v>100</v>
      </c>
      <c r="J631" s="8"/>
      <c r="K631" s="8"/>
      <c r="L631" s="9"/>
      <c r="M631" s="7"/>
      <c r="N631" s="6"/>
      <c r="O631" s="8"/>
      <c r="P631" s="9"/>
      <c r="Q631" s="9"/>
      <c r="R631" s="7"/>
      <c r="S631" s="7"/>
      <c r="T631" s="10" t="str">
        <f aca="false">IF($C631="","",IFERROR(INDEX(Listas!$B$2:$B$20,MATCH($D631,Listas!$A$2:$A$20,0)),""))</f>
        <v/>
      </c>
      <c r="U631" s="10" t="str">
        <f aca="false">IF($C631="","",IFERROR(INDEX(Listas!$C$2:$C$20,MATCH($D631,Listas!$A$2:$A$20,0)),""))</f>
        <v/>
      </c>
      <c r="V631" s="10" t="str">
        <f aca="false">IF($C631="","",IFERROR(INDEX(Listas!$D$2:$D$20,MATCH($D631,Listas!$A$2:$A$20,0)),""))</f>
        <v/>
      </c>
      <c r="W631" s="11" t="str">
        <f aca="false">IF(OR($C631="",$B631="",$G631=""),"",$G631-$B631)</f>
        <v/>
      </c>
      <c r="X631" s="11" t="str">
        <f aca="true">IF(OR($C631="",$B631=""),"",IF($N631&lt;&gt;"",$N631,TODAY())-$B631)</f>
        <v/>
      </c>
      <c r="Y631" s="11" t="str">
        <f aca="true">IF(OR($C631="",$M631&lt;&gt;"Abierta",$G631=""),"",MAX($G631-TODAY(),0))</f>
        <v/>
      </c>
      <c r="Z631" s="12" t="str">
        <f aca="false">IF($C631="","",N($K631)*N($H631)*N($I631)*IF($U631="Débito",-1,1))</f>
        <v/>
      </c>
      <c r="AA631" s="13" t="str">
        <f aca="false">IF($C631="","",IF(AND($U631="Débito",$F631&lt;&gt;""),$F631,$E631))</f>
        <v/>
      </c>
      <c r="AB631" s="13" t="str">
        <f aca="false">IF(OR($C631="",$T631="Mixta",$AA631=""),"",IF($V631="Subyacente",IF($J631="","",$J631-$K631),IF($T631="Put",$AA631-$K631,$AA631+$K631)))</f>
        <v/>
      </c>
      <c r="AC631" s="14" t="str">
        <f aca="false">IF(OR($C631="",$T631="Mixta",$J631="",$AA631=""),"",IF($T631="Put",($J631-$AA631)/$J631,($AA631-$J631)/$J631))</f>
        <v/>
      </c>
      <c r="AD631" s="12" t="str">
        <f aca="false">IF($C631="","",IF($Q631&lt;&gt;"",$Q631,IF($V631="Strike",N($E631)*$H631*$I631,IF($V631="Subyacente",IF($J631="","",$J631*$H631*$I631),IF($V631="Ancho",IF($F631="","",ABS($E631-$F631)*$H631*$I631-$K631*$H631*$I631),IF($V631="Prima",$K631*$H631*$I631,""))))))</f>
        <v/>
      </c>
      <c r="AE631" s="12" t="str">
        <f aca="false">IF(OR($C631="",$M631="Abierta",$M631=""),"",(N($K631)-IF(OR($M631="Cerrada",$M631="Rolada"),N($O631),0))*$H631*$I631*IF($U631="Débito",-1,1)-N($L631)-N($P631))</f>
        <v/>
      </c>
      <c r="AF631" s="14" t="str">
        <f aca="false">IF(OR($AE631="",$AD631=""),"",IF($AD631&lt;=0,"",$AE631/$AD631))</f>
        <v/>
      </c>
      <c r="AG631" s="14" t="str">
        <f aca="false">IF($AF631="","",$AF631*365/MAX(N($X631),1))</f>
        <v/>
      </c>
      <c r="AH631" s="14" t="str">
        <f aca="false">IF(OR($C631="",$U631&lt;&gt;"Crédito",$AD631=""),"",IF($AD631&lt;=0,"",($Z631-N($L631))/$AD631))</f>
        <v/>
      </c>
      <c r="AI631" s="14" t="str">
        <f aca="false">IF(OR($AH631="",$W631=""),"",$AH631*365/MAX($W631,1))</f>
        <v/>
      </c>
      <c r="AJ631" s="14" t="str">
        <f aca="false">IF(OR($AE631="",$U631&lt;&gt;"Crédito",N($K631)=0),"",(N($K631)-IF(OR($M631="Cerrada",$M631="Rolada"),N($O631),0))/$K631)</f>
        <v/>
      </c>
      <c r="AK631" s="15" t="str">
        <f aca="false">IF(OR($C631="",$N631=""),"",DATE(YEAR($N631),MONTH($N631),1))</f>
        <v/>
      </c>
      <c r="AL631" s="11" t="str">
        <f aca="false">IF($C631="","",IF($M631="Abierta",0,1))</f>
        <v/>
      </c>
      <c r="AM631" s="16" t="str">
        <f aca="false">IF(OR($AE631="",$AD631=""),"",$AD631*MAX(N($X631),1))</f>
        <v/>
      </c>
      <c r="AN631" s="10" t="str">
        <f aca="false">IF($C631="","",IF(OR($B631="",$D631="",$H631="",$K631="",$M631=""),"Faltan datos obligatorios",IF($T631="","Estrategia no reconocida",IF(AND($M631&lt;&gt;"Abierta",$N631=""),"Falta fecha cierre",IF(AND(OR($M631="Cerrada",$M631="Rolada"),$O631=""),"Falta prima cierre",IF(AND($N631&lt;&gt;"",$N631&lt;$B631),"Cierre anterior a apertura",IF(AND($M631="Asignada",$R631=""),"Asignada: falta ID lote acciones",IF(AND($R631&lt;&gt;"",ISNA(MATCH($R631,Acciones!$A$2:$A$201,0))),"El ID lote no existe en Acciones",IF($AD631="","Revisa capital en riesgo","OK")))))))))</f>
        <v/>
      </c>
    </row>
    <row r="632" customFormat="false" ht="15" hidden="false" customHeight="true" outlineLevel="0" collapsed="false">
      <c r="A632" s="5"/>
      <c r="B632" s="6"/>
      <c r="C632" s="7"/>
      <c r="D632" s="7"/>
      <c r="E632" s="8"/>
      <c r="F632" s="8"/>
      <c r="G632" s="6"/>
      <c r="H632" s="5"/>
      <c r="I632" s="5" t="n">
        <v>100</v>
      </c>
      <c r="J632" s="8"/>
      <c r="K632" s="8"/>
      <c r="L632" s="9"/>
      <c r="M632" s="7"/>
      <c r="N632" s="6"/>
      <c r="O632" s="8"/>
      <c r="P632" s="9"/>
      <c r="Q632" s="9"/>
      <c r="R632" s="7"/>
      <c r="S632" s="7"/>
      <c r="T632" s="10" t="str">
        <f aca="false">IF($C632="","",IFERROR(INDEX(Listas!$B$2:$B$20,MATCH($D632,Listas!$A$2:$A$20,0)),""))</f>
        <v/>
      </c>
      <c r="U632" s="10" t="str">
        <f aca="false">IF($C632="","",IFERROR(INDEX(Listas!$C$2:$C$20,MATCH($D632,Listas!$A$2:$A$20,0)),""))</f>
        <v/>
      </c>
      <c r="V632" s="10" t="str">
        <f aca="false">IF($C632="","",IFERROR(INDEX(Listas!$D$2:$D$20,MATCH($D632,Listas!$A$2:$A$20,0)),""))</f>
        <v/>
      </c>
      <c r="W632" s="11" t="str">
        <f aca="false">IF(OR($C632="",$B632="",$G632=""),"",$G632-$B632)</f>
        <v/>
      </c>
      <c r="X632" s="11" t="str">
        <f aca="true">IF(OR($C632="",$B632=""),"",IF($N632&lt;&gt;"",$N632,TODAY())-$B632)</f>
        <v/>
      </c>
      <c r="Y632" s="11" t="str">
        <f aca="true">IF(OR($C632="",$M632&lt;&gt;"Abierta",$G632=""),"",MAX($G632-TODAY(),0))</f>
        <v/>
      </c>
      <c r="Z632" s="12" t="str">
        <f aca="false">IF($C632="","",N($K632)*N($H632)*N($I632)*IF($U632="Débito",-1,1))</f>
        <v/>
      </c>
      <c r="AA632" s="13" t="str">
        <f aca="false">IF($C632="","",IF(AND($U632="Débito",$F632&lt;&gt;""),$F632,$E632))</f>
        <v/>
      </c>
      <c r="AB632" s="13" t="str">
        <f aca="false">IF(OR($C632="",$T632="Mixta",$AA632=""),"",IF($V632="Subyacente",IF($J632="","",$J632-$K632),IF($T632="Put",$AA632-$K632,$AA632+$K632)))</f>
        <v/>
      </c>
      <c r="AC632" s="14" t="str">
        <f aca="false">IF(OR($C632="",$T632="Mixta",$J632="",$AA632=""),"",IF($T632="Put",($J632-$AA632)/$J632,($AA632-$J632)/$J632))</f>
        <v/>
      </c>
      <c r="AD632" s="12" t="str">
        <f aca="false">IF($C632="","",IF($Q632&lt;&gt;"",$Q632,IF($V632="Strike",N($E632)*$H632*$I632,IF($V632="Subyacente",IF($J632="","",$J632*$H632*$I632),IF($V632="Ancho",IF($F632="","",ABS($E632-$F632)*$H632*$I632-$K632*$H632*$I632),IF($V632="Prima",$K632*$H632*$I632,""))))))</f>
        <v/>
      </c>
      <c r="AE632" s="12" t="str">
        <f aca="false">IF(OR($C632="",$M632="Abierta",$M632=""),"",(N($K632)-IF(OR($M632="Cerrada",$M632="Rolada"),N($O632),0))*$H632*$I632*IF($U632="Débito",-1,1)-N($L632)-N($P632))</f>
        <v/>
      </c>
      <c r="AF632" s="14" t="str">
        <f aca="false">IF(OR($AE632="",$AD632=""),"",IF($AD632&lt;=0,"",$AE632/$AD632))</f>
        <v/>
      </c>
      <c r="AG632" s="14" t="str">
        <f aca="false">IF($AF632="","",$AF632*365/MAX(N($X632),1))</f>
        <v/>
      </c>
      <c r="AH632" s="14" t="str">
        <f aca="false">IF(OR($C632="",$U632&lt;&gt;"Crédito",$AD632=""),"",IF($AD632&lt;=0,"",($Z632-N($L632))/$AD632))</f>
        <v/>
      </c>
      <c r="AI632" s="14" t="str">
        <f aca="false">IF(OR($AH632="",$W632=""),"",$AH632*365/MAX($W632,1))</f>
        <v/>
      </c>
      <c r="AJ632" s="14" t="str">
        <f aca="false">IF(OR($AE632="",$U632&lt;&gt;"Crédito",N($K632)=0),"",(N($K632)-IF(OR($M632="Cerrada",$M632="Rolada"),N($O632),0))/$K632)</f>
        <v/>
      </c>
      <c r="AK632" s="15" t="str">
        <f aca="false">IF(OR($C632="",$N632=""),"",DATE(YEAR($N632),MONTH($N632),1))</f>
        <v/>
      </c>
      <c r="AL632" s="11" t="str">
        <f aca="false">IF($C632="","",IF($M632="Abierta",0,1))</f>
        <v/>
      </c>
      <c r="AM632" s="16" t="str">
        <f aca="false">IF(OR($AE632="",$AD632=""),"",$AD632*MAX(N($X632),1))</f>
        <v/>
      </c>
      <c r="AN632" s="10" t="str">
        <f aca="false">IF($C632="","",IF(OR($B632="",$D632="",$H632="",$K632="",$M632=""),"Faltan datos obligatorios",IF($T632="","Estrategia no reconocida",IF(AND($M632&lt;&gt;"Abierta",$N632=""),"Falta fecha cierre",IF(AND(OR($M632="Cerrada",$M632="Rolada"),$O632=""),"Falta prima cierre",IF(AND($N632&lt;&gt;"",$N632&lt;$B632),"Cierre anterior a apertura",IF(AND($M632="Asignada",$R632=""),"Asignada: falta ID lote acciones",IF(AND($R632&lt;&gt;"",ISNA(MATCH($R632,Acciones!$A$2:$A$201,0))),"El ID lote no existe en Acciones",IF($AD632="","Revisa capital en riesgo","OK")))))))))</f>
        <v/>
      </c>
    </row>
    <row r="633" customFormat="false" ht="15" hidden="false" customHeight="true" outlineLevel="0" collapsed="false">
      <c r="A633" s="5"/>
      <c r="B633" s="6"/>
      <c r="C633" s="7"/>
      <c r="D633" s="7"/>
      <c r="E633" s="8"/>
      <c r="F633" s="8"/>
      <c r="G633" s="6"/>
      <c r="H633" s="5"/>
      <c r="I633" s="5" t="n">
        <v>100</v>
      </c>
      <c r="J633" s="8"/>
      <c r="K633" s="8"/>
      <c r="L633" s="9"/>
      <c r="M633" s="7"/>
      <c r="N633" s="6"/>
      <c r="O633" s="8"/>
      <c r="P633" s="9"/>
      <c r="Q633" s="9"/>
      <c r="R633" s="7"/>
      <c r="S633" s="7"/>
      <c r="T633" s="10" t="str">
        <f aca="false">IF($C633="","",IFERROR(INDEX(Listas!$B$2:$B$20,MATCH($D633,Listas!$A$2:$A$20,0)),""))</f>
        <v/>
      </c>
      <c r="U633" s="10" t="str">
        <f aca="false">IF($C633="","",IFERROR(INDEX(Listas!$C$2:$C$20,MATCH($D633,Listas!$A$2:$A$20,0)),""))</f>
        <v/>
      </c>
      <c r="V633" s="10" t="str">
        <f aca="false">IF($C633="","",IFERROR(INDEX(Listas!$D$2:$D$20,MATCH($D633,Listas!$A$2:$A$20,0)),""))</f>
        <v/>
      </c>
      <c r="W633" s="11" t="str">
        <f aca="false">IF(OR($C633="",$B633="",$G633=""),"",$G633-$B633)</f>
        <v/>
      </c>
      <c r="X633" s="11" t="str">
        <f aca="true">IF(OR($C633="",$B633=""),"",IF($N633&lt;&gt;"",$N633,TODAY())-$B633)</f>
        <v/>
      </c>
      <c r="Y633" s="11" t="str">
        <f aca="true">IF(OR($C633="",$M633&lt;&gt;"Abierta",$G633=""),"",MAX($G633-TODAY(),0))</f>
        <v/>
      </c>
      <c r="Z633" s="12" t="str">
        <f aca="false">IF($C633="","",N($K633)*N($H633)*N($I633)*IF($U633="Débito",-1,1))</f>
        <v/>
      </c>
      <c r="AA633" s="13" t="str">
        <f aca="false">IF($C633="","",IF(AND($U633="Débito",$F633&lt;&gt;""),$F633,$E633))</f>
        <v/>
      </c>
      <c r="AB633" s="13" t="str">
        <f aca="false">IF(OR($C633="",$T633="Mixta",$AA633=""),"",IF($V633="Subyacente",IF($J633="","",$J633-$K633),IF($T633="Put",$AA633-$K633,$AA633+$K633)))</f>
        <v/>
      </c>
      <c r="AC633" s="14" t="str">
        <f aca="false">IF(OR($C633="",$T633="Mixta",$J633="",$AA633=""),"",IF($T633="Put",($J633-$AA633)/$J633,($AA633-$J633)/$J633))</f>
        <v/>
      </c>
      <c r="AD633" s="12" t="str">
        <f aca="false">IF($C633="","",IF($Q633&lt;&gt;"",$Q633,IF($V633="Strike",N($E633)*$H633*$I633,IF($V633="Subyacente",IF($J633="","",$J633*$H633*$I633),IF($V633="Ancho",IF($F633="","",ABS($E633-$F633)*$H633*$I633-$K633*$H633*$I633),IF($V633="Prima",$K633*$H633*$I633,""))))))</f>
        <v/>
      </c>
      <c r="AE633" s="12" t="str">
        <f aca="false">IF(OR($C633="",$M633="Abierta",$M633=""),"",(N($K633)-IF(OR($M633="Cerrada",$M633="Rolada"),N($O633),0))*$H633*$I633*IF($U633="Débito",-1,1)-N($L633)-N($P633))</f>
        <v/>
      </c>
      <c r="AF633" s="14" t="str">
        <f aca="false">IF(OR($AE633="",$AD633=""),"",IF($AD633&lt;=0,"",$AE633/$AD633))</f>
        <v/>
      </c>
      <c r="AG633" s="14" t="str">
        <f aca="false">IF($AF633="","",$AF633*365/MAX(N($X633),1))</f>
        <v/>
      </c>
      <c r="AH633" s="14" t="str">
        <f aca="false">IF(OR($C633="",$U633&lt;&gt;"Crédito",$AD633=""),"",IF($AD633&lt;=0,"",($Z633-N($L633))/$AD633))</f>
        <v/>
      </c>
      <c r="AI633" s="14" t="str">
        <f aca="false">IF(OR($AH633="",$W633=""),"",$AH633*365/MAX($W633,1))</f>
        <v/>
      </c>
      <c r="AJ633" s="14" t="str">
        <f aca="false">IF(OR($AE633="",$U633&lt;&gt;"Crédito",N($K633)=0),"",(N($K633)-IF(OR($M633="Cerrada",$M633="Rolada"),N($O633),0))/$K633)</f>
        <v/>
      </c>
      <c r="AK633" s="15" t="str">
        <f aca="false">IF(OR($C633="",$N633=""),"",DATE(YEAR($N633),MONTH($N633),1))</f>
        <v/>
      </c>
      <c r="AL633" s="11" t="str">
        <f aca="false">IF($C633="","",IF($M633="Abierta",0,1))</f>
        <v/>
      </c>
      <c r="AM633" s="16" t="str">
        <f aca="false">IF(OR($AE633="",$AD633=""),"",$AD633*MAX(N($X633),1))</f>
        <v/>
      </c>
      <c r="AN633" s="10" t="str">
        <f aca="false">IF($C633="","",IF(OR($B633="",$D633="",$H633="",$K633="",$M633=""),"Faltan datos obligatorios",IF($T633="","Estrategia no reconocida",IF(AND($M633&lt;&gt;"Abierta",$N633=""),"Falta fecha cierre",IF(AND(OR($M633="Cerrada",$M633="Rolada"),$O633=""),"Falta prima cierre",IF(AND($N633&lt;&gt;"",$N633&lt;$B633),"Cierre anterior a apertura",IF(AND($M633="Asignada",$R633=""),"Asignada: falta ID lote acciones",IF(AND($R633&lt;&gt;"",ISNA(MATCH($R633,Acciones!$A$2:$A$201,0))),"El ID lote no existe en Acciones",IF($AD633="","Revisa capital en riesgo","OK")))))))))</f>
        <v/>
      </c>
    </row>
    <row r="634" customFormat="false" ht="15" hidden="false" customHeight="true" outlineLevel="0" collapsed="false">
      <c r="A634" s="5"/>
      <c r="B634" s="6"/>
      <c r="C634" s="7"/>
      <c r="D634" s="7"/>
      <c r="E634" s="8"/>
      <c r="F634" s="8"/>
      <c r="G634" s="6"/>
      <c r="H634" s="5"/>
      <c r="I634" s="5" t="n">
        <v>100</v>
      </c>
      <c r="J634" s="8"/>
      <c r="K634" s="8"/>
      <c r="L634" s="9"/>
      <c r="M634" s="7"/>
      <c r="N634" s="6"/>
      <c r="O634" s="8"/>
      <c r="P634" s="9"/>
      <c r="Q634" s="9"/>
      <c r="R634" s="7"/>
      <c r="S634" s="7"/>
      <c r="T634" s="10" t="str">
        <f aca="false">IF($C634="","",IFERROR(INDEX(Listas!$B$2:$B$20,MATCH($D634,Listas!$A$2:$A$20,0)),""))</f>
        <v/>
      </c>
      <c r="U634" s="10" t="str">
        <f aca="false">IF($C634="","",IFERROR(INDEX(Listas!$C$2:$C$20,MATCH($D634,Listas!$A$2:$A$20,0)),""))</f>
        <v/>
      </c>
      <c r="V634" s="10" t="str">
        <f aca="false">IF($C634="","",IFERROR(INDEX(Listas!$D$2:$D$20,MATCH($D634,Listas!$A$2:$A$20,0)),""))</f>
        <v/>
      </c>
      <c r="W634" s="11" t="str">
        <f aca="false">IF(OR($C634="",$B634="",$G634=""),"",$G634-$B634)</f>
        <v/>
      </c>
      <c r="X634" s="11" t="str">
        <f aca="true">IF(OR($C634="",$B634=""),"",IF($N634&lt;&gt;"",$N634,TODAY())-$B634)</f>
        <v/>
      </c>
      <c r="Y634" s="11" t="str">
        <f aca="true">IF(OR($C634="",$M634&lt;&gt;"Abierta",$G634=""),"",MAX($G634-TODAY(),0))</f>
        <v/>
      </c>
      <c r="Z634" s="12" t="str">
        <f aca="false">IF($C634="","",N($K634)*N($H634)*N($I634)*IF($U634="Débito",-1,1))</f>
        <v/>
      </c>
      <c r="AA634" s="13" t="str">
        <f aca="false">IF($C634="","",IF(AND($U634="Débito",$F634&lt;&gt;""),$F634,$E634))</f>
        <v/>
      </c>
      <c r="AB634" s="13" t="str">
        <f aca="false">IF(OR($C634="",$T634="Mixta",$AA634=""),"",IF($V634="Subyacente",IF($J634="","",$J634-$K634),IF($T634="Put",$AA634-$K634,$AA634+$K634)))</f>
        <v/>
      </c>
      <c r="AC634" s="14" t="str">
        <f aca="false">IF(OR($C634="",$T634="Mixta",$J634="",$AA634=""),"",IF($T634="Put",($J634-$AA634)/$J634,($AA634-$J634)/$J634))</f>
        <v/>
      </c>
      <c r="AD634" s="12" t="str">
        <f aca="false">IF($C634="","",IF($Q634&lt;&gt;"",$Q634,IF($V634="Strike",N($E634)*$H634*$I634,IF($V634="Subyacente",IF($J634="","",$J634*$H634*$I634),IF($V634="Ancho",IF($F634="","",ABS($E634-$F634)*$H634*$I634-$K634*$H634*$I634),IF($V634="Prima",$K634*$H634*$I634,""))))))</f>
        <v/>
      </c>
      <c r="AE634" s="12" t="str">
        <f aca="false">IF(OR($C634="",$M634="Abierta",$M634=""),"",(N($K634)-IF(OR($M634="Cerrada",$M634="Rolada"),N($O634),0))*$H634*$I634*IF($U634="Débito",-1,1)-N($L634)-N($P634))</f>
        <v/>
      </c>
      <c r="AF634" s="14" t="str">
        <f aca="false">IF(OR($AE634="",$AD634=""),"",IF($AD634&lt;=0,"",$AE634/$AD634))</f>
        <v/>
      </c>
      <c r="AG634" s="14" t="str">
        <f aca="false">IF($AF634="","",$AF634*365/MAX(N($X634),1))</f>
        <v/>
      </c>
      <c r="AH634" s="14" t="str">
        <f aca="false">IF(OR($C634="",$U634&lt;&gt;"Crédito",$AD634=""),"",IF($AD634&lt;=0,"",($Z634-N($L634))/$AD634))</f>
        <v/>
      </c>
      <c r="AI634" s="14" t="str">
        <f aca="false">IF(OR($AH634="",$W634=""),"",$AH634*365/MAX($W634,1))</f>
        <v/>
      </c>
      <c r="AJ634" s="14" t="str">
        <f aca="false">IF(OR($AE634="",$U634&lt;&gt;"Crédito",N($K634)=0),"",(N($K634)-IF(OR($M634="Cerrada",$M634="Rolada"),N($O634),0))/$K634)</f>
        <v/>
      </c>
      <c r="AK634" s="15" t="str">
        <f aca="false">IF(OR($C634="",$N634=""),"",DATE(YEAR($N634),MONTH($N634),1))</f>
        <v/>
      </c>
      <c r="AL634" s="11" t="str">
        <f aca="false">IF($C634="","",IF($M634="Abierta",0,1))</f>
        <v/>
      </c>
      <c r="AM634" s="16" t="str">
        <f aca="false">IF(OR($AE634="",$AD634=""),"",$AD634*MAX(N($X634),1))</f>
        <v/>
      </c>
      <c r="AN634" s="10" t="str">
        <f aca="false">IF($C634="","",IF(OR($B634="",$D634="",$H634="",$K634="",$M634=""),"Faltan datos obligatorios",IF($T634="","Estrategia no reconocida",IF(AND($M634&lt;&gt;"Abierta",$N634=""),"Falta fecha cierre",IF(AND(OR($M634="Cerrada",$M634="Rolada"),$O634=""),"Falta prima cierre",IF(AND($N634&lt;&gt;"",$N634&lt;$B634),"Cierre anterior a apertura",IF(AND($M634="Asignada",$R634=""),"Asignada: falta ID lote acciones",IF(AND($R634&lt;&gt;"",ISNA(MATCH($R634,Acciones!$A$2:$A$201,0))),"El ID lote no existe en Acciones",IF($AD634="","Revisa capital en riesgo","OK")))))))))</f>
        <v/>
      </c>
    </row>
    <row r="635" customFormat="false" ht="15" hidden="false" customHeight="true" outlineLevel="0" collapsed="false">
      <c r="A635" s="5"/>
      <c r="B635" s="6"/>
      <c r="C635" s="7"/>
      <c r="D635" s="7"/>
      <c r="E635" s="8"/>
      <c r="F635" s="8"/>
      <c r="G635" s="6"/>
      <c r="H635" s="5"/>
      <c r="I635" s="5" t="n">
        <v>100</v>
      </c>
      <c r="J635" s="8"/>
      <c r="K635" s="8"/>
      <c r="L635" s="9"/>
      <c r="M635" s="7"/>
      <c r="N635" s="6"/>
      <c r="O635" s="8"/>
      <c r="P635" s="9"/>
      <c r="Q635" s="9"/>
      <c r="R635" s="7"/>
      <c r="S635" s="7"/>
      <c r="T635" s="10" t="str">
        <f aca="false">IF($C635="","",IFERROR(INDEX(Listas!$B$2:$B$20,MATCH($D635,Listas!$A$2:$A$20,0)),""))</f>
        <v/>
      </c>
      <c r="U635" s="10" t="str">
        <f aca="false">IF($C635="","",IFERROR(INDEX(Listas!$C$2:$C$20,MATCH($D635,Listas!$A$2:$A$20,0)),""))</f>
        <v/>
      </c>
      <c r="V635" s="10" t="str">
        <f aca="false">IF($C635="","",IFERROR(INDEX(Listas!$D$2:$D$20,MATCH($D635,Listas!$A$2:$A$20,0)),""))</f>
        <v/>
      </c>
      <c r="W635" s="11" t="str">
        <f aca="false">IF(OR($C635="",$B635="",$G635=""),"",$G635-$B635)</f>
        <v/>
      </c>
      <c r="X635" s="11" t="str">
        <f aca="true">IF(OR($C635="",$B635=""),"",IF($N635&lt;&gt;"",$N635,TODAY())-$B635)</f>
        <v/>
      </c>
      <c r="Y635" s="11" t="str">
        <f aca="true">IF(OR($C635="",$M635&lt;&gt;"Abierta",$G635=""),"",MAX($G635-TODAY(),0))</f>
        <v/>
      </c>
      <c r="Z635" s="12" t="str">
        <f aca="false">IF($C635="","",N($K635)*N($H635)*N($I635)*IF($U635="Débito",-1,1))</f>
        <v/>
      </c>
      <c r="AA635" s="13" t="str">
        <f aca="false">IF($C635="","",IF(AND($U635="Débito",$F635&lt;&gt;""),$F635,$E635))</f>
        <v/>
      </c>
      <c r="AB635" s="13" t="str">
        <f aca="false">IF(OR($C635="",$T635="Mixta",$AA635=""),"",IF($V635="Subyacente",IF($J635="","",$J635-$K635),IF($T635="Put",$AA635-$K635,$AA635+$K635)))</f>
        <v/>
      </c>
      <c r="AC635" s="14" t="str">
        <f aca="false">IF(OR($C635="",$T635="Mixta",$J635="",$AA635=""),"",IF($T635="Put",($J635-$AA635)/$J635,($AA635-$J635)/$J635))</f>
        <v/>
      </c>
      <c r="AD635" s="12" t="str">
        <f aca="false">IF($C635="","",IF($Q635&lt;&gt;"",$Q635,IF($V635="Strike",N($E635)*$H635*$I635,IF($V635="Subyacente",IF($J635="","",$J635*$H635*$I635),IF($V635="Ancho",IF($F635="","",ABS($E635-$F635)*$H635*$I635-$K635*$H635*$I635),IF($V635="Prima",$K635*$H635*$I635,""))))))</f>
        <v/>
      </c>
      <c r="AE635" s="12" t="str">
        <f aca="false">IF(OR($C635="",$M635="Abierta",$M635=""),"",(N($K635)-IF(OR($M635="Cerrada",$M635="Rolada"),N($O635),0))*$H635*$I635*IF($U635="Débito",-1,1)-N($L635)-N($P635))</f>
        <v/>
      </c>
      <c r="AF635" s="14" t="str">
        <f aca="false">IF(OR($AE635="",$AD635=""),"",IF($AD635&lt;=0,"",$AE635/$AD635))</f>
        <v/>
      </c>
      <c r="AG635" s="14" t="str">
        <f aca="false">IF($AF635="","",$AF635*365/MAX(N($X635),1))</f>
        <v/>
      </c>
      <c r="AH635" s="14" t="str">
        <f aca="false">IF(OR($C635="",$U635&lt;&gt;"Crédito",$AD635=""),"",IF($AD635&lt;=0,"",($Z635-N($L635))/$AD635))</f>
        <v/>
      </c>
      <c r="AI635" s="14" t="str">
        <f aca="false">IF(OR($AH635="",$W635=""),"",$AH635*365/MAX($W635,1))</f>
        <v/>
      </c>
      <c r="AJ635" s="14" t="str">
        <f aca="false">IF(OR($AE635="",$U635&lt;&gt;"Crédito",N($K635)=0),"",(N($K635)-IF(OR($M635="Cerrada",$M635="Rolada"),N($O635),0))/$K635)</f>
        <v/>
      </c>
      <c r="AK635" s="15" t="str">
        <f aca="false">IF(OR($C635="",$N635=""),"",DATE(YEAR($N635),MONTH($N635),1))</f>
        <v/>
      </c>
      <c r="AL635" s="11" t="str">
        <f aca="false">IF($C635="","",IF($M635="Abierta",0,1))</f>
        <v/>
      </c>
      <c r="AM635" s="16" t="str">
        <f aca="false">IF(OR($AE635="",$AD635=""),"",$AD635*MAX(N($X635),1))</f>
        <v/>
      </c>
      <c r="AN635" s="10" t="str">
        <f aca="false">IF($C635="","",IF(OR($B635="",$D635="",$H635="",$K635="",$M635=""),"Faltan datos obligatorios",IF($T635="","Estrategia no reconocida",IF(AND($M635&lt;&gt;"Abierta",$N635=""),"Falta fecha cierre",IF(AND(OR($M635="Cerrada",$M635="Rolada"),$O635=""),"Falta prima cierre",IF(AND($N635&lt;&gt;"",$N635&lt;$B635),"Cierre anterior a apertura",IF(AND($M635="Asignada",$R635=""),"Asignada: falta ID lote acciones",IF(AND($R635&lt;&gt;"",ISNA(MATCH($R635,Acciones!$A$2:$A$201,0))),"El ID lote no existe en Acciones",IF($AD635="","Revisa capital en riesgo","OK")))))))))</f>
        <v/>
      </c>
    </row>
    <row r="636" customFormat="false" ht="15" hidden="false" customHeight="true" outlineLevel="0" collapsed="false">
      <c r="A636" s="5"/>
      <c r="B636" s="6"/>
      <c r="C636" s="7"/>
      <c r="D636" s="7"/>
      <c r="E636" s="8"/>
      <c r="F636" s="8"/>
      <c r="G636" s="6"/>
      <c r="H636" s="5"/>
      <c r="I636" s="5" t="n">
        <v>100</v>
      </c>
      <c r="J636" s="8"/>
      <c r="K636" s="8"/>
      <c r="L636" s="9"/>
      <c r="M636" s="7"/>
      <c r="N636" s="6"/>
      <c r="O636" s="8"/>
      <c r="P636" s="9"/>
      <c r="Q636" s="9"/>
      <c r="R636" s="7"/>
      <c r="S636" s="7"/>
      <c r="T636" s="10" t="str">
        <f aca="false">IF($C636="","",IFERROR(INDEX(Listas!$B$2:$B$20,MATCH($D636,Listas!$A$2:$A$20,0)),""))</f>
        <v/>
      </c>
      <c r="U636" s="10" t="str">
        <f aca="false">IF($C636="","",IFERROR(INDEX(Listas!$C$2:$C$20,MATCH($D636,Listas!$A$2:$A$20,0)),""))</f>
        <v/>
      </c>
      <c r="V636" s="10" t="str">
        <f aca="false">IF($C636="","",IFERROR(INDEX(Listas!$D$2:$D$20,MATCH($D636,Listas!$A$2:$A$20,0)),""))</f>
        <v/>
      </c>
      <c r="W636" s="11" t="str">
        <f aca="false">IF(OR($C636="",$B636="",$G636=""),"",$G636-$B636)</f>
        <v/>
      </c>
      <c r="X636" s="11" t="str">
        <f aca="true">IF(OR($C636="",$B636=""),"",IF($N636&lt;&gt;"",$N636,TODAY())-$B636)</f>
        <v/>
      </c>
      <c r="Y636" s="11" t="str">
        <f aca="true">IF(OR($C636="",$M636&lt;&gt;"Abierta",$G636=""),"",MAX($G636-TODAY(),0))</f>
        <v/>
      </c>
      <c r="Z636" s="12" t="str">
        <f aca="false">IF($C636="","",N($K636)*N($H636)*N($I636)*IF($U636="Débito",-1,1))</f>
        <v/>
      </c>
      <c r="AA636" s="13" t="str">
        <f aca="false">IF($C636="","",IF(AND($U636="Débito",$F636&lt;&gt;""),$F636,$E636))</f>
        <v/>
      </c>
      <c r="AB636" s="13" t="str">
        <f aca="false">IF(OR($C636="",$T636="Mixta",$AA636=""),"",IF($V636="Subyacente",IF($J636="","",$J636-$K636),IF($T636="Put",$AA636-$K636,$AA636+$K636)))</f>
        <v/>
      </c>
      <c r="AC636" s="14" t="str">
        <f aca="false">IF(OR($C636="",$T636="Mixta",$J636="",$AA636=""),"",IF($T636="Put",($J636-$AA636)/$J636,($AA636-$J636)/$J636))</f>
        <v/>
      </c>
      <c r="AD636" s="12" t="str">
        <f aca="false">IF($C636="","",IF($Q636&lt;&gt;"",$Q636,IF($V636="Strike",N($E636)*$H636*$I636,IF($V636="Subyacente",IF($J636="","",$J636*$H636*$I636),IF($V636="Ancho",IF($F636="","",ABS($E636-$F636)*$H636*$I636-$K636*$H636*$I636),IF($V636="Prima",$K636*$H636*$I636,""))))))</f>
        <v/>
      </c>
      <c r="AE636" s="12" t="str">
        <f aca="false">IF(OR($C636="",$M636="Abierta",$M636=""),"",(N($K636)-IF(OR($M636="Cerrada",$M636="Rolada"),N($O636),0))*$H636*$I636*IF($U636="Débito",-1,1)-N($L636)-N($P636))</f>
        <v/>
      </c>
      <c r="AF636" s="14" t="str">
        <f aca="false">IF(OR($AE636="",$AD636=""),"",IF($AD636&lt;=0,"",$AE636/$AD636))</f>
        <v/>
      </c>
      <c r="AG636" s="14" t="str">
        <f aca="false">IF($AF636="","",$AF636*365/MAX(N($X636),1))</f>
        <v/>
      </c>
      <c r="AH636" s="14" t="str">
        <f aca="false">IF(OR($C636="",$U636&lt;&gt;"Crédito",$AD636=""),"",IF($AD636&lt;=0,"",($Z636-N($L636))/$AD636))</f>
        <v/>
      </c>
      <c r="AI636" s="14" t="str">
        <f aca="false">IF(OR($AH636="",$W636=""),"",$AH636*365/MAX($W636,1))</f>
        <v/>
      </c>
      <c r="AJ636" s="14" t="str">
        <f aca="false">IF(OR($AE636="",$U636&lt;&gt;"Crédito",N($K636)=0),"",(N($K636)-IF(OR($M636="Cerrada",$M636="Rolada"),N($O636),0))/$K636)</f>
        <v/>
      </c>
      <c r="AK636" s="15" t="str">
        <f aca="false">IF(OR($C636="",$N636=""),"",DATE(YEAR($N636),MONTH($N636),1))</f>
        <v/>
      </c>
      <c r="AL636" s="11" t="str">
        <f aca="false">IF($C636="","",IF($M636="Abierta",0,1))</f>
        <v/>
      </c>
      <c r="AM636" s="16" t="str">
        <f aca="false">IF(OR($AE636="",$AD636=""),"",$AD636*MAX(N($X636),1))</f>
        <v/>
      </c>
      <c r="AN636" s="10" t="str">
        <f aca="false">IF($C636="","",IF(OR($B636="",$D636="",$H636="",$K636="",$M636=""),"Faltan datos obligatorios",IF($T636="","Estrategia no reconocida",IF(AND($M636&lt;&gt;"Abierta",$N636=""),"Falta fecha cierre",IF(AND(OR($M636="Cerrada",$M636="Rolada"),$O636=""),"Falta prima cierre",IF(AND($N636&lt;&gt;"",$N636&lt;$B636),"Cierre anterior a apertura",IF(AND($M636="Asignada",$R636=""),"Asignada: falta ID lote acciones",IF(AND($R636&lt;&gt;"",ISNA(MATCH($R636,Acciones!$A$2:$A$201,0))),"El ID lote no existe en Acciones",IF($AD636="","Revisa capital en riesgo","OK")))))))))</f>
        <v/>
      </c>
    </row>
    <row r="637" customFormat="false" ht="15" hidden="false" customHeight="true" outlineLevel="0" collapsed="false">
      <c r="A637" s="5"/>
      <c r="B637" s="6"/>
      <c r="C637" s="7"/>
      <c r="D637" s="7"/>
      <c r="E637" s="8"/>
      <c r="F637" s="8"/>
      <c r="G637" s="6"/>
      <c r="H637" s="5"/>
      <c r="I637" s="5" t="n">
        <v>100</v>
      </c>
      <c r="J637" s="8"/>
      <c r="K637" s="8"/>
      <c r="L637" s="9"/>
      <c r="M637" s="7"/>
      <c r="N637" s="6"/>
      <c r="O637" s="8"/>
      <c r="P637" s="9"/>
      <c r="Q637" s="9"/>
      <c r="R637" s="7"/>
      <c r="S637" s="7"/>
      <c r="T637" s="10" t="str">
        <f aca="false">IF($C637="","",IFERROR(INDEX(Listas!$B$2:$B$20,MATCH($D637,Listas!$A$2:$A$20,0)),""))</f>
        <v/>
      </c>
      <c r="U637" s="10" t="str">
        <f aca="false">IF($C637="","",IFERROR(INDEX(Listas!$C$2:$C$20,MATCH($D637,Listas!$A$2:$A$20,0)),""))</f>
        <v/>
      </c>
      <c r="V637" s="10" t="str">
        <f aca="false">IF($C637="","",IFERROR(INDEX(Listas!$D$2:$D$20,MATCH($D637,Listas!$A$2:$A$20,0)),""))</f>
        <v/>
      </c>
      <c r="W637" s="11" t="str">
        <f aca="false">IF(OR($C637="",$B637="",$G637=""),"",$G637-$B637)</f>
        <v/>
      </c>
      <c r="X637" s="11" t="str">
        <f aca="true">IF(OR($C637="",$B637=""),"",IF($N637&lt;&gt;"",$N637,TODAY())-$B637)</f>
        <v/>
      </c>
      <c r="Y637" s="11" t="str">
        <f aca="true">IF(OR($C637="",$M637&lt;&gt;"Abierta",$G637=""),"",MAX($G637-TODAY(),0))</f>
        <v/>
      </c>
      <c r="Z637" s="12" t="str">
        <f aca="false">IF($C637="","",N($K637)*N($H637)*N($I637)*IF($U637="Débito",-1,1))</f>
        <v/>
      </c>
      <c r="AA637" s="13" t="str">
        <f aca="false">IF($C637="","",IF(AND($U637="Débito",$F637&lt;&gt;""),$F637,$E637))</f>
        <v/>
      </c>
      <c r="AB637" s="13" t="str">
        <f aca="false">IF(OR($C637="",$T637="Mixta",$AA637=""),"",IF($V637="Subyacente",IF($J637="","",$J637-$K637),IF($T637="Put",$AA637-$K637,$AA637+$K637)))</f>
        <v/>
      </c>
      <c r="AC637" s="14" t="str">
        <f aca="false">IF(OR($C637="",$T637="Mixta",$J637="",$AA637=""),"",IF($T637="Put",($J637-$AA637)/$J637,($AA637-$J637)/$J637))</f>
        <v/>
      </c>
      <c r="AD637" s="12" t="str">
        <f aca="false">IF($C637="","",IF($Q637&lt;&gt;"",$Q637,IF($V637="Strike",N($E637)*$H637*$I637,IF($V637="Subyacente",IF($J637="","",$J637*$H637*$I637),IF($V637="Ancho",IF($F637="","",ABS($E637-$F637)*$H637*$I637-$K637*$H637*$I637),IF($V637="Prima",$K637*$H637*$I637,""))))))</f>
        <v/>
      </c>
      <c r="AE637" s="12" t="str">
        <f aca="false">IF(OR($C637="",$M637="Abierta",$M637=""),"",(N($K637)-IF(OR($M637="Cerrada",$M637="Rolada"),N($O637),0))*$H637*$I637*IF($U637="Débito",-1,1)-N($L637)-N($P637))</f>
        <v/>
      </c>
      <c r="AF637" s="14" t="str">
        <f aca="false">IF(OR($AE637="",$AD637=""),"",IF($AD637&lt;=0,"",$AE637/$AD637))</f>
        <v/>
      </c>
      <c r="AG637" s="14" t="str">
        <f aca="false">IF($AF637="","",$AF637*365/MAX(N($X637),1))</f>
        <v/>
      </c>
      <c r="AH637" s="14" t="str">
        <f aca="false">IF(OR($C637="",$U637&lt;&gt;"Crédito",$AD637=""),"",IF($AD637&lt;=0,"",($Z637-N($L637))/$AD637))</f>
        <v/>
      </c>
      <c r="AI637" s="14" t="str">
        <f aca="false">IF(OR($AH637="",$W637=""),"",$AH637*365/MAX($W637,1))</f>
        <v/>
      </c>
      <c r="AJ637" s="14" t="str">
        <f aca="false">IF(OR($AE637="",$U637&lt;&gt;"Crédito",N($K637)=0),"",(N($K637)-IF(OR($M637="Cerrada",$M637="Rolada"),N($O637),0))/$K637)</f>
        <v/>
      </c>
      <c r="AK637" s="15" t="str">
        <f aca="false">IF(OR($C637="",$N637=""),"",DATE(YEAR($N637),MONTH($N637),1))</f>
        <v/>
      </c>
      <c r="AL637" s="11" t="str">
        <f aca="false">IF($C637="","",IF($M637="Abierta",0,1))</f>
        <v/>
      </c>
      <c r="AM637" s="16" t="str">
        <f aca="false">IF(OR($AE637="",$AD637=""),"",$AD637*MAX(N($X637),1))</f>
        <v/>
      </c>
      <c r="AN637" s="10" t="str">
        <f aca="false">IF($C637="","",IF(OR($B637="",$D637="",$H637="",$K637="",$M637=""),"Faltan datos obligatorios",IF($T637="","Estrategia no reconocida",IF(AND($M637&lt;&gt;"Abierta",$N637=""),"Falta fecha cierre",IF(AND(OR($M637="Cerrada",$M637="Rolada"),$O637=""),"Falta prima cierre",IF(AND($N637&lt;&gt;"",$N637&lt;$B637),"Cierre anterior a apertura",IF(AND($M637="Asignada",$R637=""),"Asignada: falta ID lote acciones",IF(AND($R637&lt;&gt;"",ISNA(MATCH($R637,Acciones!$A$2:$A$201,0))),"El ID lote no existe en Acciones",IF($AD637="","Revisa capital en riesgo","OK")))))))))</f>
        <v/>
      </c>
    </row>
    <row r="638" customFormat="false" ht="15" hidden="false" customHeight="true" outlineLevel="0" collapsed="false">
      <c r="A638" s="5"/>
      <c r="B638" s="6"/>
      <c r="C638" s="7"/>
      <c r="D638" s="7"/>
      <c r="E638" s="8"/>
      <c r="F638" s="8"/>
      <c r="G638" s="6"/>
      <c r="H638" s="5"/>
      <c r="I638" s="5" t="n">
        <v>100</v>
      </c>
      <c r="J638" s="8"/>
      <c r="K638" s="8"/>
      <c r="L638" s="9"/>
      <c r="M638" s="7"/>
      <c r="N638" s="6"/>
      <c r="O638" s="8"/>
      <c r="P638" s="9"/>
      <c r="Q638" s="9"/>
      <c r="R638" s="7"/>
      <c r="S638" s="7"/>
      <c r="T638" s="10" t="str">
        <f aca="false">IF($C638="","",IFERROR(INDEX(Listas!$B$2:$B$20,MATCH($D638,Listas!$A$2:$A$20,0)),""))</f>
        <v/>
      </c>
      <c r="U638" s="10" t="str">
        <f aca="false">IF($C638="","",IFERROR(INDEX(Listas!$C$2:$C$20,MATCH($D638,Listas!$A$2:$A$20,0)),""))</f>
        <v/>
      </c>
      <c r="V638" s="10" t="str">
        <f aca="false">IF($C638="","",IFERROR(INDEX(Listas!$D$2:$D$20,MATCH($D638,Listas!$A$2:$A$20,0)),""))</f>
        <v/>
      </c>
      <c r="W638" s="11" t="str">
        <f aca="false">IF(OR($C638="",$B638="",$G638=""),"",$G638-$B638)</f>
        <v/>
      </c>
      <c r="X638" s="11" t="str">
        <f aca="true">IF(OR($C638="",$B638=""),"",IF($N638&lt;&gt;"",$N638,TODAY())-$B638)</f>
        <v/>
      </c>
      <c r="Y638" s="11" t="str">
        <f aca="true">IF(OR($C638="",$M638&lt;&gt;"Abierta",$G638=""),"",MAX($G638-TODAY(),0))</f>
        <v/>
      </c>
      <c r="Z638" s="12" t="str">
        <f aca="false">IF($C638="","",N($K638)*N($H638)*N($I638)*IF($U638="Débito",-1,1))</f>
        <v/>
      </c>
      <c r="AA638" s="13" t="str">
        <f aca="false">IF($C638="","",IF(AND($U638="Débito",$F638&lt;&gt;""),$F638,$E638))</f>
        <v/>
      </c>
      <c r="AB638" s="13" t="str">
        <f aca="false">IF(OR($C638="",$T638="Mixta",$AA638=""),"",IF($V638="Subyacente",IF($J638="","",$J638-$K638),IF($T638="Put",$AA638-$K638,$AA638+$K638)))</f>
        <v/>
      </c>
      <c r="AC638" s="14" t="str">
        <f aca="false">IF(OR($C638="",$T638="Mixta",$J638="",$AA638=""),"",IF($T638="Put",($J638-$AA638)/$J638,($AA638-$J638)/$J638))</f>
        <v/>
      </c>
      <c r="AD638" s="12" t="str">
        <f aca="false">IF($C638="","",IF($Q638&lt;&gt;"",$Q638,IF($V638="Strike",N($E638)*$H638*$I638,IF($V638="Subyacente",IF($J638="","",$J638*$H638*$I638),IF($V638="Ancho",IF($F638="","",ABS($E638-$F638)*$H638*$I638-$K638*$H638*$I638),IF($V638="Prima",$K638*$H638*$I638,""))))))</f>
        <v/>
      </c>
      <c r="AE638" s="12" t="str">
        <f aca="false">IF(OR($C638="",$M638="Abierta",$M638=""),"",(N($K638)-IF(OR($M638="Cerrada",$M638="Rolada"),N($O638),0))*$H638*$I638*IF($U638="Débito",-1,1)-N($L638)-N($P638))</f>
        <v/>
      </c>
      <c r="AF638" s="14" t="str">
        <f aca="false">IF(OR($AE638="",$AD638=""),"",IF($AD638&lt;=0,"",$AE638/$AD638))</f>
        <v/>
      </c>
      <c r="AG638" s="14" t="str">
        <f aca="false">IF($AF638="","",$AF638*365/MAX(N($X638),1))</f>
        <v/>
      </c>
      <c r="AH638" s="14" t="str">
        <f aca="false">IF(OR($C638="",$U638&lt;&gt;"Crédito",$AD638=""),"",IF($AD638&lt;=0,"",($Z638-N($L638))/$AD638))</f>
        <v/>
      </c>
      <c r="AI638" s="14" t="str">
        <f aca="false">IF(OR($AH638="",$W638=""),"",$AH638*365/MAX($W638,1))</f>
        <v/>
      </c>
      <c r="AJ638" s="14" t="str">
        <f aca="false">IF(OR($AE638="",$U638&lt;&gt;"Crédito",N($K638)=0),"",(N($K638)-IF(OR($M638="Cerrada",$M638="Rolada"),N($O638),0))/$K638)</f>
        <v/>
      </c>
      <c r="AK638" s="15" t="str">
        <f aca="false">IF(OR($C638="",$N638=""),"",DATE(YEAR($N638),MONTH($N638),1))</f>
        <v/>
      </c>
      <c r="AL638" s="11" t="str">
        <f aca="false">IF($C638="","",IF($M638="Abierta",0,1))</f>
        <v/>
      </c>
      <c r="AM638" s="16" t="str">
        <f aca="false">IF(OR($AE638="",$AD638=""),"",$AD638*MAX(N($X638),1))</f>
        <v/>
      </c>
      <c r="AN638" s="10" t="str">
        <f aca="false">IF($C638="","",IF(OR($B638="",$D638="",$H638="",$K638="",$M638=""),"Faltan datos obligatorios",IF($T638="","Estrategia no reconocida",IF(AND($M638&lt;&gt;"Abierta",$N638=""),"Falta fecha cierre",IF(AND(OR($M638="Cerrada",$M638="Rolada"),$O638=""),"Falta prima cierre",IF(AND($N638&lt;&gt;"",$N638&lt;$B638),"Cierre anterior a apertura",IF(AND($M638="Asignada",$R638=""),"Asignada: falta ID lote acciones",IF(AND($R638&lt;&gt;"",ISNA(MATCH($R638,Acciones!$A$2:$A$201,0))),"El ID lote no existe en Acciones",IF($AD638="","Revisa capital en riesgo","OK")))))))))</f>
        <v/>
      </c>
    </row>
    <row r="639" customFormat="false" ht="15" hidden="false" customHeight="true" outlineLevel="0" collapsed="false">
      <c r="A639" s="5"/>
      <c r="B639" s="6"/>
      <c r="C639" s="7"/>
      <c r="D639" s="7"/>
      <c r="E639" s="8"/>
      <c r="F639" s="8"/>
      <c r="G639" s="6"/>
      <c r="H639" s="5"/>
      <c r="I639" s="5" t="n">
        <v>100</v>
      </c>
      <c r="J639" s="8"/>
      <c r="K639" s="8"/>
      <c r="L639" s="9"/>
      <c r="M639" s="7"/>
      <c r="N639" s="6"/>
      <c r="O639" s="8"/>
      <c r="P639" s="9"/>
      <c r="Q639" s="9"/>
      <c r="R639" s="7"/>
      <c r="S639" s="7"/>
      <c r="T639" s="10" t="str">
        <f aca="false">IF($C639="","",IFERROR(INDEX(Listas!$B$2:$B$20,MATCH($D639,Listas!$A$2:$A$20,0)),""))</f>
        <v/>
      </c>
      <c r="U639" s="10" t="str">
        <f aca="false">IF($C639="","",IFERROR(INDEX(Listas!$C$2:$C$20,MATCH($D639,Listas!$A$2:$A$20,0)),""))</f>
        <v/>
      </c>
      <c r="V639" s="10" t="str">
        <f aca="false">IF($C639="","",IFERROR(INDEX(Listas!$D$2:$D$20,MATCH($D639,Listas!$A$2:$A$20,0)),""))</f>
        <v/>
      </c>
      <c r="W639" s="11" t="str">
        <f aca="false">IF(OR($C639="",$B639="",$G639=""),"",$G639-$B639)</f>
        <v/>
      </c>
      <c r="X639" s="11" t="str">
        <f aca="true">IF(OR($C639="",$B639=""),"",IF($N639&lt;&gt;"",$N639,TODAY())-$B639)</f>
        <v/>
      </c>
      <c r="Y639" s="11" t="str">
        <f aca="true">IF(OR($C639="",$M639&lt;&gt;"Abierta",$G639=""),"",MAX($G639-TODAY(),0))</f>
        <v/>
      </c>
      <c r="Z639" s="12" t="str">
        <f aca="false">IF($C639="","",N($K639)*N($H639)*N($I639)*IF($U639="Débito",-1,1))</f>
        <v/>
      </c>
      <c r="AA639" s="13" t="str">
        <f aca="false">IF($C639="","",IF(AND($U639="Débito",$F639&lt;&gt;""),$F639,$E639))</f>
        <v/>
      </c>
      <c r="AB639" s="13" t="str">
        <f aca="false">IF(OR($C639="",$T639="Mixta",$AA639=""),"",IF($V639="Subyacente",IF($J639="","",$J639-$K639),IF($T639="Put",$AA639-$K639,$AA639+$K639)))</f>
        <v/>
      </c>
      <c r="AC639" s="14" t="str">
        <f aca="false">IF(OR($C639="",$T639="Mixta",$J639="",$AA639=""),"",IF($T639="Put",($J639-$AA639)/$J639,($AA639-$J639)/$J639))</f>
        <v/>
      </c>
      <c r="AD639" s="12" t="str">
        <f aca="false">IF($C639="","",IF($Q639&lt;&gt;"",$Q639,IF($V639="Strike",N($E639)*$H639*$I639,IF($V639="Subyacente",IF($J639="","",$J639*$H639*$I639),IF($V639="Ancho",IF($F639="","",ABS($E639-$F639)*$H639*$I639-$K639*$H639*$I639),IF($V639="Prima",$K639*$H639*$I639,""))))))</f>
        <v/>
      </c>
      <c r="AE639" s="12" t="str">
        <f aca="false">IF(OR($C639="",$M639="Abierta",$M639=""),"",(N($K639)-IF(OR($M639="Cerrada",$M639="Rolada"),N($O639),0))*$H639*$I639*IF($U639="Débito",-1,1)-N($L639)-N($P639))</f>
        <v/>
      </c>
      <c r="AF639" s="14" t="str">
        <f aca="false">IF(OR($AE639="",$AD639=""),"",IF($AD639&lt;=0,"",$AE639/$AD639))</f>
        <v/>
      </c>
      <c r="AG639" s="14" t="str">
        <f aca="false">IF($AF639="","",$AF639*365/MAX(N($X639),1))</f>
        <v/>
      </c>
      <c r="AH639" s="14" t="str">
        <f aca="false">IF(OR($C639="",$U639&lt;&gt;"Crédito",$AD639=""),"",IF($AD639&lt;=0,"",($Z639-N($L639))/$AD639))</f>
        <v/>
      </c>
      <c r="AI639" s="14" t="str">
        <f aca="false">IF(OR($AH639="",$W639=""),"",$AH639*365/MAX($W639,1))</f>
        <v/>
      </c>
      <c r="AJ639" s="14" t="str">
        <f aca="false">IF(OR($AE639="",$U639&lt;&gt;"Crédito",N($K639)=0),"",(N($K639)-IF(OR($M639="Cerrada",$M639="Rolada"),N($O639),0))/$K639)</f>
        <v/>
      </c>
      <c r="AK639" s="15" t="str">
        <f aca="false">IF(OR($C639="",$N639=""),"",DATE(YEAR($N639),MONTH($N639),1))</f>
        <v/>
      </c>
      <c r="AL639" s="11" t="str">
        <f aca="false">IF($C639="","",IF($M639="Abierta",0,1))</f>
        <v/>
      </c>
      <c r="AM639" s="16" t="str">
        <f aca="false">IF(OR($AE639="",$AD639=""),"",$AD639*MAX(N($X639),1))</f>
        <v/>
      </c>
      <c r="AN639" s="10" t="str">
        <f aca="false">IF($C639="","",IF(OR($B639="",$D639="",$H639="",$K639="",$M639=""),"Faltan datos obligatorios",IF($T639="","Estrategia no reconocida",IF(AND($M639&lt;&gt;"Abierta",$N639=""),"Falta fecha cierre",IF(AND(OR($M639="Cerrada",$M639="Rolada"),$O639=""),"Falta prima cierre",IF(AND($N639&lt;&gt;"",$N639&lt;$B639),"Cierre anterior a apertura",IF(AND($M639="Asignada",$R639=""),"Asignada: falta ID lote acciones",IF(AND($R639&lt;&gt;"",ISNA(MATCH($R639,Acciones!$A$2:$A$201,0))),"El ID lote no existe en Acciones",IF($AD639="","Revisa capital en riesgo","OK")))))))))</f>
        <v/>
      </c>
    </row>
    <row r="640" customFormat="false" ht="15" hidden="false" customHeight="true" outlineLevel="0" collapsed="false">
      <c r="A640" s="5"/>
      <c r="B640" s="6"/>
      <c r="C640" s="7"/>
      <c r="D640" s="7"/>
      <c r="E640" s="8"/>
      <c r="F640" s="8"/>
      <c r="G640" s="6"/>
      <c r="H640" s="5"/>
      <c r="I640" s="5" t="n">
        <v>100</v>
      </c>
      <c r="J640" s="8"/>
      <c r="K640" s="8"/>
      <c r="L640" s="9"/>
      <c r="M640" s="7"/>
      <c r="N640" s="6"/>
      <c r="O640" s="8"/>
      <c r="P640" s="9"/>
      <c r="Q640" s="9"/>
      <c r="R640" s="7"/>
      <c r="S640" s="7"/>
      <c r="T640" s="10" t="str">
        <f aca="false">IF($C640="","",IFERROR(INDEX(Listas!$B$2:$B$20,MATCH($D640,Listas!$A$2:$A$20,0)),""))</f>
        <v/>
      </c>
      <c r="U640" s="10" t="str">
        <f aca="false">IF($C640="","",IFERROR(INDEX(Listas!$C$2:$C$20,MATCH($D640,Listas!$A$2:$A$20,0)),""))</f>
        <v/>
      </c>
      <c r="V640" s="10" t="str">
        <f aca="false">IF($C640="","",IFERROR(INDEX(Listas!$D$2:$D$20,MATCH($D640,Listas!$A$2:$A$20,0)),""))</f>
        <v/>
      </c>
      <c r="W640" s="11" t="str">
        <f aca="false">IF(OR($C640="",$B640="",$G640=""),"",$G640-$B640)</f>
        <v/>
      </c>
      <c r="X640" s="11" t="str">
        <f aca="true">IF(OR($C640="",$B640=""),"",IF($N640&lt;&gt;"",$N640,TODAY())-$B640)</f>
        <v/>
      </c>
      <c r="Y640" s="11" t="str">
        <f aca="true">IF(OR($C640="",$M640&lt;&gt;"Abierta",$G640=""),"",MAX($G640-TODAY(),0))</f>
        <v/>
      </c>
      <c r="Z640" s="12" t="str">
        <f aca="false">IF($C640="","",N($K640)*N($H640)*N($I640)*IF($U640="Débito",-1,1))</f>
        <v/>
      </c>
      <c r="AA640" s="13" t="str">
        <f aca="false">IF($C640="","",IF(AND($U640="Débito",$F640&lt;&gt;""),$F640,$E640))</f>
        <v/>
      </c>
      <c r="AB640" s="13" t="str">
        <f aca="false">IF(OR($C640="",$T640="Mixta",$AA640=""),"",IF($V640="Subyacente",IF($J640="","",$J640-$K640),IF($T640="Put",$AA640-$K640,$AA640+$K640)))</f>
        <v/>
      </c>
      <c r="AC640" s="14" t="str">
        <f aca="false">IF(OR($C640="",$T640="Mixta",$J640="",$AA640=""),"",IF($T640="Put",($J640-$AA640)/$J640,($AA640-$J640)/$J640))</f>
        <v/>
      </c>
      <c r="AD640" s="12" t="str">
        <f aca="false">IF($C640="","",IF($Q640&lt;&gt;"",$Q640,IF($V640="Strike",N($E640)*$H640*$I640,IF($V640="Subyacente",IF($J640="","",$J640*$H640*$I640),IF($V640="Ancho",IF($F640="","",ABS($E640-$F640)*$H640*$I640-$K640*$H640*$I640),IF($V640="Prima",$K640*$H640*$I640,""))))))</f>
        <v/>
      </c>
      <c r="AE640" s="12" t="str">
        <f aca="false">IF(OR($C640="",$M640="Abierta",$M640=""),"",(N($K640)-IF(OR($M640="Cerrada",$M640="Rolada"),N($O640),0))*$H640*$I640*IF($U640="Débito",-1,1)-N($L640)-N($P640))</f>
        <v/>
      </c>
      <c r="AF640" s="14" t="str">
        <f aca="false">IF(OR($AE640="",$AD640=""),"",IF($AD640&lt;=0,"",$AE640/$AD640))</f>
        <v/>
      </c>
      <c r="AG640" s="14" t="str">
        <f aca="false">IF($AF640="","",$AF640*365/MAX(N($X640),1))</f>
        <v/>
      </c>
      <c r="AH640" s="14" t="str">
        <f aca="false">IF(OR($C640="",$U640&lt;&gt;"Crédito",$AD640=""),"",IF($AD640&lt;=0,"",($Z640-N($L640))/$AD640))</f>
        <v/>
      </c>
      <c r="AI640" s="14" t="str">
        <f aca="false">IF(OR($AH640="",$W640=""),"",$AH640*365/MAX($W640,1))</f>
        <v/>
      </c>
      <c r="AJ640" s="14" t="str">
        <f aca="false">IF(OR($AE640="",$U640&lt;&gt;"Crédito",N($K640)=0),"",(N($K640)-IF(OR($M640="Cerrada",$M640="Rolada"),N($O640),0))/$K640)</f>
        <v/>
      </c>
      <c r="AK640" s="15" t="str">
        <f aca="false">IF(OR($C640="",$N640=""),"",DATE(YEAR($N640),MONTH($N640),1))</f>
        <v/>
      </c>
      <c r="AL640" s="11" t="str">
        <f aca="false">IF($C640="","",IF($M640="Abierta",0,1))</f>
        <v/>
      </c>
      <c r="AM640" s="16" t="str">
        <f aca="false">IF(OR($AE640="",$AD640=""),"",$AD640*MAX(N($X640),1))</f>
        <v/>
      </c>
      <c r="AN640" s="10" t="str">
        <f aca="false">IF($C640="","",IF(OR($B640="",$D640="",$H640="",$K640="",$M640=""),"Faltan datos obligatorios",IF($T640="","Estrategia no reconocida",IF(AND($M640&lt;&gt;"Abierta",$N640=""),"Falta fecha cierre",IF(AND(OR($M640="Cerrada",$M640="Rolada"),$O640=""),"Falta prima cierre",IF(AND($N640&lt;&gt;"",$N640&lt;$B640),"Cierre anterior a apertura",IF(AND($M640="Asignada",$R640=""),"Asignada: falta ID lote acciones",IF(AND($R640&lt;&gt;"",ISNA(MATCH($R640,Acciones!$A$2:$A$201,0))),"El ID lote no existe en Acciones",IF($AD640="","Revisa capital en riesgo","OK")))))))))</f>
        <v/>
      </c>
    </row>
    <row r="641" customFormat="false" ht="15" hidden="false" customHeight="true" outlineLevel="0" collapsed="false">
      <c r="A641" s="5"/>
      <c r="B641" s="6"/>
      <c r="C641" s="7"/>
      <c r="D641" s="7"/>
      <c r="E641" s="8"/>
      <c r="F641" s="8"/>
      <c r="G641" s="6"/>
      <c r="H641" s="5"/>
      <c r="I641" s="5" t="n">
        <v>100</v>
      </c>
      <c r="J641" s="8"/>
      <c r="K641" s="8"/>
      <c r="L641" s="9"/>
      <c r="M641" s="7"/>
      <c r="N641" s="6"/>
      <c r="O641" s="8"/>
      <c r="P641" s="9"/>
      <c r="Q641" s="9"/>
      <c r="R641" s="7"/>
      <c r="S641" s="7"/>
      <c r="T641" s="10" t="str">
        <f aca="false">IF($C641="","",IFERROR(INDEX(Listas!$B$2:$B$20,MATCH($D641,Listas!$A$2:$A$20,0)),""))</f>
        <v/>
      </c>
      <c r="U641" s="10" t="str">
        <f aca="false">IF($C641="","",IFERROR(INDEX(Listas!$C$2:$C$20,MATCH($D641,Listas!$A$2:$A$20,0)),""))</f>
        <v/>
      </c>
      <c r="V641" s="10" t="str">
        <f aca="false">IF($C641="","",IFERROR(INDEX(Listas!$D$2:$D$20,MATCH($D641,Listas!$A$2:$A$20,0)),""))</f>
        <v/>
      </c>
      <c r="W641" s="11" t="str">
        <f aca="false">IF(OR($C641="",$B641="",$G641=""),"",$G641-$B641)</f>
        <v/>
      </c>
      <c r="X641" s="11" t="str">
        <f aca="true">IF(OR($C641="",$B641=""),"",IF($N641&lt;&gt;"",$N641,TODAY())-$B641)</f>
        <v/>
      </c>
      <c r="Y641" s="11" t="str">
        <f aca="true">IF(OR($C641="",$M641&lt;&gt;"Abierta",$G641=""),"",MAX($G641-TODAY(),0))</f>
        <v/>
      </c>
      <c r="Z641" s="12" t="str">
        <f aca="false">IF($C641="","",N($K641)*N($H641)*N($I641)*IF($U641="Débito",-1,1))</f>
        <v/>
      </c>
      <c r="AA641" s="13" t="str">
        <f aca="false">IF($C641="","",IF(AND($U641="Débito",$F641&lt;&gt;""),$F641,$E641))</f>
        <v/>
      </c>
      <c r="AB641" s="13" t="str">
        <f aca="false">IF(OR($C641="",$T641="Mixta",$AA641=""),"",IF($V641="Subyacente",IF($J641="","",$J641-$K641),IF($T641="Put",$AA641-$K641,$AA641+$K641)))</f>
        <v/>
      </c>
      <c r="AC641" s="14" t="str">
        <f aca="false">IF(OR($C641="",$T641="Mixta",$J641="",$AA641=""),"",IF($T641="Put",($J641-$AA641)/$J641,($AA641-$J641)/$J641))</f>
        <v/>
      </c>
      <c r="AD641" s="12" t="str">
        <f aca="false">IF($C641="","",IF($Q641&lt;&gt;"",$Q641,IF($V641="Strike",N($E641)*$H641*$I641,IF($V641="Subyacente",IF($J641="","",$J641*$H641*$I641),IF($V641="Ancho",IF($F641="","",ABS($E641-$F641)*$H641*$I641-$K641*$H641*$I641),IF($V641="Prima",$K641*$H641*$I641,""))))))</f>
        <v/>
      </c>
      <c r="AE641" s="12" t="str">
        <f aca="false">IF(OR($C641="",$M641="Abierta",$M641=""),"",(N($K641)-IF(OR($M641="Cerrada",$M641="Rolada"),N($O641),0))*$H641*$I641*IF($U641="Débito",-1,1)-N($L641)-N($P641))</f>
        <v/>
      </c>
      <c r="AF641" s="14" t="str">
        <f aca="false">IF(OR($AE641="",$AD641=""),"",IF($AD641&lt;=0,"",$AE641/$AD641))</f>
        <v/>
      </c>
      <c r="AG641" s="14" t="str">
        <f aca="false">IF($AF641="","",$AF641*365/MAX(N($X641),1))</f>
        <v/>
      </c>
      <c r="AH641" s="14" t="str">
        <f aca="false">IF(OR($C641="",$U641&lt;&gt;"Crédito",$AD641=""),"",IF($AD641&lt;=0,"",($Z641-N($L641))/$AD641))</f>
        <v/>
      </c>
      <c r="AI641" s="14" t="str">
        <f aca="false">IF(OR($AH641="",$W641=""),"",$AH641*365/MAX($W641,1))</f>
        <v/>
      </c>
      <c r="AJ641" s="14" t="str">
        <f aca="false">IF(OR($AE641="",$U641&lt;&gt;"Crédito",N($K641)=0),"",(N($K641)-IF(OR($M641="Cerrada",$M641="Rolada"),N($O641),0))/$K641)</f>
        <v/>
      </c>
      <c r="AK641" s="15" t="str">
        <f aca="false">IF(OR($C641="",$N641=""),"",DATE(YEAR($N641),MONTH($N641),1))</f>
        <v/>
      </c>
      <c r="AL641" s="11" t="str">
        <f aca="false">IF($C641="","",IF($M641="Abierta",0,1))</f>
        <v/>
      </c>
      <c r="AM641" s="16" t="str">
        <f aca="false">IF(OR($AE641="",$AD641=""),"",$AD641*MAX(N($X641),1))</f>
        <v/>
      </c>
      <c r="AN641" s="10" t="str">
        <f aca="false">IF($C641="","",IF(OR($B641="",$D641="",$H641="",$K641="",$M641=""),"Faltan datos obligatorios",IF($T641="","Estrategia no reconocida",IF(AND($M641&lt;&gt;"Abierta",$N641=""),"Falta fecha cierre",IF(AND(OR($M641="Cerrada",$M641="Rolada"),$O641=""),"Falta prima cierre",IF(AND($N641&lt;&gt;"",$N641&lt;$B641),"Cierre anterior a apertura",IF(AND($M641="Asignada",$R641=""),"Asignada: falta ID lote acciones",IF(AND($R641&lt;&gt;"",ISNA(MATCH($R641,Acciones!$A$2:$A$201,0))),"El ID lote no existe en Acciones",IF($AD641="","Revisa capital en riesgo","OK")))))))))</f>
        <v/>
      </c>
    </row>
    <row r="642" customFormat="false" ht="15" hidden="false" customHeight="true" outlineLevel="0" collapsed="false">
      <c r="A642" s="5"/>
      <c r="B642" s="6"/>
      <c r="C642" s="7"/>
      <c r="D642" s="7"/>
      <c r="E642" s="8"/>
      <c r="F642" s="8"/>
      <c r="G642" s="6"/>
      <c r="H642" s="5"/>
      <c r="I642" s="5" t="n">
        <v>100</v>
      </c>
      <c r="J642" s="8"/>
      <c r="K642" s="8"/>
      <c r="L642" s="9"/>
      <c r="M642" s="7"/>
      <c r="N642" s="6"/>
      <c r="O642" s="8"/>
      <c r="P642" s="9"/>
      <c r="Q642" s="9"/>
      <c r="R642" s="7"/>
      <c r="S642" s="7"/>
      <c r="T642" s="10" t="str">
        <f aca="false">IF($C642="","",IFERROR(INDEX(Listas!$B$2:$B$20,MATCH($D642,Listas!$A$2:$A$20,0)),""))</f>
        <v/>
      </c>
      <c r="U642" s="10" t="str">
        <f aca="false">IF($C642="","",IFERROR(INDEX(Listas!$C$2:$C$20,MATCH($D642,Listas!$A$2:$A$20,0)),""))</f>
        <v/>
      </c>
      <c r="V642" s="10" t="str">
        <f aca="false">IF($C642="","",IFERROR(INDEX(Listas!$D$2:$D$20,MATCH($D642,Listas!$A$2:$A$20,0)),""))</f>
        <v/>
      </c>
      <c r="W642" s="11" t="str">
        <f aca="false">IF(OR($C642="",$B642="",$G642=""),"",$G642-$B642)</f>
        <v/>
      </c>
      <c r="X642" s="11" t="str">
        <f aca="true">IF(OR($C642="",$B642=""),"",IF($N642&lt;&gt;"",$N642,TODAY())-$B642)</f>
        <v/>
      </c>
      <c r="Y642" s="11" t="str">
        <f aca="true">IF(OR($C642="",$M642&lt;&gt;"Abierta",$G642=""),"",MAX($G642-TODAY(),0))</f>
        <v/>
      </c>
      <c r="Z642" s="12" t="str">
        <f aca="false">IF($C642="","",N($K642)*N($H642)*N($I642)*IF($U642="Débito",-1,1))</f>
        <v/>
      </c>
      <c r="AA642" s="13" t="str">
        <f aca="false">IF($C642="","",IF(AND($U642="Débito",$F642&lt;&gt;""),$F642,$E642))</f>
        <v/>
      </c>
      <c r="AB642" s="13" t="str">
        <f aca="false">IF(OR($C642="",$T642="Mixta",$AA642=""),"",IF($V642="Subyacente",IF($J642="","",$J642-$K642),IF($T642="Put",$AA642-$K642,$AA642+$K642)))</f>
        <v/>
      </c>
      <c r="AC642" s="14" t="str">
        <f aca="false">IF(OR($C642="",$T642="Mixta",$J642="",$AA642=""),"",IF($T642="Put",($J642-$AA642)/$J642,($AA642-$J642)/$J642))</f>
        <v/>
      </c>
      <c r="AD642" s="12" t="str">
        <f aca="false">IF($C642="","",IF($Q642&lt;&gt;"",$Q642,IF($V642="Strike",N($E642)*$H642*$I642,IF($V642="Subyacente",IF($J642="","",$J642*$H642*$I642),IF($V642="Ancho",IF($F642="","",ABS($E642-$F642)*$H642*$I642-$K642*$H642*$I642),IF($V642="Prima",$K642*$H642*$I642,""))))))</f>
        <v/>
      </c>
      <c r="AE642" s="12" t="str">
        <f aca="false">IF(OR($C642="",$M642="Abierta",$M642=""),"",(N($K642)-IF(OR($M642="Cerrada",$M642="Rolada"),N($O642),0))*$H642*$I642*IF($U642="Débito",-1,1)-N($L642)-N($P642))</f>
        <v/>
      </c>
      <c r="AF642" s="14" t="str">
        <f aca="false">IF(OR($AE642="",$AD642=""),"",IF($AD642&lt;=0,"",$AE642/$AD642))</f>
        <v/>
      </c>
      <c r="AG642" s="14" t="str">
        <f aca="false">IF($AF642="","",$AF642*365/MAX(N($X642),1))</f>
        <v/>
      </c>
      <c r="AH642" s="14" t="str">
        <f aca="false">IF(OR($C642="",$U642&lt;&gt;"Crédito",$AD642=""),"",IF($AD642&lt;=0,"",($Z642-N($L642))/$AD642))</f>
        <v/>
      </c>
      <c r="AI642" s="14" t="str">
        <f aca="false">IF(OR($AH642="",$W642=""),"",$AH642*365/MAX($W642,1))</f>
        <v/>
      </c>
      <c r="AJ642" s="14" t="str">
        <f aca="false">IF(OR($AE642="",$U642&lt;&gt;"Crédito",N($K642)=0),"",(N($K642)-IF(OR($M642="Cerrada",$M642="Rolada"),N($O642),0))/$K642)</f>
        <v/>
      </c>
      <c r="AK642" s="15" t="str">
        <f aca="false">IF(OR($C642="",$N642=""),"",DATE(YEAR($N642),MONTH($N642),1))</f>
        <v/>
      </c>
      <c r="AL642" s="11" t="str">
        <f aca="false">IF($C642="","",IF($M642="Abierta",0,1))</f>
        <v/>
      </c>
      <c r="AM642" s="16" t="str">
        <f aca="false">IF(OR($AE642="",$AD642=""),"",$AD642*MAX(N($X642),1))</f>
        <v/>
      </c>
      <c r="AN642" s="10" t="str">
        <f aca="false">IF($C642="","",IF(OR($B642="",$D642="",$H642="",$K642="",$M642=""),"Faltan datos obligatorios",IF($T642="","Estrategia no reconocida",IF(AND($M642&lt;&gt;"Abierta",$N642=""),"Falta fecha cierre",IF(AND(OR($M642="Cerrada",$M642="Rolada"),$O642=""),"Falta prima cierre",IF(AND($N642&lt;&gt;"",$N642&lt;$B642),"Cierre anterior a apertura",IF(AND($M642="Asignada",$R642=""),"Asignada: falta ID lote acciones",IF(AND($R642&lt;&gt;"",ISNA(MATCH($R642,Acciones!$A$2:$A$201,0))),"El ID lote no existe en Acciones",IF($AD642="","Revisa capital en riesgo","OK")))))))))</f>
        <v/>
      </c>
    </row>
    <row r="643" customFormat="false" ht="15" hidden="false" customHeight="true" outlineLevel="0" collapsed="false">
      <c r="A643" s="5"/>
      <c r="B643" s="6"/>
      <c r="C643" s="7"/>
      <c r="D643" s="7"/>
      <c r="E643" s="8"/>
      <c r="F643" s="8"/>
      <c r="G643" s="6"/>
      <c r="H643" s="5"/>
      <c r="I643" s="5" t="n">
        <v>100</v>
      </c>
      <c r="J643" s="8"/>
      <c r="K643" s="8"/>
      <c r="L643" s="9"/>
      <c r="M643" s="7"/>
      <c r="N643" s="6"/>
      <c r="O643" s="8"/>
      <c r="P643" s="9"/>
      <c r="Q643" s="9"/>
      <c r="R643" s="7"/>
      <c r="S643" s="7"/>
      <c r="T643" s="10" t="str">
        <f aca="false">IF($C643="","",IFERROR(INDEX(Listas!$B$2:$B$20,MATCH($D643,Listas!$A$2:$A$20,0)),""))</f>
        <v/>
      </c>
      <c r="U643" s="10" t="str">
        <f aca="false">IF($C643="","",IFERROR(INDEX(Listas!$C$2:$C$20,MATCH($D643,Listas!$A$2:$A$20,0)),""))</f>
        <v/>
      </c>
      <c r="V643" s="10" t="str">
        <f aca="false">IF($C643="","",IFERROR(INDEX(Listas!$D$2:$D$20,MATCH($D643,Listas!$A$2:$A$20,0)),""))</f>
        <v/>
      </c>
      <c r="W643" s="11" t="str">
        <f aca="false">IF(OR($C643="",$B643="",$G643=""),"",$G643-$B643)</f>
        <v/>
      </c>
      <c r="X643" s="11" t="str">
        <f aca="true">IF(OR($C643="",$B643=""),"",IF($N643&lt;&gt;"",$N643,TODAY())-$B643)</f>
        <v/>
      </c>
      <c r="Y643" s="11" t="str">
        <f aca="true">IF(OR($C643="",$M643&lt;&gt;"Abierta",$G643=""),"",MAX($G643-TODAY(),0))</f>
        <v/>
      </c>
      <c r="Z643" s="12" t="str">
        <f aca="false">IF($C643="","",N($K643)*N($H643)*N($I643)*IF($U643="Débito",-1,1))</f>
        <v/>
      </c>
      <c r="AA643" s="13" t="str">
        <f aca="false">IF($C643="","",IF(AND($U643="Débito",$F643&lt;&gt;""),$F643,$E643))</f>
        <v/>
      </c>
      <c r="AB643" s="13" t="str">
        <f aca="false">IF(OR($C643="",$T643="Mixta",$AA643=""),"",IF($V643="Subyacente",IF($J643="","",$J643-$K643),IF($T643="Put",$AA643-$K643,$AA643+$K643)))</f>
        <v/>
      </c>
      <c r="AC643" s="14" t="str">
        <f aca="false">IF(OR($C643="",$T643="Mixta",$J643="",$AA643=""),"",IF($T643="Put",($J643-$AA643)/$J643,($AA643-$J643)/$J643))</f>
        <v/>
      </c>
      <c r="AD643" s="12" t="str">
        <f aca="false">IF($C643="","",IF($Q643&lt;&gt;"",$Q643,IF($V643="Strike",N($E643)*$H643*$I643,IF($V643="Subyacente",IF($J643="","",$J643*$H643*$I643),IF($V643="Ancho",IF($F643="","",ABS($E643-$F643)*$H643*$I643-$K643*$H643*$I643),IF($V643="Prima",$K643*$H643*$I643,""))))))</f>
        <v/>
      </c>
      <c r="AE643" s="12" t="str">
        <f aca="false">IF(OR($C643="",$M643="Abierta",$M643=""),"",(N($K643)-IF(OR($M643="Cerrada",$M643="Rolada"),N($O643),0))*$H643*$I643*IF($U643="Débito",-1,1)-N($L643)-N($P643))</f>
        <v/>
      </c>
      <c r="AF643" s="14" t="str">
        <f aca="false">IF(OR($AE643="",$AD643=""),"",IF($AD643&lt;=0,"",$AE643/$AD643))</f>
        <v/>
      </c>
      <c r="AG643" s="14" t="str">
        <f aca="false">IF($AF643="","",$AF643*365/MAX(N($X643),1))</f>
        <v/>
      </c>
      <c r="AH643" s="14" t="str">
        <f aca="false">IF(OR($C643="",$U643&lt;&gt;"Crédito",$AD643=""),"",IF($AD643&lt;=0,"",($Z643-N($L643))/$AD643))</f>
        <v/>
      </c>
      <c r="AI643" s="14" t="str">
        <f aca="false">IF(OR($AH643="",$W643=""),"",$AH643*365/MAX($W643,1))</f>
        <v/>
      </c>
      <c r="AJ643" s="14" t="str">
        <f aca="false">IF(OR($AE643="",$U643&lt;&gt;"Crédito",N($K643)=0),"",(N($K643)-IF(OR($M643="Cerrada",$M643="Rolada"),N($O643),0))/$K643)</f>
        <v/>
      </c>
      <c r="AK643" s="15" t="str">
        <f aca="false">IF(OR($C643="",$N643=""),"",DATE(YEAR($N643),MONTH($N643),1))</f>
        <v/>
      </c>
      <c r="AL643" s="11" t="str">
        <f aca="false">IF($C643="","",IF($M643="Abierta",0,1))</f>
        <v/>
      </c>
      <c r="AM643" s="16" t="str">
        <f aca="false">IF(OR($AE643="",$AD643=""),"",$AD643*MAX(N($X643),1))</f>
        <v/>
      </c>
      <c r="AN643" s="10" t="str">
        <f aca="false">IF($C643="","",IF(OR($B643="",$D643="",$H643="",$K643="",$M643=""),"Faltan datos obligatorios",IF($T643="","Estrategia no reconocida",IF(AND($M643&lt;&gt;"Abierta",$N643=""),"Falta fecha cierre",IF(AND(OR($M643="Cerrada",$M643="Rolada"),$O643=""),"Falta prima cierre",IF(AND($N643&lt;&gt;"",$N643&lt;$B643),"Cierre anterior a apertura",IF(AND($M643="Asignada",$R643=""),"Asignada: falta ID lote acciones",IF(AND($R643&lt;&gt;"",ISNA(MATCH($R643,Acciones!$A$2:$A$201,0))),"El ID lote no existe en Acciones",IF($AD643="","Revisa capital en riesgo","OK")))))))))</f>
        <v/>
      </c>
    </row>
    <row r="644" customFormat="false" ht="15" hidden="false" customHeight="true" outlineLevel="0" collapsed="false">
      <c r="A644" s="5"/>
      <c r="B644" s="6"/>
      <c r="C644" s="7"/>
      <c r="D644" s="7"/>
      <c r="E644" s="8"/>
      <c r="F644" s="8"/>
      <c r="G644" s="6"/>
      <c r="H644" s="5"/>
      <c r="I644" s="5" t="n">
        <v>100</v>
      </c>
      <c r="J644" s="8"/>
      <c r="K644" s="8"/>
      <c r="L644" s="9"/>
      <c r="M644" s="7"/>
      <c r="N644" s="6"/>
      <c r="O644" s="8"/>
      <c r="P644" s="9"/>
      <c r="Q644" s="9"/>
      <c r="R644" s="7"/>
      <c r="S644" s="7"/>
      <c r="T644" s="10" t="str">
        <f aca="false">IF($C644="","",IFERROR(INDEX(Listas!$B$2:$B$20,MATCH($D644,Listas!$A$2:$A$20,0)),""))</f>
        <v/>
      </c>
      <c r="U644" s="10" t="str">
        <f aca="false">IF($C644="","",IFERROR(INDEX(Listas!$C$2:$C$20,MATCH($D644,Listas!$A$2:$A$20,0)),""))</f>
        <v/>
      </c>
      <c r="V644" s="10" t="str">
        <f aca="false">IF($C644="","",IFERROR(INDEX(Listas!$D$2:$D$20,MATCH($D644,Listas!$A$2:$A$20,0)),""))</f>
        <v/>
      </c>
      <c r="W644" s="11" t="str">
        <f aca="false">IF(OR($C644="",$B644="",$G644=""),"",$G644-$B644)</f>
        <v/>
      </c>
      <c r="X644" s="11" t="str">
        <f aca="true">IF(OR($C644="",$B644=""),"",IF($N644&lt;&gt;"",$N644,TODAY())-$B644)</f>
        <v/>
      </c>
      <c r="Y644" s="11" t="str">
        <f aca="true">IF(OR($C644="",$M644&lt;&gt;"Abierta",$G644=""),"",MAX($G644-TODAY(),0))</f>
        <v/>
      </c>
      <c r="Z644" s="12" t="str">
        <f aca="false">IF($C644="","",N($K644)*N($H644)*N($I644)*IF($U644="Débito",-1,1))</f>
        <v/>
      </c>
      <c r="AA644" s="13" t="str">
        <f aca="false">IF($C644="","",IF(AND($U644="Débito",$F644&lt;&gt;""),$F644,$E644))</f>
        <v/>
      </c>
      <c r="AB644" s="13" t="str">
        <f aca="false">IF(OR($C644="",$T644="Mixta",$AA644=""),"",IF($V644="Subyacente",IF($J644="","",$J644-$K644),IF($T644="Put",$AA644-$K644,$AA644+$K644)))</f>
        <v/>
      </c>
      <c r="AC644" s="14" t="str">
        <f aca="false">IF(OR($C644="",$T644="Mixta",$J644="",$AA644=""),"",IF($T644="Put",($J644-$AA644)/$J644,($AA644-$J644)/$J644))</f>
        <v/>
      </c>
      <c r="AD644" s="12" t="str">
        <f aca="false">IF($C644="","",IF($Q644&lt;&gt;"",$Q644,IF($V644="Strike",N($E644)*$H644*$I644,IF($V644="Subyacente",IF($J644="","",$J644*$H644*$I644),IF($V644="Ancho",IF($F644="","",ABS($E644-$F644)*$H644*$I644-$K644*$H644*$I644),IF($V644="Prima",$K644*$H644*$I644,""))))))</f>
        <v/>
      </c>
      <c r="AE644" s="12" t="str">
        <f aca="false">IF(OR($C644="",$M644="Abierta",$M644=""),"",(N($K644)-IF(OR($M644="Cerrada",$M644="Rolada"),N($O644),0))*$H644*$I644*IF($U644="Débito",-1,1)-N($L644)-N($P644))</f>
        <v/>
      </c>
      <c r="AF644" s="14" t="str">
        <f aca="false">IF(OR($AE644="",$AD644=""),"",IF($AD644&lt;=0,"",$AE644/$AD644))</f>
        <v/>
      </c>
      <c r="AG644" s="14" t="str">
        <f aca="false">IF($AF644="","",$AF644*365/MAX(N($X644),1))</f>
        <v/>
      </c>
      <c r="AH644" s="14" t="str">
        <f aca="false">IF(OR($C644="",$U644&lt;&gt;"Crédito",$AD644=""),"",IF($AD644&lt;=0,"",($Z644-N($L644))/$AD644))</f>
        <v/>
      </c>
      <c r="AI644" s="14" t="str">
        <f aca="false">IF(OR($AH644="",$W644=""),"",$AH644*365/MAX($W644,1))</f>
        <v/>
      </c>
      <c r="AJ644" s="14" t="str">
        <f aca="false">IF(OR($AE644="",$U644&lt;&gt;"Crédito",N($K644)=0),"",(N($K644)-IF(OR($M644="Cerrada",$M644="Rolada"),N($O644),0))/$K644)</f>
        <v/>
      </c>
      <c r="AK644" s="15" t="str">
        <f aca="false">IF(OR($C644="",$N644=""),"",DATE(YEAR($N644),MONTH($N644),1))</f>
        <v/>
      </c>
      <c r="AL644" s="11" t="str">
        <f aca="false">IF($C644="","",IF($M644="Abierta",0,1))</f>
        <v/>
      </c>
      <c r="AM644" s="16" t="str">
        <f aca="false">IF(OR($AE644="",$AD644=""),"",$AD644*MAX(N($X644),1))</f>
        <v/>
      </c>
      <c r="AN644" s="10" t="str">
        <f aca="false">IF($C644="","",IF(OR($B644="",$D644="",$H644="",$K644="",$M644=""),"Faltan datos obligatorios",IF($T644="","Estrategia no reconocida",IF(AND($M644&lt;&gt;"Abierta",$N644=""),"Falta fecha cierre",IF(AND(OR($M644="Cerrada",$M644="Rolada"),$O644=""),"Falta prima cierre",IF(AND($N644&lt;&gt;"",$N644&lt;$B644),"Cierre anterior a apertura",IF(AND($M644="Asignada",$R644=""),"Asignada: falta ID lote acciones",IF(AND($R644&lt;&gt;"",ISNA(MATCH($R644,Acciones!$A$2:$A$201,0))),"El ID lote no existe en Acciones",IF($AD644="","Revisa capital en riesgo","OK")))))))))</f>
        <v/>
      </c>
    </row>
    <row r="645" customFormat="false" ht="15" hidden="false" customHeight="true" outlineLevel="0" collapsed="false">
      <c r="A645" s="5"/>
      <c r="B645" s="6"/>
      <c r="C645" s="7"/>
      <c r="D645" s="7"/>
      <c r="E645" s="8"/>
      <c r="F645" s="8"/>
      <c r="G645" s="6"/>
      <c r="H645" s="5"/>
      <c r="I645" s="5" t="n">
        <v>100</v>
      </c>
      <c r="J645" s="8"/>
      <c r="K645" s="8"/>
      <c r="L645" s="9"/>
      <c r="M645" s="7"/>
      <c r="N645" s="6"/>
      <c r="O645" s="8"/>
      <c r="P645" s="9"/>
      <c r="Q645" s="9"/>
      <c r="R645" s="7"/>
      <c r="S645" s="7"/>
      <c r="T645" s="10" t="str">
        <f aca="false">IF($C645="","",IFERROR(INDEX(Listas!$B$2:$B$20,MATCH($D645,Listas!$A$2:$A$20,0)),""))</f>
        <v/>
      </c>
      <c r="U645" s="10" t="str">
        <f aca="false">IF($C645="","",IFERROR(INDEX(Listas!$C$2:$C$20,MATCH($D645,Listas!$A$2:$A$20,0)),""))</f>
        <v/>
      </c>
      <c r="V645" s="10" t="str">
        <f aca="false">IF($C645="","",IFERROR(INDEX(Listas!$D$2:$D$20,MATCH($D645,Listas!$A$2:$A$20,0)),""))</f>
        <v/>
      </c>
      <c r="W645" s="11" t="str">
        <f aca="false">IF(OR($C645="",$B645="",$G645=""),"",$G645-$B645)</f>
        <v/>
      </c>
      <c r="X645" s="11" t="str">
        <f aca="true">IF(OR($C645="",$B645=""),"",IF($N645&lt;&gt;"",$N645,TODAY())-$B645)</f>
        <v/>
      </c>
      <c r="Y645" s="11" t="str">
        <f aca="true">IF(OR($C645="",$M645&lt;&gt;"Abierta",$G645=""),"",MAX($G645-TODAY(),0))</f>
        <v/>
      </c>
      <c r="Z645" s="12" t="str">
        <f aca="false">IF($C645="","",N($K645)*N($H645)*N($I645)*IF($U645="Débito",-1,1))</f>
        <v/>
      </c>
      <c r="AA645" s="13" t="str">
        <f aca="false">IF($C645="","",IF(AND($U645="Débito",$F645&lt;&gt;""),$F645,$E645))</f>
        <v/>
      </c>
      <c r="AB645" s="13" t="str">
        <f aca="false">IF(OR($C645="",$T645="Mixta",$AA645=""),"",IF($V645="Subyacente",IF($J645="","",$J645-$K645),IF($T645="Put",$AA645-$K645,$AA645+$K645)))</f>
        <v/>
      </c>
      <c r="AC645" s="14" t="str">
        <f aca="false">IF(OR($C645="",$T645="Mixta",$J645="",$AA645=""),"",IF($T645="Put",($J645-$AA645)/$J645,($AA645-$J645)/$J645))</f>
        <v/>
      </c>
      <c r="AD645" s="12" t="str">
        <f aca="false">IF($C645="","",IF($Q645&lt;&gt;"",$Q645,IF($V645="Strike",N($E645)*$H645*$I645,IF($V645="Subyacente",IF($J645="","",$J645*$H645*$I645),IF($V645="Ancho",IF($F645="","",ABS($E645-$F645)*$H645*$I645-$K645*$H645*$I645),IF($V645="Prima",$K645*$H645*$I645,""))))))</f>
        <v/>
      </c>
      <c r="AE645" s="12" t="str">
        <f aca="false">IF(OR($C645="",$M645="Abierta",$M645=""),"",(N($K645)-IF(OR($M645="Cerrada",$M645="Rolada"),N($O645),0))*$H645*$I645*IF($U645="Débito",-1,1)-N($L645)-N($P645))</f>
        <v/>
      </c>
      <c r="AF645" s="14" t="str">
        <f aca="false">IF(OR($AE645="",$AD645=""),"",IF($AD645&lt;=0,"",$AE645/$AD645))</f>
        <v/>
      </c>
      <c r="AG645" s="14" t="str">
        <f aca="false">IF($AF645="","",$AF645*365/MAX(N($X645),1))</f>
        <v/>
      </c>
      <c r="AH645" s="14" t="str">
        <f aca="false">IF(OR($C645="",$U645&lt;&gt;"Crédito",$AD645=""),"",IF($AD645&lt;=0,"",($Z645-N($L645))/$AD645))</f>
        <v/>
      </c>
      <c r="AI645" s="14" t="str">
        <f aca="false">IF(OR($AH645="",$W645=""),"",$AH645*365/MAX($W645,1))</f>
        <v/>
      </c>
      <c r="AJ645" s="14" t="str">
        <f aca="false">IF(OR($AE645="",$U645&lt;&gt;"Crédito",N($K645)=0),"",(N($K645)-IF(OR($M645="Cerrada",$M645="Rolada"),N($O645),0))/$K645)</f>
        <v/>
      </c>
      <c r="AK645" s="15" t="str">
        <f aca="false">IF(OR($C645="",$N645=""),"",DATE(YEAR($N645),MONTH($N645),1))</f>
        <v/>
      </c>
      <c r="AL645" s="11" t="str">
        <f aca="false">IF($C645="","",IF($M645="Abierta",0,1))</f>
        <v/>
      </c>
      <c r="AM645" s="16" t="str">
        <f aca="false">IF(OR($AE645="",$AD645=""),"",$AD645*MAX(N($X645),1))</f>
        <v/>
      </c>
      <c r="AN645" s="10" t="str">
        <f aca="false">IF($C645="","",IF(OR($B645="",$D645="",$H645="",$K645="",$M645=""),"Faltan datos obligatorios",IF($T645="","Estrategia no reconocida",IF(AND($M645&lt;&gt;"Abierta",$N645=""),"Falta fecha cierre",IF(AND(OR($M645="Cerrada",$M645="Rolada"),$O645=""),"Falta prima cierre",IF(AND($N645&lt;&gt;"",$N645&lt;$B645),"Cierre anterior a apertura",IF(AND($M645="Asignada",$R645=""),"Asignada: falta ID lote acciones",IF(AND($R645&lt;&gt;"",ISNA(MATCH($R645,Acciones!$A$2:$A$201,0))),"El ID lote no existe en Acciones",IF($AD645="","Revisa capital en riesgo","OK")))))))))</f>
        <v/>
      </c>
    </row>
    <row r="646" customFormat="false" ht="15" hidden="false" customHeight="true" outlineLevel="0" collapsed="false">
      <c r="A646" s="5"/>
      <c r="B646" s="6"/>
      <c r="C646" s="7"/>
      <c r="D646" s="7"/>
      <c r="E646" s="8"/>
      <c r="F646" s="8"/>
      <c r="G646" s="6"/>
      <c r="H646" s="5"/>
      <c r="I646" s="5" t="n">
        <v>100</v>
      </c>
      <c r="J646" s="8"/>
      <c r="K646" s="8"/>
      <c r="L646" s="9"/>
      <c r="M646" s="7"/>
      <c r="N646" s="6"/>
      <c r="O646" s="8"/>
      <c r="P646" s="9"/>
      <c r="Q646" s="9"/>
      <c r="R646" s="7"/>
      <c r="S646" s="7"/>
      <c r="T646" s="10" t="str">
        <f aca="false">IF($C646="","",IFERROR(INDEX(Listas!$B$2:$B$20,MATCH($D646,Listas!$A$2:$A$20,0)),""))</f>
        <v/>
      </c>
      <c r="U646" s="10" t="str">
        <f aca="false">IF($C646="","",IFERROR(INDEX(Listas!$C$2:$C$20,MATCH($D646,Listas!$A$2:$A$20,0)),""))</f>
        <v/>
      </c>
      <c r="V646" s="10" t="str">
        <f aca="false">IF($C646="","",IFERROR(INDEX(Listas!$D$2:$D$20,MATCH($D646,Listas!$A$2:$A$20,0)),""))</f>
        <v/>
      </c>
      <c r="W646" s="11" t="str">
        <f aca="false">IF(OR($C646="",$B646="",$G646=""),"",$G646-$B646)</f>
        <v/>
      </c>
      <c r="X646" s="11" t="str">
        <f aca="true">IF(OR($C646="",$B646=""),"",IF($N646&lt;&gt;"",$N646,TODAY())-$B646)</f>
        <v/>
      </c>
      <c r="Y646" s="11" t="str">
        <f aca="true">IF(OR($C646="",$M646&lt;&gt;"Abierta",$G646=""),"",MAX($G646-TODAY(),0))</f>
        <v/>
      </c>
      <c r="Z646" s="12" t="str">
        <f aca="false">IF($C646="","",N($K646)*N($H646)*N($I646)*IF($U646="Débito",-1,1))</f>
        <v/>
      </c>
      <c r="AA646" s="13" t="str">
        <f aca="false">IF($C646="","",IF(AND($U646="Débito",$F646&lt;&gt;""),$F646,$E646))</f>
        <v/>
      </c>
      <c r="AB646" s="13" t="str">
        <f aca="false">IF(OR($C646="",$T646="Mixta",$AA646=""),"",IF($V646="Subyacente",IF($J646="","",$J646-$K646),IF($T646="Put",$AA646-$K646,$AA646+$K646)))</f>
        <v/>
      </c>
      <c r="AC646" s="14" t="str">
        <f aca="false">IF(OR($C646="",$T646="Mixta",$J646="",$AA646=""),"",IF($T646="Put",($J646-$AA646)/$J646,($AA646-$J646)/$J646))</f>
        <v/>
      </c>
      <c r="AD646" s="12" t="str">
        <f aca="false">IF($C646="","",IF($Q646&lt;&gt;"",$Q646,IF($V646="Strike",N($E646)*$H646*$I646,IF($V646="Subyacente",IF($J646="","",$J646*$H646*$I646),IF($V646="Ancho",IF($F646="","",ABS($E646-$F646)*$H646*$I646-$K646*$H646*$I646),IF($V646="Prima",$K646*$H646*$I646,""))))))</f>
        <v/>
      </c>
      <c r="AE646" s="12" t="str">
        <f aca="false">IF(OR($C646="",$M646="Abierta",$M646=""),"",(N($K646)-IF(OR($M646="Cerrada",$M646="Rolada"),N($O646),0))*$H646*$I646*IF($U646="Débito",-1,1)-N($L646)-N($P646))</f>
        <v/>
      </c>
      <c r="AF646" s="14" t="str">
        <f aca="false">IF(OR($AE646="",$AD646=""),"",IF($AD646&lt;=0,"",$AE646/$AD646))</f>
        <v/>
      </c>
      <c r="AG646" s="14" t="str">
        <f aca="false">IF($AF646="","",$AF646*365/MAX(N($X646),1))</f>
        <v/>
      </c>
      <c r="AH646" s="14" t="str">
        <f aca="false">IF(OR($C646="",$U646&lt;&gt;"Crédito",$AD646=""),"",IF($AD646&lt;=0,"",($Z646-N($L646))/$AD646))</f>
        <v/>
      </c>
      <c r="AI646" s="14" t="str">
        <f aca="false">IF(OR($AH646="",$W646=""),"",$AH646*365/MAX($W646,1))</f>
        <v/>
      </c>
      <c r="AJ646" s="14" t="str">
        <f aca="false">IF(OR($AE646="",$U646&lt;&gt;"Crédito",N($K646)=0),"",(N($K646)-IF(OR($M646="Cerrada",$M646="Rolada"),N($O646),0))/$K646)</f>
        <v/>
      </c>
      <c r="AK646" s="15" t="str">
        <f aca="false">IF(OR($C646="",$N646=""),"",DATE(YEAR($N646),MONTH($N646),1))</f>
        <v/>
      </c>
      <c r="AL646" s="11" t="str">
        <f aca="false">IF($C646="","",IF($M646="Abierta",0,1))</f>
        <v/>
      </c>
      <c r="AM646" s="16" t="str">
        <f aca="false">IF(OR($AE646="",$AD646=""),"",$AD646*MAX(N($X646),1))</f>
        <v/>
      </c>
      <c r="AN646" s="10" t="str">
        <f aca="false">IF($C646="","",IF(OR($B646="",$D646="",$H646="",$K646="",$M646=""),"Faltan datos obligatorios",IF($T646="","Estrategia no reconocida",IF(AND($M646&lt;&gt;"Abierta",$N646=""),"Falta fecha cierre",IF(AND(OR($M646="Cerrada",$M646="Rolada"),$O646=""),"Falta prima cierre",IF(AND($N646&lt;&gt;"",$N646&lt;$B646),"Cierre anterior a apertura",IF(AND($M646="Asignada",$R646=""),"Asignada: falta ID lote acciones",IF(AND($R646&lt;&gt;"",ISNA(MATCH($R646,Acciones!$A$2:$A$201,0))),"El ID lote no existe en Acciones",IF($AD646="","Revisa capital en riesgo","OK")))))))))</f>
        <v/>
      </c>
    </row>
    <row r="647" customFormat="false" ht="15" hidden="false" customHeight="true" outlineLevel="0" collapsed="false">
      <c r="A647" s="5"/>
      <c r="B647" s="6"/>
      <c r="C647" s="7"/>
      <c r="D647" s="7"/>
      <c r="E647" s="8"/>
      <c r="F647" s="8"/>
      <c r="G647" s="6"/>
      <c r="H647" s="5"/>
      <c r="I647" s="5" t="n">
        <v>100</v>
      </c>
      <c r="J647" s="8"/>
      <c r="K647" s="8"/>
      <c r="L647" s="9"/>
      <c r="M647" s="7"/>
      <c r="N647" s="6"/>
      <c r="O647" s="8"/>
      <c r="P647" s="9"/>
      <c r="Q647" s="9"/>
      <c r="R647" s="7"/>
      <c r="S647" s="7"/>
      <c r="T647" s="10" t="str">
        <f aca="false">IF($C647="","",IFERROR(INDEX(Listas!$B$2:$B$20,MATCH($D647,Listas!$A$2:$A$20,0)),""))</f>
        <v/>
      </c>
      <c r="U647" s="10" t="str">
        <f aca="false">IF($C647="","",IFERROR(INDEX(Listas!$C$2:$C$20,MATCH($D647,Listas!$A$2:$A$20,0)),""))</f>
        <v/>
      </c>
      <c r="V647" s="10" t="str">
        <f aca="false">IF($C647="","",IFERROR(INDEX(Listas!$D$2:$D$20,MATCH($D647,Listas!$A$2:$A$20,0)),""))</f>
        <v/>
      </c>
      <c r="W647" s="11" t="str">
        <f aca="false">IF(OR($C647="",$B647="",$G647=""),"",$G647-$B647)</f>
        <v/>
      </c>
      <c r="X647" s="11" t="str">
        <f aca="true">IF(OR($C647="",$B647=""),"",IF($N647&lt;&gt;"",$N647,TODAY())-$B647)</f>
        <v/>
      </c>
      <c r="Y647" s="11" t="str">
        <f aca="true">IF(OR($C647="",$M647&lt;&gt;"Abierta",$G647=""),"",MAX($G647-TODAY(),0))</f>
        <v/>
      </c>
      <c r="Z647" s="12" t="str">
        <f aca="false">IF($C647="","",N($K647)*N($H647)*N($I647)*IF($U647="Débito",-1,1))</f>
        <v/>
      </c>
      <c r="AA647" s="13" t="str">
        <f aca="false">IF($C647="","",IF(AND($U647="Débito",$F647&lt;&gt;""),$F647,$E647))</f>
        <v/>
      </c>
      <c r="AB647" s="13" t="str">
        <f aca="false">IF(OR($C647="",$T647="Mixta",$AA647=""),"",IF($V647="Subyacente",IF($J647="","",$J647-$K647),IF($T647="Put",$AA647-$K647,$AA647+$K647)))</f>
        <v/>
      </c>
      <c r="AC647" s="14" t="str">
        <f aca="false">IF(OR($C647="",$T647="Mixta",$J647="",$AA647=""),"",IF($T647="Put",($J647-$AA647)/$J647,($AA647-$J647)/$J647))</f>
        <v/>
      </c>
      <c r="AD647" s="12" t="str">
        <f aca="false">IF($C647="","",IF($Q647&lt;&gt;"",$Q647,IF($V647="Strike",N($E647)*$H647*$I647,IF($V647="Subyacente",IF($J647="","",$J647*$H647*$I647),IF($V647="Ancho",IF($F647="","",ABS($E647-$F647)*$H647*$I647-$K647*$H647*$I647),IF($V647="Prima",$K647*$H647*$I647,""))))))</f>
        <v/>
      </c>
      <c r="AE647" s="12" t="str">
        <f aca="false">IF(OR($C647="",$M647="Abierta",$M647=""),"",(N($K647)-IF(OR($M647="Cerrada",$M647="Rolada"),N($O647),0))*$H647*$I647*IF($U647="Débito",-1,1)-N($L647)-N($P647))</f>
        <v/>
      </c>
      <c r="AF647" s="14" t="str">
        <f aca="false">IF(OR($AE647="",$AD647=""),"",IF($AD647&lt;=0,"",$AE647/$AD647))</f>
        <v/>
      </c>
      <c r="AG647" s="14" t="str">
        <f aca="false">IF($AF647="","",$AF647*365/MAX(N($X647),1))</f>
        <v/>
      </c>
      <c r="AH647" s="14" t="str">
        <f aca="false">IF(OR($C647="",$U647&lt;&gt;"Crédito",$AD647=""),"",IF($AD647&lt;=0,"",($Z647-N($L647))/$AD647))</f>
        <v/>
      </c>
      <c r="AI647" s="14" t="str">
        <f aca="false">IF(OR($AH647="",$W647=""),"",$AH647*365/MAX($W647,1))</f>
        <v/>
      </c>
      <c r="AJ647" s="14" t="str">
        <f aca="false">IF(OR($AE647="",$U647&lt;&gt;"Crédito",N($K647)=0),"",(N($K647)-IF(OR($M647="Cerrada",$M647="Rolada"),N($O647),0))/$K647)</f>
        <v/>
      </c>
      <c r="AK647" s="15" t="str">
        <f aca="false">IF(OR($C647="",$N647=""),"",DATE(YEAR($N647),MONTH($N647),1))</f>
        <v/>
      </c>
      <c r="AL647" s="11" t="str">
        <f aca="false">IF($C647="","",IF($M647="Abierta",0,1))</f>
        <v/>
      </c>
      <c r="AM647" s="16" t="str">
        <f aca="false">IF(OR($AE647="",$AD647=""),"",$AD647*MAX(N($X647),1))</f>
        <v/>
      </c>
      <c r="AN647" s="10" t="str">
        <f aca="false">IF($C647="","",IF(OR($B647="",$D647="",$H647="",$K647="",$M647=""),"Faltan datos obligatorios",IF($T647="","Estrategia no reconocida",IF(AND($M647&lt;&gt;"Abierta",$N647=""),"Falta fecha cierre",IF(AND(OR($M647="Cerrada",$M647="Rolada"),$O647=""),"Falta prima cierre",IF(AND($N647&lt;&gt;"",$N647&lt;$B647),"Cierre anterior a apertura",IF(AND($M647="Asignada",$R647=""),"Asignada: falta ID lote acciones",IF(AND($R647&lt;&gt;"",ISNA(MATCH($R647,Acciones!$A$2:$A$201,0))),"El ID lote no existe en Acciones",IF($AD647="","Revisa capital en riesgo","OK")))))))))</f>
        <v/>
      </c>
    </row>
    <row r="648" customFormat="false" ht="15" hidden="false" customHeight="true" outlineLevel="0" collapsed="false">
      <c r="A648" s="5"/>
      <c r="B648" s="6"/>
      <c r="C648" s="7"/>
      <c r="D648" s="7"/>
      <c r="E648" s="8"/>
      <c r="F648" s="8"/>
      <c r="G648" s="6"/>
      <c r="H648" s="5"/>
      <c r="I648" s="5" t="n">
        <v>100</v>
      </c>
      <c r="J648" s="8"/>
      <c r="K648" s="8"/>
      <c r="L648" s="9"/>
      <c r="M648" s="7"/>
      <c r="N648" s="6"/>
      <c r="O648" s="8"/>
      <c r="P648" s="9"/>
      <c r="Q648" s="9"/>
      <c r="R648" s="7"/>
      <c r="S648" s="7"/>
      <c r="T648" s="10" t="str">
        <f aca="false">IF($C648="","",IFERROR(INDEX(Listas!$B$2:$B$20,MATCH($D648,Listas!$A$2:$A$20,0)),""))</f>
        <v/>
      </c>
      <c r="U648" s="10" t="str">
        <f aca="false">IF($C648="","",IFERROR(INDEX(Listas!$C$2:$C$20,MATCH($D648,Listas!$A$2:$A$20,0)),""))</f>
        <v/>
      </c>
      <c r="V648" s="10" t="str">
        <f aca="false">IF($C648="","",IFERROR(INDEX(Listas!$D$2:$D$20,MATCH($D648,Listas!$A$2:$A$20,0)),""))</f>
        <v/>
      </c>
      <c r="W648" s="11" t="str">
        <f aca="false">IF(OR($C648="",$B648="",$G648=""),"",$G648-$B648)</f>
        <v/>
      </c>
      <c r="X648" s="11" t="str">
        <f aca="true">IF(OR($C648="",$B648=""),"",IF($N648&lt;&gt;"",$N648,TODAY())-$B648)</f>
        <v/>
      </c>
      <c r="Y648" s="11" t="str">
        <f aca="true">IF(OR($C648="",$M648&lt;&gt;"Abierta",$G648=""),"",MAX($G648-TODAY(),0))</f>
        <v/>
      </c>
      <c r="Z648" s="12" t="str">
        <f aca="false">IF($C648="","",N($K648)*N($H648)*N($I648)*IF($U648="Débito",-1,1))</f>
        <v/>
      </c>
      <c r="AA648" s="13" t="str">
        <f aca="false">IF($C648="","",IF(AND($U648="Débito",$F648&lt;&gt;""),$F648,$E648))</f>
        <v/>
      </c>
      <c r="AB648" s="13" t="str">
        <f aca="false">IF(OR($C648="",$T648="Mixta",$AA648=""),"",IF($V648="Subyacente",IF($J648="","",$J648-$K648),IF($T648="Put",$AA648-$K648,$AA648+$K648)))</f>
        <v/>
      </c>
      <c r="AC648" s="14" t="str">
        <f aca="false">IF(OR($C648="",$T648="Mixta",$J648="",$AA648=""),"",IF($T648="Put",($J648-$AA648)/$J648,($AA648-$J648)/$J648))</f>
        <v/>
      </c>
      <c r="AD648" s="12" t="str">
        <f aca="false">IF($C648="","",IF($Q648&lt;&gt;"",$Q648,IF($V648="Strike",N($E648)*$H648*$I648,IF($V648="Subyacente",IF($J648="","",$J648*$H648*$I648),IF($V648="Ancho",IF($F648="","",ABS($E648-$F648)*$H648*$I648-$K648*$H648*$I648),IF($V648="Prima",$K648*$H648*$I648,""))))))</f>
        <v/>
      </c>
      <c r="AE648" s="12" t="str">
        <f aca="false">IF(OR($C648="",$M648="Abierta",$M648=""),"",(N($K648)-IF(OR($M648="Cerrada",$M648="Rolada"),N($O648),0))*$H648*$I648*IF($U648="Débito",-1,1)-N($L648)-N($P648))</f>
        <v/>
      </c>
      <c r="AF648" s="14" t="str">
        <f aca="false">IF(OR($AE648="",$AD648=""),"",IF($AD648&lt;=0,"",$AE648/$AD648))</f>
        <v/>
      </c>
      <c r="AG648" s="14" t="str">
        <f aca="false">IF($AF648="","",$AF648*365/MAX(N($X648),1))</f>
        <v/>
      </c>
      <c r="AH648" s="14" t="str">
        <f aca="false">IF(OR($C648="",$U648&lt;&gt;"Crédito",$AD648=""),"",IF($AD648&lt;=0,"",($Z648-N($L648))/$AD648))</f>
        <v/>
      </c>
      <c r="AI648" s="14" t="str">
        <f aca="false">IF(OR($AH648="",$W648=""),"",$AH648*365/MAX($W648,1))</f>
        <v/>
      </c>
      <c r="AJ648" s="14" t="str">
        <f aca="false">IF(OR($AE648="",$U648&lt;&gt;"Crédito",N($K648)=0),"",(N($K648)-IF(OR($M648="Cerrada",$M648="Rolada"),N($O648),0))/$K648)</f>
        <v/>
      </c>
      <c r="AK648" s="15" t="str">
        <f aca="false">IF(OR($C648="",$N648=""),"",DATE(YEAR($N648),MONTH($N648),1))</f>
        <v/>
      </c>
      <c r="AL648" s="11" t="str">
        <f aca="false">IF($C648="","",IF($M648="Abierta",0,1))</f>
        <v/>
      </c>
      <c r="AM648" s="16" t="str">
        <f aca="false">IF(OR($AE648="",$AD648=""),"",$AD648*MAX(N($X648),1))</f>
        <v/>
      </c>
      <c r="AN648" s="10" t="str">
        <f aca="false">IF($C648="","",IF(OR($B648="",$D648="",$H648="",$K648="",$M648=""),"Faltan datos obligatorios",IF($T648="","Estrategia no reconocida",IF(AND($M648&lt;&gt;"Abierta",$N648=""),"Falta fecha cierre",IF(AND(OR($M648="Cerrada",$M648="Rolada"),$O648=""),"Falta prima cierre",IF(AND($N648&lt;&gt;"",$N648&lt;$B648),"Cierre anterior a apertura",IF(AND($M648="Asignada",$R648=""),"Asignada: falta ID lote acciones",IF(AND($R648&lt;&gt;"",ISNA(MATCH($R648,Acciones!$A$2:$A$201,0))),"El ID lote no existe en Acciones",IF($AD648="","Revisa capital en riesgo","OK")))))))))</f>
        <v/>
      </c>
    </row>
    <row r="649" customFormat="false" ht="15" hidden="false" customHeight="true" outlineLevel="0" collapsed="false">
      <c r="A649" s="5"/>
      <c r="B649" s="6"/>
      <c r="C649" s="7"/>
      <c r="D649" s="7"/>
      <c r="E649" s="8"/>
      <c r="F649" s="8"/>
      <c r="G649" s="6"/>
      <c r="H649" s="5"/>
      <c r="I649" s="5" t="n">
        <v>100</v>
      </c>
      <c r="J649" s="8"/>
      <c r="K649" s="8"/>
      <c r="L649" s="9"/>
      <c r="M649" s="7"/>
      <c r="N649" s="6"/>
      <c r="O649" s="8"/>
      <c r="P649" s="9"/>
      <c r="Q649" s="9"/>
      <c r="R649" s="7"/>
      <c r="S649" s="7"/>
      <c r="T649" s="10" t="str">
        <f aca="false">IF($C649="","",IFERROR(INDEX(Listas!$B$2:$B$20,MATCH($D649,Listas!$A$2:$A$20,0)),""))</f>
        <v/>
      </c>
      <c r="U649" s="10" t="str">
        <f aca="false">IF($C649="","",IFERROR(INDEX(Listas!$C$2:$C$20,MATCH($D649,Listas!$A$2:$A$20,0)),""))</f>
        <v/>
      </c>
      <c r="V649" s="10" t="str">
        <f aca="false">IF($C649="","",IFERROR(INDEX(Listas!$D$2:$D$20,MATCH($D649,Listas!$A$2:$A$20,0)),""))</f>
        <v/>
      </c>
      <c r="W649" s="11" t="str">
        <f aca="false">IF(OR($C649="",$B649="",$G649=""),"",$G649-$B649)</f>
        <v/>
      </c>
      <c r="X649" s="11" t="str">
        <f aca="true">IF(OR($C649="",$B649=""),"",IF($N649&lt;&gt;"",$N649,TODAY())-$B649)</f>
        <v/>
      </c>
      <c r="Y649" s="11" t="str">
        <f aca="true">IF(OR($C649="",$M649&lt;&gt;"Abierta",$G649=""),"",MAX($G649-TODAY(),0))</f>
        <v/>
      </c>
      <c r="Z649" s="12" t="str">
        <f aca="false">IF($C649="","",N($K649)*N($H649)*N($I649)*IF($U649="Débito",-1,1))</f>
        <v/>
      </c>
      <c r="AA649" s="13" t="str">
        <f aca="false">IF($C649="","",IF(AND($U649="Débito",$F649&lt;&gt;""),$F649,$E649))</f>
        <v/>
      </c>
      <c r="AB649" s="13" t="str">
        <f aca="false">IF(OR($C649="",$T649="Mixta",$AA649=""),"",IF($V649="Subyacente",IF($J649="","",$J649-$K649),IF($T649="Put",$AA649-$K649,$AA649+$K649)))</f>
        <v/>
      </c>
      <c r="AC649" s="14" t="str">
        <f aca="false">IF(OR($C649="",$T649="Mixta",$J649="",$AA649=""),"",IF($T649="Put",($J649-$AA649)/$J649,($AA649-$J649)/$J649))</f>
        <v/>
      </c>
      <c r="AD649" s="12" t="str">
        <f aca="false">IF($C649="","",IF($Q649&lt;&gt;"",$Q649,IF($V649="Strike",N($E649)*$H649*$I649,IF($V649="Subyacente",IF($J649="","",$J649*$H649*$I649),IF($V649="Ancho",IF($F649="","",ABS($E649-$F649)*$H649*$I649-$K649*$H649*$I649),IF($V649="Prima",$K649*$H649*$I649,""))))))</f>
        <v/>
      </c>
      <c r="AE649" s="12" t="str">
        <f aca="false">IF(OR($C649="",$M649="Abierta",$M649=""),"",(N($K649)-IF(OR($M649="Cerrada",$M649="Rolada"),N($O649),0))*$H649*$I649*IF($U649="Débito",-1,1)-N($L649)-N($P649))</f>
        <v/>
      </c>
      <c r="AF649" s="14" t="str">
        <f aca="false">IF(OR($AE649="",$AD649=""),"",IF($AD649&lt;=0,"",$AE649/$AD649))</f>
        <v/>
      </c>
      <c r="AG649" s="14" t="str">
        <f aca="false">IF($AF649="","",$AF649*365/MAX(N($X649),1))</f>
        <v/>
      </c>
      <c r="AH649" s="14" t="str">
        <f aca="false">IF(OR($C649="",$U649&lt;&gt;"Crédito",$AD649=""),"",IF($AD649&lt;=0,"",($Z649-N($L649))/$AD649))</f>
        <v/>
      </c>
      <c r="AI649" s="14" t="str">
        <f aca="false">IF(OR($AH649="",$W649=""),"",$AH649*365/MAX($W649,1))</f>
        <v/>
      </c>
      <c r="AJ649" s="14" t="str">
        <f aca="false">IF(OR($AE649="",$U649&lt;&gt;"Crédito",N($K649)=0),"",(N($K649)-IF(OR($M649="Cerrada",$M649="Rolada"),N($O649),0))/$K649)</f>
        <v/>
      </c>
      <c r="AK649" s="15" t="str">
        <f aca="false">IF(OR($C649="",$N649=""),"",DATE(YEAR($N649),MONTH($N649),1))</f>
        <v/>
      </c>
      <c r="AL649" s="11" t="str">
        <f aca="false">IF($C649="","",IF($M649="Abierta",0,1))</f>
        <v/>
      </c>
      <c r="AM649" s="16" t="str">
        <f aca="false">IF(OR($AE649="",$AD649=""),"",$AD649*MAX(N($X649),1))</f>
        <v/>
      </c>
      <c r="AN649" s="10" t="str">
        <f aca="false">IF($C649="","",IF(OR($B649="",$D649="",$H649="",$K649="",$M649=""),"Faltan datos obligatorios",IF($T649="","Estrategia no reconocida",IF(AND($M649&lt;&gt;"Abierta",$N649=""),"Falta fecha cierre",IF(AND(OR($M649="Cerrada",$M649="Rolada"),$O649=""),"Falta prima cierre",IF(AND($N649&lt;&gt;"",$N649&lt;$B649),"Cierre anterior a apertura",IF(AND($M649="Asignada",$R649=""),"Asignada: falta ID lote acciones",IF(AND($R649&lt;&gt;"",ISNA(MATCH($R649,Acciones!$A$2:$A$201,0))),"El ID lote no existe en Acciones",IF($AD649="","Revisa capital en riesgo","OK")))))))))</f>
        <v/>
      </c>
    </row>
    <row r="650" customFormat="false" ht="15" hidden="false" customHeight="true" outlineLevel="0" collapsed="false">
      <c r="A650" s="5"/>
      <c r="B650" s="6"/>
      <c r="C650" s="7"/>
      <c r="D650" s="7"/>
      <c r="E650" s="8"/>
      <c r="F650" s="8"/>
      <c r="G650" s="6"/>
      <c r="H650" s="5"/>
      <c r="I650" s="5" t="n">
        <v>100</v>
      </c>
      <c r="J650" s="8"/>
      <c r="K650" s="8"/>
      <c r="L650" s="9"/>
      <c r="M650" s="7"/>
      <c r="N650" s="6"/>
      <c r="O650" s="8"/>
      <c r="P650" s="9"/>
      <c r="Q650" s="9"/>
      <c r="R650" s="7"/>
      <c r="S650" s="7"/>
      <c r="T650" s="10" t="str">
        <f aca="false">IF($C650="","",IFERROR(INDEX(Listas!$B$2:$B$20,MATCH($D650,Listas!$A$2:$A$20,0)),""))</f>
        <v/>
      </c>
      <c r="U650" s="10" t="str">
        <f aca="false">IF($C650="","",IFERROR(INDEX(Listas!$C$2:$C$20,MATCH($D650,Listas!$A$2:$A$20,0)),""))</f>
        <v/>
      </c>
      <c r="V650" s="10" t="str">
        <f aca="false">IF($C650="","",IFERROR(INDEX(Listas!$D$2:$D$20,MATCH($D650,Listas!$A$2:$A$20,0)),""))</f>
        <v/>
      </c>
      <c r="W650" s="11" t="str">
        <f aca="false">IF(OR($C650="",$B650="",$G650=""),"",$G650-$B650)</f>
        <v/>
      </c>
      <c r="X650" s="11" t="str">
        <f aca="true">IF(OR($C650="",$B650=""),"",IF($N650&lt;&gt;"",$N650,TODAY())-$B650)</f>
        <v/>
      </c>
      <c r="Y650" s="11" t="str">
        <f aca="true">IF(OR($C650="",$M650&lt;&gt;"Abierta",$G650=""),"",MAX($G650-TODAY(),0))</f>
        <v/>
      </c>
      <c r="Z650" s="12" t="str">
        <f aca="false">IF($C650="","",N($K650)*N($H650)*N($I650)*IF($U650="Débito",-1,1))</f>
        <v/>
      </c>
      <c r="AA650" s="13" t="str">
        <f aca="false">IF($C650="","",IF(AND($U650="Débito",$F650&lt;&gt;""),$F650,$E650))</f>
        <v/>
      </c>
      <c r="AB650" s="13" t="str">
        <f aca="false">IF(OR($C650="",$T650="Mixta",$AA650=""),"",IF($V650="Subyacente",IF($J650="","",$J650-$K650),IF($T650="Put",$AA650-$K650,$AA650+$K650)))</f>
        <v/>
      </c>
      <c r="AC650" s="14" t="str">
        <f aca="false">IF(OR($C650="",$T650="Mixta",$J650="",$AA650=""),"",IF($T650="Put",($J650-$AA650)/$J650,($AA650-$J650)/$J650))</f>
        <v/>
      </c>
      <c r="AD650" s="12" t="str">
        <f aca="false">IF($C650="","",IF($Q650&lt;&gt;"",$Q650,IF($V650="Strike",N($E650)*$H650*$I650,IF($V650="Subyacente",IF($J650="","",$J650*$H650*$I650),IF($V650="Ancho",IF($F650="","",ABS($E650-$F650)*$H650*$I650-$K650*$H650*$I650),IF($V650="Prima",$K650*$H650*$I650,""))))))</f>
        <v/>
      </c>
      <c r="AE650" s="12" t="str">
        <f aca="false">IF(OR($C650="",$M650="Abierta",$M650=""),"",(N($K650)-IF(OR($M650="Cerrada",$M650="Rolada"),N($O650),0))*$H650*$I650*IF($U650="Débito",-1,1)-N($L650)-N($P650))</f>
        <v/>
      </c>
      <c r="AF650" s="14" t="str">
        <f aca="false">IF(OR($AE650="",$AD650=""),"",IF($AD650&lt;=0,"",$AE650/$AD650))</f>
        <v/>
      </c>
      <c r="AG650" s="14" t="str">
        <f aca="false">IF($AF650="","",$AF650*365/MAX(N($X650),1))</f>
        <v/>
      </c>
      <c r="AH650" s="14" t="str">
        <f aca="false">IF(OR($C650="",$U650&lt;&gt;"Crédito",$AD650=""),"",IF($AD650&lt;=0,"",($Z650-N($L650))/$AD650))</f>
        <v/>
      </c>
      <c r="AI650" s="14" t="str">
        <f aca="false">IF(OR($AH650="",$W650=""),"",$AH650*365/MAX($W650,1))</f>
        <v/>
      </c>
      <c r="AJ650" s="14" t="str">
        <f aca="false">IF(OR($AE650="",$U650&lt;&gt;"Crédito",N($K650)=0),"",(N($K650)-IF(OR($M650="Cerrada",$M650="Rolada"),N($O650),0))/$K650)</f>
        <v/>
      </c>
      <c r="AK650" s="15" t="str">
        <f aca="false">IF(OR($C650="",$N650=""),"",DATE(YEAR($N650),MONTH($N650),1))</f>
        <v/>
      </c>
      <c r="AL650" s="11" t="str">
        <f aca="false">IF($C650="","",IF($M650="Abierta",0,1))</f>
        <v/>
      </c>
      <c r="AM650" s="16" t="str">
        <f aca="false">IF(OR($AE650="",$AD650=""),"",$AD650*MAX(N($X650),1))</f>
        <v/>
      </c>
      <c r="AN650" s="10" t="str">
        <f aca="false">IF($C650="","",IF(OR($B650="",$D650="",$H650="",$K650="",$M650=""),"Faltan datos obligatorios",IF($T650="","Estrategia no reconocida",IF(AND($M650&lt;&gt;"Abierta",$N650=""),"Falta fecha cierre",IF(AND(OR($M650="Cerrada",$M650="Rolada"),$O650=""),"Falta prima cierre",IF(AND($N650&lt;&gt;"",$N650&lt;$B650),"Cierre anterior a apertura",IF(AND($M650="Asignada",$R650=""),"Asignada: falta ID lote acciones",IF(AND($R650&lt;&gt;"",ISNA(MATCH($R650,Acciones!$A$2:$A$201,0))),"El ID lote no existe en Acciones",IF($AD650="","Revisa capital en riesgo","OK")))))))))</f>
        <v/>
      </c>
    </row>
    <row r="651" customFormat="false" ht="15" hidden="false" customHeight="true" outlineLevel="0" collapsed="false">
      <c r="A651" s="5"/>
      <c r="B651" s="6"/>
      <c r="C651" s="7"/>
      <c r="D651" s="7"/>
      <c r="E651" s="8"/>
      <c r="F651" s="8"/>
      <c r="G651" s="6"/>
      <c r="H651" s="5"/>
      <c r="I651" s="5" t="n">
        <v>100</v>
      </c>
      <c r="J651" s="8"/>
      <c r="K651" s="8"/>
      <c r="L651" s="9"/>
      <c r="M651" s="7"/>
      <c r="N651" s="6"/>
      <c r="O651" s="8"/>
      <c r="P651" s="9"/>
      <c r="Q651" s="9"/>
      <c r="R651" s="7"/>
      <c r="S651" s="7"/>
      <c r="T651" s="10" t="str">
        <f aca="false">IF($C651="","",IFERROR(INDEX(Listas!$B$2:$B$20,MATCH($D651,Listas!$A$2:$A$20,0)),""))</f>
        <v/>
      </c>
      <c r="U651" s="10" t="str">
        <f aca="false">IF($C651="","",IFERROR(INDEX(Listas!$C$2:$C$20,MATCH($D651,Listas!$A$2:$A$20,0)),""))</f>
        <v/>
      </c>
      <c r="V651" s="10" t="str">
        <f aca="false">IF($C651="","",IFERROR(INDEX(Listas!$D$2:$D$20,MATCH($D651,Listas!$A$2:$A$20,0)),""))</f>
        <v/>
      </c>
      <c r="W651" s="11" t="str">
        <f aca="false">IF(OR($C651="",$B651="",$G651=""),"",$G651-$B651)</f>
        <v/>
      </c>
      <c r="X651" s="11" t="str">
        <f aca="true">IF(OR($C651="",$B651=""),"",IF($N651&lt;&gt;"",$N651,TODAY())-$B651)</f>
        <v/>
      </c>
      <c r="Y651" s="11" t="str">
        <f aca="true">IF(OR($C651="",$M651&lt;&gt;"Abierta",$G651=""),"",MAX($G651-TODAY(),0))</f>
        <v/>
      </c>
      <c r="Z651" s="12" t="str">
        <f aca="false">IF($C651="","",N($K651)*N($H651)*N($I651)*IF($U651="Débito",-1,1))</f>
        <v/>
      </c>
      <c r="AA651" s="13" t="str">
        <f aca="false">IF($C651="","",IF(AND($U651="Débito",$F651&lt;&gt;""),$F651,$E651))</f>
        <v/>
      </c>
      <c r="AB651" s="13" t="str">
        <f aca="false">IF(OR($C651="",$T651="Mixta",$AA651=""),"",IF($V651="Subyacente",IF($J651="","",$J651-$K651),IF($T651="Put",$AA651-$K651,$AA651+$K651)))</f>
        <v/>
      </c>
      <c r="AC651" s="14" t="str">
        <f aca="false">IF(OR($C651="",$T651="Mixta",$J651="",$AA651=""),"",IF($T651="Put",($J651-$AA651)/$J651,($AA651-$J651)/$J651))</f>
        <v/>
      </c>
      <c r="AD651" s="12" t="str">
        <f aca="false">IF($C651="","",IF($Q651&lt;&gt;"",$Q651,IF($V651="Strike",N($E651)*$H651*$I651,IF($V651="Subyacente",IF($J651="","",$J651*$H651*$I651),IF($V651="Ancho",IF($F651="","",ABS($E651-$F651)*$H651*$I651-$K651*$H651*$I651),IF($V651="Prima",$K651*$H651*$I651,""))))))</f>
        <v/>
      </c>
      <c r="AE651" s="12" t="str">
        <f aca="false">IF(OR($C651="",$M651="Abierta",$M651=""),"",(N($K651)-IF(OR($M651="Cerrada",$M651="Rolada"),N($O651),0))*$H651*$I651*IF($U651="Débito",-1,1)-N($L651)-N($P651))</f>
        <v/>
      </c>
      <c r="AF651" s="14" t="str">
        <f aca="false">IF(OR($AE651="",$AD651=""),"",IF($AD651&lt;=0,"",$AE651/$AD651))</f>
        <v/>
      </c>
      <c r="AG651" s="14" t="str">
        <f aca="false">IF($AF651="","",$AF651*365/MAX(N($X651),1))</f>
        <v/>
      </c>
      <c r="AH651" s="14" t="str">
        <f aca="false">IF(OR($C651="",$U651&lt;&gt;"Crédito",$AD651=""),"",IF($AD651&lt;=0,"",($Z651-N($L651))/$AD651))</f>
        <v/>
      </c>
      <c r="AI651" s="14" t="str">
        <f aca="false">IF(OR($AH651="",$W651=""),"",$AH651*365/MAX($W651,1))</f>
        <v/>
      </c>
      <c r="AJ651" s="14" t="str">
        <f aca="false">IF(OR($AE651="",$U651&lt;&gt;"Crédito",N($K651)=0),"",(N($K651)-IF(OR($M651="Cerrada",$M651="Rolada"),N($O651),0))/$K651)</f>
        <v/>
      </c>
      <c r="AK651" s="15" t="str">
        <f aca="false">IF(OR($C651="",$N651=""),"",DATE(YEAR($N651),MONTH($N651),1))</f>
        <v/>
      </c>
      <c r="AL651" s="11" t="str">
        <f aca="false">IF($C651="","",IF($M651="Abierta",0,1))</f>
        <v/>
      </c>
      <c r="AM651" s="16" t="str">
        <f aca="false">IF(OR($AE651="",$AD651=""),"",$AD651*MAX(N($X651),1))</f>
        <v/>
      </c>
      <c r="AN651" s="10" t="str">
        <f aca="false">IF($C651="","",IF(OR($B651="",$D651="",$H651="",$K651="",$M651=""),"Faltan datos obligatorios",IF($T651="","Estrategia no reconocida",IF(AND($M651&lt;&gt;"Abierta",$N651=""),"Falta fecha cierre",IF(AND(OR($M651="Cerrada",$M651="Rolada"),$O651=""),"Falta prima cierre",IF(AND($N651&lt;&gt;"",$N651&lt;$B651),"Cierre anterior a apertura",IF(AND($M651="Asignada",$R651=""),"Asignada: falta ID lote acciones",IF(AND($R651&lt;&gt;"",ISNA(MATCH($R651,Acciones!$A$2:$A$201,0))),"El ID lote no existe en Acciones",IF($AD651="","Revisa capital en riesgo","OK")))))))))</f>
        <v/>
      </c>
    </row>
    <row r="652" customFormat="false" ht="15" hidden="false" customHeight="true" outlineLevel="0" collapsed="false">
      <c r="A652" s="5"/>
      <c r="B652" s="6"/>
      <c r="C652" s="7"/>
      <c r="D652" s="7"/>
      <c r="E652" s="8"/>
      <c r="F652" s="8"/>
      <c r="G652" s="6"/>
      <c r="H652" s="5"/>
      <c r="I652" s="5" t="n">
        <v>100</v>
      </c>
      <c r="J652" s="8"/>
      <c r="K652" s="8"/>
      <c r="L652" s="9"/>
      <c r="M652" s="7"/>
      <c r="N652" s="6"/>
      <c r="O652" s="8"/>
      <c r="P652" s="9"/>
      <c r="Q652" s="9"/>
      <c r="R652" s="7"/>
      <c r="S652" s="7"/>
      <c r="T652" s="10" t="str">
        <f aca="false">IF($C652="","",IFERROR(INDEX(Listas!$B$2:$B$20,MATCH($D652,Listas!$A$2:$A$20,0)),""))</f>
        <v/>
      </c>
      <c r="U652" s="10" t="str">
        <f aca="false">IF($C652="","",IFERROR(INDEX(Listas!$C$2:$C$20,MATCH($D652,Listas!$A$2:$A$20,0)),""))</f>
        <v/>
      </c>
      <c r="V652" s="10" t="str">
        <f aca="false">IF($C652="","",IFERROR(INDEX(Listas!$D$2:$D$20,MATCH($D652,Listas!$A$2:$A$20,0)),""))</f>
        <v/>
      </c>
      <c r="W652" s="11" t="str">
        <f aca="false">IF(OR($C652="",$B652="",$G652=""),"",$G652-$B652)</f>
        <v/>
      </c>
      <c r="X652" s="11" t="str">
        <f aca="true">IF(OR($C652="",$B652=""),"",IF($N652&lt;&gt;"",$N652,TODAY())-$B652)</f>
        <v/>
      </c>
      <c r="Y652" s="11" t="str">
        <f aca="true">IF(OR($C652="",$M652&lt;&gt;"Abierta",$G652=""),"",MAX($G652-TODAY(),0))</f>
        <v/>
      </c>
      <c r="Z652" s="12" t="str">
        <f aca="false">IF($C652="","",N($K652)*N($H652)*N($I652)*IF($U652="Débito",-1,1))</f>
        <v/>
      </c>
      <c r="AA652" s="13" t="str">
        <f aca="false">IF($C652="","",IF(AND($U652="Débito",$F652&lt;&gt;""),$F652,$E652))</f>
        <v/>
      </c>
      <c r="AB652" s="13" t="str">
        <f aca="false">IF(OR($C652="",$T652="Mixta",$AA652=""),"",IF($V652="Subyacente",IF($J652="","",$J652-$K652),IF($T652="Put",$AA652-$K652,$AA652+$K652)))</f>
        <v/>
      </c>
      <c r="AC652" s="14" t="str">
        <f aca="false">IF(OR($C652="",$T652="Mixta",$J652="",$AA652=""),"",IF($T652="Put",($J652-$AA652)/$J652,($AA652-$J652)/$J652))</f>
        <v/>
      </c>
      <c r="AD652" s="12" t="str">
        <f aca="false">IF($C652="","",IF($Q652&lt;&gt;"",$Q652,IF($V652="Strike",N($E652)*$H652*$I652,IF($V652="Subyacente",IF($J652="","",$J652*$H652*$I652),IF($V652="Ancho",IF($F652="","",ABS($E652-$F652)*$H652*$I652-$K652*$H652*$I652),IF($V652="Prima",$K652*$H652*$I652,""))))))</f>
        <v/>
      </c>
      <c r="AE652" s="12" t="str">
        <f aca="false">IF(OR($C652="",$M652="Abierta",$M652=""),"",(N($K652)-IF(OR($M652="Cerrada",$M652="Rolada"),N($O652),0))*$H652*$I652*IF($U652="Débito",-1,1)-N($L652)-N($P652))</f>
        <v/>
      </c>
      <c r="AF652" s="14" t="str">
        <f aca="false">IF(OR($AE652="",$AD652=""),"",IF($AD652&lt;=0,"",$AE652/$AD652))</f>
        <v/>
      </c>
      <c r="AG652" s="14" t="str">
        <f aca="false">IF($AF652="","",$AF652*365/MAX(N($X652),1))</f>
        <v/>
      </c>
      <c r="AH652" s="14" t="str">
        <f aca="false">IF(OR($C652="",$U652&lt;&gt;"Crédito",$AD652=""),"",IF($AD652&lt;=0,"",($Z652-N($L652))/$AD652))</f>
        <v/>
      </c>
      <c r="AI652" s="14" t="str">
        <f aca="false">IF(OR($AH652="",$W652=""),"",$AH652*365/MAX($W652,1))</f>
        <v/>
      </c>
      <c r="AJ652" s="14" t="str">
        <f aca="false">IF(OR($AE652="",$U652&lt;&gt;"Crédito",N($K652)=0),"",(N($K652)-IF(OR($M652="Cerrada",$M652="Rolada"),N($O652),0))/$K652)</f>
        <v/>
      </c>
      <c r="AK652" s="15" t="str">
        <f aca="false">IF(OR($C652="",$N652=""),"",DATE(YEAR($N652),MONTH($N652),1))</f>
        <v/>
      </c>
      <c r="AL652" s="11" t="str">
        <f aca="false">IF($C652="","",IF($M652="Abierta",0,1))</f>
        <v/>
      </c>
      <c r="AM652" s="16" t="str">
        <f aca="false">IF(OR($AE652="",$AD652=""),"",$AD652*MAX(N($X652),1))</f>
        <v/>
      </c>
      <c r="AN652" s="10" t="str">
        <f aca="false">IF($C652="","",IF(OR($B652="",$D652="",$H652="",$K652="",$M652=""),"Faltan datos obligatorios",IF($T652="","Estrategia no reconocida",IF(AND($M652&lt;&gt;"Abierta",$N652=""),"Falta fecha cierre",IF(AND(OR($M652="Cerrada",$M652="Rolada"),$O652=""),"Falta prima cierre",IF(AND($N652&lt;&gt;"",$N652&lt;$B652),"Cierre anterior a apertura",IF(AND($M652="Asignada",$R652=""),"Asignada: falta ID lote acciones",IF(AND($R652&lt;&gt;"",ISNA(MATCH($R652,Acciones!$A$2:$A$201,0))),"El ID lote no existe en Acciones",IF($AD652="","Revisa capital en riesgo","OK")))))))))</f>
        <v/>
      </c>
    </row>
    <row r="653" customFormat="false" ht="15" hidden="false" customHeight="true" outlineLevel="0" collapsed="false">
      <c r="A653" s="5"/>
      <c r="B653" s="6"/>
      <c r="C653" s="7"/>
      <c r="D653" s="7"/>
      <c r="E653" s="8"/>
      <c r="F653" s="8"/>
      <c r="G653" s="6"/>
      <c r="H653" s="5"/>
      <c r="I653" s="5" t="n">
        <v>100</v>
      </c>
      <c r="J653" s="8"/>
      <c r="K653" s="8"/>
      <c r="L653" s="9"/>
      <c r="M653" s="7"/>
      <c r="N653" s="6"/>
      <c r="O653" s="8"/>
      <c r="P653" s="9"/>
      <c r="Q653" s="9"/>
      <c r="R653" s="7"/>
      <c r="S653" s="7"/>
      <c r="T653" s="10" t="str">
        <f aca="false">IF($C653="","",IFERROR(INDEX(Listas!$B$2:$B$20,MATCH($D653,Listas!$A$2:$A$20,0)),""))</f>
        <v/>
      </c>
      <c r="U653" s="10" t="str">
        <f aca="false">IF($C653="","",IFERROR(INDEX(Listas!$C$2:$C$20,MATCH($D653,Listas!$A$2:$A$20,0)),""))</f>
        <v/>
      </c>
      <c r="V653" s="10" t="str">
        <f aca="false">IF($C653="","",IFERROR(INDEX(Listas!$D$2:$D$20,MATCH($D653,Listas!$A$2:$A$20,0)),""))</f>
        <v/>
      </c>
      <c r="W653" s="11" t="str">
        <f aca="false">IF(OR($C653="",$B653="",$G653=""),"",$G653-$B653)</f>
        <v/>
      </c>
      <c r="X653" s="11" t="str">
        <f aca="true">IF(OR($C653="",$B653=""),"",IF($N653&lt;&gt;"",$N653,TODAY())-$B653)</f>
        <v/>
      </c>
      <c r="Y653" s="11" t="str">
        <f aca="true">IF(OR($C653="",$M653&lt;&gt;"Abierta",$G653=""),"",MAX($G653-TODAY(),0))</f>
        <v/>
      </c>
      <c r="Z653" s="12" t="str">
        <f aca="false">IF($C653="","",N($K653)*N($H653)*N($I653)*IF($U653="Débito",-1,1))</f>
        <v/>
      </c>
      <c r="AA653" s="13" t="str">
        <f aca="false">IF($C653="","",IF(AND($U653="Débito",$F653&lt;&gt;""),$F653,$E653))</f>
        <v/>
      </c>
      <c r="AB653" s="13" t="str">
        <f aca="false">IF(OR($C653="",$T653="Mixta",$AA653=""),"",IF($V653="Subyacente",IF($J653="","",$J653-$K653),IF($T653="Put",$AA653-$K653,$AA653+$K653)))</f>
        <v/>
      </c>
      <c r="AC653" s="14" t="str">
        <f aca="false">IF(OR($C653="",$T653="Mixta",$J653="",$AA653=""),"",IF($T653="Put",($J653-$AA653)/$J653,($AA653-$J653)/$J653))</f>
        <v/>
      </c>
      <c r="AD653" s="12" t="str">
        <f aca="false">IF($C653="","",IF($Q653&lt;&gt;"",$Q653,IF($V653="Strike",N($E653)*$H653*$I653,IF($V653="Subyacente",IF($J653="","",$J653*$H653*$I653),IF($V653="Ancho",IF($F653="","",ABS($E653-$F653)*$H653*$I653-$K653*$H653*$I653),IF($V653="Prima",$K653*$H653*$I653,""))))))</f>
        <v/>
      </c>
      <c r="AE653" s="12" t="str">
        <f aca="false">IF(OR($C653="",$M653="Abierta",$M653=""),"",(N($K653)-IF(OR($M653="Cerrada",$M653="Rolada"),N($O653),0))*$H653*$I653*IF($U653="Débito",-1,1)-N($L653)-N($P653))</f>
        <v/>
      </c>
      <c r="AF653" s="14" t="str">
        <f aca="false">IF(OR($AE653="",$AD653=""),"",IF($AD653&lt;=0,"",$AE653/$AD653))</f>
        <v/>
      </c>
      <c r="AG653" s="14" t="str">
        <f aca="false">IF($AF653="","",$AF653*365/MAX(N($X653),1))</f>
        <v/>
      </c>
      <c r="AH653" s="14" t="str">
        <f aca="false">IF(OR($C653="",$U653&lt;&gt;"Crédito",$AD653=""),"",IF($AD653&lt;=0,"",($Z653-N($L653))/$AD653))</f>
        <v/>
      </c>
      <c r="AI653" s="14" t="str">
        <f aca="false">IF(OR($AH653="",$W653=""),"",$AH653*365/MAX($W653,1))</f>
        <v/>
      </c>
      <c r="AJ653" s="14" t="str">
        <f aca="false">IF(OR($AE653="",$U653&lt;&gt;"Crédito",N($K653)=0),"",(N($K653)-IF(OR($M653="Cerrada",$M653="Rolada"),N($O653),0))/$K653)</f>
        <v/>
      </c>
      <c r="AK653" s="15" t="str">
        <f aca="false">IF(OR($C653="",$N653=""),"",DATE(YEAR($N653),MONTH($N653),1))</f>
        <v/>
      </c>
      <c r="AL653" s="11" t="str">
        <f aca="false">IF($C653="","",IF($M653="Abierta",0,1))</f>
        <v/>
      </c>
      <c r="AM653" s="16" t="str">
        <f aca="false">IF(OR($AE653="",$AD653=""),"",$AD653*MAX(N($X653),1))</f>
        <v/>
      </c>
      <c r="AN653" s="10" t="str">
        <f aca="false">IF($C653="","",IF(OR($B653="",$D653="",$H653="",$K653="",$M653=""),"Faltan datos obligatorios",IF($T653="","Estrategia no reconocida",IF(AND($M653&lt;&gt;"Abierta",$N653=""),"Falta fecha cierre",IF(AND(OR($M653="Cerrada",$M653="Rolada"),$O653=""),"Falta prima cierre",IF(AND($N653&lt;&gt;"",$N653&lt;$B653),"Cierre anterior a apertura",IF(AND($M653="Asignada",$R653=""),"Asignada: falta ID lote acciones",IF(AND($R653&lt;&gt;"",ISNA(MATCH($R653,Acciones!$A$2:$A$201,0))),"El ID lote no existe en Acciones",IF($AD653="","Revisa capital en riesgo","OK")))))))))</f>
        <v/>
      </c>
    </row>
    <row r="654" customFormat="false" ht="15" hidden="false" customHeight="true" outlineLevel="0" collapsed="false">
      <c r="A654" s="5"/>
      <c r="B654" s="6"/>
      <c r="C654" s="7"/>
      <c r="D654" s="7"/>
      <c r="E654" s="8"/>
      <c r="F654" s="8"/>
      <c r="G654" s="6"/>
      <c r="H654" s="5"/>
      <c r="I654" s="5" t="n">
        <v>100</v>
      </c>
      <c r="J654" s="8"/>
      <c r="K654" s="8"/>
      <c r="L654" s="9"/>
      <c r="M654" s="7"/>
      <c r="N654" s="6"/>
      <c r="O654" s="8"/>
      <c r="P654" s="9"/>
      <c r="Q654" s="9"/>
      <c r="R654" s="7"/>
      <c r="S654" s="7"/>
      <c r="T654" s="10" t="str">
        <f aca="false">IF($C654="","",IFERROR(INDEX(Listas!$B$2:$B$20,MATCH($D654,Listas!$A$2:$A$20,0)),""))</f>
        <v/>
      </c>
      <c r="U654" s="10" t="str">
        <f aca="false">IF($C654="","",IFERROR(INDEX(Listas!$C$2:$C$20,MATCH($D654,Listas!$A$2:$A$20,0)),""))</f>
        <v/>
      </c>
      <c r="V654" s="10" t="str">
        <f aca="false">IF($C654="","",IFERROR(INDEX(Listas!$D$2:$D$20,MATCH($D654,Listas!$A$2:$A$20,0)),""))</f>
        <v/>
      </c>
      <c r="W654" s="11" t="str">
        <f aca="false">IF(OR($C654="",$B654="",$G654=""),"",$G654-$B654)</f>
        <v/>
      </c>
      <c r="X654" s="11" t="str">
        <f aca="true">IF(OR($C654="",$B654=""),"",IF($N654&lt;&gt;"",$N654,TODAY())-$B654)</f>
        <v/>
      </c>
      <c r="Y654" s="11" t="str">
        <f aca="true">IF(OR($C654="",$M654&lt;&gt;"Abierta",$G654=""),"",MAX($G654-TODAY(),0))</f>
        <v/>
      </c>
      <c r="Z654" s="12" t="str">
        <f aca="false">IF($C654="","",N($K654)*N($H654)*N($I654)*IF($U654="Débito",-1,1))</f>
        <v/>
      </c>
      <c r="AA654" s="13" t="str">
        <f aca="false">IF($C654="","",IF(AND($U654="Débito",$F654&lt;&gt;""),$F654,$E654))</f>
        <v/>
      </c>
      <c r="AB654" s="13" t="str">
        <f aca="false">IF(OR($C654="",$T654="Mixta",$AA654=""),"",IF($V654="Subyacente",IF($J654="","",$J654-$K654),IF($T654="Put",$AA654-$K654,$AA654+$K654)))</f>
        <v/>
      </c>
      <c r="AC654" s="14" t="str">
        <f aca="false">IF(OR($C654="",$T654="Mixta",$J654="",$AA654=""),"",IF($T654="Put",($J654-$AA654)/$J654,($AA654-$J654)/$J654))</f>
        <v/>
      </c>
      <c r="AD654" s="12" t="str">
        <f aca="false">IF($C654="","",IF($Q654&lt;&gt;"",$Q654,IF($V654="Strike",N($E654)*$H654*$I654,IF($V654="Subyacente",IF($J654="","",$J654*$H654*$I654),IF($V654="Ancho",IF($F654="","",ABS($E654-$F654)*$H654*$I654-$K654*$H654*$I654),IF($V654="Prima",$K654*$H654*$I654,""))))))</f>
        <v/>
      </c>
      <c r="AE654" s="12" t="str">
        <f aca="false">IF(OR($C654="",$M654="Abierta",$M654=""),"",(N($K654)-IF(OR($M654="Cerrada",$M654="Rolada"),N($O654),0))*$H654*$I654*IF($U654="Débito",-1,1)-N($L654)-N($P654))</f>
        <v/>
      </c>
      <c r="AF654" s="14" t="str">
        <f aca="false">IF(OR($AE654="",$AD654=""),"",IF($AD654&lt;=0,"",$AE654/$AD654))</f>
        <v/>
      </c>
      <c r="AG654" s="14" t="str">
        <f aca="false">IF($AF654="","",$AF654*365/MAX(N($X654),1))</f>
        <v/>
      </c>
      <c r="AH654" s="14" t="str">
        <f aca="false">IF(OR($C654="",$U654&lt;&gt;"Crédito",$AD654=""),"",IF($AD654&lt;=0,"",($Z654-N($L654))/$AD654))</f>
        <v/>
      </c>
      <c r="AI654" s="14" t="str">
        <f aca="false">IF(OR($AH654="",$W654=""),"",$AH654*365/MAX($W654,1))</f>
        <v/>
      </c>
      <c r="AJ654" s="14" t="str">
        <f aca="false">IF(OR($AE654="",$U654&lt;&gt;"Crédito",N($K654)=0),"",(N($K654)-IF(OR($M654="Cerrada",$M654="Rolada"),N($O654),0))/$K654)</f>
        <v/>
      </c>
      <c r="AK654" s="15" t="str">
        <f aca="false">IF(OR($C654="",$N654=""),"",DATE(YEAR($N654),MONTH($N654),1))</f>
        <v/>
      </c>
      <c r="AL654" s="11" t="str">
        <f aca="false">IF($C654="","",IF($M654="Abierta",0,1))</f>
        <v/>
      </c>
      <c r="AM654" s="16" t="str">
        <f aca="false">IF(OR($AE654="",$AD654=""),"",$AD654*MAX(N($X654),1))</f>
        <v/>
      </c>
      <c r="AN654" s="10" t="str">
        <f aca="false">IF($C654="","",IF(OR($B654="",$D654="",$H654="",$K654="",$M654=""),"Faltan datos obligatorios",IF($T654="","Estrategia no reconocida",IF(AND($M654&lt;&gt;"Abierta",$N654=""),"Falta fecha cierre",IF(AND(OR($M654="Cerrada",$M654="Rolada"),$O654=""),"Falta prima cierre",IF(AND($N654&lt;&gt;"",$N654&lt;$B654),"Cierre anterior a apertura",IF(AND($M654="Asignada",$R654=""),"Asignada: falta ID lote acciones",IF(AND($R654&lt;&gt;"",ISNA(MATCH($R654,Acciones!$A$2:$A$201,0))),"El ID lote no existe en Acciones",IF($AD654="","Revisa capital en riesgo","OK")))))))))</f>
        <v/>
      </c>
    </row>
    <row r="655" customFormat="false" ht="15" hidden="false" customHeight="true" outlineLevel="0" collapsed="false">
      <c r="A655" s="5"/>
      <c r="B655" s="6"/>
      <c r="C655" s="7"/>
      <c r="D655" s="7"/>
      <c r="E655" s="8"/>
      <c r="F655" s="8"/>
      <c r="G655" s="6"/>
      <c r="H655" s="5"/>
      <c r="I655" s="5" t="n">
        <v>100</v>
      </c>
      <c r="J655" s="8"/>
      <c r="K655" s="8"/>
      <c r="L655" s="9"/>
      <c r="M655" s="7"/>
      <c r="N655" s="6"/>
      <c r="O655" s="8"/>
      <c r="P655" s="9"/>
      <c r="Q655" s="9"/>
      <c r="R655" s="7"/>
      <c r="S655" s="7"/>
      <c r="T655" s="10" t="str">
        <f aca="false">IF($C655="","",IFERROR(INDEX(Listas!$B$2:$B$20,MATCH($D655,Listas!$A$2:$A$20,0)),""))</f>
        <v/>
      </c>
      <c r="U655" s="10" t="str">
        <f aca="false">IF($C655="","",IFERROR(INDEX(Listas!$C$2:$C$20,MATCH($D655,Listas!$A$2:$A$20,0)),""))</f>
        <v/>
      </c>
      <c r="V655" s="10" t="str">
        <f aca="false">IF($C655="","",IFERROR(INDEX(Listas!$D$2:$D$20,MATCH($D655,Listas!$A$2:$A$20,0)),""))</f>
        <v/>
      </c>
      <c r="W655" s="11" t="str">
        <f aca="false">IF(OR($C655="",$B655="",$G655=""),"",$G655-$B655)</f>
        <v/>
      </c>
      <c r="X655" s="11" t="str">
        <f aca="true">IF(OR($C655="",$B655=""),"",IF($N655&lt;&gt;"",$N655,TODAY())-$B655)</f>
        <v/>
      </c>
      <c r="Y655" s="11" t="str">
        <f aca="true">IF(OR($C655="",$M655&lt;&gt;"Abierta",$G655=""),"",MAX($G655-TODAY(),0))</f>
        <v/>
      </c>
      <c r="Z655" s="12" t="str">
        <f aca="false">IF($C655="","",N($K655)*N($H655)*N($I655)*IF($U655="Débito",-1,1))</f>
        <v/>
      </c>
      <c r="AA655" s="13" t="str">
        <f aca="false">IF($C655="","",IF(AND($U655="Débito",$F655&lt;&gt;""),$F655,$E655))</f>
        <v/>
      </c>
      <c r="AB655" s="13" t="str">
        <f aca="false">IF(OR($C655="",$T655="Mixta",$AA655=""),"",IF($V655="Subyacente",IF($J655="","",$J655-$K655),IF($T655="Put",$AA655-$K655,$AA655+$K655)))</f>
        <v/>
      </c>
      <c r="AC655" s="14" t="str">
        <f aca="false">IF(OR($C655="",$T655="Mixta",$J655="",$AA655=""),"",IF($T655="Put",($J655-$AA655)/$J655,($AA655-$J655)/$J655))</f>
        <v/>
      </c>
      <c r="AD655" s="12" t="str">
        <f aca="false">IF($C655="","",IF($Q655&lt;&gt;"",$Q655,IF($V655="Strike",N($E655)*$H655*$I655,IF($V655="Subyacente",IF($J655="","",$J655*$H655*$I655),IF($V655="Ancho",IF($F655="","",ABS($E655-$F655)*$H655*$I655-$K655*$H655*$I655),IF($V655="Prima",$K655*$H655*$I655,""))))))</f>
        <v/>
      </c>
      <c r="AE655" s="12" t="str">
        <f aca="false">IF(OR($C655="",$M655="Abierta",$M655=""),"",(N($K655)-IF(OR($M655="Cerrada",$M655="Rolada"),N($O655),0))*$H655*$I655*IF($U655="Débito",-1,1)-N($L655)-N($P655))</f>
        <v/>
      </c>
      <c r="AF655" s="14" t="str">
        <f aca="false">IF(OR($AE655="",$AD655=""),"",IF($AD655&lt;=0,"",$AE655/$AD655))</f>
        <v/>
      </c>
      <c r="AG655" s="14" t="str">
        <f aca="false">IF($AF655="","",$AF655*365/MAX(N($X655),1))</f>
        <v/>
      </c>
      <c r="AH655" s="14" t="str">
        <f aca="false">IF(OR($C655="",$U655&lt;&gt;"Crédito",$AD655=""),"",IF($AD655&lt;=0,"",($Z655-N($L655))/$AD655))</f>
        <v/>
      </c>
      <c r="AI655" s="14" t="str">
        <f aca="false">IF(OR($AH655="",$W655=""),"",$AH655*365/MAX($W655,1))</f>
        <v/>
      </c>
      <c r="AJ655" s="14" t="str">
        <f aca="false">IF(OR($AE655="",$U655&lt;&gt;"Crédito",N($K655)=0),"",(N($K655)-IF(OR($M655="Cerrada",$M655="Rolada"),N($O655),0))/$K655)</f>
        <v/>
      </c>
      <c r="AK655" s="15" t="str">
        <f aca="false">IF(OR($C655="",$N655=""),"",DATE(YEAR($N655),MONTH($N655),1))</f>
        <v/>
      </c>
      <c r="AL655" s="11" t="str">
        <f aca="false">IF($C655="","",IF($M655="Abierta",0,1))</f>
        <v/>
      </c>
      <c r="AM655" s="16" t="str">
        <f aca="false">IF(OR($AE655="",$AD655=""),"",$AD655*MAX(N($X655),1))</f>
        <v/>
      </c>
      <c r="AN655" s="10" t="str">
        <f aca="false">IF($C655="","",IF(OR($B655="",$D655="",$H655="",$K655="",$M655=""),"Faltan datos obligatorios",IF($T655="","Estrategia no reconocida",IF(AND($M655&lt;&gt;"Abierta",$N655=""),"Falta fecha cierre",IF(AND(OR($M655="Cerrada",$M655="Rolada"),$O655=""),"Falta prima cierre",IF(AND($N655&lt;&gt;"",$N655&lt;$B655),"Cierre anterior a apertura",IF(AND($M655="Asignada",$R655=""),"Asignada: falta ID lote acciones",IF(AND($R655&lt;&gt;"",ISNA(MATCH($R655,Acciones!$A$2:$A$201,0))),"El ID lote no existe en Acciones",IF($AD655="","Revisa capital en riesgo","OK")))))))))</f>
        <v/>
      </c>
    </row>
    <row r="656" customFormat="false" ht="15" hidden="false" customHeight="true" outlineLevel="0" collapsed="false">
      <c r="A656" s="5"/>
      <c r="B656" s="6"/>
      <c r="C656" s="7"/>
      <c r="D656" s="7"/>
      <c r="E656" s="8"/>
      <c r="F656" s="8"/>
      <c r="G656" s="6"/>
      <c r="H656" s="5"/>
      <c r="I656" s="5" t="n">
        <v>100</v>
      </c>
      <c r="J656" s="8"/>
      <c r="K656" s="8"/>
      <c r="L656" s="9"/>
      <c r="M656" s="7"/>
      <c r="N656" s="6"/>
      <c r="O656" s="8"/>
      <c r="P656" s="9"/>
      <c r="Q656" s="9"/>
      <c r="R656" s="7"/>
      <c r="S656" s="7"/>
      <c r="T656" s="10" t="str">
        <f aca="false">IF($C656="","",IFERROR(INDEX(Listas!$B$2:$B$20,MATCH($D656,Listas!$A$2:$A$20,0)),""))</f>
        <v/>
      </c>
      <c r="U656" s="10" t="str">
        <f aca="false">IF($C656="","",IFERROR(INDEX(Listas!$C$2:$C$20,MATCH($D656,Listas!$A$2:$A$20,0)),""))</f>
        <v/>
      </c>
      <c r="V656" s="10" t="str">
        <f aca="false">IF($C656="","",IFERROR(INDEX(Listas!$D$2:$D$20,MATCH($D656,Listas!$A$2:$A$20,0)),""))</f>
        <v/>
      </c>
      <c r="W656" s="11" t="str">
        <f aca="false">IF(OR($C656="",$B656="",$G656=""),"",$G656-$B656)</f>
        <v/>
      </c>
      <c r="X656" s="11" t="str">
        <f aca="true">IF(OR($C656="",$B656=""),"",IF($N656&lt;&gt;"",$N656,TODAY())-$B656)</f>
        <v/>
      </c>
      <c r="Y656" s="11" t="str">
        <f aca="true">IF(OR($C656="",$M656&lt;&gt;"Abierta",$G656=""),"",MAX($G656-TODAY(),0))</f>
        <v/>
      </c>
      <c r="Z656" s="12" t="str">
        <f aca="false">IF($C656="","",N($K656)*N($H656)*N($I656)*IF($U656="Débito",-1,1))</f>
        <v/>
      </c>
      <c r="AA656" s="13" t="str">
        <f aca="false">IF($C656="","",IF(AND($U656="Débito",$F656&lt;&gt;""),$F656,$E656))</f>
        <v/>
      </c>
      <c r="AB656" s="13" t="str">
        <f aca="false">IF(OR($C656="",$T656="Mixta",$AA656=""),"",IF($V656="Subyacente",IF($J656="","",$J656-$K656),IF($T656="Put",$AA656-$K656,$AA656+$K656)))</f>
        <v/>
      </c>
      <c r="AC656" s="14" t="str">
        <f aca="false">IF(OR($C656="",$T656="Mixta",$J656="",$AA656=""),"",IF($T656="Put",($J656-$AA656)/$J656,($AA656-$J656)/$J656))</f>
        <v/>
      </c>
      <c r="AD656" s="12" t="str">
        <f aca="false">IF($C656="","",IF($Q656&lt;&gt;"",$Q656,IF($V656="Strike",N($E656)*$H656*$I656,IF($V656="Subyacente",IF($J656="","",$J656*$H656*$I656),IF($V656="Ancho",IF($F656="","",ABS($E656-$F656)*$H656*$I656-$K656*$H656*$I656),IF($V656="Prima",$K656*$H656*$I656,""))))))</f>
        <v/>
      </c>
      <c r="AE656" s="12" t="str">
        <f aca="false">IF(OR($C656="",$M656="Abierta",$M656=""),"",(N($K656)-IF(OR($M656="Cerrada",$M656="Rolada"),N($O656),0))*$H656*$I656*IF($U656="Débito",-1,1)-N($L656)-N($P656))</f>
        <v/>
      </c>
      <c r="AF656" s="14" t="str">
        <f aca="false">IF(OR($AE656="",$AD656=""),"",IF($AD656&lt;=0,"",$AE656/$AD656))</f>
        <v/>
      </c>
      <c r="AG656" s="14" t="str">
        <f aca="false">IF($AF656="","",$AF656*365/MAX(N($X656),1))</f>
        <v/>
      </c>
      <c r="AH656" s="14" t="str">
        <f aca="false">IF(OR($C656="",$U656&lt;&gt;"Crédito",$AD656=""),"",IF($AD656&lt;=0,"",($Z656-N($L656))/$AD656))</f>
        <v/>
      </c>
      <c r="AI656" s="14" t="str">
        <f aca="false">IF(OR($AH656="",$W656=""),"",$AH656*365/MAX($W656,1))</f>
        <v/>
      </c>
      <c r="AJ656" s="14" t="str">
        <f aca="false">IF(OR($AE656="",$U656&lt;&gt;"Crédito",N($K656)=0),"",(N($K656)-IF(OR($M656="Cerrada",$M656="Rolada"),N($O656),0))/$K656)</f>
        <v/>
      </c>
      <c r="AK656" s="15" t="str">
        <f aca="false">IF(OR($C656="",$N656=""),"",DATE(YEAR($N656),MONTH($N656),1))</f>
        <v/>
      </c>
      <c r="AL656" s="11" t="str">
        <f aca="false">IF($C656="","",IF($M656="Abierta",0,1))</f>
        <v/>
      </c>
      <c r="AM656" s="16" t="str">
        <f aca="false">IF(OR($AE656="",$AD656=""),"",$AD656*MAX(N($X656),1))</f>
        <v/>
      </c>
      <c r="AN656" s="10" t="str">
        <f aca="false">IF($C656="","",IF(OR($B656="",$D656="",$H656="",$K656="",$M656=""),"Faltan datos obligatorios",IF($T656="","Estrategia no reconocida",IF(AND($M656&lt;&gt;"Abierta",$N656=""),"Falta fecha cierre",IF(AND(OR($M656="Cerrada",$M656="Rolada"),$O656=""),"Falta prima cierre",IF(AND($N656&lt;&gt;"",$N656&lt;$B656),"Cierre anterior a apertura",IF(AND($M656="Asignada",$R656=""),"Asignada: falta ID lote acciones",IF(AND($R656&lt;&gt;"",ISNA(MATCH($R656,Acciones!$A$2:$A$201,0))),"El ID lote no existe en Acciones",IF($AD656="","Revisa capital en riesgo","OK")))))))))</f>
        <v/>
      </c>
    </row>
    <row r="657" customFormat="false" ht="15" hidden="false" customHeight="true" outlineLevel="0" collapsed="false">
      <c r="A657" s="5"/>
      <c r="B657" s="6"/>
      <c r="C657" s="7"/>
      <c r="D657" s="7"/>
      <c r="E657" s="8"/>
      <c r="F657" s="8"/>
      <c r="G657" s="6"/>
      <c r="H657" s="5"/>
      <c r="I657" s="5" t="n">
        <v>100</v>
      </c>
      <c r="J657" s="8"/>
      <c r="K657" s="8"/>
      <c r="L657" s="9"/>
      <c r="M657" s="7"/>
      <c r="N657" s="6"/>
      <c r="O657" s="8"/>
      <c r="P657" s="9"/>
      <c r="Q657" s="9"/>
      <c r="R657" s="7"/>
      <c r="S657" s="7"/>
      <c r="T657" s="10" t="str">
        <f aca="false">IF($C657="","",IFERROR(INDEX(Listas!$B$2:$B$20,MATCH($D657,Listas!$A$2:$A$20,0)),""))</f>
        <v/>
      </c>
      <c r="U657" s="10" t="str">
        <f aca="false">IF($C657="","",IFERROR(INDEX(Listas!$C$2:$C$20,MATCH($D657,Listas!$A$2:$A$20,0)),""))</f>
        <v/>
      </c>
      <c r="V657" s="10" t="str">
        <f aca="false">IF($C657="","",IFERROR(INDEX(Listas!$D$2:$D$20,MATCH($D657,Listas!$A$2:$A$20,0)),""))</f>
        <v/>
      </c>
      <c r="W657" s="11" t="str">
        <f aca="false">IF(OR($C657="",$B657="",$G657=""),"",$G657-$B657)</f>
        <v/>
      </c>
      <c r="X657" s="11" t="str">
        <f aca="true">IF(OR($C657="",$B657=""),"",IF($N657&lt;&gt;"",$N657,TODAY())-$B657)</f>
        <v/>
      </c>
      <c r="Y657" s="11" t="str">
        <f aca="true">IF(OR($C657="",$M657&lt;&gt;"Abierta",$G657=""),"",MAX($G657-TODAY(),0))</f>
        <v/>
      </c>
      <c r="Z657" s="12" t="str">
        <f aca="false">IF($C657="","",N($K657)*N($H657)*N($I657)*IF($U657="Débito",-1,1))</f>
        <v/>
      </c>
      <c r="AA657" s="13" t="str">
        <f aca="false">IF($C657="","",IF(AND($U657="Débito",$F657&lt;&gt;""),$F657,$E657))</f>
        <v/>
      </c>
      <c r="AB657" s="13" t="str">
        <f aca="false">IF(OR($C657="",$T657="Mixta",$AA657=""),"",IF($V657="Subyacente",IF($J657="","",$J657-$K657),IF($T657="Put",$AA657-$K657,$AA657+$K657)))</f>
        <v/>
      </c>
      <c r="AC657" s="14" t="str">
        <f aca="false">IF(OR($C657="",$T657="Mixta",$J657="",$AA657=""),"",IF($T657="Put",($J657-$AA657)/$J657,($AA657-$J657)/$J657))</f>
        <v/>
      </c>
      <c r="AD657" s="12" t="str">
        <f aca="false">IF($C657="","",IF($Q657&lt;&gt;"",$Q657,IF($V657="Strike",N($E657)*$H657*$I657,IF($V657="Subyacente",IF($J657="","",$J657*$H657*$I657),IF($V657="Ancho",IF($F657="","",ABS($E657-$F657)*$H657*$I657-$K657*$H657*$I657),IF($V657="Prima",$K657*$H657*$I657,""))))))</f>
        <v/>
      </c>
      <c r="AE657" s="12" t="str">
        <f aca="false">IF(OR($C657="",$M657="Abierta",$M657=""),"",(N($K657)-IF(OR($M657="Cerrada",$M657="Rolada"),N($O657),0))*$H657*$I657*IF($U657="Débito",-1,1)-N($L657)-N($P657))</f>
        <v/>
      </c>
      <c r="AF657" s="14" t="str">
        <f aca="false">IF(OR($AE657="",$AD657=""),"",IF($AD657&lt;=0,"",$AE657/$AD657))</f>
        <v/>
      </c>
      <c r="AG657" s="14" t="str">
        <f aca="false">IF($AF657="","",$AF657*365/MAX(N($X657),1))</f>
        <v/>
      </c>
      <c r="AH657" s="14" t="str">
        <f aca="false">IF(OR($C657="",$U657&lt;&gt;"Crédito",$AD657=""),"",IF($AD657&lt;=0,"",($Z657-N($L657))/$AD657))</f>
        <v/>
      </c>
      <c r="AI657" s="14" t="str">
        <f aca="false">IF(OR($AH657="",$W657=""),"",$AH657*365/MAX($W657,1))</f>
        <v/>
      </c>
      <c r="AJ657" s="14" t="str">
        <f aca="false">IF(OR($AE657="",$U657&lt;&gt;"Crédito",N($K657)=0),"",(N($K657)-IF(OR($M657="Cerrada",$M657="Rolada"),N($O657),0))/$K657)</f>
        <v/>
      </c>
      <c r="AK657" s="15" t="str">
        <f aca="false">IF(OR($C657="",$N657=""),"",DATE(YEAR($N657),MONTH($N657),1))</f>
        <v/>
      </c>
      <c r="AL657" s="11" t="str">
        <f aca="false">IF($C657="","",IF($M657="Abierta",0,1))</f>
        <v/>
      </c>
      <c r="AM657" s="16" t="str">
        <f aca="false">IF(OR($AE657="",$AD657=""),"",$AD657*MAX(N($X657),1))</f>
        <v/>
      </c>
      <c r="AN657" s="10" t="str">
        <f aca="false">IF($C657="","",IF(OR($B657="",$D657="",$H657="",$K657="",$M657=""),"Faltan datos obligatorios",IF($T657="","Estrategia no reconocida",IF(AND($M657&lt;&gt;"Abierta",$N657=""),"Falta fecha cierre",IF(AND(OR($M657="Cerrada",$M657="Rolada"),$O657=""),"Falta prima cierre",IF(AND($N657&lt;&gt;"",$N657&lt;$B657),"Cierre anterior a apertura",IF(AND($M657="Asignada",$R657=""),"Asignada: falta ID lote acciones",IF(AND($R657&lt;&gt;"",ISNA(MATCH($R657,Acciones!$A$2:$A$201,0))),"El ID lote no existe en Acciones",IF($AD657="","Revisa capital en riesgo","OK")))))))))</f>
        <v/>
      </c>
    </row>
    <row r="658" customFormat="false" ht="15" hidden="false" customHeight="true" outlineLevel="0" collapsed="false">
      <c r="A658" s="5"/>
      <c r="B658" s="6"/>
      <c r="C658" s="7"/>
      <c r="D658" s="7"/>
      <c r="E658" s="8"/>
      <c r="F658" s="8"/>
      <c r="G658" s="6"/>
      <c r="H658" s="5"/>
      <c r="I658" s="5" t="n">
        <v>100</v>
      </c>
      <c r="J658" s="8"/>
      <c r="K658" s="8"/>
      <c r="L658" s="9"/>
      <c r="M658" s="7"/>
      <c r="N658" s="6"/>
      <c r="O658" s="8"/>
      <c r="P658" s="9"/>
      <c r="Q658" s="9"/>
      <c r="R658" s="7"/>
      <c r="S658" s="7"/>
      <c r="T658" s="10" t="str">
        <f aca="false">IF($C658="","",IFERROR(INDEX(Listas!$B$2:$B$20,MATCH($D658,Listas!$A$2:$A$20,0)),""))</f>
        <v/>
      </c>
      <c r="U658" s="10" t="str">
        <f aca="false">IF($C658="","",IFERROR(INDEX(Listas!$C$2:$C$20,MATCH($D658,Listas!$A$2:$A$20,0)),""))</f>
        <v/>
      </c>
      <c r="V658" s="10" t="str">
        <f aca="false">IF($C658="","",IFERROR(INDEX(Listas!$D$2:$D$20,MATCH($D658,Listas!$A$2:$A$20,0)),""))</f>
        <v/>
      </c>
      <c r="W658" s="11" t="str">
        <f aca="false">IF(OR($C658="",$B658="",$G658=""),"",$G658-$B658)</f>
        <v/>
      </c>
      <c r="X658" s="11" t="str">
        <f aca="true">IF(OR($C658="",$B658=""),"",IF($N658&lt;&gt;"",$N658,TODAY())-$B658)</f>
        <v/>
      </c>
      <c r="Y658" s="11" t="str">
        <f aca="true">IF(OR($C658="",$M658&lt;&gt;"Abierta",$G658=""),"",MAX($G658-TODAY(),0))</f>
        <v/>
      </c>
      <c r="Z658" s="12" t="str">
        <f aca="false">IF($C658="","",N($K658)*N($H658)*N($I658)*IF($U658="Débito",-1,1))</f>
        <v/>
      </c>
      <c r="AA658" s="13" t="str">
        <f aca="false">IF($C658="","",IF(AND($U658="Débito",$F658&lt;&gt;""),$F658,$E658))</f>
        <v/>
      </c>
      <c r="AB658" s="13" t="str">
        <f aca="false">IF(OR($C658="",$T658="Mixta",$AA658=""),"",IF($V658="Subyacente",IF($J658="","",$J658-$K658),IF($T658="Put",$AA658-$K658,$AA658+$K658)))</f>
        <v/>
      </c>
      <c r="AC658" s="14" t="str">
        <f aca="false">IF(OR($C658="",$T658="Mixta",$J658="",$AA658=""),"",IF($T658="Put",($J658-$AA658)/$J658,($AA658-$J658)/$J658))</f>
        <v/>
      </c>
      <c r="AD658" s="12" t="str">
        <f aca="false">IF($C658="","",IF($Q658&lt;&gt;"",$Q658,IF($V658="Strike",N($E658)*$H658*$I658,IF($V658="Subyacente",IF($J658="","",$J658*$H658*$I658),IF($V658="Ancho",IF($F658="","",ABS($E658-$F658)*$H658*$I658-$K658*$H658*$I658),IF($V658="Prima",$K658*$H658*$I658,""))))))</f>
        <v/>
      </c>
      <c r="AE658" s="12" t="str">
        <f aca="false">IF(OR($C658="",$M658="Abierta",$M658=""),"",(N($K658)-IF(OR($M658="Cerrada",$M658="Rolada"),N($O658),0))*$H658*$I658*IF($U658="Débito",-1,1)-N($L658)-N($P658))</f>
        <v/>
      </c>
      <c r="AF658" s="14" t="str">
        <f aca="false">IF(OR($AE658="",$AD658=""),"",IF($AD658&lt;=0,"",$AE658/$AD658))</f>
        <v/>
      </c>
      <c r="AG658" s="14" t="str">
        <f aca="false">IF($AF658="","",$AF658*365/MAX(N($X658),1))</f>
        <v/>
      </c>
      <c r="AH658" s="14" t="str">
        <f aca="false">IF(OR($C658="",$U658&lt;&gt;"Crédito",$AD658=""),"",IF($AD658&lt;=0,"",($Z658-N($L658))/$AD658))</f>
        <v/>
      </c>
      <c r="AI658" s="14" t="str">
        <f aca="false">IF(OR($AH658="",$W658=""),"",$AH658*365/MAX($W658,1))</f>
        <v/>
      </c>
      <c r="AJ658" s="14" t="str">
        <f aca="false">IF(OR($AE658="",$U658&lt;&gt;"Crédito",N($K658)=0),"",(N($K658)-IF(OR($M658="Cerrada",$M658="Rolada"),N($O658),0))/$K658)</f>
        <v/>
      </c>
      <c r="AK658" s="15" t="str">
        <f aca="false">IF(OR($C658="",$N658=""),"",DATE(YEAR($N658),MONTH($N658),1))</f>
        <v/>
      </c>
      <c r="AL658" s="11" t="str">
        <f aca="false">IF($C658="","",IF($M658="Abierta",0,1))</f>
        <v/>
      </c>
      <c r="AM658" s="16" t="str">
        <f aca="false">IF(OR($AE658="",$AD658=""),"",$AD658*MAX(N($X658),1))</f>
        <v/>
      </c>
      <c r="AN658" s="10" t="str">
        <f aca="false">IF($C658="","",IF(OR($B658="",$D658="",$H658="",$K658="",$M658=""),"Faltan datos obligatorios",IF($T658="","Estrategia no reconocida",IF(AND($M658&lt;&gt;"Abierta",$N658=""),"Falta fecha cierre",IF(AND(OR($M658="Cerrada",$M658="Rolada"),$O658=""),"Falta prima cierre",IF(AND($N658&lt;&gt;"",$N658&lt;$B658),"Cierre anterior a apertura",IF(AND($M658="Asignada",$R658=""),"Asignada: falta ID lote acciones",IF(AND($R658&lt;&gt;"",ISNA(MATCH($R658,Acciones!$A$2:$A$201,0))),"El ID lote no existe en Acciones",IF($AD658="","Revisa capital en riesgo","OK")))))))))</f>
        <v/>
      </c>
    </row>
    <row r="659" customFormat="false" ht="15" hidden="false" customHeight="true" outlineLevel="0" collapsed="false">
      <c r="A659" s="5"/>
      <c r="B659" s="6"/>
      <c r="C659" s="7"/>
      <c r="D659" s="7"/>
      <c r="E659" s="8"/>
      <c r="F659" s="8"/>
      <c r="G659" s="6"/>
      <c r="H659" s="5"/>
      <c r="I659" s="5" t="n">
        <v>100</v>
      </c>
      <c r="J659" s="8"/>
      <c r="K659" s="8"/>
      <c r="L659" s="9"/>
      <c r="M659" s="7"/>
      <c r="N659" s="6"/>
      <c r="O659" s="8"/>
      <c r="P659" s="9"/>
      <c r="Q659" s="9"/>
      <c r="R659" s="7"/>
      <c r="S659" s="7"/>
      <c r="T659" s="10" t="str">
        <f aca="false">IF($C659="","",IFERROR(INDEX(Listas!$B$2:$B$20,MATCH($D659,Listas!$A$2:$A$20,0)),""))</f>
        <v/>
      </c>
      <c r="U659" s="10" t="str">
        <f aca="false">IF($C659="","",IFERROR(INDEX(Listas!$C$2:$C$20,MATCH($D659,Listas!$A$2:$A$20,0)),""))</f>
        <v/>
      </c>
      <c r="V659" s="10" t="str">
        <f aca="false">IF($C659="","",IFERROR(INDEX(Listas!$D$2:$D$20,MATCH($D659,Listas!$A$2:$A$20,0)),""))</f>
        <v/>
      </c>
      <c r="W659" s="11" t="str">
        <f aca="false">IF(OR($C659="",$B659="",$G659=""),"",$G659-$B659)</f>
        <v/>
      </c>
      <c r="X659" s="11" t="str">
        <f aca="true">IF(OR($C659="",$B659=""),"",IF($N659&lt;&gt;"",$N659,TODAY())-$B659)</f>
        <v/>
      </c>
      <c r="Y659" s="11" t="str">
        <f aca="true">IF(OR($C659="",$M659&lt;&gt;"Abierta",$G659=""),"",MAX($G659-TODAY(),0))</f>
        <v/>
      </c>
      <c r="Z659" s="12" t="str">
        <f aca="false">IF($C659="","",N($K659)*N($H659)*N($I659)*IF($U659="Débito",-1,1))</f>
        <v/>
      </c>
      <c r="AA659" s="13" t="str">
        <f aca="false">IF($C659="","",IF(AND($U659="Débito",$F659&lt;&gt;""),$F659,$E659))</f>
        <v/>
      </c>
      <c r="AB659" s="13" t="str">
        <f aca="false">IF(OR($C659="",$T659="Mixta",$AA659=""),"",IF($V659="Subyacente",IF($J659="","",$J659-$K659),IF($T659="Put",$AA659-$K659,$AA659+$K659)))</f>
        <v/>
      </c>
      <c r="AC659" s="14" t="str">
        <f aca="false">IF(OR($C659="",$T659="Mixta",$J659="",$AA659=""),"",IF($T659="Put",($J659-$AA659)/$J659,($AA659-$J659)/$J659))</f>
        <v/>
      </c>
      <c r="AD659" s="12" t="str">
        <f aca="false">IF($C659="","",IF($Q659&lt;&gt;"",$Q659,IF($V659="Strike",N($E659)*$H659*$I659,IF($V659="Subyacente",IF($J659="","",$J659*$H659*$I659),IF($V659="Ancho",IF($F659="","",ABS($E659-$F659)*$H659*$I659-$K659*$H659*$I659),IF($V659="Prima",$K659*$H659*$I659,""))))))</f>
        <v/>
      </c>
      <c r="AE659" s="12" t="str">
        <f aca="false">IF(OR($C659="",$M659="Abierta",$M659=""),"",(N($K659)-IF(OR($M659="Cerrada",$M659="Rolada"),N($O659),0))*$H659*$I659*IF($U659="Débito",-1,1)-N($L659)-N($P659))</f>
        <v/>
      </c>
      <c r="AF659" s="14" t="str">
        <f aca="false">IF(OR($AE659="",$AD659=""),"",IF($AD659&lt;=0,"",$AE659/$AD659))</f>
        <v/>
      </c>
      <c r="AG659" s="14" t="str">
        <f aca="false">IF($AF659="","",$AF659*365/MAX(N($X659),1))</f>
        <v/>
      </c>
      <c r="AH659" s="14" t="str">
        <f aca="false">IF(OR($C659="",$U659&lt;&gt;"Crédito",$AD659=""),"",IF($AD659&lt;=0,"",($Z659-N($L659))/$AD659))</f>
        <v/>
      </c>
      <c r="AI659" s="14" t="str">
        <f aca="false">IF(OR($AH659="",$W659=""),"",$AH659*365/MAX($W659,1))</f>
        <v/>
      </c>
      <c r="AJ659" s="14" t="str">
        <f aca="false">IF(OR($AE659="",$U659&lt;&gt;"Crédito",N($K659)=0),"",(N($K659)-IF(OR($M659="Cerrada",$M659="Rolada"),N($O659),0))/$K659)</f>
        <v/>
      </c>
      <c r="AK659" s="15" t="str">
        <f aca="false">IF(OR($C659="",$N659=""),"",DATE(YEAR($N659),MONTH($N659),1))</f>
        <v/>
      </c>
      <c r="AL659" s="11" t="str">
        <f aca="false">IF($C659="","",IF($M659="Abierta",0,1))</f>
        <v/>
      </c>
      <c r="AM659" s="16" t="str">
        <f aca="false">IF(OR($AE659="",$AD659=""),"",$AD659*MAX(N($X659),1))</f>
        <v/>
      </c>
      <c r="AN659" s="10" t="str">
        <f aca="false">IF($C659="","",IF(OR($B659="",$D659="",$H659="",$K659="",$M659=""),"Faltan datos obligatorios",IF($T659="","Estrategia no reconocida",IF(AND($M659&lt;&gt;"Abierta",$N659=""),"Falta fecha cierre",IF(AND(OR($M659="Cerrada",$M659="Rolada"),$O659=""),"Falta prima cierre",IF(AND($N659&lt;&gt;"",$N659&lt;$B659),"Cierre anterior a apertura",IF(AND($M659="Asignada",$R659=""),"Asignada: falta ID lote acciones",IF(AND($R659&lt;&gt;"",ISNA(MATCH($R659,Acciones!$A$2:$A$201,0))),"El ID lote no existe en Acciones",IF($AD659="","Revisa capital en riesgo","OK")))))))))</f>
        <v/>
      </c>
    </row>
    <row r="660" customFormat="false" ht="15" hidden="false" customHeight="true" outlineLevel="0" collapsed="false">
      <c r="A660" s="5"/>
      <c r="B660" s="6"/>
      <c r="C660" s="7"/>
      <c r="D660" s="7"/>
      <c r="E660" s="8"/>
      <c r="F660" s="8"/>
      <c r="G660" s="6"/>
      <c r="H660" s="5"/>
      <c r="I660" s="5" t="n">
        <v>100</v>
      </c>
      <c r="J660" s="8"/>
      <c r="K660" s="8"/>
      <c r="L660" s="9"/>
      <c r="M660" s="7"/>
      <c r="N660" s="6"/>
      <c r="O660" s="8"/>
      <c r="P660" s="9"/>
      <c r="Q660" s="9"/>
      <c r="R660" s="7"/>
      <c r="S660" s="7"/>
      <c r="T660" s="10" t="str">
        <f aca="false">IF($C660="","",IFERROR(INDEX(Listas!$B$2:$B$20,MATCH($D660,Listas!$A$2:$A$20,0)),""))</f>
        <v/>
      </c>
      <c r="U660" s="10" t="str">
        <f aca="false">IF($C660="","",IFERROR(INDEX(Listas!$C$2:$C$20,MATCH($D660,Listas!$A$2:$A$20,0)),""))</f>
        <v/>
      </c>
      <c r="V660" s="10" t="str">
        <f aca="false">IF($C660="","",IFERROR(INDEX(Listas!$D$2:$D$20,MATCH($D660,Listas!$A$2:$A$20,0)),""))</f>
        <v/>
      </c>
      <c r="W660" s="11" t="str">
        <f aca="false">IF(OR($C660="",$B660="",$G660=""),"",$G660-$B660)</f>
        <v/>
      </c>
      <c r="X660" s="11" t="str">
        <f aca="true">IF(OR($C660="",$B660=""),"",IF($N660&lt;&gt;"",$N660,TODAY())-$B660)</f>
        <v/>
      </c>
      <c r="Y660" s="11" t="str">
        <f aca="true">IF(OR($C660="",$M660&lt;&gt;"Abierta",$G660=""),"",MAX($G660-TODAY(),0))</f>
        <v/>
      </c>
      <c r="Z660" s="12" t="str">
        <f aca="false">IF($C660="","",N($K660)*N($H660)*N($I660)*IF($U660="Débito",-1,1))</f>
        <v/>
      </c>
      <c r="AA660" s="13" t="str">
        <f aca="false">IF($C660="","",IF(AND($U660="Débito",$F660&lt;&gt;""),$F660,$E660))</f>
        <v/>
      </c>
      <c r="AB660" s="13" t="str">
        <f aca="false">IF(OR($C660="",$T660="Mixta",$AA660=""),"",IF($V660="Subyacente",IF($J660="","",$J660-$K660),IF($T660="Put",$AA660-$K660,$AA660+$K660)))</f>
        <v/>
      </c>
      <c r="AC660" s="14" t="str">
        <f aca="false">IF(OR($C660="",$T660="Mixta",$J660="",$AA660=""),"",IF($T660="Put",($J660-$AA660)/$J660,($AA660-$J660)/$J660))</f>
        <v/>
      </c>
      <c r="AD660" s="12" t="str">
        <f aca="false">IF($C660="","",IF($Q660&lt;&gt;"",$Q660,IF($V660="Strike",N($E660)*$H660*$I660,IF($V660="Subyacente",IF($J660="","",$J660*$H660*$I660),IF($V660="Ancho",IF($F660="","",ABS($E660-$F660)*$H660*$I660-$K660*$H660*$I660),IF($V660="Prima",$K660*$H660*$I660,""))))))</f>
        <v/>
      </c>
      <c r="AE660" s="12" t="str">
        <f aca="false">IF(OR($C660="",$M660="Abierta",$M660=""),"",(N($K660)-IF(OR($M660="Cerrada",$M660="Rolada"),N($O660),0))*$H660*$I660*IF($U660="Débito",-1,1)-N($L660)-N($P660))</f>
        <v/>
      </c>
      <c r="AF660" s="14" t="str">
        <f aca="false">IF(OR($AE660="",$AD660=""),"",IF($AD660&lt;=0,"",$AE660/$AD660))</f>
        <v/>
      </c>
      <c r="AG660" s="14" t="str">
        <f aca="false">IF($AF660="","",$AF660*365/MAX(N($X660),1))</f>
        <v/>
      </c>
      <c r="AH660" s="14" t="str">
        <f aca="false">IF(OR($C660="",$U660&lt;&gt;"Crédito",$AD660=""),"",IF($AD660&lt;=0,"",($Z660-N($L660))/$AD660))</f>
        <v/>
      </c>
      <c r="AI660" s="14" t="str">
        <f aca="false">IF(OR($AH660="",$W660=""),"",$AH660*365/MAX($W660,1))</f>
        <v/>
      </c>
      <c r="AJ660" s="14" t="str">
        <f aca="false">IF(OR($AE660="",$U660&lt;&gt;"Crédito",N($K660)=0),"",(N($K660)-IF(OR($M660="Cerrada",$M660="Rolada"),N($O660),0))/$K660)</f>
        <v/>
      </c>
      <c r="AK660" s="15" t="str">
        <f aca="false">IF(OR($C660="",$N660=""),"",DATE(YEAR($N660),MONTH($N660),1))</f>
        <v/>
      </c>
      <c r="AL660" s="11" t="str">
        <f aca="false">IF($C660="","",IF($M660="Abierta",0,1))</f>
        <v/>
      </c>
      <c r="AM660" s="16" t="str">
        <f aca="false">IF(OR($AE660="",$AD660=""),"",$AD660*MAX(N($X660),1))</f>
        <v/>
      </c>
      <c r="AN660" s="10" t="str">
        <f aca="false">IF($C660="","",IF(OR($B660="",$D660="",$H660="",$K660="",$M660=""),"Faltan datos obligatorios",IF($T660="","Estrategia no reconocida",IF(AND($M660&lt;&gt;"Abierta",$N660=""),"Falta fecha cierre",IF(AND(OR($M660="Cerrada",$M660="Rolada"),$O660=""),"Falta prima cierre",IF(AND($N660&lt;&gt;"",$N660&lt;$B660),"Cierre anterior a apertura",IF(AND($M660="Asignada",$R660=""),"Asignada: falta ID lote acciones",IF(AND($R660&lt;&gt;"",ISNA(MATCH($R660,Acciones!$A$2:$A$201,0))),"El ID lote no existe en Acciones",IF($AD660="","Revisa capital en riesgo","OK")))))))))</f>
        <v/>
      </c>
    </row>
    <row r="661" customFormat="false" ht="15" hidden="false" customHeight="true" outlineLevel="0" collapsed="false">
      <c r="A661" s="5"/>
      <c r="B661" s="6"/>
      <c r="C661" s="7"/>
      <c r="D661" s="7"/>
      <c r="E661" s="8"/>
      <c r="F661" s="8"/>
      <c r="G661" s="6"/>
      <c r="H661" s="5"/>
      <c r="I661" s="5" t="n">
        <v>100</v>
      </c>
      <c r="J661" s="8"/>
      <c r="K661" s="8"/>
      <c r="L661" s="9"/>
      <c r="M661" s="7"/>
      <c r="N661" s="6"/>
      <c r="O661" s="8"/>
      <c r="P661" s="9"/>
      <c r="Q661" s="9"/>
      <c r="R661" s="7"/>
      <c r="S661" s="7"/>
      <c r="T661" s="10" t="str">
        <f aca="false">IF($C661="","",IFERROR(INDEX(Listas!$B$2:$B$20,MATCH($D661,Listas!$A$2:$A$20,0)),""))</f>
        <v/>
      </c>
      <c r="U661" s="10" t="str">
        <f aca="false">IF($C661="","",IFERROR(INDEX(Listas!$C$2:$C$20,MATCH($D661,Listas!$A$2:$A$20,0)),""))</f>
        <v/>
      </c>
      <c r="V661" s="10" t="str">
        <f aca="false">IF($C661="","",IFERROR(INDEX(Listas!$D$2:$D$20,MATCH($D661,Listas!$A$2:$A$20,0)),""))</f>
        <v/>
      </c>
      <c r="W661" s="11" t="str">
        <f aca="false">IF(OR($C661="",$B661="",$G661=""),"",$G661-$B661)</f>
        <v/>
      </c>
      <c r="X661" s="11" t="str">
        <f aca="true">IF(OR($C661="",$B661=""),"",IF($N661&lt;&gt;"",$N661,TODAY())-$B661)</f>
        <v/>
      </c>
      <c r="Y661" s="11" t="str">
        <f aca="true">IF(OR($C661="",$M661&lt;&gt;"Abierta",$G661=""),"",MAX($G661-TODAY(),0))</f>
        <v/>
      </c>
      <c r="Z661" s="12" t="str">
        <f aca="false">IF($C661="","",N($K661)*N($H661)*N($I661)*IF($U661="Débito",-1,1))</f>
        <v/>
      </c>
      <c r="AA661" s="13" t="str">
        <f aca="false">IF($C661="","",IF(AND($U661="Débito",$F661&lt;&gt;""),$F661,$E661))</f>
        <v/>
      </c>
      <c r="AB661" s="13" t="str">
        <f aca="false">IF(OR($C661="",$T661="Mixta",$AA661=""),"",IF($V661="Subyacente",IF($J661="","",$J661-$K661),IF($T661="Put",$AA661-$K661,$AA661+$K661)))</f>
        <v/>
      </c>
      <c r="AC661" s="14" t="str">
        <f aca="false">IF(OR($C661="",$T661="Mixta",$J661="",$AA661=""),"",IF($T661="Put",($J661-$AA661)/$J661,($AA661-$J661)/$J661))</f>
        <v/>
      </c>
      <c r="AD661" s="12" t="str">
        <f aca="false">IF($C661="","",IF($Q661&lt;&gt;"",$Q661,IF($V661="Strike",N($E661)*$H661*$I661,IF($V661="Subyacente",IF($J661="","",$J661*$H661*$I661),IF($V661="Ancho",IF($F661="","",ABS($E661-$F661)*$H661*$I661-$K661*$H661*$I661),IF($V661="Prima",$K661*$H661*$I661,""))))))</f>
        <v/>
      </c>
      <c r="AE661" s="12" t="str">
        <f aca="false">IF(OR($C661="",$M661="Abierta",$M661=""),"",(N($K661)-IF(OR($M661="Cerrada",$M661="Rolada"),N($O661),0))*$H661*$I661*IF($U661="Débito",-1,1)-N($L661)-N($P661))</f>
        <v/>
      </c>
      <c r="AF661" s="14" t="str">
        <f aca="false">IF(OR($AE661="",$AD661=""),"",IF($AD661&lt;=0,"",$AE661/$AD661))</f>
        <v/>
      </c>
      <c r="AG661" s="14" t="str">
        <f aca="false">IF($AF661="","",$AF661*365/MAX(N($X661),1))</f>
        <v/>
      </c>
      <c r="AH661" s="14" t="str">
        <f aca="false">IF(OR($C661="",$U661&lt;&gt;"Crédito",$AD661=""),"",IF($AD661&lt;=0,"",($Z661-N($L661))/$AD661))</f>
        <v/>
      </c>
      <c r="AI661" s="14" t="str">
        <f aca="false">IF(OR($AH661="",$W661=""),"",$AH661*365/MAX($W661,1))</f>
        <v/>
      </c>
      <c r="AJ661" s="14" t="str">
        <f aca="false">IF(OR($AE661="",$U661&lt;&gt;"Crédito",N($K661)=0),"",(N($K661)-IF(OR($M661="Cerrada",$M661="Rolada"),N($O661),0))/$K661)</f>
        <v/>
      </c>
      <c r="AK661" s="15" t="str">
        <f aca="false">IF(OR($C661="",$N661=""),"",DATE(YEAR($N661),MONTH($N661),1))</f>
        <v/>
      </c>
      <c r="AL661" s="11" t="str">
        <f aca="false">IF($C661="","",IF($M661="Abierta",0,1))</f>
        <v/>
      </c>
      <c r="AM661" s="16" t="str">
        <f aca="false">IF(OR($AE661="",$AD661=""),"",$AD661*MAX(N($X661),1))</f>
        <v/>
      </c>
      <c r="AN661" s="10" t="str">
        <f aca="false">IF($C661="","",IF(OR($B661="",$D661="",$H661="",$K661="",$M661=""),"Faltan datos obligatorios",IF($T661="","Estrategia no reconocida",IF(AND($M661&lt;&gt;"Abierta",$N661=""),"Falta fecha cierre",IF(AND(OR($M661="Cerrada",$M661="Rolada"),$O661=""),"Falta prima cierre",IF(AND($N661&lt;&gt;"",$N661&lt;$B661),"Cierre anterior a apertura",IF(AND($M661="Asignada",$R661=""),"Asignada: falta ID lote acciones",IF(AND($R661&lt;&gt;"",ISNA(MATCH($R661,Acciones!$A$2:$A$201,0))),"El ID lote no existe en Acciones",IF($AD661="","Revisa capital en riesgo","OK")))))))))</f>
        <v/>
      </c>
    </row>
    <row r="662" customFormat="false" ht="15" hidden="false" customHeight="true" outlineLevel="0" collapsed="false">
      <c r="A662" s="5"/>
      <c r="B662" s="6"/>
      <c r="C662" s="7"/>
      <c r="D662" s="7"/>
      <c r="E662" s="8"/>
      <c r="F662" s="8"/>
      <c r="G662" s="6"/>
      <c r="H662" s="5"/>
      <c r="I662" s="5" t="n">
        <v>100</v>
      </c>
      <c r="J662" s="8"/>
      <c r="K662" s="8"/>
      <c r="L662" s="9"/>
      <c r="M662" s="7"/>
      <c r="N662" s="6"/>
      <c r="O662" s="8"/>
      <c r="P662" s="9"/>
      <c r="Q662" s="9"/>
      <c r="R662" s="7"/>
      <c r="S662" s="7"/>
      <c r="T662" s="10" t="str">
        <f aca="false">IF($C662="","",IFERROR(INDEX(Listas!$B$2:$B$20,MATCH($D662,Listas!$A$2:$A$20,0)),""))</f>
        <v/>
      </c>
      <c r="U662" s="10" t="str">
        <f aca="false">IF($C662="","",IFERROR(INDEX(Listas!$C$2:$C$20,MATCH($D662,Listas!$A$2:$A$20,0)),""))</f>
        <v/>
      </c>
      <c r="V662" s="10" t="str">
        <f aca="false">IF($C662="","",IFERROR(INDEX(Listas!$D$2:$D$20,MATCH($D662,Listas!$A$2:$A$20,0)),""))</f>
        <v/>
      </c>
      <c r="W662" s="11" t="str">
        <f aca="false">IF(OR($C662="",$B662="",$G662=""),"",$G662-$B662)</f>
        <v/>
      </c>
      <c r="X662" s="11" t="str">
        <f aca="true">IF(OR($C662="",$B662=""),"",IF($N662&lt;&gt;"",$N662,TODAY())-$B662)</f>
        <v/>
      </c>
      <c r="Y662" s="11" t="str">
        <f aca="true">IF(OR($C662="",$M662&lt;&gt;"Abierta",$G662=""),"",MAX($G662-TODAY(),0))</f>
        <v/>
      </c>
      <c r="Z662" s="12" t="str">
        <f aca="false">IF($C662="","",N($K662)*N($H662)*N($I662)*IF($U662="Débito",-1,1))</f>
        <v/>
      </c>
      <c r="AA662" s="13" t="str">
        <f aca="false">IF($C662="","",IF(AND($U662="Débito",$F662&lt;&gt;""),$F662,$E662))</f>
        <v/>
      </c>
      <c r="AB662" s="13" t="str">
        <f aca="false">IF(OR($C662="",$T662="Mixta",$AA662=""),"",IF($V662="Subyacente",IF($J662="","",$J662-$K662),IF($T662="Put",$AA662-$K662,$AA662+$K662)))</f>
        <v/>
      </c>
      <c r="AC662" s="14" t="str">
        <f aca="false">IF(OR($C662="",$T662="Mixta",$J662="",$AA662=""),"",IF($T662="Put",($J662-$AA662)/$J662,($AA662-$J662)/$J662))</f>
        <v/>
      </c>
      <c r="AD662" s="12" t="str">
        <f aca="false">IF($C662="","",IF($Q662&lt;&gt;"",$Q662,IF($V662="Strike",N($E662)*$H662*$I662,IF($V662="Subyacente",IF($J662="","",$J662*$H662*$I662),IF($V662="Ancho",IF($F662="","",ABS($E662-$F662)*$H662*$I662-$K662*$H662*$I662),IF($V662="Prima",$K662*$H662*$I662,""))))))</f>
        <v/>
      </c>
      <c r="AE662" s="12" t="str">
        <f aca="false">IF(OR($C662="",$M662="Abierta",$M662=""),"",(N($K662)-IF(OR($M662="Cerrada",$M662="Rolada"),N($O662),0))*$H662*$I662*IF($U662="Débito",-1,1)-N($L662)-N($P662))</f>
        <v/>
      </c>
      <c r="AF662" s="14" t="str">
        <f aca="false">IF(OR($AE662="",$AD662=""),"",IF($AD662&lt;=0,"",$AE662/$AD662))</f>
        <v/>
      </c>
      <c r="AG662" s="14" t="str">
        <f aca="false">IF($AF662="","",$AF662*365/MAX(N($X662),1))</f>
        <v/>
      </c>
      <c r="AH662" s="14" t="str">
        <f aca="false">IF(OR($C662="",$U662&lt;&gt;"Crédito",$AD662=""),"",IF($AD662&lt;=0,"",($Z662-N($L662))/$AD662))</f>
        <v/>
      </c>
      <c r="AI662" s="14" t="str">
        <f aca="false">IF(OR($AH662="",$W662=""),"",$AH662*365/MAX($W662,1))</f>
        <v/>
      </c>
      <c r="AJ662" s="14" t="str">
        <f aca="false">IF(OR($AE662="",$U662&lt;&gt;"Crédito",N($K662)=0),"",(N($K662)-IF(OR($M662="Cerrada",$M662="Rolada"),N($O662),0))/$K662)</f>
        <v/>
      </c>
      <c r="AK662" s="15" t="str">
        <f aca="false">IF(OR($C662="",$N662=""),"",DATE(YEAR($N662),MONTH($N662),1))</f>
        <v/>
      </c>
      <c r="AL662" s="11" t="str">
        <f aca="false">IF($C662="","",IF($M662="Abierta",0,1))</f>
        <v/>
      </c>
      <c r="AM662" s="16" t="str">
        <f aca="false">IF(OR($AE662="",$AD662=""),"",$AD662*MAX(N($X662),1))</f>
        <v/>
      </c>
      <c r="AN662" s="10" t="str">
        <f aca="false">IF($C662="","",IF(OR($B662="",$D662="",$H662="",$K662="",$M662=""),"Faltan datos obligatorios",IF($T662="","Estrategia no reconocida",IF(AND($M662&lt;&gt;"Abierta",$N662=""),"Falta fecha cierre",IF(AND(OR($M662="Cerrada",$M662="Rolada"),$O662=""),"Falta prima cierre",IF(AND($N662&lt;&gt;"",$N662&lt;$B662),"Cierre anterior a apertura",IF(AND($M662="Asignada",$R662=""),"Asignada: falta ID lote acciones",IF(AND($R662&lt;&gt;"",ISNA(MATCH($R662,Acciones!$A$2:$A$201,0))),"El ID lote no existe en Acciones",IF($AD662="","Revisa capital en riesgo","OK")))))))))</f>
        <v/>
      </c>
    </row>
    <row r="663" customFormat="false" ht="15" hidden="false" customHeight="true" outlineLevel="0" collapsed="false">
      <c r="A663" s="5"/>
      <c r="B663" s="6"/>
      <c r="C663" s="7"/>
      <c r="D663" s="7"/>
      <c r="E663" s="8"/>
      <c r="F663" s="8"/>
      <c r="G663" s="6"/>
      <c r="H663" s="5"/>
      <c r="I663" s="5" t="n">
        <v>100</v>
      </c>
      <c r="J663" s="8"/>
      <c r="K663" s="8"/>
      <c r="L663" s="9"/>
      <c r="M663" s="7"/>
      <c r="N663" s="6"/>
      <c r="O663" s="8"/>
      <c r="P663" s="9"/>
      <c r="Q663" s="9"/>
      <c r="R663" s="7"/>
      <c r="S663" s="7"/>
      <c r="T663" s="10" t="str">
        <f aca="false">IF($C663="","",IFERROR(INDEX(Listas!$B$2:$B$20,MATCH($D663,Listas!$A$2:$A$20,0)),""))</f>
        <v/>
      </c>
      <c r="U663" s="10" t="str">
        <f aca="false">IF($C663="","",IFERROR(INDEX(Listas!$C$2:$C$20,MATCH($D663,Listas!$A$2:$A$20,0)),""))</f>
        <v/>
      </c>
      <c r="V663" s="10" t="str">
        <f aca="false">IF($C663="","",IFERROR(INDEX(Listas!$D$2:$D$20,MATCH($D663,Listas!$A$2:$A$20,0)),""))</f>
        <v/>
      </c>
      <c r="W663" s="11" t="str">
        <f aca="false">IF(OR($C663="",$B663="",$G663=""),"",$G663-$B663)</f>
        <v/>
      </c>
      <c r="X663" s="11" t="str">
        <f aca="true">IF(OR($C663="",$B663=""),"",IF($N663&lt;&gt;"",$N663,TODAY())-$B663)</f>
        <v/>
      </c>
      <c r="Y663" s="11" t="str">
        <f aca="true">IF(OR($C663="",$M663&lt;&gt;"Abierta",$G663=""),"",MAX($G663-TODAY(),0))</f>
        <v/>
      </c>
      <c r="Z663" s="12" t="str">
        <f aca="false">IF($C663="","",N($K663)*N($H663)*N($I663)*IF($U663="Débito",-1,1))</f>
        <v/>
      </c>
      <c r="AA663" s="13" t="str">
        <f aca="false">IF($C663="","",IF(AND($U663="Débito",$F663&lt;&gt;""),$F663,$E663))</f>
        <v/>
      </c>
      <c r="AB663" s="13" t="str">
        <f aca="false">IF(OR($C663="",$T663="Mixta",$AA663=""),"",IF($V663="Subyacente",IF($J663="","",$J663-$K663),IF($T663="Put",$AA663-$K663,$AA663+$K663)))</f>
        <v/>
      </c>
      <c r="AC663" s="14" t="str">
        <f aca="false">IF(OR($C663="",$T663="Mixta",$J663="",$AA663=""),"",IF($T663="Put",($J663-$AA663)/$J663,($AA663-$J663)/$J663))</f>
        <v/>
      </c>
      <c r="AD663" s="12" t="str">
        <f aca="false">IF($C663="","",IF($Q663&lt;&gt;"",$Q663,IF($V663="Strike",N($E663)*$H663*$I663,IF($V663="Subyacente",IF($J663="","",$J663*$H663*$I663),IF($V663="Ancho",IF($F663="","",ABS($E663-$F663)*$H663*$I663-$K663*$H663*$I663),IF($V663="Prima",$K663*$H663*$I663,""))))))</f>
        <v/>
      </c>
      <c r="AE663" s="12" t="str">
        <f aca="false">IF(OR($C663="",$M663="Abierta",$M663=""),"",(N($K663)-IF(OR($M663="Cerrada",$M663="Rolada"),N($O663),0))*$H663*$I663*IF($U663="Débito",-1,1)-N($L663)-N($P663))</f>
        <v/>
      </c>
      <c r="AF663" s="14" t="str">
        <f aca="false">IF(OR($AE663="",$AD663=""),"",IF($AD663&lt;=0,"",$AE663/$AD663))</f>
        <v/>
      </c>
      <c r="AG663" s="14" t="str">
        <f aca="false">IF($AF663="","",$AF663*365/MAX(N($X663),1))</f>
        <v/>
      </c>
      <c r="AH663" s="14" t="str">
        <f aca="false">IF(OR($C663="",$U663&lt;&gt;"Crédito",$AD663=""),"",IF($AD663&lt;=0,"",($Z663-N($L663))/$AD663))</f>
        <v/>
      </c>
      <c r="AI663" s="14" t="str">
        <f aca="false">IF(OR($AH663="",$W663=""),"",$AH663*365/MAX($W663,1))</f>
        <v/>
      </c>
      <c r="AJ663" s="14" t="str">
        <f aca="false">IF(OR($AE663="",$U663&lt;&gt;"Crédito",N($K663)=0),"",(N($K663)-IF(OR($M663="Cerrada",$M663="Rolada"),N($O663),0))/$K663)</f>
        <v/>
      </c>
      <c r="AK663" s="15" t="str">
        <f aca="false">IF(OR($C663="",$N663=""),"",DATE(YEAR($N663),MONTH($N663),1))</f>
        <v/>
      </c>
      <c r="AL663" s="11" t="str">
        <f aca="false">IF($C663="","",IF($M663="Abierta",0,1))</f>
        <v/>
      </c>
      <c r="AM663" s="16" t="str">
        <f aca="false">IF(OR($AE663="",$AD663=""),"",$AD663*MAX(N($X663),1))</f>
        <v/>
      </c>
      <c r="AN663" s="10" t="str">
        <f aca="false">IF($C663="","",IF(OR($B663="",$D663="",$H663="",$K663="",$M663=""),"Faltan datos obligatorios",IF($T663="","Estrategia no reconocida",IF(AND($M663&lt;&gt;"Abierta",$N663=""),"Falta fecha cierre",IF(AND(OR($M663="Cerrada",$M663="Rolada"),$O663=""),"Falta prima cierre",IF(AND($N663&lt;&gt;"",$N663&lt;$B663),"Cierre anterior a apertura",IF(AND($M663="Asignada",$R663=""),"Asignada: falta ID lote acciones",IF(AND($R663&lt;&gt;"",ISNA(MATCH($R663,Acciones!$A$2:$A$201,0))),"El ID lote no existe en Acciones",IF($AD663="","Revisa capital en riesgo","OK")))))))))</f>
        <v/>
      </c>
    </row>
    <row r="664" customFormat="false" ht="15" hidden="false" customHeight="true" outlineLevel="0" collapsed="false">
      <c r="A664" s="5"/>
      <c r="B664" s="6"/>
      <c r="C664" s="7"/>
      <c r="D664" s="7"/>
      <c r="E664" s="8"/>
      <c r="F664" s="8"/>
      <c r="G664" s="6"/>
      <c r="H664" s="5"/>
      <c r="I664" s="5" t="n">
        <v>100</v>
      </c>
      <c r="J664" s="8"/>
      <c r="K664" s="8"/>
      <c r="L664" s="9"/>
      <c r="M664" s="7"/>
      <c r="N664" s="6"/>
      <c r="O664" s="8"/>
      <c r="P664" s="9"/>
      <c r="Q664" s="9"/>
      <c r="R664" s="7"/>
      <c r="S664" s="7"/>
      <c r="T664" s="10" t="str">
        <f aca="false">IF($C664="","",IFERROR(INDEX(Listas!$B$2:$B$20,MATCH($D664,Listas!$A$2:$A$20,0)),""))</f>
        <v/>
      </c>
      <c r="U664" s="10" t="str">
        <f aca="false">IF($C664="","",IFERROR(INDEX(Listas!$C$2:$C$20,MATCH($D664,Listas!$A$2:$A$20,0)),""))</f>
        <v/>
      </c>
      <c r="V664" s="10" t="str">
        <f aca="false">IF($C664="","",IFERROR(INDEX(Listas!$D$2:$D$20,MATCH($D664,Listas!$A$2:$A$20,0)),""))</f>
        <v/>
      </c>
      <c r="W664" s="11" t="str">
        <f aca="false">IF(OR($C664="",$B664="",$G664=""),"",$G664-$B664)</f>
        <v/>
      </c>
      <c r="X664" s="11" t="str">
        <f aca="true">IF(OR($C664="",$B664=""),"",IF($N664&lt;&gt;"",$N664,TODAY())-$B664)</f>
        <v/>
      </c>
      <c r="Y664" s="11" t="str">
        <f aca="true">IF(OR($C664="",$M664&lt;&gt;"Abierta",$G664=""),"",MAX($G664-TODAY(),0))</f>
        <v/>
      </c>
      <c r="Z664" s="12" t="str">
        <f aca="false">IF($C664="","",N($K664)*N($H664)*N($I664)*IF($U664="Débito",-1,1))</f>
        <v/>
      </c>
      <c r="AA664" s="13" t="str">
        <f aca="false">IF($C664="","",IF(AND($U664="Débito",$F664&lt;&gt;""),$F664,$E664))</f>
        <v/>
      </c>
      <c r="AB664" s="13" t="str">
        <f aca="false">IF(OR($C664="",$T664="Mixta",$AA664=""),"",IF($V664="Subyacente",IF($J664="","",$J664-$K664),IF($T664="Put",$AA664-$K664,$AA664+$K664)))</f>
        <v/>
      </c>
      <c r="AC664" s="14" t="str">
        <f aca="false">IF(OR($C664="",$T664="Mixta",$J664="",$AA664=""),"",IF($T664="Put",($J664-$AA664)/$J664,($AA664-$J664)/$J664))</f>
        <v/>
      </c>
      <c r="AD664" s="12" t="str">
        <f aca="false">IF($C664="","",IF($Q664&lt;&gt;"",$Q664,IF($V664="Strike",N($E664)*$H664*$I664,IF($V664="Subyacente",IF($J664="","",$J664*$H664*$I664),IF($V664="Ancho",IF($F664="","",ABS($E664-$F664)*$H664*$I664-$K664*$H664*$I664),IF($V664="Prima",$K664*$H664*$I664,""))))))</f>
        <v/>
      </c>
      <c r="AE664" s="12" t="str">
        <f aca="false">IF(OR($C664="",$M664="Abierta",$M664=""),"",(N($K664)-IF(OR($M664="Cerrada",$M664="Rolada"),N($O664),0))*$H664*$I664*IF($U664="Débito",-1,1)-N($L664)-N($P664))</f>
        <v/>
      </c>
      <c r="AF664" s="14" t="str">
        <f aca="false">IF(OR($AE664="",$AD664=""),"",IF($AD664&lt;=0,"",$AE664/$AD664))</f>
        <v/>
      </c>
      <c r="AG664" s="14" t="str">
        <f aca="false">IF($AF664="","",$AF664*365/MAX(N($X664),1))</f>
        <v/>
      </c>
      <c r="AH664" s="14" t="str">
        <f aca="false">IF(OR($C664="",$U664&lt;&gt;"Crédito",$AD664=""),"",IF($AD664&lt;=0,"",($Z664-N($L664))/$AD664))</f>
        <v/>
      </c>
      <c r="AI664" s="14" t="str">
        <f aca="false">IF(OR($AH664="",$W664=""),"",$AH664*365/MAX($W664,1))</f>
        <v/>
      </c>
      <c r="AJ664" s="14" t="str">
        <f aca="false">IF(OR($AE664="",$U664&lt;&gt;"Crédito",N($K664)=0),"",(N($K664)-IF(OR($M664="Cerrada",$M664="Rolada"),N($O664),0))/$K664)</f>
        <v/>
      </c>
      <c r="AK664" s="15" t="str">
        <f aca="false">IF(OR($C664="",$N664=""),"",DATE(YEAR($N664),MONTH($N664),1))</f>
        <v/>
      </c>
      <c r="AL664" s="11" t="str">
        <f aca="false">IF($C664="","",IF($M664="Abierta",0,1))</f>
        <v/>
      </c>
      <c r="AM664" s="16" t="str">
        <f aca="false">IF(OR($AE664="",$AD664=""),"",$AD664*MAX(N($X664),1))</f>
        <v/>
      </c>
      <c r="AN664" s="10" t="str">
        <f aca="false">IF($C664="","",IF(OR($B664="",$D664="",$H664="",$K664="",$M664=""),"Faltan datos obligatorios",IF($T664="","Estrategia no reconocida",IF(AND($M664&lt;&gt;"Abierta",$N664=""),"Falta fecha cierre",IF(AND(OR($M664="Cerrada",$M664="Rolada"),$O664=""),"Falta prima cierre",IF(AND($N664&lt;&gt;"",$N664&lt;$B664),"Cierre anterior a apertura",IF(AND($M664="Asignada",$R664=""),"Asignada: falta ID lote acciones",IF(AND($R664&lt;&gt;"",ISNA(MATCH($R664,Acciones!$A$2:$A$201,0))),"El ID lote no existe en Acciones",IF($AD664="","Revisa capital en riesgo","OK")))))))))</f>
        <v/>
      </c>
    </row>
    <row r="665" customFormat="false" ht="15" hidden="false" customHeight="true" outlineLevel="0" collapsed="false">
      <c r="A665" s="5"/>
      <c r="B665" s="6"/>
      <c r="C665" s="7"/>
      <c r="D665" s="7"/>
      <c r="E665" s="8"/>
      <c r="F665" s="8"/>
      <c r="G665" s="6"/>
      <c r="H665" s="5"/>
      <c r="I665" s="5" t="n">
        <v>100</v>
      </c>
      <c r="J665" s="8"/>
      <c r="K665" s="8"/>
      <c r="L665" s="9"/>
      <c r="M665" s="7"/>
      <c r="N665" s="6"/>
      <c r="O665" s="8"/>
      <c r="P665" s="9"/>
      <c r="Q665" s="9"/>
      <c r="R665" s="7"/>
      <c r="S665" s="7"/>
      <c r="T665" s="10" t="str">
        <f aca="false">IF($C665="","",IFERROR(INDEX(Listas!$B$2:$B$20,MATCH($D665,Listas!$A$2:$A$20,0)),""))</f>
        <v/>
      </c>
      <c r="U665" s="10" t="str">
        <f aca="false">IF($C665="","",IFERROR(INDEX(Listas!$C$2:$C$20,MATCH($D665,Listas!$A$2:$A$20,0)),""))</f>
        <v/>
      </c>
      <c r="V665" s="10" t="str">
        <f aca="false">IF($C665="","",IFERROR(INDEX(Listas!$D$2:$D$20,MATCH($D665,Listas!$A$2:$A$20,0)),""))</f>
        <v/>
      </c>
      <c r="W665" s="11" t="str">
        <f aca="false">IF(OR($C665="",$B665="",$G665=""),"",$G665-$B665)</f>
        <v/>
      </c>
      <c r="X665" s="11" t="str">
        <f aca="true">IF(OR($C665="",$B665=""),"",IF($N665&lt;&gt;"",$N665,TODAY())-$B665)</f>
        <v/>
      </c>
      <c r="Y665" s="11" t="str">
        <f aca="true">IF(OR($C665="",$M665&lt;&gt;"Abierta",$G665=""),"",MAX($G665-TODAY(),0))</f>
        <v/>
      </c>
      <c r="Z665" s="12" t="str">
        <f aca="false">IF($C665="","",N($K665)*N($H665)*N($I665)*IF($U665="Débito",-1,1))</f>
        <v/>
      </c>
      <c r="AA665" s="13" t="str">
        <f aca="false">IF($C665="","",IF(AND($U665="Débito",$F665&lt;&gt;""),$F665,$E665))</f>
        <v/>
      </c>
      <c r="AB665" s="13" t="str">
        <f aca="false">IF(OR($C665="",$T665="Mixta",$AA665=""),"",IF($V665="Subyacente",IF($J665="","",$J665-$K665),IF($T665="Put",$AA665-$K665,$AA665+$K665)))</f>
        <v/>
      </c>
      <c r="AC665" s="14" t="str">
        <f aca="false">IF(OR($C665="",$T665="Mixta",$J665="",$AA665=""),"",IF($T665="Put",($J665-$AA665)/$J665,($AA665-$J665)/$J665))</f>
        <v/>
      </c>
      <c r="AD665" s="12" t="str">
        <f aca="false">IF($C665="","",IF($Q665&lt;&gt;"",$Q665,IF($V665="Strike",N($E665)*$H665*$I665,IF($V665="Subyacente",IF($J665="","",$J665*$H665*$I665),IF($V665="Ancho",IF($F665="","",ABS($E665-$F665)*$H665*$I665-$K665*$H665*$I665),IF($V665="Prima",$K665*$H665*$I665,""))))))</f>
        <v/>
      </c>
      <c r="AE665" s="12" t="str">
        <f aca="false">IF(OR($C665="",$M665="Abierta",$M665=""),"",(N($K665)-IF(OR($M665="Cerrada",$M665="Rolada"),N($O665),0))*$H665*$I665*IF($U665="Débito",-1,1)-N($L665)-N($P665))</f>
        <v/>
      </c>
      <c r="AF665" s="14" t="str">
        <f aca="false">IF(OR($AE665="",$AD665=""),"",IF($AD665&lt;=0,"",$AE665/$AD665))</f>
        <v/>
      </c>
      <c r="AG665" s="14" t="str">
        <f aca="false">IF($AF665="","",$AF665*365/MAX(N($X665),1))</f>
        <v/>
      </c>
      <c r="AH665" s="14" t="str">
        <f aca="false">IF(OR($C665="",$U665&lt;&gt;"Crédito",$AD665=""),"",IF($AD665&lt;=0,"",($Z665-N($L665))/$AD665))</f>
        <v/>
      </c>
      <c r="AI665" s="14" t="str">
        <f aca="false">IF(OR($AH665="",$W665=""),"",$AH665*365/MAX($W665,1))</f>
        <v/>
      </c>
      <c r="AJ665" s="14" t="str">
        <f aca="false">IF(OR($AE665="",$U665&lt;&gt;"Crédito",N($K665)=0),"",(N($K665)-IF(OR($M665="Cerrada",$M665="Rolada"),N($O665),0))/$K665)</f>
        <v/>
      </c>
      <c r="AK665" s="15" t="str">
        <f aca="false">IF(OR($C665="",$N665=""),"",DATE(YEAR($N665),MONTH($N665),1))</f>
        <v/>
      </c>
      <c r="AL665" s="11" t="str">
        <f aca="false">IF($C665="","",IF($M665="Abierta",0,1))</f>
        <v/>
      </c>
      <c r="AM665" s="16" t="str">
        <f aca="false">IF(OR($AE665="",$AD665=""),"",$AD665*MAX(N($X665),1))</f>
        <v/>
      </c>
      <c r="AN665" s="10" t="str">
        <f aca="false">IF($C665="","",IF(OR($B665="",$D665="",$H665="",$K665="",$M665=""),"Faltan datos obligatorios",IF($T665="","Estrategia no reconocida",IF(AND($M665&lt;&gt;"Abierta",$N665=""),"Falta fecha cierre",IF(AND(OR($M665="Cerrada",$M665="Rolada"),$O665=""),"Falta prima cierre",IF(AND($N665&lt;&gt;"",$N665&lt;$B665),"Cierre anterior a apertura",IF(AND($M665="Asignada",$R665=""),"Asignada: falta ID lote acciones",IF(AND($R665&lt;&gt;"",ISNA(MATCH($R665,Acciones!$A$2:$A$201,0))),"El ID lote no existe en Acciones",IF($AD665="","Revisa capital en riesgo","OK")))))))))</f>
        <v/>
      </c>
    </row>
    <row r="666" customFormat="false" ht="15" hidden="false" customHeight="true" outlineLevel="0" collapsed="false">
      <c r="A666" s="5"/>
      <c r="B666" s="6"/>
      <c r="C666" s="7"/>
      <c r="D666" s="7"/>
      <c r="E666" s="8"/>
      <c r="F666" s="8"/>
      <c r="G666" s="6"/>
      <c r="H666" s="5"/>
      <c r="I666" s="5" t="n">
        <v>100</v>
      </c>
      <c r="J666" s="8"/>
      <c r="K666" s="8"/>
      <c r="L666" s="9"/>
      <c r="M666" s="7"/>
      <c r="N666" s="6"/>
      <c r="O666" s="8"/>
      <c r="P666" s="9"/>
      <c r="Q666" s="9"/>
      <c r="R666" s="7"/>
      <c r="S666" s="7"/>
      <c r="T666" s="10" t="str">
        <f aca="false">IF($C666="","",IFERROR(INDEX(Listas!$B$2:$B$20,MATCH($D666,Listas!$A$2:$A$20,0)),""))</f>
        <v/>
      </c>
      <c r="U666" s="10" t="str">
        <f aca="false">IF($C666="","",IFERROR(INDEX(Listas!$C$2:$C$20,MATCH($D666,Listas!$A$2:$A$20,0)),""))</f>
        <v/>
      </c>
      <c r="V666" s="10" t="str">
        <f aca="false">IF($C666="","",IFERROR(INDEX(Listas!$D$2:$D$20,MATCH($D666,Listas!$A$2:$A$20,0)),""))</f>
        <v/>
      </c>
      <c r="W666" s="11" t="str">
        <f aca="false">IF(OR($C666="",$B666="",$G666=""),"",$G666-$B666)</f>
        <v/>
      </c>
      <c r="X666" s="11" t="str">
        <f aca="true">IF(OR($C666="",$B666=""),"",IF($N666&lt;&gt;"",$N666,TODAY())-$B666)</f>
        <v/>
      </c>
      <c r="Y666" s="11" t="str">
        <f aca="true">IF(OR($C666="",$M666&lt;&gt;"Abierta",$G666=""),"",MAX($G666-TODAY(),0))</f>
        <v/>
      </c>
      <c r="Z666" s="12" t="str">
        <f aca="false">IF($C666="","",N($K666)*N($H666)*N($I666)*IF($U666="Débito",-1,1))</f>
        <v/>
      </c>
      <c r="AA666" s="13" t="str">
        <f aca="false">IF($C666="","",IF(AND($U666="Débito",$F666&lt;&gt;""),$F666,$E666))</f>
        <v/>
      </c>
      <c r="AB666" s="13" t="str">
        <f aca="false">IF(OR($C666="",$T666="Mixta",$AA666=""),"",IF($V666="Subyacente",IF($J666="","",$J666-$K666),IF($T666="Put",$AA666-$K666,$AA666+$K666)))</f>
        <v/>
      </c>
      <c r="AC666" s="14" t="str">
        <f aca="false">IF(OR($C666="",$T666="Mixta",$J666="",$AA666=""),"",IF($T666="Put",($J666-$AA666)/$J666,($AA666-$J666)/$J666))</f>
        <v/>
      </c>
      <c r="AD666" s="12" t="str">
        <f aca="false">IF($C666="","",IF($Q666&lt;&gt;"",$Q666,IF($V666="Strike",N($E666)*$H666*$I666,IF($V666="Subyacente",IF($J666="","",$J666*$H666*$I666),IF($V666="Ancho",IF($F666="","",ABS($E666-$F666)*$H666*$I666-$K666*$H666*$I666),IF($V666="Prima",$K666*$H666*$I666,""))))))</f>
        <v/>
      </c>
      <c r="AE666" s="12" t="str">
        <f aca="false">IF(OR($C666="",$M666="Abierta",$M666=""),"",(N($K666)-IF(OR($M666="Cerrada",$M666="Rolada"),N($O666),0))*$H666*$I666*IF($U666="Débito",-1,1)-N($L666)-N($P666))</f>
        <v/>
      </c>
      <c r="AF666" s="14" t="str">
        <f aca="false">IF(OR($AE666="",$AD666=""),"",IF($AD666&lt;=0,"",$AE666/$AD666))</f>
        <v/>
      </c>
      <c r="AG666" s="14" t="str">
        <f aca="false">IF($AF666="","",$AF666*365/MAX(N($X666),1))</f>
        <v/>
      </c>
      <c r="AH666" s="14" t="str">
        <f aca="false">IF(OR($C666="",$U666&lt;&gt;"Crédito",$AD666=""),"",IF($AD666&lt;=0,"",($Z666-N($L666))/$AD666))</f>
        <v/>
      </c>
      <c r="AI666" s="14" t="str">
        <f aca="false">IF(OR($AH666="",$W666=""),"",$AH666*365/MAX($W666,1))</f>
        <v/>
      </c>
      <c r="AJ666" s="14" t="str">
        <f aca="false">IF(OR($AE666="",$U666&lt;&gt;"Crédito",N($K666)=0),"",(N($K666)-IF(OR($M666="Cerrada",$M666="Rolada"),N($O666),0))/$K666)</f>
        <v/>
      </c>
      <c r="AK666" s="15" t="str">
        <f aca="false">IF(OR($C666="",$N666=""),"",DATE(YEAR($N666),MONTH($N666),1))</f>
        <v/>
      </c>
      <c r="AL666" s="11" t="str">
        <f aca="false">IF($C666="","",IF($M666="Abierta",0,1))</f>
        <v/>
      </c>
      <c r="AM666" s="16" t="str">
        <f aca="false">IF(OR($AE666="",$AD666=""),"",$AD666*MAX(N($X666),1))</f>
        <v/>
      </c>
      <c r="AN666" s="10" t="str">
        <f aca="false">IF($C666="","",IF(OR($B666="",$D666="",$H666="",$K666="",$M666=""),"Faltan datos obligatorios",IF($T666="","Estrategia no reconocida",IF(AND($M666&lt;&gt;"Abierta",$N666=""),"Falta fecha cierre",IF(AND(OR($M666="Cerrada",$M666="Rolada"),$O666=""),"Falta prima cierre",IF(AND($N666&lt;&gt;"",$N666&lt;$B666),"Cierre anterior a apertura",IF(AND($M666="Asignada",$R666=""),"Asignada: falta ID lote acciones",IF(AND($R666&lt;&gt;"",ISNA(MATCH($R666,Acciones!$A$2:$A$201,0))),"El ID lote no existe en Acciones",IF($AD666="","Revisa capital en riesgo","OK")))))))))</f>
        <v/>
      </c>
    </row>
    <row r="667" customFormat="false" ht="15" hidden="false" customHeight="true" outlineLevel="0" collapsed="false">
      <c r="A667" s="5"/>
      <c r="B667" s="6"/>
      <c r="C667" s="7"/>
      <c r="D667" s="7"/>
      <c r="E667" s="8"/>
      <c r="F667" s="8"/>
      <c r="G667" s="6"/>
      <c r="H667" s="5"/>
      <c r="I667" s="5" t="n">
        <v>100</v>
      </c>
      <c r="J667" s="8"/>
      <c r="K667" s="8"/>
      <c r="L667" s="9"/>
      <c r="M667" s="7"/>
      <c r="N667" s="6"/>
      <c r="O667" s="8"/>
      <c r="P667" s="9"/>
      <c r="Q667" s="9"/>
      <c r="R667" s="7"/>
      <c r="S667" s="7"/>
      <c r="T667" s="10" t="str">
        <f aca="false">IF($C667="","",IFERROR(INDEX(Listas!$B$2:$B$20,MATCH($D667,Listas!$A$2:$A$20,0)),""))</f>
        <v/>
      </c>
      <c r="U667" s="10" t="str">
        <f aca="false">IF($C667="","",IFERROR(INDEX(Listas!$C$2:$C$20,MATCH($D667,Listas!$A$2:$A$20,0)),""))</f>
        <v/>
      </c>
      <c r="V667" s="10" t="str">
        <f aca="false">IF($C667="","",IFERROR(INDEX(Listas!$D$2:$D$20,MATCH($D667,Listas!$A$2:$A$20,0)),""))</f>
        <v/>
      </c>
      <c r="W667" s="11" t="str">
        <f aca="false">IF(OR($C667="",$B667="",$G667=""),"",$G667-$B667)</f>
        <v/>
      </c>
      <c r="X667" s="11" t="str">
        <f aca="true">IF(OR($C667="",$B667=""),"",IF($N667&lt;&gt;"",$N667,TODAY())-$B667)</f>
        <v/>
      </c>
      <c r="Y667" s="11" t="str">
        <f aca="true">IF(OR($C667="",$M667&lt;&gt;"Abierta",$G667=""),"",MAX($G667-TODAY(),0))</f>
        <v/>
      </c>
      <c r="Z667" s="12" t="str">
        <f aca="false">IF($C667="","",N($K667)*N($H667)*N($I667)*IF($U667="Débito",-1,1))</f>
        <v/>
      </c>
      <c r="AA667" s="13" t="str">
        <f aca="false">IF($C667="","",IF(AND($U667="Débito",$F667&lt;&gt;""),$F667,$E667))</f>
        <v/>
      </c>
      <c r="AB667" s="13" t="str">
        <f aca="false">IF(OR($C667="",$T667="Mixta",$AA667=""),"",IF($V667="Subyacente",IF($J667="","",$J667-$K667),IF($T667="Put",$AA667-$K667,$AA667+$K667)))</f>
        <v/>
      </c>
      <c r="AC667" s="14" t="str">
        <f aca="false">IF(OR($C667="",$T667="Mixta",$J667="",$AA667=""),"",IF($T667="Put",($J667-$AA667)/$J667,($AA667-$J667)/$J667))</f>
        <v/>
      </c>
      <c r="AD667" s="12" t="str">
        <f aca="false">IF($C667="","",IF($Q667&lt;&gt;"",$Q667,IF($V667="Strike",N($E667)*$H667*$I667,IF($V667="Subyacente",IF($J667="","",$J667*$H667*$I667),IF($V667="Ancho",IF($F667="","",ABS($E667-$F667)*$H667*$I667-$K667*$H667*$I667),IF($V667="Prima",$K667*$H667*$I667,""))))))</f>
        <v/>
      </c>
      <c r="AE667" s="12" t="str">
        <f aca="false">IF(OR($C667="",$M667="Abierta",$M667=""),"",(N($K667)-IF(OR($M667="Cerrada",$M667="Rolada"),N($O667),0))*$H667*$I667*IF($U667="Débito",-1,1)-N($L667)-N($P667))</f>
        <v/>
      </c>
      <c r="AF667" s="14" t="str">
        <f aca="false">IF(OR($AE667="",$AD667=""),"",IF($AD667&lt;=0,"",$AE667/$AD667))</f>
        <v/>
      </c>
      <c r="AG667" s="14" t="str">
        <f aca="false">IF($AF667="","",$AF667*365/MAX(N($X667),1))</f>
        <v/>
      </c>
      <c r="AH667" s="14" t="str">
        <f aca="false">IF(OR($C667="",$U667&lt;&gt;"Crédito",$AD667=""),"",IF($AD667&lt;=0,"",($Z667-N($L667))/$AD667))</f>
        <v/>
      </c>
      <c r="AI667" s="14" t="str">
        <f aca="false">IF(OR($AH667="",$W667=""),"",$AH667*365/MAX($W667,1))</f>
        <v/>
      </c>
      <c r="AJ667" s="14" t="str">
        <f aca="false">IF(OR($AE667="",$U667&lt;&gt;"Crédito",N($K667)=0),"",(N($K667)-IF(OR($M667="Cerrada",$M667="Rolada"),N($O667),0))/$K667)</f>
        <v/>
      </c>
      <c r="AK667" s="15" t="str">
        <f aca="false">IF(OR($C667="",$N667=""),"",DATE(YEAR($N667),MONTH($N667),1))</f>
        <v/>
      </c>
      <c r="AL667" s="11" t="str">
        <f aca="false">IF($C667="","",IF($M667="Abierta",0,1))</f>
        <v/>
      </c>
      <c r="AM667" s="16" t="str">
        <f aca="false">IF(OR($AE667="",$AD667=""),"",$AD667*MAX(N($X667),1))</f>
        <v/>
      </c>
      <c r="AN667" s="10" t="str">
        <f aca="false">IF($C667="","",IF(OR($B667="",$D667="",$H667="",$K667="",$M667=""),"Faltan datos obligatorios",IF($T667="","Estrategia no reconocida",IF(AND($M667&lt;&gt;"Abierta",$N667=""),"Falta fecha cierre",IF(AND(OR($M667="Cerrada",$M667="Rolada"),$O667=""),"Falta prima cierre",IF(AND($N667&lt;&gt;"",$N667&lt;$B667),"Cierre anterior a apertura",IF(AND($M667="Asignada",$R667=""),"Asignada: falta ID lote acciones",IF(AND($R667&lt;&gt;"",ISNA(MATCH($R667,Acciones!$A$2:$A$201,0))),"El ID lote no existe en Acciones",IF($AD667="","Revisa capital en riesgo","OK")))))))))</f>
        <v/>
      </c>
    </row>
    <row r="668" customFormat="false" ht="15" hidden="false" customHeight="true" outlineLevel="0" collapsed="false">
      <c r="A668" s="5"/>
      <c r="B668" s="6"/>
      <c r="C668" s="7"/>
      <c r="D668" s="7"/>
      <c r="E668" s="8"/>
      <c r="F668" s="8"/>
      <c r="G668" s="6"/>
      <c r="H668" s="5"/>
      <c r="I668" s="5" t="n">
        <v>100</v>
      </c>
      <c r="J668" s="8"/>
      <c r="K668" s="8"/>
      <c r="L668" s="9"/>
      <c r="M668" s="7"/>
      <c r="N668" s="6"/>
      <c r="O668" s="8"/>
      <c r="P668" s="9"/>
      <c r="Q668" s="9"/>
      <c r="R668" s="7"/>
      <c r="S668" s="7"/>
      <c r="T668" s="10" t="str">
        <f aca="false">IF($C668="","",IFERROR(INDEX(Listas!$B$2:$B$20,MATCH($D668,Listas!$A$2:$A$20,0)),""))</f>
        <v/>
      </c>
      <c r="U668" s="10" t="str">
        <f aca="false">IF($C668="","",IFERROR(INDEX(Listas!$C$2:$C$20,MATCH($D668,Listas!$A$2:$A$20,0)),""))</f>
        <v/>
      </c>
      <c r="V668" s="10" t="str">
        <f aca="false">IF($C668="","",IFERROR(INDEX(Listas!$D$2:$D$20,MATCH($D668,Listas!$A$2:$A$20,0)),""))</f>
        <v/>
      </c>
      <c r="W668" s="11" t="str">
        <f aca="false">IF(OR($C668="",$B668="",$G668=""),"",$G668-$B668)</f>
        <v/>
      </c>
      <c r="X668" s="11" t="str">
        <f aca="true">IF(OR($C668="",$B668=""),"",IF($N668&lt;&gt;"",$N668,TODAY())-$B668)</f>
        <v/>
      </c>
      <c r="Y668" s="11" t="str">
        <f aca="true">IF(OR($C668="",$M668&lt;&gt;"Abierta",$G668=""),"",MAX($G668-TODAY(),0))</f>
        <v/>
      </c>
      <c r="Z668" s="12" t="str">
        <f aca="false">IF($C668="","",N($K668)*N($H668)*N($I668)*IF($U668="Débito",-1,1))</f>
        <v/>
      </c>
      <c r="AA668" s="13" t="str">
        <f aca="false">IF($C668="","",IF(AND($U668="Débito",$F668&lt;&gt;""),$F668,$E668))</f>
        <v/>
      </c>
      <c r="AB668" s="13" t="str">
        <f aca="false">IF(OR($C668="",$T668="Mixta",$AA668=""),"",IF($V668="Subyacente",IF($J668="","",$J668-$K668),IF($T668="Put",$AA668-$K668,$AA668+$K668)))</f>
        <v/>
      </c>
      <c r="AC668" s="14" t="str">
        <f aca="false">IF(OR($C668="",$T668="Mixta",$J668="",$AA668=""),"",IF($T668="Put",($J668-$AA668)/$J668,($AA668-$J668)/$J668))</f>
        <v/>
      </c>
      <c r="AD668" s="12" t="str">
        <f aca="false">IF($C668="","",IF($Q668&lt;&gt;"",$Q668,IF($V668="Strike",N($E668)*$H668*$I668,IF($V668="Subyacente",IF($J668="","",$J668*$H668*$I668),IF($V668="Ancho",IF($F668="","",ABS($E668-$F668)*$H668*$I668-$K668*$H668*$I668),IF($V668="Prima",$K668*$H668*$I668,""))))))</f>
        <v/>
      </c>
      <c r="AE668" s="12" t="str">
        <f aca="false">IF(OR($C668="",$M668="Abierta",$M668=""),"",(N($K668)-IF(OR($M668="Cerrada",$M668="Rolada"),N($O668),0))*$H668*$I668*IF($U668="Débito",-1,1)-N($L668)-N($P668))</f>
        <v/>
      </c>
      <c r="AF668" s="14" t="str">
        <f aca="false">IF(OR($AE668="",$AD668=""),"",IF($AD668&lt;=0,"",$AE668/$AD668))</f>
        <v/>
      </c>
      <c r="AG668" s="14" t="str">
        <f aca="false">IF($AF668="","",$AF668*365/MAX(N($X668),1))</f>
        <v/>
      </c>
      <c r="AH668" s="14" t="str">
        <f aca="false">IF(OR($C668="",$U668&lt;&gt;"Crédito",$AD668=""),"",IF($AD668&lt;=0,"",($Z668-N($L668))/$AD668))</f>
        <v/>
      </c>
      <c r="AI668" s="14" t="str">
        <f aca="false">IF(OR($AH668="",$W668=""),"",$AH668*365/MAX($W668,1))</f>
        <v/>
      </c>
      <c r="AJ668" s="14" t="str">
        <f aca="false">IF(OR($AE668="",$U668&lt;&gt;"Crédito",N($K668)=0),"",(N($K668)-IF(OR($M668="Cerrada",$M668="Rolada"),N($O668),0))/$K668)</f>
        <v/>
      </c>
      <c r="AK668" s="15" t="str">
        <f aca="false">IF(OR($C668="",$N668=""),"",DATE(YEAR($N668),MONTH($N668),1))</f>
        <v/>
      </c>
      <c r="AL668" s="11" t="str">
        <f aca="false">IF($C668="","",IF($M668="Abierta",0,1))</f>
        <v/>
      </c>
      <c r="AM668" s="16" t="str">
        <f aca="false">IF(OR($AE668="",$AD668=""),"",$AD668*MAX(N($X668),1))</f>
        <v/>
      </c>
      <c r="AN668" s="10" t="str">
        <f aca="false">IF($C668="","",IF(OR($B668="",$D668="",$H668="",$K668="",$M668=""),"Faltan datos obligatorios",IF($T668="","Estrategia no reconocida",IF(AND($M668&lt;&gt;"Abierta",$N668=""),"Falta fecha cierre",IF(AND(OR($M668="Cerrada",$M668="Rolada"),$O668=""),"Falta prima cierre",IF(AND($N668&lt;&gt;"",$N668&lt;$B668),"Cierre anterior a apertura",IF(AND($M668="Asignada",$R668=""),"Asignada: falta ID lote acciones",IF(AND($R668&lt;&gt;"",ISNA(MATCH($R668,Acciones!$A$2:$A$201,0))),"El ID lote no existe en Acciones",IF($AD668="","Revisa capital en riesgo","OK")))))))))</f>
        <v/>
      </c>
    </row>
    <row r="669" customFormat="false" ht="15" hidden="false" customHeight="true" outlineLevel="0" collapsed="false">
      <c r="A669" s="5"/>
      <c r="B669" s="6"/>
      <c r="C669" s="7"/>
      <c r="D669" s="7"/>
      <c r="E669" s="8"/>
      <c r="F669" s="8"/>
      <c r="G669" s="6"/>
      <c r="H669" s="5"/>
      <c r="I669" s="5" t="n">
        <v>100</v>
      </c>
      <c r="J669" s="8"/>
      <c r="K669" s="8"/>
      <c r="L669" s="9"/>
      <c r="M669" s="7"/>
      <c r="N669" s="6"/>
      <c r="O669" s="8"/>
      <c r="P669" s="9"/>
      <c r="Q669" s="9"/>
      <c r="R669" s="7"/>
      <c r="S669" s="7"/>
      <c r="T669" s="10" t="str">
        <f aca="false">IF($C669="","",IFERROR(INDEX(Listas!$B$2:$B$20,MATCH($D669,Listas!$A$2:$A$20,0)),""))</f>
        <v/>
      </c>
      <c r="U669" s="10" t="str">
        <f aca="false">IF($C669="","",IFERROR(INDEX(Listas!$C$2:$C$20,MATCH($D669,Listas!$A$2:$A$20,0)),""))</f>
        <v/>
      </c>
      <c r="V669" s="10" t="str">
        <f aca="false">IF($C669="","",IFERROR(INDEX(Listas!$D$2:$D$20,MATCH($D669,Listas!$A$2:$A$20,0)),""))</f>
        <v/>
      </c>
      <c r="W669" s="11" t="str">
        <f aca="false">IF(OR($C669="",$B669="",$G669=""),"",$G669-$B669)</f>
        <v/>
      </c>
      <c r="X669" s="11" t="str">
        <f aca="true">IF(OR($C669="",$B669=""),"",IF($N669&lt;&gt;"",$N669,TODAY())-$B669)</f>
        <v/>
      </c>
      <c r="Y669" s="11" t="str">
        <f aca="true">IF(OR($C669="",$M669&lt;&gt;"Abierta",$G669=""),"",MAX($G669-TODAY(),0))</f>
        <v/>
      </c>
      <c r="Z669" s="12" t="str">
        <f aca="false">IF($C669="","",N($K669)*N($H669)*N($I669)*IF($U669="Débito",-1,1))</f>
        <v/>
      </c>
      <c r="AA669" s="13" t="str">
        <f aca="false">IF($C669="","",IF(AND($U669="Débito",$F669&lt;&gt;""),$F669,$E669))</f>
        <v/>
      </c>
      <c r="AB669" s="13" t="str">
        <f aca="false">IF(OR($C669="",$T669="Mixta",$AA669=""),"",IF($V669="Subyacente",IF($J669="","",$J669-$K669),IF($T669="Put",$AA669-$K669,$AA669+$K669)))</f>
        <v/>
      </c>
      <c r="AC669" s="14" t="str">
        <f aca="false">IF(OR($C669="",$T669="Mixta",$J669="",$AA669=""),"",IF($T669="Put",($J669-$AA669)/$J669,($AA669-$J669)/$J669))</f>
        <v/>
      </c>
      <c r="AD669" s="12" t="str">
        <f aca="false">IF($C669="","",IF($Q669&lt;&gt;"",$Q669,IF($V669="Strike",N($E669)*$H669*$I669,IF($V669="Subyacente",IF($J669="","",$J669*$H669*$I669),IF($V669="Ancho",IF($F669="","",ABS($E669-$F669)*$H669*$I669-$K669*$H669*$I669),IF($V669="Prima",$K669*$H669*$I669,""))))))</f>
        <v/>
      </c>
      <c r="AE669" s="12" t="str">
        <f aca="false">IF(OR($C669="",$M669="Abierta",$M669=""),"",(N($K669)-IF(OR($M669="Cerrada",$M669="Rolada"),N($O669),0))*$H669*$I669*IF($U669="Débito",-1,1)-N($L669)-N($P669))</f>
        <v/>
      </c>
      <c r="AF669" s="14" t="str">
        <f aca="false">IF(OR($AE669="",$AD669=""),"",IF($AD669&lt;=0,"",$AE669/$AD669))</f>
        <v/>
      </c>
      <c r="AG669" s="14" t="str">
        <f aca="false">IF($AF669="","",$AF669*365/MAX(N($X669),1))</f>
        <v/>
      </c>
      <c r="AH669" s="14" t="str">
        <f aca="false">IF(OR($C669="",$U669&lt;&gt;"Crédito",$AD669=""),"",IF($AD669&lt;=0,"",($Z669-N($L669))/$AD669))</f>
        <v/>
      </c>
      <c r="AI669" s="14" t="str">
        <f aca="false">IF(OR($AH669="",$W669=""),"",$AH669*365/MAX($W669,1))</f>
        <v/>
      </c>
      <c r="AJ669" s="14" t="str">
        <f aca="false">IF(OR($AE669="",$U669&lt;&gt;"Crédito",N($K669)=0),"",(N($K669)-IF(OR($M669="Cerrada",$M669="Rolada"),N($O669),0))/$K669)</f>
        <v/>
      </c>
      <c r="AK669" s="15" t="str">
        <f aca="false">IF(OR($C669="",$N669=""),"",DATE(YEAR($N669),MONTH($N669),1))</f>
        <v/>
      </c>
      <c r="AL669" s="11" t="str">
        <f aca="false">IF($C669="","",IF($M669="Abierta",0,1))</f>
        <v/>
      </c>
      <c r="AM669" s="16" t="str">
        <f aca="false">IF(OR($AE669="",$AD669=""),"",$AD669*MAX(N($X669),1))</f>
        <v/>
      </c>
      <c r="AN669" s="10" t="str">
        <f aca="false">IF($C669="","",IF(OR($B669="",$D669="",$H669="",$K669="",$M669=""),"Faltan datos obligatorios",IF($T669="","Estrategia no reconocida",IF(AND($M669&lt;&gt;"Abierta",$N669=""),"Falta fecha cierre",IF(AND(OR($M669="Cerrada",$M669="Rolada"),$O669=""),"Falta prima cierre",IF(AND($N669&lt;&gt;"",$N669&lt;$B669),"Cierre anterior a apertura",IF(AND($M669="Asignada",$R669=""),"Asignada: falta ID lote acciones",IF(AND($R669&lt;&gt;"",ISNA(MATCH($R669,Acciones!$A$2:$A$201,0))),"El ID lote no existe en Acciones",IF($AD669="","Revisa capital en riesgo","OK")))))))))</f>
        <v/>
      </c>
    </row>
    <row r="670" customFormat="false" ht="15" hidden="false" customHeight="true" outlineLevel="0" collapsed="false">
      <c r="A670" s="5"/>
      <c r="B670" s="6"/>
      <c r="C670" s="7"/>
      <c r="D670" s="7"/>
      <c r="E670" s="8"/>
      <c r="F670" s="8"/>
      <c r="G670" s="6"/>
      <c r="H670" s="5"/>
      <c r="I670" s="5" t="n">
        <v>100</v>
      </c>
      <c r="J670" s="8"/>
      <c r="K670" s="8"/>
      <c r="L670" s="9"/>
      <c r="M670" s="7"/>
      <c r="N670" s="6"/>
      <c r="O670" s="8"/>
      <c r="P670" s="9"/>
      <c r="Q670" s="9"/>
      <c r="R670" s="7"/>
      <c r="S670" s="7"/>
      <c r="T670" s="10" t="str">
        <f aca="false">IF($C670="","",IFERROR(INDEX(Listas!$B$2:$B$20,MATCH($D670,Listas!$A$2:$A$20,0)),""))</f>
        <v/>
      </c>
      <c r="U670" s="10" t="str">
        <f aca="false">IF($C670="","",IFERROR(INDEX(Listas!$C$2:$C$20,MATCH($D670,Listas!$A$2:$A$20,0)),""))</f>
        <v/>
      </c>
      <c r="V670" s="10" t="str">
        <f aca="false">IF($C670="","",IFERROR(INDEX(Listas!$D$2:$D$20,MATCH($D670,Listas!$A$2:$A$20,0)),""))</f>
        <v/>
      </c>
      <c r="W670" s="11" t="str">
        <f aca="false">IF(OR($C670="",$B670="",$G670=""),"",$G670-$B670)</f>
        <v/>
      </c>
      <c r="X670" s="11" t="str">
        <f aca="true">IF(OR($C670="",$B670=""),"",IF($N670&lt;&gt;"",$N670,TODAY())-$B670)</f>
        <v/>
      </c>
      <c r="Y670" s="11" t="str">
        <f aca="true">IF(OR($C670="",$M670&lt;&gt;"Abierta",$G670=""),"",MAX($G670-TODAY(),0))</f>
        <v/>
      </c>
      <c r="Z670" s="12" t="str">
        <f aca="false">IF($C670="","",N($K670)*N($H670)*N($I670)*IF($U670="Débito",-1,1))</f>
        <v/>
      </c>
      <c r="AA670" s="13" t="str">
        <f aca="false">IF($C670="","",IF(AND($U670="Débito",$F670&lt;&gt;""),$F670,$E670))</f>
        <v/>
      </c>
      <c r="AB670" s="13" t="str">
        <f aca="false">IF(OR($C670="",$T670="Mixta",$AA670=""),"",IF($V670="Subyacente",IF($J670="","",$J670-$K670),IF($T670="Put",$AA670-$K670,$AA670+$K670)))</f>
        <v/>
      </c>
      <c r="AC670" s="14" t="str">
        <f aca="false">IF(OR($C670="",$T670="Mixta",$J670="",$AA670=""),"",IF($T670="Put",($J670-$AA670)/$J670,($AA670-$J670)/$J670))</f>
        <v/>
      </c>
      <c r="AD670" s="12" t="str">
        <f aca="false">IF($C670="","",IF($Q670&lt;&gt;"",$Q670,IF($V670="Strike",N($E670)*$H670*$I670,IF($V670="Subyacente",IF($J670="","",$J670*$H670*$I670),IF($V670="Ancho",IF($F670="","",ABS($E670-$F670)*$H670*$I670-$K670*$H670*$I670),IF($V670="Prima",$K670*$H670*$I670,""))))))</f>
        <v/>
      </c>
      <c r="AE670" s="12" t="str">
        <f aca="false">IF(OR($C670="",$M670="Abierta",$M670=""),"",(N($K670)-IF(OR($M670="Cerrada",$M670="Rolada"),N($O670),0))*$H670*$I670*IF($U670="Débito",-1,1)-N($L670)-N($P670))</f>
        <v/>
      </c>
      <c r="AF670" s="14" t="str">
        <f aca="false">IF(OR($AE670="",$AD670=""),"",IF($AD670&lt;=0,"",$AE670/$AD670))</f>
        <v/>
      </c>
      <c r="AG670" s="14" t="str">
        <f aca="false">IF($AF670="","",$AF670*365/MAX(N($X670),1))</f>
        <v/>
      </c>
      <c r="AH670" s="14" t="str">
        <f aca="false">IF(OR($C670="",$U670&lt;&gt;"Crédito",$AD670=""),"",IF($AD670&lt;=0,"",($Z670-N($L670))/$AD670))</f>
        <v/>
      </c>
      <c r="AI670" s="14" t="str">
        <f aca="false">IF(OR($AH670="",$W670=""),"",$AH670*365/MAX($W670,1))</f>
        <v/>
      </c>
      <c r="AJ670" s="14" t="str">
        <f aca="false">IF(OR($AE670="",$U670&lt;&gt;"Crédito",N($K670)=0),"",(N($K670)-IF(OR($M670="Cerrada",$M670="Rolada"),N($O670),0))/$K670)</f>
        <v/>
      </c>
      <c r="AK670" s="15" t="str">
        <f aca="false">IF(OR($C670="",$N670=""),"",DATE(YEAR($N670),MONTH($N670),1))</f>
        <v/>
      </c>
      <c r="AL670" s="11" t="str">
        <f aca="false">IF($C670="","",IF($M670="Abierta",0,1))</f>
        <v/>
      </c>
      <c r="AM670" s="16" t="str">
        <f aca="false">IF(OR($AE670="",$AD670=""),"",$AD670*MAX(N($X670),1))</f>
        <v/>
      </c>
      <c r="AN670" s="10" t="str">
        <f aca="false">IF($C670="","",IF(OR($B670="",$D670="",$H670="",$K670="",$M670=""),"Faltan datos obligatorios",IF($T670="","Estrategia no reconocida",IF(AND($M670&lt;&gt;"Abierta",$N670=""),"Falta fecha cierre",IF(AND(OR($M670="Cerrada",$M670="Rolada"),$O670=""),"Falta prima cierre",IF(AND($N670&lt;&gt;"",$N670&lt;$B670),"Cierre anterior a apertura",IF(AND($M670="Asignada",$R670=""),"Asignada: falta ID lote acciones",IF(AND($R670&lt;&gt;"",ISNA(MATCH($R670,Acciones!$A$2:$A$201,0))),"El ID lote no existe en Acciones",IF($AD670="","Revisa capital en riesgo","OK")))))))))</f>
        <v/>
      </c>
    </row>
    <row r="671" customFormat="false" ht="15" hidden="false" customHeight="true" outlineLevel="0" collapsed="false">
      <c r="A671" s="5"/>
      <c r="B671" s="6"/>
      <c r="C671" s="7"/>
      <c r="D671" s="7"/>
      <c r="E671" s="8"/>
      <c r="F671" s="8"/>
      <c r="G671" s="6"/>
      <c r="H671" s="5"/>
      <c r="I671" s="5" t="n">
        <v>100</v>
      </c>
      <c r="J671" s="8"/>
      <c r="K671" s="8"/>
      <c r="L671" s="9"/>
      <c r="M671" s="7"/>
      <c r="N671" s="6"/>
      <c r="O671" s="8"/>
      <c r="P671" s="9"/>
      <c r="Q671" s="9"/>
      <c r="R671" s="7"/>
      <c r="S671" s="7"/>
      <c r="T671" s="10" t="str">
        <f aca="false">IF($C671="","",IFERROR(INDEX(Listas!$B$2:$B$20,MATCH($D671,Listas!$A$2:$A$20,0)),""))</f>
        <v/>
      </c>
      <c r="U671" s="10" t="str">
        <f aca="false">IF($C671="","",IFERROR(INDEX(Listas!$C$2:$C$20,MATCH($D671,Listas!$A$2:$A$20,0)),""))</f>
        <v/>
      </c>
      <c r="V671" s="10" t="str">
        <f aca="false">IF($C671="","",IFERROR(INDEX(Listas!$D$2:$D$20,MATCH($D671,Listas!$A$2:$A$20,0)),""))</f>
        <v/>
      </c>
      <c r="W671" s="11" t="str">
        <f aca="false">IF(OR($C671="",$B671="",$G671=""),"",$G671-$B671)</f>
        <v/>
      </c>
      <c r="X671" s="11" t="str">
        <f aca="true">IF(OR($C671="",$B671=""),"",IF($N671&lt;&gt;"",$N671,TODAY())-$B671)</f>
        <v/>
      </c>
      <c r="Y671" s="11" t="str">
        <f aca="true">IF(OR($C671="",$M671&lt;&gt;"Abierta",$G671=""),"",MAX($G671-TODAY(),0))</f>
        <v/>
      </c>
      <c r="Z671" s="12" t="str">
        <f aca="false">IF($C671="","",N($K671)*N($H671)*N($I671)*IF($U671="Débito",-1,1))</f>
        <v/>
      </c>
      <c r="AA671" s="13" t="str">
        <f aca="false">IF($C671="","",IF(AND($U671="Débito",$F671&lt;&gt;""),$F671,$E671))</f>
        <v/>
      </c>
      <c r="AB671" s="13" t="str">
        <f aca="false">IF(OR($C671="",$T671="Mixta",$AA671=""),"",IF($V671="Subyacente",IF($J671="","",$J671-$K671),IF($T671="Put",$AA671-$K671,$AA671+$K671)))</f>
        <v/>
      </c>
      <c r="AC671" s="14" t="str">
        <f aca="false">IF(OR($C671="",$T671="Mixta",$J671="",$AA671=""),"",IF($T671="Put",($J671-$AA671)/$J671,($AA671-$J671)/$J671))</f>
        <v/>
      </c>
      <c r="AD671" s="12" t="str">
        <f aca="false">IF($C671="","",IF($Q671&lt;&gt;"",$Q671,IF($V671="Strike",N($E671)*$H671*$I671,IF($V671="Subyacente",IF($J671="","",$J671*$H671*$I671),IF($V671="Ancho",IF($F671="","",ABS($E671-$F671)*$H671*$I671-$K671*$H671*$I671),IF($V671="Prima",$K671*$H671*$I671,""))))))</f>
        <v/>
      </c>
      <c r="AE671" s="12" t="str">
        <f aca="false">IF(OR($C671="",$M671="Abierta",$M671=""),"",(N($K671)-IF(OR($M671="Cerrada",$M671="Rolada"),N($O671),0))*$H671*$I671*IF($U671="Débito",-1,1)-N($L671)-N($P671))</f>
        <v/>
      </c>
      <c r="AF671" s="14" t="str">
        <f aca="false">IF(OR($AE671="",$AD671=""),"",IF($AD671&lt;=0,"",$AE671/$AD671))</f>
        <v/>
      </c>
      <c r="AG671" s="14" t="str">
        <f aca="false">IF($AF671="","",$AF671*365/MAX(N($X671),1))</f>
        <v/>
      </c>
      <c r="AH671" s="14" t="str">
        <f aca="false">IF(OR($C671="",$U671&lt;&gt;"Crédito",$AD671=""),"",IF($AD671&lt;=0,"",($Z671-N($L671))/$AD671))</f>
        <v/>
      </c>
      <c r="AI671" s="14" t="str">
        <f aca="false">IF(OR($AH671="",$W671=""),"",$AH671*365/MAX($W671,1))</f>
        <v/>
      </c>
      <c r="AJ671" s="14" t="str">
        <f aca="false">IF(OR($AE671="",$U671&lt;&gt;"Crédito",N($K671)=0),"",(N($K671)-IF(OR($M671="Cerrada",$M671="Rolada"),N($O671),0))/$K671)</f>
        <v/>
      </c>
      <c r="AK671" s="15" t="str">
        <f aca="false">IF(OR($C671="",$N671=""),"",DATE(YEAR($N671),MONTH($N671),1))</f>
        <v/>
      </c>
      <c r="AL671" s="11" t="str">
        <f aca="false">IF($C671="","",IF($M671="Abierta",0,1))</f>
        <v/>
      </c>
      <c r="AM671" s="16" t="str">
        <f aca="false">IF(OR($AE671="",$AD671=""),"",$AD671*MAX(N($X671),1))</f>
        <v/>
      </c>
      <c r="AN671" s="10" t="str">
        <f aca="false">IF($C671="","",IF(OR($B671="",$D671="",$H671="",$K671="",$M671=""),"Faltan datos obligatorios",IF($T671="","Estrategia no reconocida",IF(AND($M671&lt;&gt;"Abierta",$N671=""),"Falta fecha cierre",IF(AND(OR($M671="Cerrada",$M671="Rolada"),$O671=""),"Falta prima cierre",IF(AND($N671&lt;&gt;"",$N671&lt;$B671),"Cierre anterior a apertura",IF(AND($M671="Asignada",$R671=""),"Asignada: falta ID lote acciones",IF(AND($R671&lt;&gt;"",ISNA(MATCH($R671,Acciones!$A$2:$A$201,0))),"El ID lote no existe en Acciones",IF($AD671="","Revisa capital en riesgo","OK")))))))))</f>
        <v/>
      </c>
    </row>
    <row r="672" customFormat="false" ht="15" hidden="false" customHeight="true" outlineLevel="0" collapsed="false">
      <c r="A672" s="5"/>
      <c r="B672" s="6"/>
      <c r="C672" s="7"/>
      <c r="D672" s="7"/>
      <c r="E672" s="8"/>
      <c r="F672" s="8"/>
      <c r="G672" s="6"/>
      <c r="H672" s="5"/>
      <c r="I672" s="5" t="n">
        <v>100</v>
      </c>
      <c r="J672" s="8"/>
      <c r="K672" s="8"/>
      <c r="L672" s="9"/>
      <c r="M672" s="7"/>
      <c r="N672" s="6"/>
      <c r="O672" s="8"/>
      <c r="P672" s="9"/>
      <c r="Q672" s="9"/>
      <c r="R672" s="7"/>
      <c r="S672" s="7"/>
      <c r="T672" s="10" t="str">
        <f aca="false">IF($C672="","",IFERROR(INDEX(Listas!$B$2:$B$20,MATCH($D672,Listas!$A$2:$A$20,0)),""))</f>
        <v/>
      </c>
      <c r="U672" s="10" t="str">
        <f aca="false">IF($C672="","",IFERROR(INDEX(Listas!$C$2:$C$20,MATCH($D672,Listas!$A$2:$A$20,0)),""))</f>
        <v/>
      </c>
      <c r="V672" s="10" t="str">
        <f aca="false">IF($C672="","",IFERROR(INDEX(Listas!$D$2:$D$20,MATCH($D672,Listas!$A$2:$A$20,0)),""))</f>
        <v/>
      </c>
      <c r="W672" s="11" t="str">
        <f aca="false">IF(OR($C672="",$B672="",$G672=""),"",$G672-$B672)</f>
        <v/>
      </c>
      <c r="X672" s="11" t="str">
        <f aca="true">IF(OR($C672="",$B672=""),"",IF($N672&lt;&gt;"",$N672,TODAY())-$B672)</f>
        <v/>
      </c>
      <c r="Y672" s="11" t="str">
        <f aca="true">IF(OR($C672="",$M672&lt;&gt;"Abierta",$G672=""),"",MAX($G672-TODAY(),0))</f>
        <v/>
      </c>
      <c r="Z672" s="12" t="str">
        <f aca="false">IF($C672="","",N($K672)*N($H672)*N($I672)*IF($U672="Débito",-1,1))</f>
        <v/>
      </c>
      <c r="AA672" s="13" t="str">
        <f aca="false">IF($C672="","",IF(AND($U672="Débito",$F672&lt;&gt;""),$F672,$E672))</f>
        <v/>
      </c>
      <c r="AB672" s="13" t="str">
        <f aca="false">IF(OR($C672="",$T672="Mixta",$AA672=""),"",IF($V672="Subyacente",IF($J672="","",$J672-$K672),IF($T672="Put",$AA672-$K672,$AA672+$K672)))</f>
        <v/>
      </c>
      <c r="AC672" s="14" t="str">
        <f aca="false">IF(OR($C672="",$T672="Mixta",$J672="",$AA672=""),"",IF($T672="Put",($J672-$AA672)/$J672,($AA672-$J672)/$J672))</f>
        <v/>
      </c>
      <c r="AD672" s="12" t="str">
        <f aca="false">IF($C672="","",IF($Q672&lt;&gt;"",$Q672,IF($V672="Strike",N($E672)*$H672*$I672,IF($V672="Subyacente",IF($J672="","",$J672*$H672*$I672),IF($V672="Ancho",IF($F672="","",ABS($E672-$F672)*$H672*$I672-$K672*$H672*$I672),IF($V672="Prima",$K672*$H672*$I672,""))))))</f>
        <v/>
      </c>
      <c r="AE672" s="12" t="str">
        <f aca="false">IF(OR($C672="",$M672="Abierta",$M672=""),"",(N($K672)-IF(OR($M672="Cerrada",$M672="Rolada"),N($O672),0))*$H672*$I672*IF($U672="Débito",-1,1)-N($L672)-N($P672))</f>
        <v/>
      </c>
      <c r="AF672" s="14" t="str">
        <f aca="false">IF(OR($AE672="",$AD672=""),"",IF($AD672&lt;=0,"",$AE672/$AD672))</f>
        <v/>
      </c>
      <c r="AG672" s="14" t="str">
        <f aca="false">IF($AF672="","",$AF672*365/MAX(N($X672),1))</f>
        <v/>
      </c>
      <c r="AH672" s="14" t="str">
        <f aca="false">IF(OR($C672="",$U672&lt;&gt;"Crédito",$AD672=""),"",IF($AD672&lt;=0,"",($Z672-N($L672))/$AD672))</f>
        <v/>
      </c>
      <c r="AI672" s="14" t="str">
        <f aca="false">IF(OR($AH672="",$W672=""),"",$AH672*365/MAX($W672,1))</f>
        <v/>
      </c>
      <c r="AJ672" s="14" t="str">
        <f aca="false">IF(OR($AE672="",$U672&lt;&gt;"Crédito",N($K672)=0),"",(N($K672)-IF(OR($M672="Cerrada",$M672="Rolada"),N($O672),0))/$K672)</f>
        <v/>
      </c>
      <c r="AK672" s="15" t="str">
        <f aca="false">IF(OR($C672="",$N672=""),"",DATE(YEAR($N672),MONTH($N672),1))</f>
        <v/>
      </c>
      <c r="AL672" s="11" t="str">
        <f aca="false">IF($C672="","",IF($M672="Abierta",0,1))</f>
        <v/>
      </c>
      <c r="AM672" s="16" t="str">
        <f aca="false">IF(OR($AE672="",$AD672=""),"",$AD672*MAX(N($X672),1))</f>
        <v/>
      </c>
      <c r="AN672" s="10" t="str">
        <f aca="false">IF($C672="","",IF(OR($B672="",$D672="",$H672="",$K672="",$M672=""),"Faltan datos obligatorios",IF($T672="","Estrategia no reconocida",IF(AND($M672&lt;&gt;"Abierta",$N672=""),"Falta fecha cierre",IF(AND(OR($M672="Cerrada",$M672="Rolada"),$O672=""),"Falta prima cierre",IF(AND($N672&lt;&gt;"",$N672&lt;$B672),"Cierre anterior a apertura",IF(AND($M672="Asignada",$R672=""),"Asignada: falta ID lote acciones",IF(AND($R672&lt;&gt;"",ISNA(MATCH($R672,Acciones!$A$2:$A$201,0))),"El ID lote no existe en Acciones",IF($AD672="","Revisa capital en riesgo","OK")))))))))</f>
        <v/>
      </c>
    </row>
    <row r="673" customFormat="false" ht="15" hidden="false" customHeight="true" outlineLevel="0" collapsed="false">
      <c r="A673" s="5"/>
      <c r="B673" s="6"/>
      <c r="C673" s="7"/>
      <c r="D673" s="7"/>
      <c r="E673" s="8"/>
      <c r="F673" s="8"/>
      <c r="G673" s="6"/>
      <c r="H673" s="5"/>
      <c r="I673" s="5" t="n">
        <v>100</v>
      </c>
      <c r="J673" s="8"/>
      <c r="K673" s="8"/>
      <c r="L673" s="9"/>
      <c r="M673" s="7"/>
      <c r="N673" s="6"/>
      <c r="O673" s="8"/>
      <c r="P673" s="9"/>
      <c r="Q673" s="9"/>
      <c r="R673" s="7"/>
      <c r="S673" s="7"/>
      <c r="T673" s="10" t="str">
        <f aca="false">IF($C673="","",IFERROR(INDEX(Listas!$B$2:$B$20,MATCH($D673,Listas!$A$2:$A$20,0)),""))</f>
        <v/>
      </c>
      <c r="U673" s="10" t="str">
        <f aca="false">IF($C673="","",IFERROR(INDEX(Listas!$C$2:$C$20,MATCH($D673,Listas!$A$2:$A$20,0)),""))</f>
        <v/>
      </c>
      <c r="V673" s="10" t="str">
        <f aca="false">IF($C673="","",IFERROR(INDEX(Listas!$D$2:$D$20,MATCH($D673,Listas!$A$2:$A$20,0)),""))</f>
        <v/>
      </c>
      <c r="W673" s="11" t="str">
        <f aca="false">IF(OR($C673="",$B673="",$G673=""),"",$G673-$B673)</f>
        <v/>
      </c>
      <c r="X673" s="11" t="str">
        <f aca="true">IF(OR($C673="",$B673=""),"",IF($N673&lt;&gt;"",$N673,TODAY())-$B673)</f>
        <v/>
      </c>
      <c r="Y673" s="11" t="str">
        <f aca="true">IF(OR($C673="",$M673&lt;&gt;"Abierta",$G673=""),"",MAX($G673-TODAY(),0))</f>
        <v/>
      </c>
      <c r="Z673" s="12" t="str">
        <f aca="false">IF($C673="","",N($K673)*N($H673)*N($I673)*IF($U673="Débito",-1,1))</f>
        <v/>
      </c>
      <c r="AA673" s="13" t="str">
        <f aca="false">IF($C673="","",IF(AND($U673="Débito",$F673&lt;&gt;""),$F673,$E673))</f>
        <v/>
      </c>
      <c r="AB673" s="13" t="str">
        <f aca="false">IF(OR($C673="",$T673="Mixta",$AA673=""),"",IF($V673="Subyacente",IF($J673="","",$J673-$K673),IF($T673="Put",$AA673-$K673,$AA673+$K673)))</f>
        <v/>
      </c>
      <c r="AC673" s="14" t="str">
        <f aca="false">IF(OR($C673="",$T673="Mixta",$J673="",$AA673=""),"",IF($T673="Put",($J673-$AA673)/$J673,($AA673-$J673)/$J673))</f>
        <v/>
      </c>
      <c r="AD673" s="12" t="str">
        <f aca="false">IF($C673="","",IF($Q673&lt;&gt;"",$Q673,IF($V673="Strike",N($E673)*$H673*$I673,IF($V673="Subyacente",IF($J673="","",$J673*$H673*$I673),IF($V673="Ancho",IF($F673="","",ABS($E673-$F673)*$H673*$I673-$K673*$H673*$I673),IF($V673="Prima",$K673*$H673*$I673,""))))))</f>
        <v/>
      </c>
      <c r="AE673" s="12" t="str">
        <f aca="false">IF(OR($C673="",$M673="Abierta",$M673=""),"",(N($K673)-IF(OR($M673="Cerrada",$M673="Rolada"),N($O673),0))*$H673*$I673*IF($U673="Débito",-1,1)-N($L673)-N($P673))</f>
        <v/>
      </c>
      <c r="AF673" s="14" t="str">
        <f aca="false">IF(OR($AE673="",$AD673=""),"",IF($AD673&lt;=0,"",$AE673/$AD673))</f>
        <v/>
      </c>
      <c r="AG673" s="14" t="str">
        <f aca="false">IF($AF673="","",$AF673*365/MAX(N($X673),1))</f>
        <v/>
      </c>
      <c r="AH673" s="14" t="str">
        <f aca="false">IF(OR($C673="",$U673&lt;&gt;"Crédito",$AD673=""),"",IF($AD673&lt;=0,"",($Z673-N($L673))/$AD673))</f>
        <v/>
      </c>
      <c r="AI673" s="14" t="str">
        <f aca="false">IF(OR($AH673="",$W673=""),"",$AH673*365/MAX($W673,1))</f>
        <v/>
      </c>
      <c r="AJ673" s="14" t="str">
        <f aca="false">IF(OR($AE673="",$U673&lt;&gt;"Crédito",N($K673)=0),"",(N($K673)-IF(OR($M673="Cerrada",$M673="Rolada"),N($O673),0))/$K673)</f>
        <v/>
      </c>
      <c r="AK673" s="15" t="str">
        <f aca="false">IF(OR($C673="",$N673=""),"",DATE(YEAR($N673),MONTH($N673),1))</f>
        <v/>
      </c>
      <c r="AL673" s="11" t="str">
        <f aca="false">IF($C673="","",IF($M673="Abierta",0,1))</f>
        <v/>
      </c>
      <c r="AM673" s="16" t="str">
        <f aca="false">IF(OR($AE673="",$AD673=""),"",$AD673*MAX(N($X673),1))</f>
        <v/>
      </c>
      <c r="AN673" s="10" t="str">
        <f aca="false">IF($C673="","",IF(OR($B673="",$D673="",$H673="",$K673="",$M673=""),"Faltan datos obligatorios",IF($T673="","Estrategia no reconocida",IF(AND($M673&lt;&gt;"Abierta",$N673=""),"Falta fecha cierre",IF(AND(OR($M673="Cerrada",$M673="Rolada"),$O673=""),"Falta prima cierre",IF(AND($N673&lt;&gt;"",$N673&lt;$B673),"Cierre anterior a apertura",IF(AND($M673="Asignada",$R673=""),"Asignada: falta ID lote acciones",IF(AND($R673&lt;&gt;"",ISNA(MATCH($R673,Acciones!$A$2:$A$201,0))),"El ID lote no existe en Acciones",IF($AD673="","Revisa capital en riesgo","OK")))))))))</f>
        <v/>
      </c>
    </row>
    <row r="674" customFormat="false" ht="15" hidden="false" customHeight="true" outlineLevel="0" collapsed="false">
      <c r="A674" s="5"/>
      <c r="B674" s="6"/>
      <c r="C674" s="7"/>
      <c r="D674" s="7"/>
      <c r="E674" s="8"/>
      <c r="F674" s="8"/>
      <c r="G674" s="6"/>
      <c r="H674" s="5"/>
      <c r="I674" s="5" t="n">
        <v>100</v>
      </c>
      <c r="J674" s="8"/>
      <c r="K674" s="8"/>
      <c r="L674" s="9"/>
      <c r="M674" s="7"/>
      <c r="N674" s="6"/>
      <c r="O674" s="8"/>
      <c r="P674" s="9"/>
      <c r="Q674" s="9"/>
      <c r="R674" s="7"/>
      <c r="S674" s="7"/>
      <c r="T674" s="10" t="str">
        <f aca="false">IF($C674="","",IFERROR(INDEX(Listas!$B$2:$B$20,MATCH($D674,Listas!$A$2:$A$20,0)),""))</f>
        <v/>
      </c>
      <c r="U674" s="10" t="str">
        <f aca="false">IF($C674="","",IFERROR(INDEX(Listas!$C$2:$C$20,MATCH($D674,Listas!$A$2:$A$20,0)),""))</f>
        <v/>
      </c>
      <c r="V674" s="10" t="str">
        <f aca="false">IF($C674="","",IFERROR(INDEX(Listas!$D$2:$D$20,MATCH($D674,Listas!$A$2:$A$20,0)),""))</f>
        <v/>
      </c>
      <c r="W674" s="11" t="str">
        <f aca="false">IF(OR($C674="",$B674="",$G674=""),"",$G674-$B674)</f>
        <v/>
      </c>
      <c r="X674" s="11" t="str">
        <f aca="true">IF(OR($C674="",$B674=""),"",IF($N674&lt;&gt;"",$N674,TODAY())-$B674)</f>
        <v/>
      </c>
      <c r="Y674" s="11" t="str">
        <f aca="true">IF(OR($C674="",$M674&lt;&gt;"Abierta",$G674=""),"",MAX($G674-TODAY(),0))</f>
        <v/>
      </c>
      <c r="Z674" s="12" t="str">
        <f aca="false">IF($C674="","",N($K674)*N($H674)*N($I674)*IF($U674="Débito",-1,1))</f>
        <v/>
      </c>
      <c r="AA674" s="13" t="str">
        <f aca="false">IF($C674="","",IF(AND($U674="Débito",$F674&lt;&gt;""),$F674,$E674))</f>
        <v/>
      </c>
      <c r="AB674" s="13" t="str">
        <f aca="false">IF(OR($C674="",$T674="Mixta",$AA674=""),"",IF($V674="Subyacente",IF($J674="","",$J674-$K674),IF($T674="Put",$AA674-$K674,$AA674+$K674)))</f>
        <v/>
      </c>
      <c r="AC674" s="14" t="str">
        <f aca="false">IF(OR($C674="",$T674="Mixta",$J674="",$AA674=""),"",IF($T674="Put",($J674-$AA674)/$J674,($AA674-$J674)/$J674))</f>
        <v/>
      </c>
      <c r="AD674" s="12" t="str">
        <f aca="false">IF($C674="","",IF($Q674&lt;&gt;"",$Q674,IF($V674="Strike",N($E674)*$H674*$I674,IF($V674="Subyacente",IF($J674="","",$J674*$H674*$I674),IF($V674="Ancho",IF($F674="","",ABS($E674-$F674)*$H674*$I674-$K674*$H674*$I674),IF($V674="Prima",$K674*$H674*$I674,""))))))</f>
        <v/>
      </c>
      <c r="AE674" s="12" t="str">
        <f aca="false">IF(OR($C674="",$M674="Abierta",$M674=""),"",(N($K674)-IF(OR($M674="Cerrada",$M674="Rolada"),N($O674),0))*$H674*$I674*IF($U674="Débito",-1,1)-N($L674)-N($P674))</f>
        <v/>
      </c>
      <c r="AF674" s="14" t="str">
        <f aca="false">IF(OR($AE674="",$AD674=""),"",IF($AD674&lt;=0,"",$AE674/$AD674))</f>
        <v/>
      </c>
      <c r="AG674" s="14" t="str">
        <f aca="false">IF($AF674="","",$AF674*365/MAX(N($X674),1))</f>
        <v/>
      </c>
      <c r="AH674" s="14" t="str">
        <f aca="false">IF(OR($C674="",$U674&lt;&gt;"Crédito",$AD674=""),"",IF($AD674&lt;=0,"",($Z674-N($L674))/$AD674))</f>
        <v/>
      </c>
      <c r="AI674" s="14" t="str">
        <f aca="false">IF(OR($AH674="",$W674=""),"",$AH674*365/MAX($W674,1))</f>
        <v/>
      </c>
      <c r="AJ674" s="14" t="str">
        <f aca="false">IF(OR($AE674="",$U674&lt;&gt;"Crédito",N($K674)=0),"",(N($K674)-IF(OR($M674="Cerrada",$M674="Rolada"),N($O674),0))/$K674)</f>
        <v/>
      </c>
      <c r="AK674" s="15" t="str">
        <f aca="false">IF(OR($C674="",$N674=""),"",DATE(YEAR($N674),MONTH($N674),1))</f>
        <v/>
      </c>
      <c r="AL674" s="11" t="str">
        <f aca="false">IF($C674="","",IF($M674="Abierta",0,1))</f>
        <v/>
      </c>
      <c r="AM674" s="16" t="str">
        <f aca="false">IF(OR($AE674="",$AD674=""),"",$AD674*MAX(N($X674),1))</f>
        <v/>
      </c>
      <c r="AN674" s="10" t="str">
        <f aca="false">IF($C674="","",IF(OR($B674="",$D674="",$H674="",$K674="",$M674=""),"Faltan datos obligatorios",IF($T674="","Estrategia no reconocida",IF(AND($M674&lt;&gt;"Abierta",$N674=""),"Falta fecha cierre",IF(AND(OR($M674="Cerrada",$M674="Rolada"),$O674=""),"Falta prima cierre",IF(AND($N674&lt;&gt;"",$N674&lt;$B674),"Cierre anterior a apertura",IF(AND($M674="Asignada",$R674=""),"Asignada: falta ID lote acciones",IF(AND($R674&lt;&gt;"",ISNA(MATCH($R674,Acciones!$A$2:$A$201,0))),"El ID lote no existe en Acciones",IF($AD674="","Revisa capital en riesgo","OK")))))))))</f>
        <v/>
      </c>
    </row>
    <row r="675" customFormat="false" ht="15" hidden="false" customHeight="true" outlineLevel="0" collapsed="false">
      <c r="A675" s="5"/>
      <c r="B675" s="6"/>
      <c r="C675" s="7"/>
      <c r="D675" s="7"/>
      <c r="E675" s="8"/>
      <c r="F675" s="8"/>
      <c r="G675" s="6"/>
      <c r="H675" s="5"/>
      <c r="I675" s="5" t="n">
        <v>100</v>
      </c>
      <c r="J675" s="8"/>
      <c r="K675" s="8"/>
      <c r="L675" s="9"/>
      <c r="M675" s="7"/>
      <c r="N675" s="6"/>
      <c r="O675" s="8"/>
      <c r="P675" s="9"/>
      <c r="Q675" s="9"/>
      <c r="R675" s="7"/>
      <c r="S675" s="7"/>
      <c r="T675" s="10" t="str">
        <f aca="false">IF($C675="","",IFERROR(INDEX(Listas!$B$2:$B$20,MATCH($D675,Listas!$A$2:$A$20,0)),""))</f>
        <v/>
      </c>
      <c r="U675" s="10" t="str">
        <f aca="false">IF($C675="","",IFERROR(INDEX(Listas!$C$2:$C$20,MATCH($D675,Listas!$A$2:$A$20,0)),""))</f>
        <v/>
      </c>
      <c r="V675" s="10" t="str">
        <f aca="false">IF($C675="","",IFERROR(INDEX(Listas!$D$2:$D$20,MATCH($D675,Listas!$A$2:$A$20,0)),""))</f>
        <v/>
      </c>
      <c r="W675" s="11" t="str">
        <f aca="false">IF(OR($C675="",$B675="",$G675=""),"",$G675-$B675)</f>
        <v/>
      </c>
      <c r="X675" s="11" t="str">
        <f aca="true">IF(OR($C675="",$B675=""),"",IF($N675&lt;&gt;"",$N675,TODAY())-$B675)</f>
        <v/>
      </c>
      <c r="Y675" s="11" t="str">
        <f aca="true">IF(OR($C675="",$M675&lt;&gt;"Abierta",$G675=""),"",MAX($G675-TODAY(),0))</f>
        <v/>
      </c>
      <c r="Z675" s="12" t="str">
        <f aca="false">IF($C675="","",N($K675)*N($H675)*N($I675)*IF($U675="Débito",-1,1))</f>
        <v/>
      </c>
      <c r="AA675" s="13" t="str">
        <f aca="false">IF($C675="","",IF(AND($U675="Débito",$F675&lt;&gt;""),$F675,$E675))</f>
        <v/>
      </c>
      <c r="AB675" s="13" t="str">
        <f aca="false">IF(OR($C675="",$T675="Mixta",$AA675=""),"",IF($V675="Subyacente",IF($J675="","",$J675-$K675),IF($T675="Put",$AA675-$K675,$AA675+$K675)))</f>
        <v/>
      </c>
      <c r="AC675" s="14" t="str">
        <f aca="false">IF(OR($C675="",$T675="Mixta",$J675="",$AA675=""),"",IF($T675="Put",($J675-$AA675)/$J675,($AA675-$J675)/$J675))</f>
        <v/>
      </c>
      <c r="AD675" s="12" t="str">
        <f aca="false">IF($C675="","",IF($Q675&lt;&gt;"",$Q675,IF($V675="Strike",N($E675)*$H675*$I675,IF($V675="Subyacente",IF($J675="","",$J675*$H675*$I675),IF($V675="Ancho",IF($F675="","",ABS($E675-$F675)*$H675*$I675-$K675*$H675*$I675),IF($V675="Prima",$K675*$H675*$I675,""))))))</f>
        <v/>
      </c>
      <c r="AE675" s="12" t="str">
        <f aca="false">IF(OR($C675="",$M675="Abierta",$M675=""),"",(N($K675)-IF(OR($M675="Cerrada",$M675="Rolada"),N($O675),0))*$H675*$I675*IF($U675="Débito",-1,1)-N($L675)-N($P675))</f>
        <v/>
      </c>
      <c r="AF675" s="14" t="str">
        <f aca="false">IF(OR($AE675="",$AD675=""),"",IF($AD675&lt;=0,"",$AE675/$AD675))</f>
        <v/>
      </c>
      <c r="AG675" s="14" t="str">
        <f aca="false">IF($AF675="","",$AF675*365/MAX(N($X675),1))</f>
        <v/>
      </c>
      <c r="AH675" s="14" t="str">
        <f aca="false">IF(OR($C675="",$U675&lt;&gt;"Crédito",$AD675=""),"",IF($AD675&lt;=0,"",($Z675-N($L675))/$AD675))</f>
        <v/>
      </c>
      <c r="AI675" s="14" t="str">
        <f aca="false">IF(OR($AH675="",$W675=""),"",$AH675*365/MAX($W675,1))</f>
        <v/>
      </c>
      <c r="AJ675" s="14" t="str">
        <f aca="false">IF(OR($AE675="",$U675&lt;&gt;"Crédito",N($K675)=0),"",(N($K675)-IF(OR($M675="Cerrada",$M675="Rolada"),N($O675),0))/$K675)</f>
        <v/>
      </c>
      <c r="AK675" s="15" t="str">
        <f aca="false">IF(OR($C675="",$N675=""),"",DATE(YEAR($N675),MONTH($N675),1))</f>
        <v/>
      </c>
      <c r="AL675" s="11" t="str">
        <f aca="false">IF($C675="","",IF($M675="Abierta",0,1))</f>
        <v/>
      </c>
      <c r="AM675" s="16" t="str">
        <f aca="false">IF(OR($AE675="",$AD675=""),"",$AD675*MAX(N($X675),1))</f>
        <v/>
      </c>
      <c r="AN675" s="10" t="str">
        <f aca="false">IF($C675="","",IF(OR($B675="",$D675="",$H675="",$K675="",$M675=""),"Faltan datos obligatorios",IF($T675="","Estrategia no reconocida",IF(AND($M675&lt;&gt;"Abierta",$N675=""),"Falta fecha cierre",IF(AND(OR($M675="Cerrada",$M675="Rolada"),$O675=""),"Falta prima cierre",IF(AND($N675&lt;&gt;"",$N675&lt;$B675),"Cierre anterior a apertura",IF(AND($M675="Asignada",$R675=""),"Asignada: falta ID lote acciones",IF(AND($R675&lt;&gt;"",ISNA(MATCH($R675,Acciones!$A$2:$A$201,0))),"El ID lote no existe en Acciones",IF($AD675="","Revisa capital en riesgo","OK")))))))))</f>
        <v/>
      </c>
    </row>
    <row r="676" customFormat="false" ht="15" hidden="false" customHeight="true" outlineLevel="0" collapsed="false">
      <c r="A676" s="5"/>
      <c r="B676" s="6"/>
      <c r="C676" s="7"/>
      <c r="D676" s="7"/>
      <c r="E676" s="8"/>
      <c r="F676" s="8"/>
      <c r="G676" s="6"/>
      <c r="H676" s="5"/>
      <c r="I676" s="5" t="n">
        <v>100</v>
      </c>
      <c r="J676" s="8"/>
      <c r="K676" s="8"/>
      <c r="L676" s="9"/>
      <c r="M676" s="7"/>
      <c r="N676" s="6"/>
      <c r="O676" s="8"/>
      <c r="P676" s="9"/>
      <c r="Q676" s="9"/>
      <c r="R676" s="7"/>
      <c r="S676" s="7"/>
      <c r="T676" s="10" t="str">
        <f aca="false">IF($C676="","",IFERROR(INDEX(Listas!$B$2:$B$20,MATCH($D676,Listas!$A$2:$A$20,0)),""))</f>
        <v/>
      </c>
      <c r="U676" s="10" t="str">
        <f aca="false">IF($C676="","",IFERROR(INDEX(Listas!$C$2:$C$20,MATCH($D676,Listas!$A$2:$A$20,0)),""))</f>
        <v/>
      </c>
      <c r="V676" s="10" t="str">
        <f aca="false">IF($C676="","",IFERROR(INDEX(Listas!$D$2:$D$20,MATCH($D676,Listas!$A$2:$A$20,0)),""))</f>
        <v/>
      </c>
      <c r="W676" s="11" t="str">
        <f aca="false">IF(OR($C676="",$B676="",$G676=""),"",$G676-$B676)</f>
        <v/>
      </c>
      <c r="X676" s="11" t="str">
        <f aca="true">IF(OR($C676="",$B676=""),"",IF($N676&lt;&gt;"",$N676,TODAY())-$B676)</f>
        <v/>
      </c>
      <c r="Y676" s="11" t="str">
        <f aca="true">IF(OR($C676="",$M676&lt;&gt;"Abierta",$G676=""),"",MAX($G676-TODAY(),0))</f>
        <v/>
      </c>
      <c r="Z676" s="12" t="str">
        <f aca="false">IF($C676="","",N($K676)*N($H676)*N($I676)*IF($U676="Débito",-1,1))</f>
        <v/>
      </c>
      <c r="AA676" s="13" t="str">
        <f aca="false">IF($C676="","",IF(AND($U676="Débito",$F676&lt;&gt;""),$F676,$E676))</f>
        <v/>
      </c>
      <c r="AB676" s="13" t="str">
        <f aca="false">IF(OR($C676="",$T676="Mixta",$AA676=""),"",IF($V676="Subyacente",IF($J676="","",$J676-$K676),IF($T676="Put",$AA676-$K676,$AA676+$K676)))</f>
        <v/>
      </c>
      <c r="AC676" s="14" t="str">
        <f aca="false">IF(OR($C676="",$T676="Mixta",$J676="",$AA676=""),"",IF($T676="Put",($J676-$AA676)/$J676,($AA676-$J676)/$J676))</f>
        <v/>
      </c>
      <c r="AD676" s="12" t="str">
        <f aca="false">IF($C676="","",IF($Q676&lt;&gt;"",$Q676,IF($V676="Strike",N($E676)*$H676*$I676,IF($V676="Subyacente",IF($J676="","",$J676*$H676*$I676),IF($V676="Ancho",IF($F676="","",ABS($E676-$F676)*$H676*$I676-$K676*$H676*$I676),IF($V676="Prima",$K676*$H676*$I676,""))))))</f>
        <v/>
      </c>
      <c r="AE676" s="12" t="str">
        <f aca="false">IF(OR($C676="",$M676="Abierta",$M676=""),"",(N($K676)-IF(OR($M676="Cerrada",$M676="Rolada"),N($O676),0))*$H676*$I676*IF($U676="Débito",-1,1)-N($L676)-N($P676))</f>
        <v/>
      </c>
      <c r="AF676" s="14" t="str">
        <f aca="false">IF(OR($AE676="",$AD676=""),"",IF($AD676&lt;=0,"",$AE676/$AD676))</f>
        <v/>
      </c>
      <c r="AG676" s="14" t="str">
        <f aca="false">IF($AF676="","",$AF676*365/MAX(N($X676),1))</f>
        <v/>
      </c>
      <c r="AH676" s="14" t="str">
        <f aca="false">IF(OR($C676="",$U676&lt;&gt;"Crédito",$AD676=""),"",IF($AD676&lt;=0,"",($Z676-N($L676))/$AD676))</f>
        <v/>
      </c>
      <c r="AI676" s="14" t="str">
        <f aca="false">IF(OR($AH676="",$W676=""),"",$AH676*365/MAX($W676,1))</f>
        <v/>
      </c>
      <c r="AJ676" s="14" t="str">
        <f aca="false">IF(OR($AE676="",$U676&lt;&gt;"Crédito",N($K676)=0),"",(N($K676)-IF(OR($M676="Cerrada",$M676="Rolada"),N($O676),0))/$K676)</f>
        <v/>
      </c>
      <c r="AK676" s="15" t="str">
        <f aca="false">IF(OR($C676="",$N676=""),"",DATE(YEAR($N676),MONTH($N676),1))</f>
        <v/>
      </c>
      <c r="AL676" s="11" t="str">
        <f aca="false">IF($C676="","",IF($M676="Abierta",0,1))</f>
        <v/>
      </c>
      <c r="AM676" s="16" t="str">
        <f aca="false">IF(OR($AE676="",$AD676=""),"",$AD676*MAX(N($X676),1))</f>
        <v/>
      </c>
      <c r="AN676" s="10" t="str">
        <f aca="false">IF($C676="","",IF(OR($B676="",$D676="",$H676="",$K676="",$M676=""),"Faltan datos obligatorios",IF($T676="","Estrategia no reconocida",IF(AND($M676&lt;&gt;"Abierta",$N676=""),"Falta fecha cierre",IF(AND(OR($M676="Cerrada",$M676="Rolada"),$O676=""),"Falta prima cierre",IF(AND($N676&lt;&gt;"",$N676&lt;$B676),"Cierre anterior a apertura",IF(AND($M676="Asignada",$R676=""),"Asignada: falta ID lote acciones",IF(AND($R676&lt;&gt;"",ISNA(MATCH($R676,Acciones!$A$2:$A$201,0))),"El ID lote no existe en Acciones",IF($AD676="","Revisa capital en riesgo","OK")))))))))</f>
        <v/>
      </c>
    </row>
    <row r="677" customFormat="false" ht="15" hidden="false" customHeight="true" outlineLevel="0" collapsed="false">
      <c r="A677" s="5"/>
      <c r="B677" s="6"/>
      <c r="C677" s="7"/>
      <c r="D677" s="7"/>
      <c r="E677" s="8"/>
      <c r="F677" s="8"/>
      <c r="G677" s="6"/>
      <c r="H677" s="5"/>
      <c r="I677" s="5" t="n">
        <v>100</v>
      </c>
      <c r="J677" s="8"/>
      <c r="K677" s="8"/>
      <c r="L677" s="9"/>
      <c r="M677" s="7"/>
      <c r="N677" s="6"/>
      <c r="O677" s="8"/>
      <c r="P677" s="9"/>
      <c r="Q677" s="9"/>
      <c r="R677" s="7"/>
      <c r="S677" s="7"/>
      <c r="T677" s="10" t="str">
        <f aca="false">IF($C677="","",IFERROR(INDEX(Listas!$B$2:$B$20,MATCH($D677,Listas!$A$2:$A$20,0)),""))</f>
        <v/>
      </c>
      <c r="U677" s="10" t="str">
        <f aca="false">IF($C677="","",IFERROR(INDEX(Listas!$C$2:$C$20,MATCH($D677,Listas!$A$2:$A$20,0)),""))</f>
        <v/>
      </c>
      <c r="V677" s="10" t="str">
        <f aca="false">IF($C677="","",IFERROR(INDEX(Listas!$D$2:$D$20,MATCH($D677,Listas!$A$2:$A$20,0)),""))</f>
        <v/>
      </c>
      <c r="W677" s="11" t="str">
        <f aca="false">IF(OR($C677="",$B677="",$G677=""),"",$G677-$B677)</f>
        <v/>
      </c>
      <c r="X677" s="11" t="str">
        <f aca="true">IF(OR($C677="",$B677=""),"",IF($N677&lt;&gt;"",$N677,TODAY())-$B677)</f>
        <v/>
      </c>
      <c r="Y677" s="11" t="str">
        <f aca="true">IF(OR($C677="",$M677&lt;&gt;"Abierta",$G677=""),"",MAX($G677-TODAY(),0))</f>
        <v/>
      </c>
      <c r="Z677" s="12" t="str">
        <f aca="false">IF($C677="","",N($K677)*N($H677)*N($I677)*IF($U677="Débito",-1,1))</f>
        <v/>
      </c>
      <c r="AA677" s="13" t="str">
        <f aca="false">IF($C677="","",IF(AND($U677="Débito",$F677&lt;&gt;""),$F677,$E677))</f>
        <v/>
      </c>
      <c r="AB677" s="13" t="str">
        <f aca="false">IF(OR($C677="",$T677="Mixta",$AA677=""),"",IF($V677="Subyacente",IF($J677="","",$J677-$K677),IF($T677="Put",$AA677-$K677,$AA677+$K677)))</f>
        <v/>
      </c>
      <c r="AC677" s="14" t="str">
        <f aca="false">IF(OR($C677="",$T677="Mixta",$J677="",$AA677=""),"",IF($T677="Put",($J677-$AA677)/$J677,($AA677-$J677)/$J677))</f>
        <v/>
      </c>
      <c r="AD677" s="12" t="str">
        <f aca="false">IF($C677="","",IF($Q677&lt;&gt;"",$Q677,IF($V677="Strike",N($E677)*$H677*$I677,IF($V677="Subyacente",IF($J677="","",$J677*$H677*$I677),IF($V677="Ancho",IF($F677="","",ABS($E677-$F677)*$H677*$I677-$K677*$H677*$I677),IF($V677="Prima",$K677*$H677*$I677,""))))))</f>
        <v/>
      </c>
      <c r="AE677" s="12" t="str">
        <f aca="false">IF(OR($C677="",$M677="Abierta",$M677=""),"",(N($K677)-IF(OR($M677="Cerrada",$M677="Rolada"),N($O677),0))*$H677*$I677*IF($U677="Débito",-1,1)-N($L677)-N($P677))</f>
        <v/>
      </c>
      <c r="AF677" s="14" t="str">
        <f aca="false">IF(OR($AE677="",$AD677=""),"",IF($AD677&lt;=0,"",$AE677/$AD677))</f>
        <v/>
      </c>
      <c r="AG677" s="14" t="str">
        <f aca="false">IF($AF677="","",$AF677*365/MAX(N($X677),1))</f>
        <v/>
      </c>
      <c r="AH677" s="14" t="str">
        <f aca="false">IF(OR($C677="",$U677&lt;&gt;"Crédito",$AD677=""),"",IF($AD677&lt;=0,"",($Z677-N($L677))/$AD677))</f>
        <v/>
      </c>
      <c r="AI677" s="14" t="str">
        <f aca="false">IF(OR($AH677="",$W677=""),"",$AH677*365/MAX($W677,1))</f>
        <v/>
      </c>
      <c r="AJ677" s="14" t="str">
        <f aca="false">IF(OR($AE677="",$U677&lt;&gt;"Crédito",N($K677)=0),"",(N($K677)-IF(OR($M677="Cerrada",$M677="Rolada"),N($O677),0))/$K677)</f>
        <v/>
      </c>
      <c r="AK677" s="15" t="str">
        <f aca="false">IF(OR($C677="",$N677=""),"",DATE(YEAR($N677),MONTH($N677),1))</f>
        <v/>
      </c>
      <c r="AL677" s="11" t="str">
        <f aca="false">IF($C677="","",IF($M677="Abierta",0,1))</f>
        <v/>
      </c>
      <c r="AM677" s="16" t="str">
        <f aca="false">IF(OR($AE677="",$AD677=""),"",$AD677*MAX(N($X677),1))</f>
        <v/>
      </c>
      <c r="AN677" s="10" t="str">
        <f aca="false">IF($C677="","",IF(OR($B677="",$D677="",$H677="",$K677="",$M677=""),"Faltan datos obligatorios",IF($T677="","Estrategia no reconocida",IF(AND($M677&lt;&gt;"Abierta",$N677=""),"Falta fecha cierre",IF(AND(OR($M677="Cerrada",$M677="Rolada"),$O677=""),"Falta prima cierre",IF(AND($N677&lt;&gt;"",$N677&lt;$B677),"Cierre anterior a apertura",IF(AND($M677="Asignada",$R677=""),"Asignada: falta ID lote acciones",IF(AND($R677&lt;&gt;"",ISNA(MATCH($R677,Acciones!$A$2:$A$201,0))),"El ID lote no existe en Acciones",IF($AD677="","Revisa capital en riesgo","OK")))))))))</f>
        <v/>
      </c>
    </row>
    <row r="678" customFormat="false" ht="15" hidden="false" customHeight="true" outlineLevel="0" collapsed="false">
      <c r="A678" s="5"/>
      <c r="B678" s="6"/>
      <c r="C678" s="7"/>
      <c r="D678" s="7"/>
      <c r="E678" s="8"/>
      <c r="F678" s="8"/>
      <c r="G678" s="6"/>
      <c r="H678" s="5"/>
      <c r="I678" s="5" t="n">
        <v>100</v>
      </c>
      <c r="J678" s="8"/>
      <c r="K678" s="8"/>
      <c r="L678" s="9"/>
      <c r="M678" s="7"/>
      <c r="N678" s="6"/>
      <c r="O678" s="8"/>
      <c r="P678" s="9"/>
      <c r="Q678" s="9"/>
      <c r="R678" s="7"/>
      <c r="S678" s="7"/>
      <c r="T678" s="10" t="str">
        <f aca="false">IF($C678="","",IFERROR(INDEX(Listas!$B$2:$B$20,MATCH($D678,Listas!$A$2:$A$20,0)),""))</f>
        <v/>
      </c>
      <c r="U678" s="10" t="str">
        <f aca="false">IF($C678="","",IFERROR(INDEX(Listas!$C$2:$C$20,MATCH($D678,Listas!$A$2:$A$20,0)),""))</f>
        <v/>
      </c>
      <c r="V678" s="10" t="str">
        <f aca="false">IF($C678="","",IFERROR(INDEX(Listas!$D$2:$D$20,MATCH($D678,Listas!$A$2:$A$20,0)),""))</f>
        <v/>
      </c>
      <c r="W678" s="11" t="str">
        <f aca="false">IF(OR($C678="",$B678="",$G678=""),"",$G678-$B678)</f>
        <v/>
      </c>
      <c r="X678" s="11" t="str">
        <f aca="true">IF(OR($C678="",$B678=""),"",IF($N678&lt;&gt;"",$N678,TODAY())-$B678)</f>
        <v/>
      </c>
      <c r="Y678" s="11" t="str">
        <f aca="true">IF(OR($C678="",$M678&lt;&gt;"Abierta",$G678=""),"",MAX($G678-TODAY(),0))</f>
        <v/>
      </c>
      <c r="Z678" s="12" t="str">
        <f aca="false">IF($C678="","",N($K678)*N($H678)*N($I678)*IF($U678="Débito",-1,1))</f>
        <v/>
      </c>
      <c r="AA678" s="13" t="str">
        <f aca="false">IF($C678="","",IF(AND($U678="Débito",$F678&lt;&gt;""),$F678,$E678))</f>
        <v/>
      </c>
      <c r="AB678" s="13" t="str">
        <f aca="false">IF(OR($C678="",$T678="Mixta",$AA678=""),"",IF($V678="Subyacente",IF($J678="","",$J678-$K678),IF($T678="Put",$AA678-$K678,$AA678+$K678)))</f>
        <v/>
      </c>
      <c r="AC678" s="14" t="str">
        <f aca="false">IF(OR($C678="",$T678="Mixta",$J678="",$AA678=""),"",IF($T678="Put",($J678-$AA678)/$J678,($AA678-$J678)/$J678))</f>
        <v/>
      </c>
      <c r="AD678" s="12" t="str">
        <f aca="false">IF($C678="","",IF($Q678&lt;&gt;"",$Q678,IF($V678="Strike",N($E678)*$H678*$I678,IF($V678="Subyacente",IF($J678="","",$J678*$H678*$I678),IF($V678="Ancho",IF($F678="","",ABS($E678-$F678)*$H678*$I678-$K678*$H678*$I678),IF($V678="Prima",$K678*$H678*$I678,""))))))</f>
        <v/>
      </c>
      <c r="AE678" s="12" t="str">
        <f aca="false">IF(OR($C678="",$M678="Abierta",$M678=""),"",(N($K678)-IF(OR($M678="Cerrada",$M678="Rolada"),N($O678),0))*$H678*$I678*IF($U678="Débito",-1,1)-N($L678)-N($P678))</f>
        <v/>
      </c>
      <c r="AF678" s="14" t="str">
        <f aca="false">IF(OR($AE678="",$AD678=""),"",IF($AD678&lt;=0,"",$AE678/$AD678))</f>
        <v/>
      </c>
      <c r="AG678" s="14" t="str">
        <f aca="false">IF($AF678="","",$AF678*365/MAX(N($X678),1))</f>
        <v/>
      </c>
      <c r="AH678" s="14" t="str">
        <f aca="false">IF(OR($C678="",$U678&lt;&gt;"Crédito",$AD678=""),"",IF($AD678&lt;=0,"",($Z678-N($L678))/$AD678))</f>
        <v/>
      </c>
      <c r="AI678" s="14" t="str">
        <f aca="false">IF(OR($AH678="",$W678=""),"",$AH678*365/MAX($W678,1))</f>
        <v/>
      </c>
      <c r="AJ678" s="14" t="str">
        <f aca="false">IF(OR($AE678="",$U678&lt;&gt;"Crédito",N($K678)=0),"",(N($K678)-IF(OR($M678="Cerrada",$M678="Rolada"),N($O678),0))/$K678)</f>
        <v/>
      </c>
      <c r="AK678" s="15" t="str">
        <f aca="false">IF(OR($C678="",$N678=""),"",DATE(YEAR($N678),MONTH($N678),1))</f>
        <v/>
      </c>
      <c r="AL678" s="11" t="str">
        <f aca="false">IF($C678="","",IF($M678="Abierta",0,1))</f>
        <v/>
      </c>
      <c r="AM678" s="16" t="str">
        <f aca="false">IF(OR($AE678="",$AD678=""),"",$AD678*MAX(N($X678),1))</f>
        <v/>
      </c>
      <c r="AN678" s="10" t="str">
        <f aca="false">IF($C678="","",IF(OR($B678="",$D678="",$H678="",$K678="",$M678=""),"Faltan datos obligatorios",IF($T678="","Estrategia no reconocida",IF(AND($M678&lt;&gt;"Abierta",$N678=""),"Falta fecha cierre",IF(AND(OR($M678="Cerrada",$M678="Rolada"),$O678=""),"Falta prima cierre",IF(AND($N678&lt;&gt;"",$N678&lt;$B678),"Cierre anterior a apertura",IF(AND($M678="Asignada",$R678=""),"Asignada: falta ID lote acciones",IF(AND($R678&lt;&gt;"",ISNA(MATCH($R678,Acciones!$A$2:$A$201,0))),"El ID lote no existe en Acciones",IF($AD678="","Revisa capital en riesgo","OK")))))))))</f>
        <v/>
      </c>
    </row>
    <row r="679" customFormat="false" ht="15" hidden="false" customHeight="true" outlineLevel="0" collapsed="false">
      <c r="A679" s="5"/>
      <c r="B679" s="6"/>
      <c r="C679" s="7"/>
      <c r="D679" s="7"/>
      <c r="E679" s="8"/>
      <c r="F679" s="8"/>
      <c r="G679" s="6"/>
      <c r="H679" s="5"/>
      <c r="I679" s="5" t="n">
        <v>100</v>
      </c>
      <c r="J679" s="8"/>
      <c r="K679" s="8"/>
      <c r="L679" s="9"/>
      <c r="M679" s="7"/>
      <c r="N679" s="6"/>
      <c r="O679" s="8"/>
      <c r="P679" s="9"/>
      <c r="Q679" s="9"/>
      <c r="R679" s="7"/>
      <c r="S679" s="7"/>
      <c r="T679" s="10" t="str">
        <f aca="false">IF($C679="","",IFERROR(INDEX(Listas!$B$2:$B$20,MATCH($D679,Listas!$A$2:$A$20,0)),""))</f>
        <v/>
      </c>
      <c r="U679" s="10" t="str">
        <f aca="false">IF($C679="","",IFERROR(INDEX(Listas!$C$2:$C$20,MATCH($D679,Listas!$A$2:$A$20,0)),""))</f>
        <v/>
      </c>
      <c r="V679" s="10" t="str">
        <f aca="false">IF($C679="","",IFERROR(INDEX(Listas!$D$2:$D$20,MATCH($D679,Listas!$A$2:$A$20,0)),""))</f>
        <v/>
      </c>
      <c r="W679" s="11" t="str">
        <f aca="false">IF(OR($C679="",$B679="",$G679=""),"",$G679-$B679)</f>
        <v/>
      </c>
      <c r="X679" s="11" t="str">
        <f aca="true">IF(OR($C679="",$B679=""),"",IF($N679&lt;&gt;"",$N679,TODAY())-$B679)</f>
        <v/>
      </c>
      <c r="Y679" s="11" t="str">
        <f aca="true">IF(OR($C679="",$M679&lt;&gt;"Abierta",$G679=""),"",MAX($G679-TODAY(),0))</f>
        <v/>
      </c>
      <c r="Z679" s="12" t="str">
        <f aca="false">IF($C679="","",N($K679)*N($H679)*N($I679)*IF($U679="Débito",-1,1))</f>
        <v/>
      </c>
      <c r="AA679" s="13" t="str">
        <f aca="false">IF($C679="","",IF(AND($U679="Débito",$F679&lt;&gt;""),$F679,$E679))</f>
        <v/>
      </c>
      <c r="AB679" s="13" t="str">
        <f aca="false">IF(OR($C679="",$T679="Mixta",$AA679=""),"",IF($V679="Subyacente",IF($J679="","",$J679-$K679),IF($T679="Put",$AA679-$K679,$AA679+$K679)))</f>
        <v/>
      </c>
      <c r="AC679" s="14" t="str">
        <f aca="false">IF(OR($C679="",$T679="Mixta",$J679="",$AA679=""),"",IF($T679="Put",($J679-$AA679)/$J679,($AA679-$J679)/$J679))</f>
        <v/>
      </c>
      <c r="AD679" s="12" t="str">
        <f aca="false">IF($C679="","",IF($Q679&lt;&gt;"",$Q679,IF($V679="Strike",N($E679)*$H679*$I679,IF($V679="Subyacente",IF($J679="","",$J679*$H679*$I679),IF($V679="Ancho",IF($F679="","",ABS($E679-$F679)*$H679*$I679-$K679*$H679*$I679),IF($V679="Prima",$K679*$H679*$I679,""))))))</f>
        <v/>
      </c>
      <c r="AE679" s="12" t="str">
        <f aca="false">IF(OR($C679="",$M679="Abierta",$M679=""),"",(N($K679)-IF(OR($M679="Cerrada",$M679="Rolada"),N($O679),0))*$H679*$I679*IF($U679="Débito",-1,1)-N($L679)-N($P679))</f>
        <v/>
      </c>
      <c r="AF679" s="14" t="str">
        <f aca="false">IF(OR($AE679="",$AD679=""),"",IF($AD679&lt;=0,"",$AE679/$AD679))</f>
        <v/>
      </c>
      <c r="AG679" s="14" t="str">
        <f aca="false">IF($AF679="","",$AF679*365/MAX(N($X679),1))</f>
        <v/>
      </c>
      <c r="AH679" s="14" t="str">
        <f aca="false">IF(OR($C679="",$U679&lt;&gt;"Crédito",$AD679=""),"",IF($AD679&lt;=0,"",($Z679-N($L679))/$AD679))</f>
        <v/>
      </c>
      <c r="AI679" s="14" t="str">
        <f aca="false">IF(OR($AH679="",$W679=""),"",$AH679*365/MAX($W679,1))</f>
        <v/>
      </c>
      <c r="AJ679" s="14" t="str">
        <f aca="false">IF(OR($AE679="",$U679&lt;&gt;"Crédito",N($K679)=0),"",(N($K679)-IF(OR($M679="Cerrada",$M679="Rolada"),N($O679),0))/$K679)</f>
        <v/>
      </c>
      <c r="AK679" s="15" t="str">
        <f aca="false">IF(OR($C679="",$N679=""),"",DATE(YEAR($N679),MONTH($N679),1))</f>
        <v/>
      </c>
      <c r="AL679" s="11" t="str">
        <f aca="false">IF($C679="","",IF($M679="Abierta",0,1))</f>
        <v/>
      </c>
      <c r="AM679" s="16" t="str">
        <f aca="false">IF(OR($AE679="",$AD679=""),"",$AD679*MAX(N($X679),1))</f>
        <v/>
      </c>
      <c r="AN679" s="10" t="str">
        <f aca="false">IF($C679="","",IF(OR($B679="",$D679="",$H679="",$K679="",$M679=""),"Faltan datos obligatorios",IF($T679="","Estrategia no reconocida",IF(AND($M679&lt;&gt;"Abierta",$N679=""),"Falta fecha cierre",IF(AND(OR($M679="Cerrada",$M679="Rolada"),$O679=""),"Falta prima cierre",IF(AND($N679&lt;&gt;"",$N679&lt;$B679),"Cierre anterior a apertura",IF(AND($M679="Asignada",$R679=""),"Asignada: falta ID lote acciones",IF(AND($R679&lt;&gt;"",ISNA(MATCH($R679,Acciones!$A$2:$A$201,0))),"El ID lote no existe en Acciones",IF($AD679="","Revisa capital en riesgo","OK")))))))))</f>
        <v/>
      </c>
    </row>
    <row r="680" customFormat="false" ht="15" hidden="false" customHeight="true" outlineLevel="0" collapsed="false">
      <c r="A680" s="5"/>
      <c r="B680" s="6"/>
      <c r="C680" s="7"/>
      <c r="D680" s="7"/>
      <c r="E680" s="8"/>
      <c r="F680" s="8"/>
      <c r="G680" s="6"/>
      <c r="H680" s="5"/>
      <c r="I680" s="5" t="n">
        <v>100</v>
      </c>
      <c r="J680" s="8"/>
      <c r="K680" s="8"/>
      <c r="L680" s="9"/>
      <c r="M680" s="7"/>
      <c r="N680" s="6"/>
      <c r="O680" s="8"/>
      <c r="P680" s="9"/>
      <c r="Q680" s="9"/>
      <c r="R680" s="7"/>
      <c r="S680" s="7"/>
      <c r="T680" s="10" t="str">
        <f aca="false">IF($C680="","",IFERROR(INDEX(Listas!$B$2:$B$20,MATCH($D680,Listas!$A$2:$A$20,0)),""))</f>
        <v/>
      </c>
      <c r="U680" s="10" t="str">
        <f aca="false">IF($C680="","",IFERROR(INDEX(Listas!$C$2:$C$20,MATCH($D680,Listas!$A$2:$A$20,0)),""))</f>
        <v/>
      </c>
      <c r="V680" s="10" t="str">
        <f aca="false">IF($C680="","",IFERROR(INDEX(Listas!$D$2:$D$20,MATCH($D680,Listas!$A$2:$A$20,0)),""))</f>
        <v/>
      </c>
      <c r="W680" s="11" t="str">
        <f aca="false">IF(OR($C680="",$B680="",$G680=""),"",$G680-$B680)</f>
        <v/>
      </c>
      <c r="X680" s="11" t="str">
        <f aca="true">IF(OR($C680="",$B680=""),"",IF($N680&lt;&gt;"",$N680,TODAY())-$B680)</f>
        <v/>
      </c>
      <c r="Y680" s="11" t="str">
        <f aca="true">IF(OR($C680="",$M680&lt;&gt;"Abierta",$G680=""),"",MAX($G680-TODAY(),0))</f>
        <v/>
      </c>
      <c r="Z680" s="12" t="str">
        <f aca="false">IF($C680="","",N($K680)*N($H680)*N($I680)*IF($U680="Débito",-1,1))</f>
        <v/>
      </c>
      <c r="AA680" s="13" t="str">
        <f aca="false">IF($C680="","",IF(AND($U680="Débito",$F680&lt;&gt;""),$F680,$E680))</f>
        <v/>
      </c>
      <c r="AB680" s="13" t="str">
        <f aca="false">IF(OR($C680="",$T680="Mixta",$AA680=""),"",IF($V680="Subyacente",IF($J680="","",$J680-$K680),IF($T680="Put",$AA680-$K680,$AA680+$K680)))</f>
        <v/>
      </c>
      <c r="AC680" s="14" t="str">
        <f aca="false">IF(OR($C680="",$T680="Mixta",$J680="",$AA680=""),"",IF($T680="Put",($J680-$AA680)/$J680,($AA680-$J680)/$J680))</f>
        <v/>
      </c>
      <c r="AD680" s="12" t="str">
        <f aca="false">IF($C680="","",IF($Q680&lt;&gt;"",$Q680,IF($V680="Strike",N($E680)*$H680*$I680,IF($V680="Subyacente",IF($J680="","",$J680*$H680*$I680),IF($V680="Ancho",IF($F680="","",ABS($E680-$F680)*$H680*$I680-$K680*$H680*$I680),IF($V680="Prima",$K680*$H680*$I680,""))))))</f>
        <v/>
      </c>
      <c r="AE680" s="12" t="str">
        <f aca="false">IF(OR($C680="",$M680="Abierta",$M680=""),"",(N($K680)-IF(OR($M680="Cerrada",$M680="Rolada"),N($O680),0))*$H680*$I680*IF($U680="Débito",-1,1)-N($L680)-N($P680))</f>
        <v/>
      </c>
      <c r="AF680" s="14" t="str">
        <f aca="false">IF(OR($AE680="",$AD680=""),"",IF($AD680&lt;=0,"",$AE680/$AD680))</f>
        <v/>
      </c>
      <c r="AG680" s="14" t="str">
        <f aca="false">IF($AF680="","",$AF680*365/MAX(N($X680),1))</f>
        <v/>
      </c>
      <c r="AH680" s="14" t="str">
        <f aca="false">IF(OR($C680="",$U680&lt;&gt;"Crédito",$AD680=""),"",IF($AD680&lt;=0,"",($Z680-N($L680))/$AD680))</f>
        <v/>
      </c>
      <c r="AI680" s="14" t="str">
        <f aca="false">IF(OR($AH680="",$W680=""),"",$AH680*365/MAX($W680,1))</f>
        <v/>
      </c>
      <c r="AJ680" s="14" t="str">
        <f aca="false">IF(OR($AE680="",$U680&lt;&gt;"Crédito",N($K680)=0),"",(N($K680)-IF(OR($M680="Cerrada",$M680="Rolada"),N($O680),0))/$K680)</f>
        <v/>
      </c>
      <c r="AK680" s="15" t="str">
        <f aca="false">IF(OR($C680="",$N680=""),"",DATE(YEAR($N680),MONTH($N680),1))</f>
        <v/>
      </c>
      <c r="AL680" s="11" t="str">
        <f aca="false">IF($C680="","",IF($M680="Abierta",0,1))</f>
        <v/>
      </c>
      <c r="AM680" s="16" t="str">
        <f aca="false">IF(OR($AE680="",$AD680=""),"",$AD680*MAX(N($X680),1))</f>
        <v/>
      </c>
      <c r="AN680" s="10" t="str">
        <f aca="false">IF($C680="","",IF(OR($B680="",$D680="",$H680="",$K680="",$M680=""),"Faltan datos obligatorios",IF($T680="","Estrategia no reconocida",IF(AND($M680&lt;&gt;"Abierta",$N680=""),"Falta fecha cierre",IF(AND(OR($M680="Cerrada",$M680="Rolada"),$O680=""),"Falta prima cierre",IF(AND($N680&lt;&gt;"",$N680&lt;$B680),"Cierre anterior a apertura",IF(AND($M680="Asignada",$R680=""),"Asignada: falta ID lote acciones",IF(AND($R680&lt;&gt;"",ISNA(MATCH($R680,Acciones!$A$2:$A$201,0))),"El ID lote no existe en Acciones",IF($AD680="","Revisa capital en riesgo","OK")))))))))</f>
        <v/>
      </c>
    </row>
    <row r="681" customFormat="false" ht="15" hidden="false" customHeight="true" outlineLevel="0" collapsed="false">
      <c r="A681" s="5"/>
      <c r="B681" s="6"/>
      <c r="C681" s="7"/>
      <c r="D681" s="7"/>
      <c r="E681" s="8"/>
      <c r="F681" s="8"/>
      <c r="G681" s="6"/>
      <c r="H681" s="5"/>
      <c r="I681" s="5" t="n">
        <v>100</v>
      </c>
      <c r="J681" s="8"/>
      <c r="K681" s="8"/>
      <c r="L681" s="9"/>
      <c r="M681" s="7"/>
      <c r="N681" s="6"/>
      <c r="O681" s="8"/>
      <c r="P681" s="9"/>
      <c r="Q681" s="9"/>
      <c r="R681" s="7"/>
      <c r="S681" s="7"/>
      <c r="T681" s="10" t="str">
        <f aca="false">IF($C681="","",IFERROR(INDEX(Listas!$B$2:$B$20,MATCH($D681,Listas!$A$2:$A$20,0)),""))</f>
        <v/>
      </c>
      <c r="U681" s="10" t="str">
        <f aca="false">IF($C681="","",IFERROR(INDEX(Listas!$C$2:$C$20,MATCH($D681,Listas!$A$2:$A$20,0)),""))</f>
        <v/>
      </c>
      <c r="V681" s="10" t="str">
        <f aca="false">IF($C681="","",IFERROR(INDEX(Listas!$D$2:$D$20,MATCH($D681,Listas!$A$2:$A$20,0)),""))</f>
        <v/>
      </c>
      <c r="W681" s="11" t="str">
        <f aca="false">IF(OR($C681="",$B681="",$G681=""),"",$G681-$B681)</f>
        <v/>
      </c>
      <c r="X681" s="11" t="str">
        <f aca="true">IF(OR($C681="",$B681=""),"",IF($N681&lt;&gt;"",$N681,TODAY())-$B681)</f>
        <v/>
      </c>
      <c r="Y681" s="11" t="str">
        <f aca="true">IF(OR($C681="",$M681&lt;&gt;"Abierta",$G681=""),"",MAX($G681-TODAY(),0))</f>
        <v/>
      </c>
      <c r="Z681" s="12" t="str">
        <f aca="false">IF($C681="","",N($K681)*N($H681)*N($I681)*IF($U681="Débito",-1,1))</f>
        <v/>
      </c>
      <c r="AA681" s="13" t="str">
        <f aca="false">IF($C681="","",IF(AND($U681="Débito",$F681&lt;&gt;""),$F681,$E681))</f>
        <v/>
      </c>
      <c r="AB681" s="13" t="str">
        <f aca="false">IF(OR($C681="",$T681="Mixta",$AA681=""),"",IF($V681="Subyacente",IF($J681="","",$J681-$K681),IF($T681="Put",$AA681-$K681,$AA681+$K681)))</f>
        <v/>
      </c>
      <c r="AC681" s="14" t="str">
        <f aca="false">IF(OR($C681="",$T681="Mixta",$J681="",$AA681=""),"",IF($T681="Put",($J681-$AA681)/$J681,($AA681-$J681)/$J681))</f>
        <v/>
      </c>
      <c r="AD681" s="12" t="str">
        <f aca="false">IF($C681="","",IF($Q681&lt;&gt;"",$Q681,IF($V681="Strike",N($E681)*$H681*$I681,IF($V681="Subyacente",IF($J681="","",$J681*$H681*$I681),IF($V681="Ancho",IF($F681="","",ABS($E681-$F681)*$H681*$I681-$K681*$H681*$I681),IF($V681="Prima",$K681*$H681*$I681,""))))))</f>
        <v/>
      </c>
      <c r="AE681" s="12" t="str">
        <f aca="false">IF(OR($C681="",$M681="Abierta",$M681=""),"",(N($K681)-IF(OR($M681="Cerrada",$M681="Rolada"),N($O681),0))*$H681*$I681*IF($U681="Débito",-1,1)-N($L681)-N($P681))</f>
        <v/>
      </c>
      <c r="AF681" s="14" t="str">
        <f aca="false">IF(OR($AE681="",$AD681=""),"",IF($AD681&lt;=0,"",$AE681/$AD681))</f>
        <v/>
      </c>
      <c r="AG681" s="14" t="str">
        <f aca="false">IF($AF681="","",$AF681*365/MAX(N($X681),1))</f>
        <v/>
      </c>
      <c r="AH681" s="14" t="str">
        <f aca="false">IF(OR($C681="",$U681&lt;&gt;"Crédito",$AD681=""),"",IF($AD681&lt;=0,"",($Z681-N($L681))/$AD681))</f>
        <v/>
      </c>
      <c r="AI681" s="14" t="str">
        <f aca="false">IF(OR($AH681="",$W681=""),"",$AH681*365/MAX($W681,1))</f>
        <v/>
      </c>
      <c r="AJ681" s="14" t="str">
        <f aca="false">IF(OR($AE681="",$U681&lt;&gt;"Crédito",N($K681)=0),"",(N($K681)-IF(OR($M681="Cerrada",$M681="Rolada"),N($O681),0))/$K681)</f>
        <v/>
      </c>
      <c r="AK681" s="15" t="str">
        <f aca="false">IF(OR($C681="",$N681=""),"",DATE(YEAR($N681),MONTH($N681),1))</f>
        <v/>
      </c>
      <c r="AL681" s="11" t="str">
        <f aca="false">IF($C681="","",IF($M681="Abierta",0,1))</f>
        <v/>
      </c>
      <c r="AM681" s="16" t="str">
        <f aca="false">IF(OR($AE681="",$AD681=""),"",$AD681*MAX(N($X681),1))</f>
        <v/>
      </c>
      <c r="AN681" s="10" t="str">
        <f aca="false">IF($C681="","",IF(OR($B681="",$D681="",$H681="",$K681="",$M681=""),"Faltan datos obligatorios",IF($T681="","Estrategia no reconocida",IF(AND($M681&lt;&gt;"Abierta",$N681=""),"Falta fecha cierre",IF(AND(OR($M681="Cerrada",$M681="Rolada"),$O681=""),"Falta prima cierre",IF(AND($N681&lt;&gt;"",$N681&lt;$B681),"Cierre anterior a apertura",IF(AND($M681="Asignada",$R681=""),"Asignada: falta ID lote acciones",IF(AND($R681&lt;&gt;"",ISNA(MATCH($R681,Acciones!$A$2:$A$201,0))),"El ID lote no existe en Acciones",IF($AD681="","Revisa capital en riesgo","OK")))))))))</f>
        <v/>
      </c>
    </row>
    <row r="682" customFormat="false" ht="15" hidden="false" customHeight="true" outlineLevel="0" collapsed="false">
      <c r="A682" s="5"/>
      <c r="B682" s="6"/>
      <c r="C682" s="7"/>
      <c r="D682" s="7"/>
      <c r="E682" s="8"/>
      <c r="F682" s="8"/>
      <c r="G682" s="6"/>
      <c r="H682" s="5"/>
      <c r="I682" s="5" t="n">
        <v>100</v>
      </c>
      <c r="J682" s="8"/>
      <c r="K682" s="8"/>
      <c r="L682" s="9"/>
      <c r="M682" s="7"/>
      <c r="N682" s="6"/>
      <c r="O682" s="8"/>
      <c r="P682" s="9"/>
      <c r="Q682" s="9"/>
      <c r="R682" s="7"/>
      <c r="S682" s="7"/>
      <c r="T682" s="10" t="str">
        <f aca="false">IF($C682="","",IFERROR(INDEX(Listas!$B$2:$B$20,MATCH($D682,Listas!$A$2:$A$20,0)),""))</f>
        <v/>
      </c>
      <c r="U682" s="10" t="str">
        <f aca="false">IF($C682="","",IFERROR(INDEX(Listas!$C$2:$C$20,MATCH($D682,Listas!$A$2:$A$20,0)),""))</f>
        <v/>
      </c>
      <c r="V682" s="10" t="str">
        <f aca="false">IF($C682="","",IFERROR(INDEX(Listas!$D$2:$D$20,MATCH($D682,Listas!$A$2:$A$20,0)),""))</f>
        <v/>
      </c>
      <c r="W682" s="11" t="str">
        <f aca="false">IF(OR($C682="",$B682="",$G682=""),"",$G682-$B682)</f>
        <v/>
      </c>
      <c r="X682" s="11" t="str">
        <f aca="true">IF(OR($C682="",$B682=""),"",IF($N682&lt;&gt;"",$N682,TODAY())-$B682)</f>
        <v/>
      </c>
      <c r="Y682" s="11" t="str">
        <f aca="true">IF(OR($C682="",$M682&lt;&gt;"Abierta",$G682=""),"",MAX($G682-TODAY(),0))</f>
        <v/>
      </c>
      <c r="Z682" s="12" t="str">
        <f aca="false">IF($C682="","",N($K682)*N($H682)*N($I682)*IF($U682="Débito",-1,1))</f>
        <v/>
      </c>
      <c r="AA682" s="13" t="str">
        <f aca="false">IF($C682="","",IF(AND($U682="Débito",$F682&lt;&gt;""),$F682,$E682))</f>
        <v/>
      </c>
      <c r="AB682" s="13" t="str">
        <f aca="false">IF(OR($C682="",$T682="Mixta",$AA682=""),"",IF($V682="Subyacente",IF($J682="","",$J682-$K682),IF($T682="Put",$AA682-$K682,$AA682+$K682)))</f>
        <v/>
      </c>
      <c r="AC682" s="14" t="str">
        <f aca="false">IF(OR($C682="",$T682="Mixta",$J682="",$AA682=""),"",IF($T682="Put",($J682-$AA682)/$J682,($AA682-$J682)/$J682))</f>
        <v/>
      </c>
      <c r="AD682" s="12" t="str">
        <f aca="false">IF($C682="","",IF($Q682&lt;&gt;"",$Q682,IF($V682="Strike",N($E682)*$H682*$I682,IF($V682="Subyacente",IF($J682="","",$J682*$H682*$I682),IF($V682="Ancho",IF($F682="","",ABS($E682-$F682)*$H682*$I682-$K682*$H682*$I682),IF($V682="Prima",$K682*$H682*$I682,""))))))</f>
        <v/>
      </c>
      <c r="AE682" s="12" t="str">
        <f aca="false">IF(OR($C682="",$M682="Abierta",$M682=""),"",(N($K682)-IF(OR($M682="Cerrada",$M682="Rolada"),N($O682),0))*$H682*$I682*IF($U682="Débito",-1,1)-N($L682)-N($P682))</f>
        <v/>
      </c>
      <c r="AF682" s="14" t="str">
        <f aca="false">IF(OR($AE682="",$AD682=""),"",IF($AD682&lt;=0,"",$AE682/$AD682))</f>
        <v/>
      </c>
      <c r="AG682" s="14" t="str">
        <f aca="false">IF($AF682="","",$AF682*365/MAX(N($X682),1))</f>
        <v/>
      </c>
      <c r="AH682" s="14" t="str">
        <f aca="false">IF(OR($C682="",$U682&lt;&gt;"Crédito",$AD682=""),"",IF($AD682&lt;=0,"",($Z682-N($L682))/$AD682))</f>
        <v/>
      </c>
      <c r="AI682" s="14" t="str">
        <f aca="false">IF(OR($AH682="",$W682=""),"",$AH682*365/MAX($W682,1))</f>
        <v/>
      </c>
      <c r="AJ682" s="14" t="str">
        <f aca="false">IF(OR($AE682="",$U682&lt;&gt;"Crédito",N($K682)=0),"",(N($K682)-IF(OR($M682="Cerrada",$M682="Rolada"),N($O682),0))/$K682)</f>
        <v/>
      </c>
      <c r="AK682" s="15" t="str">
        <f aca="false">IF(OR($C682="",$N682=""),"",DATE(YEAR($N682),MONTH($N682),1))</f>
        <v/>
      </c>
      <c r="AL682" s="11" t="str">
        <f aca="false">IF($C682="","",IF($M682="Abierta",0,1))</f>
        <v/>
      </c>
      <c r="AM682" s="16" t="str">
        <f aca="false">IF(OR($AE682="",$AD682=""),"",$AD682*MAX(N($X682),1))</f>
        <v/>
      </c>
      <c r="AN682" s="10" t="str">
        <f aca="false">IF($C682="","",IF(OR($B682="",$D682="",$H682="",$K682="",$M682=""),"Faltan datos obligatorios",IF($T682="","Estrategia no reconocida",IF(AND($M682&lt;&gt;"Abierta",$N682=""),"Falta fecha cierre",IF(AND(OR($M682="Cerrada",$M682="Rolada"),$O682=""),"Falta prima cierre",IF(AND($N682&lt;&gt;"",$N682&lt;$B682),"Cierre anterior a apertura",IF(AND($M682="Asignada",$R682=""),"Asignada: falta ID lote acciones",IF(AND($R682&lt;&gt;"",ISNA(MATCH($R682,Acciones!$A$2:$A$201,0))),"El ID lote no existe en Acciones",IF($AD682="","Revisa capital en riesgo","OK")))))))))</f>
        <v/>
      </c>
    </row>
    <row r="683" customFormat="false" ht="15" hidden="false" customHeight="true" outlineLevel="0" collapsed="false">
      <c r="A683" s="5"/>
      <c r="B683" s="6"/>
      <c r="C683" s="7"/>
      <c r="D683" s="7"/>
      <c r="E683" s="8"/>
      <c r="F683" s="8"/>
      <c r="G683" s="6"/>
      <c r="H683" s="5"/>
      <c r="I683" s="5" t="n">
        <v>100</v>
      </c>
      <c r="J683" s="8"/>
      <c r="K683" s="8"/>
      <c r="L683" s="9"/>
      <c r="M683" s="7"/>
      <c r="N683" s="6"/>
      <c r="O683" s="8"/>
      <c r="P683" s="9"/>
      <c r="Q683" s="9"/>
      <c r="R683" s="7"/>
      <c r="S683" s="7"/>
      <c r="T683" s="10" t="str">
        <f aca="false">IF($C683="","",IFERROR(INDEX(Listas!$B$2:$B$20,MATCH($D683,Listas!$A$2:$A$20,0)),""))</f>
        <v/>
      </c>
      <c r="U683" s="10" t="str">
        <f aca="false">IF($C683="","",IFERROR(INDEX(Listas!$C$2:$C$20,MATCH($D683,Listas!$A$2:$A$20,0)),""))</f>
        <v/>
      </c>
      <c r="V683" s="10" t="str">
        <f aca="false">IF($C683="","",IFERROR(INDEX(Listas!$D$2:$D$20,MATCH($D683,Listas!$A$2:$A$20,0)),""))</f>
        <v/>
      </c>
      <c r="W683" s="11" t="str">
        <f aca="false">IF(OR($C683="",$B683="",$G683=""),"",$G683-$B683)</f>
        <v/>
      </c>
      <c r="X683" s="11" t="str">
        <f aca="true">IF(OR($C683="",$B683=""),"",IF($N683&lt;&gt;"",$N683,TODAY())-$B683)</f>
        <v/>
      </c>
      <c r="Y683" s="11" t="str">
        <f aca="true">IF(OR($C683="",$M683&lt;&gt;"Abierta",$G683=""),"",MAX($G683-TODAY(),0))</f>
        <v/>
      </c>
      <c r="Z683" s="12" t="str">
        <f aca="false">IF($C683="","",N($K683)*N($H683)*N($I683)*IF($U683="Débito",-1,1))</f>
        <v/>
      </c>
      <c r="AA683" s="13" t="str">
        <f aca="false">IF($C683="","",IF(AND($U683="Débito",$F683&lt;&gt;""),$F683,$E683))</f>
        <v/>
      </c>
      <c r="AB683" s="13" t="str">
        <f aca="false">IF(OR($C683="",$T683="Mixta",$AA683=""),"",IF($V683="Subyacente",IF($J683="","",$J683-$K683),IF($T683="Put",$AA683-$K683,$AA683+$K683)))</f>
        <v/>
      </c>
      <c r="AC683" s="14" t="str">
        <f aca="false">IF(OR($C683="",$T683="Mixta",$J683="",$AA683=""),"",IF($T683="Put",($J683-$AA683)/$J683,($AA683-$J683)/$J683))</f>
        <v/>
      </c>
      <c r="AD683" s="12" t="str">
        <f aca="false">IF($C683="","",IF($Q683&lt;&gt;"",$Q683,IF($V683="Strike",N($E683)*$H683*$I683,IF($V683="Subyacente",IF($J683="","",$J683*$H683*$I683),IF($V683="Ancho",IF($F683="","",ABS($E683-$F683)*$H683*$I683-$K683*$H683*$I683),IF($V683="Prima",$K683*$H683*$I683,""))))))</f>
        <v/>
      </c>
      <c r="AE683" s="12" t="str">
        <f aca="false">IF(OR($C683="",$M683="Abierta",$M683=""),"",(N($K683)-IF(OR($M683="Cerrada",$M683="Rolada"),N($O683),0))*$H683*$I683*IF($U683="Débito",-1,1)-N($L683)-N($P683))</f>
        <v/>
      </c>
      <c r="AF683" s="14" t="str">
        <f aca="false">IF(OR($AE683="",$AD683=""),"",IF($AD683&lt;=0,"",$AE683/$AD683))</f>
        <v/>
      </c>
      <c r="AG683" s="14" t="str">
        <f aca="false">IF($AF683="","",$AF683*365/MAX(N($X683),1))</f>
        <v/>
      </c>
      <c r="AH683" s="14" t="str">
        <f aca="false">IF(OR($C683="",$U683&lt;&gt;"Crédito",$AD683=""),"",IF($AD683&lt;=0,"",($Z683-N($L683))/$AD683))</f>
        <v/>
      </c>
      <c r="AI683" s="14" t="str">
        <f aca="false">IF(OR($AH683="",$W683=""),"",$AH683*365/MAX($W683,1))</f>
        <v/>
      </c>
      <c r="AJ683" s="14" t="str">
        <f aca="false">IF(OR($AE683="",$U683&lt;&gt;"Crédito",N($K683)=0),"",(N($K683)-IF(OR($M683="Cerrada",$M683="Rolada"),N($O683),0))/$K683)</f>
        <v/>
      </c>
      <c r="AK683" s="15" t="str">
        <f aca="false">IF(OR($C683="",$N683=""),"",DATE(YEAR($N683),MONTH($N683),1))</f>
        <v/>
      </c>
      <c r="AL683" s="11" t="str">
        <f aca="false">IF($C683="","",IF($M683="Abierta",0,1))</f>
        <v/>
      </c>
      <c r="AM683" s="16" t="str">
        <f aca="false">IF(OR($AE683="",$AD683=""),"",$AD683*MAX(N($X683),1))</f>
        <v/>
      </c>
      <c r="AN683" s="10" t="str">
        <f aca="false">IF($C683="","",IF(OR($B683="",$D683="",$H683="",$K683="",$M683=""),"Faltan datos obligatorios",IF($T683="","Estrategia no reconocida",IF(AND($M683&lt;&gt;"Abierta",$N683=""),"Falta fecha cierre",IF(AND(OR($M683="Cerrada",$M683="Rolada"),$O683=""),"Falta prima cierre",IF(AND($N683&lt;&gt;"",$N683&lt;$B683),"Cierre anterior a apertura",IF(AND($M683="Asignada",$R683=""),"Asignada: falta ID lote acciones",IF(AND($R683&lt;&gt;"",ISNA(MATCH($R683,Acciones!$A$2:$A$201,0))),"El ID lote no existe en Acciones",IF($AD683="","Revisa capital en riesgo","OK")))))))))</f>
        <v/>
      </c>
    </row>
    <row r="684" customFormat="false" ht="15" hidden="false" customHeight="true" outlineLevel="0" collapsed="false">
      <c r="A684" s="5"/>
      <c r="B684" s="6"/>
      <c r="C684" s="7"/>
      <c r="D684" s="7"/>
      <c r="E684" s="8"/>
      <c r="F684" s="8"/>
      <c r="G684" s="6"/>
      <c r="H684" s="5"/>
      <c r="I684" s="5" t="n">
        <v>100</v>
      </c>
      <c r="J684" s="8"/>
      <c r="K684" s="8"/>
      <c r="L684" s="9"/>
      <c r="M684" s="7"/>
      <c r="N684" s="6"/>
      <c r="O684" s="8"/>
      <c r="P684" s="9"/>
      <c r="Q684" s="9"/>
      <c r="R684" s="7"/>
      <c r="S684" s="7"/>
      <c r="T684" s="10" t="str">
        <f aca="false">IF($C684="","",IFERROR(INDEX(Listas!$B$2:$B$20,MATCH($D684,Listas!$A$2:$A$20,0)),""))</f>
        <v/>
      </c>
      <c r="U684" s="10" t="str">
        <f aca="false">IF($C684="","",IFERROR(INDEX(Listas!$C$2:$C$20,MATCH($D684,Listas!$A$2:$A$20,0)),""))</f>
        <v/>
      </c>
      <c r="V684" s="10" t="str">
        <f aca="false">IF($C684="","",IFERROR(INDEX(Listas!$D$2:$D$20,MATCH($D684,Listas!$A$2:$A$20,0)),""))</f>
        <v/>
      </c>
      <c r="W684" s="11" t="str">
        <f aca="false">IF(OR($C684="",$B684="",$G684=""),"",$G684-$B684)</f>
        <v/>
      </c>
      <c r="X684" s="11" t="str">
        <f aca="true">IF(OR($C684="",$B684=""),"",IF($N684&lt;&gt;"",$N684,TODAY())-$B684)</f>
        <v/>
      </c>
      <c r="Y684" s="11" t="str">
        <f aca="true">IF(OR($C684="",$M684&lt;&gt;"Abierta",$G684=""),"",MAX($G684-TODAY(),0))</f>
        <v/>
      </c>
      <c r="Z684" s="12" t="str">
        <f aca="false">IF($C684="","",N($K684)*N($H684)*N($I684)*IF($U684="Débito",-1,1))</f>
        <v/>
      </c>
      <c r="AA684" s="13" t="str">
        <f aca="false">IF($C684="","",IF(AND($U684="Débito",$F684&lt;&gt;""),$F684,$E684))</f>
        <v/>
      </c>
      <c r="AB684" s="13" t="str">
        <f aca="false">IF(OR($C684="",$T684="Mixta",$AA684=""),"",IF($V684="Subyacente",IF($J684="","",$J684-$K684),IF($T684="Put",$AA684-$K684,$AA684+$K684)))</f>
        <v/>
      </c>
      <c r="AC684" s="14" t="str">
        <f aca="false">IF(OR($C684="",$T684="Mixta",$J684="",$AA684=""),"",IF($T684="Put",($J684-$AA684)/$J684,($AA684-$J684)/$J684))</f>
        <v/>
      </c>
      <c r="AD684" s="12" t="str">
        <f aca="false">IF($C684="","",IF($Q684&lt;&gt;"",$Q684,IF($V684="Strike",N($E684)*$H684*$I684,IF($V684="Subyacente",IF($J684="","",$J684*$H684*$I684),IF($V684="Ancho",IF($F684="","",ABS($E684-$F684)*$H684*$I684-$K684*$H684*$I684),IF($V684="Prima",$K684*$H684*$I684,""))))))</f>
        <v/>
      </c>
      <c r="AE684" s="12" t="str">
        <f aca="false">IF(OR($C684="",$M684="Abierta",$M684=""),"",(N($K684)-IF(OR($M684="Cerrada",$M684="Rolada"),N($O684),0))*$H684*$I684*IF($U684="Débito",-1,1)-N($L684)-N($P684))</f>
        <v/>
      </c>
      <c r="AF684" s="14" t="str">
        <f aca="false">IF(OR($AE684="",$AD684=""),"",IF($AD684&lt;=0,"",$AE684/$AD684))</f>
        <v/>
      </c>
      <c r="AG684" s="14" t="str">
        <f aca="false">IF($AF684="","",$AF684*365/MAX(N($X684),1))</f>
        <v/>
      </c>
      <c r="AH684" s="14" t="str">
        <f aca="false">IF(OR($C684="",$U684&lt;&gt;"Crédito",$AD684=""),"",IF($AD684&lt;=0,"",($Z684-N($L684))/$AD684))</f>
        <v/>
      </c>
      <c r="AI684" s="14" t="str">
        <f aca="false">IF(OR($AH684="",$W684=""),"",$AH684*365/MAX($W684,1))</f>
        <v/>
      </c>
      <c r="AJ684" s="14" t="str">
        <f aca="false">IF(OR($AE684="",$U684&lt;&gt;"Crédito",N($K684)=0),"",(N($K684)-IF(OR($M684="Cerrada",$M684="Rolada"),N($O684),0))/$K684)</f>
        <v/>
      </c>
      <c r="AK684" s="15" t="str">
        <f aca="false">IF(OR($C684="",$N684=""),"",DATE(YEAR($N684),MONTH($N684),1))</f>
        <v/>
      </c>
      <c r="AL684" s="11" t="str">
        <f aca="false">IF($C684="","",IF($M684="Abierta",0,1))</f>
        <v/>
      </c>
      <c r="AM684" s="16" t="str">
        <f aca="false">IF(OR($AE684="",$AD684=""),"",$AD684*MAX(N($X684),1))</f>
        <v/>
      </c>
      <c r="AN684" s="10" t="str">
        <f aca="false">IF($C684="","",IF(OR($B684="",$D684="",$H684="",$K684="",$M684=""),"Faltan datos obligatorios",IF($T684="","Estrategia no reconocida",IF(AND($M684&lt;&gt;"Abierta",$N684=""),"Falta fecha cierre",IF(AND(OR($M684="Cerrada",$M684="Rolada"),$O684=""),"Falta prima cierre",IF(AND($N684&lt;&gt;"",$N684&lt;$B684),"Cierre anterior a apertura",IF(AND($M684="Asignada",$R684=""),"Asignada: falta ID lote acciones",IF(AND($R684&lt;&gt;"",ISNA(MATCH($R684,Acciones!$A$2:$A$201,0))),"El ID lote no existe en Acciones",IF($AD684="","Revisa capital en riesgo","OK")))))))))</f>
        <v/>
      </c>
    </row>
    <row r="685" customFormat="false" ht="15" hidden="false" customHeight="true" outlineLevel="0" collapsed="false">
      <c r="A685" s="5"/>
      <c r="B685" s="6"/>
      <c r="C685" s="7"/>
      <c r="D685" s="7"/>
      <c r="E685" s="8"/>
      <c r="F685" s="8"/>
      <c r="G685" s="6"/>
      <c r="H685" s="5"/>
      <c r="I685" s="5" t="n">
        <v>100</v>
      </c>
      <c r="J685" s="8"/>
      <c r="K685" s="8"/>
      <c r="L685" s="9"/>
      <c r="M685" s="7"/>
      <c r="N685" s="6"/>
      <c r="O685" s="8"/>
      <c r="P685" s="9"/>
      <c r="Q685" s="9"/>
      <c r="R685" s="7"/>
      <c r="S685" s="7"/>
      <c r="T685" s="10" t="str">
        <f aca="false">IF($C685="","",IFERROR(INDEX(Listas!$B$2:$B$20,MATCH($D685,Listas!$A$2:$A$20,0)),""))</f>
        <v/>
      </c>
      <c r="U685" s="10" t="str">
        <f aca="false">IF($C685="","",IFERROR(INDEX(Listas!$C$2:$C$20,MATCH($D685,Listas!$A$2:$A$20,0)),""))</f>
        <v/>
      </c>
      <c r="V685" s="10" t="str">
        <f aca="false">IF($C685="","",IFERROR(INDEX(Listas!$D$2:$D$20,MATCH($D685,Listas!$A$2:$A$20,0)),""))</f>
        <v/>
      </c>
      <c r="W685" s="11" t="str">
        <f aca="false">IF(OR($C685="",$B685="",$G685=""),"",$G685-$B685)</f>
        <v/>
      </c>
      <c r="X685" s="11" t="str">
        <f aca="true">IF(OR($C685="",$B685=""),"",IF($N685&lt;&gt;"",$N685,TODAY())-$B685)</f>
        <v/>
      </c>
      <c r="Y685" s="11" t="str">
        <f aca="true">IF(OR($C685="",$M685&lt;&gt;"Abierta",$G685=""),"",MAX($G685-TODAY(),0))</f>
        <v/>
      </c>
      <c r="Z685" s="12" t="str">
        <f aca="false">IF($C685="","",N($K685)*N($H685)*N($I685)*IF($U685="Débito",-1,1))</f>
        <v/>
      </c>
      <c r="AA685" s="13" t="str">
        <f aca="false">IF($C685="","",IF(AND($U685="Débito",$F685&lt;&gt;""),$F685,$E685))</f>
        <v/>
      </c>
      <c r="AB685" s="13" t="str">
        <f aca="false">IF(OR($C685="",$T685="Mixta",$AA685=""),"",IF($V685="Subyacente",IF($J685="","",$J685-$K685),IF($T685="Put",$AA685-$K685,$AA685+$K685)))</f>
        <v/>
      </c>
      <c r="AC685" s="14" t="str">
        <f aca="false">IF(OR($C685="",$T685="Mixta",$J685="",$AA685=""),"",IF($T685="Put",($J685-$AA685)/$J685,($AA685-$J685)/$J685))</f>
        <v/>
      </c>
      <c r="AD685" s="12" t="str">
        <f aca="false">IF($C685="","",IF($Q685&lt;&gt;"",$Q685,IF($V685="Strike",N($E685)*$H685*$I685,IF($V685="Subyacente",IF($J685="","",$J685*$H685*$I685),IF($V685="Ancho",IF($F685="","",ABS($E685-$F685)*$H685*$I685-$K685*$H685*$I685),IF($V685="Prima",$K685*$H685*$I685,""))))))</f>
        <v/>
      </c>
      <c r="AE685" s="12" t="str">
        <f aca="false">IF(OR($C685="",$M685="Abierta",$M685=""),"",(N($K685)-IF(OR($M685="Cerrada",$M685="Rolada"),N($O685),0))*$H685*$I685*IF($U685="Débito",-1,1)-N($L685)-N($P685))</f>
        <v/>
      </c>
      <c r="AF685" s="14" t="str">
        <f aca="false">IF(OR($AE685="",$AD685=""),"",IF($AD685&lt;=0,"",$AE685/$AD685))</f>
        <v/>
      </c>
      <c r="AG685" s="14" t="str">
        <f aca="false">IF($AF685="","",$AF685*365/MAX(N($X685),1))</f>
        <v/>
      </c>
      <c r="AH685" s="14" t="str">
        <f aca="false">IF(OR($C685="",$U685&lt;&gt;"Crédito",$AD685=""),"",IF($AD685&lt;=0,"",($Z685-N($L685))/$AD685))</f>
        <v/>
      </c>
      <c r="AI685" s="14" t="str">
        <f aca="false">IF(OR($AH685="",$W685=""),"",$AH685*365/MAX($W685,1))</f>
        <v/>
      </c>
      <c r="AJ685" s="14" t="str">
        <f aca="false">IF(OR($AE685="",$U685&lt;&gt;"Crédito",N($K685)=0),"",(N($K685)-IF(OR($M685="Cerrada",$M685="Rolada"),N($O685),0))/$K685)</f>
        <v/>
      </c>
      <c r="AK685" s="15" t="str">
        <f aca="false">IF(OR($C685="",$N685=""),"",DATE(YEAR($N685),MONTH($N685),1))</f>
        <v/>
      </c>
      <c r="AL685" s="11" t="str">
        <f aca="false">IF($C685="","",IF($M685="Abierta",0,1))</f>
        <v/>
      </c>
      <c r="AM685" s="16" t="str">
        <f aca="false">IF(OR($AE685="",$AD685=""),"",$AD685*MAX(N($X685),1))</f>
        <v/>
      </c>
      <c r="AN685" s="10" t="str">
        <f aca="false">IF($C685="","",IF(OR($B685="",$D685="",$H685="",$K685="",$M685=""),"Faltan datos obligatorios",IF($T685="","Estrategia no reconocida",IF(AND($M685&lt;&gt;"Abierta",$N685=""),"Falta fecha cierre",IF(AND(OR($M685="Cerrada",$M685="Rolada"),$O685=""),"Falta prima cierre",IF(AND($N685&lt;&gt;"",$N685&lt;$B685),"Cierre anterior a apertura",IF(AND($M685="Asignada",$R685=""),"Asignada: falta ID lote acciones",IF(AND($R685&lt;&gt;"",ISNA(MATCH($R685,Acciones!$A$2:$A$201,0))),"El ID lote no existe en Acciones",IF($AD685="","Revisa capital en riesgo","OK")))))))))</f>
        <v/>
      </c>
    </row>
    <row r="686" customFormat="false" ht="15" hidden="false" customHeight="true" outlineLevel="0" collapsed="false">
      <c r="A686" s="5"/>
      <c r="B686" s="6"/>
      <c r="C686" s="7"/>
      <c r="D686" s="7"/>
      <c r="E686" s="8"/>
      <c r="F686" s="8"/>
      <c r="G686" s="6"/>
      <c r="H686" s="5"/>
      <c r="I686" s="5" t="n">
        <v>100</v>
      </c>
      <c r="J686" s="8"/>
      <c r="K686" s="8"/>
      <c r="L686" s="9"/>
      <c r="M686" s="7"/>
      <c r="N686" s="6"/>
      <c r="O686" s="8"/>
      <c r="P686" s="9"/>
      <c r="Q686" s="9"/>
      <c r="R686" s="7"/>
      <c r="S686" s="7"/>
      <c r="T686" s="10" t="str">
        <f aca="false">IF($C686="","",IFERROR(INDEX(Listas!$B$2:$B$20,MATCH($D686,Listas!$A$2:$A$20,0)),""))</f>
        <v/>
      </c>
      <c r="U686" s="10" t="str">
        <f aca="false">IF($C686="","",IFERROR(INDEX(Listas!$C$2:$C$20,MATCH($D686,Listas!$A$2:$A$20,0)),""))</f>
        <v/>
      </c>
      <c r="V686" s="10" t="str">
        <f aca="false">IF($C686="","",IFERROR(INDEX(Listas!$D$2:$D$20,MATCH($D686,Listas!$A$2:$A$20,0)),""))</f>
        <v/>
      </c>
      <c r="W686" s="11" t="str">
        <f aca="false">IF(OR($C686="",$B686="",$G686=""),"",$G686-$B686)</f>
        <v/>
      </c>
      <c r="X686" s="11" t="str">
        <f aca="true">IF(OR($C686="",$B686=""),"",IF($N686&lt;&gt;"",$N686,TODAY())-$B686)</f>
        <v/>
      </c>
      <c r="Y686" s="11" t="str">
        <f aca="true">IF(OR($C686="",$M686&lt;&gt;"Abierta",$G686=""),"",MAX($G686-TODAY(),0))</f>
        <v/>
      </c>
      <c r="Z686" s="12" t="str">
        <f aca="false">IF($C686="","",N($K686)*N($H686)*N($I686)*IF($U686="Débito",-1,1))</f>
        <v/>
      </c>
      <c r="AA686" s="13" t="str">
        <f aca="false">IF($C686="","",IF(AND($U686="Débito",$F686&lt;&gt;""),$F686,$E686))</f>
        <v/>
      </c>
      <c r="AB686" s="13" t="str">
        <f aca="false">IF(OR($C686="",$T686="Mixta",$AA686=""),"",IF($V686="Subyacente",IF($J686="","",$J686-$K686),IF($T686="Put",$AA686-$K686,$AA686+$K686)))</f>
        <v/>
      </c>
      <c r="AC686" s="14" t="str">
        <f aca="false">IF(OR($C686="",$T686="Mixta",$J686="",$AA686=""),"",IF($T686="Put",($J686-$AA686)/$J686,($AA686-$J686)/$J686))</f>
        <v/>
      </c>
      <c r="AD686" s="12" t="str">
        <f aca="false">IF($C686="","",IF($Q686&lt;&gt;"",$Q686,IF($V686="Strike",N($E686)*$H686*$I686,IF($V686="Subyacente",IF($J686="","",$J686*$H686*$I686),IF($V686="Ancho",IF($F686="","",ABS($E686-$F686)*$H686*$I686-$K686*$H686*$I686),IF($V686="Prima",$K686*$H686*$I686,""))))))</f>
        <v/>
      </c>
      <c r="AE686" s="12" t="str">
        <f aca="false">IF(OR($C686="",$M686="Abierta",$M686=""),"",(N($K686)-IF(OR($M686="Cerrada",$M686="Rolada"),N($O686),0))*$H686*$I686*IF($U686="Débito",-1,1)-N($L686)-N($P686))</f>
        <v/>
      </c>
      <c r="AF686" s="14" t="str">
        <f aca="false">IF(OR($AE686="",$AD686=""),"",IF($AD686&lt;=0,"",$AE686/$AD686))</f>
        <v/>
      </c>
      <c r="AG686" s="14" t="str">
        <f aca="false">IF($AF686="","",$AF686*365/MAX(N($X686),1))</f>
        <v/>
      </c>
      <c r="AH686" s="14" t="str">
        <f aca="false">IF(OR($C686="",$U686&lt;&gt;"Crédito",$AD686=""),"",IF($AD686&lt;=0,"",($Z686-N($L686))/$AD686))</f>
        <v/>
      </c>
      <c r="AI686" s="14" t="str">
        <f aca="false">IF(OR($AH686="",$W686=""),"",$AH686*365/MAX($W686,1))</f>
        <v/>
      </c>
      <c r="AJ686" s="14" t="str">
        <f aca="false">IF(OR($AE686="",$U686&lt;&gt;"Crédito",N($K686)=0),"",(N($K686)-IF(OR($M686="Cerrada",$M686="Rolada"),N($O686),0))/$K686)</f>
        <v/>
      </c>
      <c r="AK686" s="15" t="str">
        <f aca="false">IF(OR($C686="",$N686=""),"",DATE(YEAR($N686),MONTH($N686),1))</f>
        <v/>
      </c>
      <c r="AL686" s="11" t="str">
        <f aca="false">IF($C686="","",IF($M686="Abierta",0,1))</f>
        <v/>
      </c>
      <c r="AM686" s="16" t="str">
        <f aca="false">IF(OR($AE686="",$AD686=""),"",$AD686*MAX(N($X686),1))</f>
        <v/>
      </c>
      <c r="AN686" s="10" t="str">
        <f aca="false">IF($C686="","",IF(OR($B686="",$D686="",$H686="",$K686="",$M686=""),"Faltan datos obligatorios",IF($T686="","Estrategia no reconocida",IF(AND($M686&lt;&gt;"Abierta",$N686=""),"Falta fecha cierre",IF(AND(OR($M686="Cerrada",$M686="Rolada"),$O686=""),"Falta prima cierre",IF(AND($N686&lt;&gt;"",$N686&lt;$B686),"Cierre anterior a apertura",IF(AND($M686="Asignada",$R686=""),"Asignada: falta ID lote acciones",IF(AND($R686&lt;&gt;"",ISNA(MATCH($R686,Acciones!$A$2:$A$201,0))),"El ID lote no existe en Acciones",IF($AD686="","Revisa capital en riesgo","OK")))))))))</f>
        <v/>
      </c>
    </row>
    <row r="687" customFormat="false" ht="15" hidden="false" customHeight="true" outlineLevel="0" collapsed="false">
      <c r="A687" s="5"/>
      <c r="B687" s="6"/>
      <c r="C687" s="7"/>
      <c r="D687" s="7"/>
      <c r="E687" s="8"/>
      <c r="F687" s="8"/>
      <c r="G687" s="6"/>
      <c r="H687" s="5"/>
      <c r="I687" s="5" t="n">
        <v>100</v>
      </c>
      <c r="J687" s="8"/>
      <c r="K687" s="8"/>
      <c r="L687" s="9"/>
      <c r="M687" s="7"/>
      <c r="N687" s="6"/>
      <c r="O687" s="8"/>
      <c r="P687" s="9"/>
      <c r="Q687" s="9"/>
      <c r="R687" s="7"/>
      <c r="S687" s="7"/>
      <c r="T687" s="10" t="str">
        <f aca="false">IF($C687="","",IFERROR(INDEX(Listas!$B$2:$B$20,MATCH($D687,Listas!$A$2:$A$20,0)),""))</f>
        <v/>
      </c>
      <c r="U687" s="10" t="str">
        <f aca="false">IF($C687="","",IFERROR(INDEX(Listas!$C$2:$C$20,MATCH($D687,Listas!$A$2:$A$20,0)),""))</f>
        <v/>
      </c>
      <c r="V687" s="10" t="str">
        <f aca="false">IF($C687="","",IFERROR(INDEX(Listas!$D$2:$D$20,MATCH($D687,Listas!$A$2:$A$20,0)),""))</f>
        <v/>
      </c>
      <c r="W687" s="11" t="str">
        <f aca="false">IF(OR($C687="",$B687="",$G687=""),"",$G687-$B687)</f>
        <v/>
      </c>
      <c r="X687" s="11" t="str">
        <f aca="true">IF(OR($C687="",$B687=""),"",IF($N687&lt;&gt;"",$N687,TODAY())-$B687)</f>
        <v/>
      </c>
      <c r="Y687" s="11" t="str">
        <f aca="true">IF(OR($C687="",$M687&lt;&gt;"Abierta",$G687=""),"",MAX($G687-TODAY(),0))</f>
        <v/>
      </c>
      <c r="Z687" s="12" t="str">
        <f aca="false">IF($C687="","",N($K687)*N($H687)*N($I687)*IF($U687="Débito",-1,1))</f>
        <v/>
      </c>
      <c r="AA687" s="13" t="str">
        <f aca="false">IF($C687="","",IF(AND($U687="Débito",$F687&lt;&gt;""),$F687,$E687))</f>
        <v/>
      </c>
      <c r="AB687" s="13" t="str">
        <f aca="false">IF(OR($C687="",$T687="Mixta",$AA687=""),"",IF($V687="Subyacente",IF($J687="","",$J687-$K687),IF($T687="Put",$AA687-$K687,$AA687+$K687)))</f>
        <v/>
      </c>
      <c r="AC687" s="14" t="str">
        <f aca="false">IF(OR($C687="",$T687="Mixta",$J687="",$AA687=""),"",IF($T687="Put",($J687-$AA687)/$J687,($AA687-$J687)/$J687))</f>
        <v/>
      </c>
      <c r="AD687" s="12" t="str">
        <f aca="false">IF($C687="","",IF($Q687&lt;&gt;"",$Q687,IF($V687="Strike",N($E687)*$H687*$I687,IF($V687="Subyacente",IF($J687="","",$J687*$H687*$I687),IF($V687="Ancho",IF($F687="","",ABS($E687-$F687)*$H687*$I687-$K687*$H687*$I687),IF($V687="Prima",$K687*$H687*$I687,""))))))</f>
        <v/>
      </c>
      <c r="AE687" s="12" t="str">
        <f aca="false">IF(OR($C687="",$M687="Abierta",$M687=""),"",(N($K687)-IF(OR($M687="Cerrada",$M687="Rolada"),N($O687),0))*$H687*$I687*IF($U687="Débito",-1,1)-N($L687)-N($P687))</f>
        <v/>
      </c>
      <c r="AF687" s="14" t="str">
        <f aca="false">IF(OR($AE687="",$AD687=""),"",IF($AD687&lt;=0,"",$AE687/$AD687))</f>
        <v/>
      </c>
      <c r="AG687" s="14" t="str">
        <f aca="false">IF($AF687="","",$AF687*365/MAX(N($X687),1))</f>
        <v/>
      </c>
      <c r="AH687" s="14" t="str">
        <f aca="false">IF(OR($C687="",$U687&lt;&gt;"Crédito",$AD687=""),"",IF($AD687&lt;=0,"",($Z687-N($L687))/$AD687))</f>
        <v/>
      </c>
      <c r="AI687" s="14" t="str">
        <f aca="false">IF(OR($AH687="",$W687=""),"",$AH687*365/MAX($W687,1))</f>
        <v/>
      </c>
      <c r="AJ687" s="14" t="str">
        <f aca="false">IF(OR($AE687="",$U687&lt;&gt;"Crédito",N($K687)=0),"",(N($K687)-IF(OR($M687="Cerrada",$M687="Rolada"),N($O687),0))/$K687)</f>
        <v/>
      </c>
      <c r="AK687" s="15" t="str">
        <f aca="false">IF(OR($C687="",$N687=""),"",DATE(YEAR($N687),MONTH($N687),1))</f>
        <v/>
      </c>
      <c r="AL687" s="11" t="str">
        <f aca="false">IF($C687="","",IF($M687="Abierta",0,1))</f>
        <v/>
      </c>
      <c r="AM687" s="16" t="str">
        <f aca="false">IF(OR($AE687="",$AD687=""),"",$AD687*MAX(N($X687),1))</f>
        <v/>
      </c>
      <c r="AN687" s="10" t="str">
        <f aca="false">IF($C687="","",IF(OR($B687="",$D687="",$H687="",$K687="",$M687=""),"Faltan datos obligatorios",IF($T687="","Estrategia no reconocida",IF(AND($M687&lt;&gt;"Abierta",$N687=""),"Falta fecha cierre",IF(AND(OR($M687="Cerrada",$M687="Rolada"),$O687=""),"Falta prima cierre",IF(AND($N687&lt;&gt;"",$N687&lt;$B687),"Cierre anterior a apertura",IF(AND($M687="Asignada",$R687=""),"Asignada: falta ID lote acciones",IF(AND($R687&lt;&gt;"",ISNA(MATCH($R687,Acciones!$A$2:$A$201,0))),"El ID lote no existe en Acciones",IF($AD687="","Revisa capital en riesgo","OK")))))))))</f>
        <v/>
      </c>
    </row>
    <row r="688" customFormat="false" ht="15" hidden="false" customHeight="true" outlineLevel="0" collapsed="false">
      <c r="A688" s="5"/>
      <c r="B688" s="6"/>
      <c r="C688" s="7"/>
      <c r="D688" s="7"/>
      <c r="E688" s="8"/>
      <c r="F688" s="8"/>
      <c r="G688" s="6"/>
      <c r="H688" s="5"/>
      <c r="I688" s="5" t="n">
        <v>100</v>
      </c>
      <c r="J688" s="8"/>
      <c r="K688" s="8"/>
      <c r="L688" s="9"/>
      <c r="M688" s="7"/>
      <c r="N688" s="6"/>
      <c r="O688" s="8"/>
      <c r="P688" s="9"/>
      <c r="Q688" s="9"/>
      <c r="R688" s="7"/>
      <c r="S688" s="7"/>
      <c r="T688" s="10" t="str">
        <f aca="false">IF($C688="","",IFERROR(INDEX(Listas!$B$2:$B$20,MATCH($D688,Listas!$A$2:$A$20,0)),""))</f>
        <v/>
      </c>
      <c r="U688" s="10" t="str">
        <f aca="false">IF($C688="","",IFERROR(INDEX(Listas!$C$2:$C$20,MATCH($D688,Listas!$A$2:$A$20,0)),""))</f>
        <v/>
      </c>
      <c r="V688" s="10" t="str">
        <f aca="false">IF($C688="","",IFERROR(INDEX(Listas!$D$2:$D$20,MATCH($D688,Listas!$A$2:$A$20,0)),""))</f>
        <v/>
      </c>
      <c r="W688" s="11" t="str">
        <f aca="false">IF(OR($C688="",$B688="",$G688=""),"",$G688-$B688)</f>
        <v/>
      </c>
      <c r="X688" s="11" t="str">
        <f aca="true">IF(OR($C688="",$B688=""),"",IF($N688&lt;&gt;"",$N688,TODAY())-$B688)</f>
        <v/>
      </c>
      <c r="Y688" s="11" t="str">
        <f aca="true">IF(OR($C688="",$M688&lt;&gt;"Abierta",$G688=""),"",MAX($G688-TODAY(),0))</f>
        <v/>
      </c>
      <c r="Z688" s="12" t="str">
        <f aca="false">IF($C688="","",N($K688)*N($H688)*N($I688)*IF($U688="Débito",-1,1))</f>
        <v/>
      </c>
      <c r="AA688" s="13" t="str">
        <f aca="false">IF($C688="","",IF(AND($U688="Débito",$F688&lt;&gt;""),$F688,$E688))</f>
        <v/>
      </c>
      <c r="AB688" s="13" t="str">
        <f aca="false">IF(OR($C688="",$T688="Mixta",$AA688=""),"",IF($V688="Subyacente",IF($J688="","",$J688-$K688),IF($T688="Put",$AA688-$K688,$AA688+$K688)))</f>
        <v/>
      </c>
      <c r="AC688" s="14" t="str">
        <f aca="false">IF(OR($C688="",$T688="Mixta",$J688="",$AA688=""),"",IF($T688="Put",($J688-$AA688)/$J688,($AA688-$J688)/$J688))</f>
        <v/>
      </c>
      <c r="AD688" s="12" t="str">
        <f aca="false">IF($C688="","",IF($Q688&lt;&gt;"",$Q688,IF($V688="Strike",N($E688)*$H688*$I688,IF($V688="Subyacente",IF($J688="","",$J688*$H688*$I688),IF($V688="Ancho",IF($F688="","",ABS($E688-$F688)*$H688*$I688-$K688*$H688*$I688),IF($V688="Prima",$K688*$H688*$I688,""))))))</f>
        <v/>
      </c>
      <c r="AE688" s="12" t="str">
        <f aca="false">IF(OR($C688="",$M688="Abierta",$M688=""),"",(N($K688)-IF(OR($M688="Cerrada",$M688="Rolada"),N($O688),0))*$H688*$I688*IF($U688="Débito",-1,1)-N($L688)-N($P688))</f>
        <v/>
      </c>
      <c r="AF688" s="14" t="str">
        <f aca="false">IF(OR($AE688="",$AD688=""),"",IF($AD688&lt;=0,"",$AE688/$AD688))</f>
        <v/>
      </c>
      <c r="AG688" s="14" t="str">
        <f aca="false">IF($AF688="","",$AF688*365/MAX(N($X688),1))</f>
        <v/>
      </c>
      <c r="AH688" s="14" t="str">
        <f aca="false">IF(OR($C688="",$U688&lt;&gt;"Crédito",$AD688=""),"",IF($AD688&lt;=0,"",($Z688-N($L688))/$AD688))</f>
        <v/>
      </c>
      <c r="AI688" s="14" t="str">
        <f aca="false">IF(OR($AH688="",$W688=""),"",$AH688*365/MAX($W688,1))</f>
        <v/>
      </c>
      <c r="AJ688" s="14" t="str">
        <f aca="false">IF(OR($AE688="",$U688&lt;&gt;"Crédito",N($K688)=0),"",(N($K688)-IF(OR($M688="Cerrada",$M688="Rolada"),N($O688),0))/$K688)</f>
        <v/>
      </c>
      <c r="AK688" s="15" t="str">
        <f aca="false">IF(OR($C688="",$N688=""),"",DATE(YEAR($N688),MONTH($N688),1))</f>
        <v/>
      </c>
      <c r="AL688" s="11" t="str">
        <f aca="false">IF($C688="","",IF($M688="Abierta",0,1))</f>
        <v/>
      </c>
      <c r="AM688" s="16" t="str">
        <f aca="false">IF(OR($AE688="",$AD688=""),"",$AD688*MAX(N($X688),1))</f>
        <v/>
      </c>
      <c r="AN688" s="10" t="str">
        <f aca="false">IF($C688="","",IF(OR($B688="",$D688="",$H688="",$K688="",$M688=""),"Faltan datos obligatorios",IF($T688="","Estrategia no reconocida",IF(AND($M688&lt;&gt;"Abierta",$N688=""),"Falta fecha cierre",IF(AND(OR($M688="Cerrada",$M688="Rolada"),$O688=""),"Falta prima cierre",IF(AND($N688&lt;&gt;"",$N688&lt;$B688),"Cierre anterior a apertura",IF(AND($M688="Asignada",$R688=""),"Asignada: falta ID lote acciones",IF(AND($R688&lt;&gt;"",ISNA(MATCH($R688,Acciones!$A$2:$A$201,0))),"El ID lote no existe en Acciones",IF($AD688="","Revisa capital en riesgo","OK")))))))))</f>
        <v/>
      </c>
    </row>
    <row r="689" customFormat="false" ht="15" hidden="false" customHeight="true" outlineLevel="0" collapsed="false">
      <c r="A689" s="5"/>
      <c r="B689" s="6"/>
      <c r="C689" s="7"/>
      <c r="D689" s="7"/>
      <c r="E689" s="8"/>
      <c r="F689" s="8"/>
      <c r="G689" s="6"/>
      <c r="H689" s="5"/>
      <c r="I689" s="5" t="n">
        <v>100</v>
      </c>
      <c r="J689" s="8"/>
      <c r="K689" s="8"/>
      <c r="L689" s="9"/>
      <c r="M689" s="7"/>
      <c r="N689" s="6"/>
      <c r="O689" s="8"/>
      <c r="P689" s="9"/>
      <c r="Q689" s="9"/>
      <c r="R689" s="7"/>
      <c r="S689" s="7"/>
      <c r="T689" s="10" t="str">
        <f aca="false">IF($C689="","",IFERROR(INDEX(Listas!$B$2:$B$20,MATCH($D689,Listas!$A$2:$A$20,0)),""))</f>
        <v/>
      </c>
      <c r="U689" s="10" t="str">
        <f aca="false">IF($C689="","",IFERROR(INDEX(Listas!$C$2:$C$20,MATCH($D689,Listas!$A$2:$A$20,0)),""))</f>
        <v/>
      </c>
      <c r="V689" s="10" t="str">
        <f aca="false">IF($C689="","",IFERROR(INDEX(Listas!$D$2:$D$20,MATCH($D689,Listas!$A$2:$A$20,0)),""))</f>
        <v/>
      </c>
      <c r="W689" s="11" t="str">
        <f aca="false">IF(OR($C689="",$B689="",$G689=""),"",$G689-$B689)</f>
        <v/>
      </c>
      <c r="X689" s="11" t="str">
        <f aca="true">IF(OR($C689="",$B689=""),"",IF($N689&lt;&gt;"",$N689,TODAY())-$B689)</f>
        <v/>
      </c>
      <c r="Y689" s="11" t="str">
        <f aca="true">IF(OR($C689="",$M689&lt;&gt;"Abierta",$G689=""),"",MAX($G689-TODAY(),0))</f>
        <v/>
      </c>
      <c r="Z689" s="12" t="str">
        <f aca="false">IF($C689="","",N($K689)*N($H689)*N($I689)*IF($U689="Débito",-1,1))</f>
        <v/>
      </c>
      <c r="AA689" s="13" t="str">
        <f aca="false">IF($C689="","",IF(AND($U689="Débito",$F689&lt;&gt;""),$F689,$E689))</f>
        <v/>
      </c>
      <c r="AB689" s="13" t="str">
        <f aca="false">IF(OR($C689="",$T689="Mixta",$AA689=""),"",IF($V689="Subyacente",IF($J689="","",$J689-$K689),IF($T689="Put",$AA689-$K689,$AA689+$K689)))</f>
        <v/>
      </c>
      <c r="AC689" s="14" t="str">
        <f aca="false">IF(OR($C689="",$T689="Mixta",$J689="",$AA689=""),"",IF($T689="Put",($J689-$AA689)/$J689,($AA689-$J689)/$J689))</f>
        <v/>
      </c>
      <c r="AD689" s="12" t="str">
        <f aca="false">IF($C689="","",IF($Q689&lt;&gt;"",$Q689,IF($V689="Strike",N($E689)*$H689*$I689,IF($V689="Subyacente",IF($J689="","",$J689*$H689*$I689),IF($V689="Ancho",IF($F689="","",ABS($E689-$F689)*$H689*$I689-$K689*$H689*$I689),IF($V689="Prima",$K689*$H689*$I689,""))))))</f>
        <v/>
      </c>
      <c r="AE689" s="12" t="str">
        <f aca="false">IF(OR($C689="",$M689="Abierta",$M689=""),"",(N($K689)-IF(OR($M689="Cerrada",$M689="Rolada"),N($O689),0))*$H689*$I689*IF($U689="Débito",-1,1)-N($L689)-N($P689))</f>
        <v/>
      </c>
      <c r="AF689" s="14" t="str">
        <f aca="false">IF(OR($AE689="",$AD689=""),"",IF($AD689&lt;=0,"",$AE689/$AD689))</f>
        <v/>
      </c>
      <c r="AG689" s="14" t="str">
        <f aca="false">IF($AF689="","",$AF689*365/MAX(N($X689),1))</f>
        <v/>
      </c>
      <c r="AH689" s="14" t="str">
        <f aca="false">IF(OR($C689="",$U689&lt;&gt;"Crédito",$AD689=""),"",IF($AD689&lt;=0,"",($Z689-N($L689))/$AD689))</f>
        <v/>
      </c>
      <c r="AI689" s="14" t="str">
        <f aca="false">IF(OR($AH689="",$W689=""),"",$AH689*365/MAX($W689,1))</f>
        <v/>
      </c>
      <c r="AJ689" s="14" t="str">
        <f aca="false">IF(OR($AE689="",$U689&lt;&gt;"Crédito",N($K689)=0),"",(N($K689)-IF(OR($M689="Cerrada",$M689="Rolada"),N($O689),0))/$K689)</f>
        <v/>
      </c>
      <c r="AK689" s="15" t="str">
        <f aca="false">IF(OR($C689="",$N689=""),"",DATE(YEAR($N689),MONTH($N689),1))</f>
        <v/>
      </c>
      <c r="AL689" s="11" t="str">
        <f aca="false">IF($C689="","",IF($M689="Abierta",0,1))</f>
        <v/>
      </c>
      <c r="AM689" s="16" t="str">
        <f aca="false">IF(OR($AE689="",$AD689=""),"",$AD689*MAX(N($X689),1))</f>
        <v/>
      </c>
      <c r="AN689" s="10" t="str">
        <f aca="false">IF($C689="","",IF(OR($B689="",$D689="",$H689="",$K689="",$M689=""),"Faltan datos obligatorios",IF($T689="","Estrategia no reconocida",IF(AND($M689&lt;&gt;"Abierta",$N689=""),"Falta fecha cierre",IF(AND(OR($M689="Cerrada",$M689="Rolada"),$O689=""),"Falta prima cierre",IF(AND($N689&lt;&gt;"",$N689&lt;$B689),"Cierre anterior a apertura",IF(AND($M689="Asignada",$R689=""),"Asignada: falta ID lote acciones",IF(AND($R689&lt;&gt;"",ISNA(MATCH($R689,Acciones!$A$2:$A$201,0))),"El ID lote no existe en Acciones",IF($AD689="","Revisa capital en riesgo","OK")))))))))</f>
        <v/>
      </c>
    </row>
    <row r="690" customFormat="false" ht="15" hidden="false" customHeight="true" outlineLevel="0" collapsed="false">
      <c r="A690" s="5"/>
      <c r="B690" s="6"/>
      <c r="C690" s="7"/>
      <c r="D690" s="7"/>
      <c r="E690" s="8"/>
      <c r="F690" s="8"/>
      <c r="G690" s="6"/>
      <c r="H690" s="5"/>
      <c r="I690" s="5" t="n">
        <v>100</v>
      </c>
      <c r="J690" s="8"/>
      <c r="K690" s="8"/>
      <c r="L690" s="9"/>
      <c r="M690" s="7"/>
      <c r="N690" s="6"/>
      <c r="O690" s="8"/>
      <c r="P690" s="9"/>
      <c r="Q690" s="9"/>
      <c r="R690" s="7"/>
      <c r="S690" s="7"/>
      <c r="T690" s="10" t="str">
        <f aca="false">IF($C690="","",IFERROR(INDEX(Listas!$B$2:$B$20,MATCH($D690,Listas!$A$2:$A$20,0)),""))</f>
        <v/>
      </c>
      <c r="U690" s="10" t="str">
        <f aca="false">IF($C690="","",IFERROR(INDEX(Listas!$C$2:$C$20,MATCH($D690,Listas!$A$2:$A$20,0)),""))</f>
        <v/>
      </c>
      <c r="V690" s="10" t="str">
        <f aca="false">IF($C690="","",IFERROR(INDEX(Listas!$D$2:$D$20,MATCH($D690,Listas!$A$2:$A$20,0)),""))</f>
        <v/>
      </c>
      <c r="W690" s="11" t="str">
        <f aca="false">IF(OR($C690="",$B690="",$G690=""),"",$G690-$B690)</f>
        <v/>
      </c>
      <c r="X690" s="11" t="str">
        <f aca="true">IF(OR($C690="",$B690=""),"",IF($N690&lt;&gt;"",$N690,TODAY())-$B690)</f>
        <v/>
      </c>
      <c r="Y690" s="11" t="str">
        <f aca="true">IF(OR($C690="",$M690&lt;&gt;"Abierta",$G690=""),"",MAX($G690-TODAY(),0))</f>
        <v/>
      </c>
      <c r="Z690" s="12" t="str">
        <f aca="false">IF($C690="","",N($K690)*N($H690)*N($I690)*IF($U690="Débito",-1,1))</f>
        <v/>
      </c>
      <c r="AA690" s="13" t="str">
        <f aca="false">IF($C690="","",IF(AND($U690="Débito",$F690&lt;&gt;""),$F690,$E690))</f>
        <v/>
      </c>
      <c r="AB690" s="13" t="str">
        <f aca="false">IF(OR($C690="",$T690="Mixta",$AA690=""),"",IF($V690="Subyacente",IF($J690="","",$J690-$K690),IF($T690="Put",$AA690-$K690,$AA690+$K690)))</f>
        <v/>
      </c>
      <c r="AC690" s="14" t="str">
        <f aca="false">IF(OR($C690="",$T690="Mixta",$J690="",$AA690=""),"",IF($T690="Put",($J690-$AA690)/$J690,($AA690-$J690)/$J690))</f>
        <v/>
      </c>
      <c r="AD690" s="12" t="str">
        <f aca="false">IF($C690="","",IF($Q690&lt;&gt;"",$Q690,IF($V690="Strike",N($E690)*$H690*$I690,IF($V690="Subyacente",IF($J690="","",$J690*$H690*$I690),IF($V690="Ancho",IF($F690="","",ABS($E690-$F690)*$H690*$I690-$K690*$H690*$I690),IF($V690="Prima",$K690*$H690*$I690,""))))))</f>
        <v/>
      </c>
      <c r="AE690" s="12" t="str">
        <f aca="false">IF(OR($C690="",$M690="Abierta",$M690=""),"",(N($K690)-IF(OR($M690="Cerrada",$M690="Rolada"),N($O690),0))*$H690*$I690*IF($U690="Débito",-1,1)-N($L690)-N($P690))</f>
        <v/>
      </c>
      <c r="AF690" s="14" t="str">
        <f aca="false">IF(OR($AE690="",$AD690=""),"",IF($AD690&lt;=0,"",$AE690/$AD690))</f>
        <v/>
      </c>
      <c r="AG690" s="14" t="str">
        <f aca="false">IF($AF690="","",$AF690*365/MAX(N($X690),1))</f>
        <v/>
      </c>
      <c r="AH690" s="14" t="str">
        <f aca="false">IF(OR($C690="",$U690&lt;&gt;"Crédito",$AD690=""),"",IF($AD690&lt;=0,"",($Z690-N($L690))/$AD690))</f>
        <v/>
      </c>
      <c r="AI690" s="14" t="str">
        <f aca="false">IF(OR($AH690="",$W690=""),"",$AH690*365/MAX($W690,1))</f>
        <v/>
      </c>
      <c r="AJ690" s="14" t="str">
        <f aca="false">IF(OR($AE690="",$U690&lt;&gt;"Crédito",N($K690)=0),"",(N($K690)-IF(OR($M690="Cerrada",$M690="Rolada"),N($O690),0))/$K690)</f>
        <v/>
      </c>
      <c r="AK690" s="15" t="str">
        <f aca="false">IF(OR($C690="",$N690=""),"",DATE(YEAR($N690),MONTH($N690),1))</f>
        <v/>
      </c>
      <c r="AL690" s="11" t="str">
        <f aca="false">IF($C690="","",IF($M690="Abierta",0,1))</f>
        <v/>
      </c>
      <c r="AM690" s="16" t="str">
        <f aca="false">IF(OR($AE690="",$AD690=""),"",$AD690*MAX(N($X690),1))</f>
        <v/>
      </c>
      <c r="AN690" s="10" t="str">
        <f aca="false">IF($C690="","",IF(OR($B690="",$D690="",$H690="",$K690="",$M690=""),"Faltan datos obligatorios",IF($T690="","Estrategia no reconocida",IF(AND($M690&lt;&gt;"Abierta",$N690=""),"Falta fecha cierre",IF(AND(OR($M690="Cerrada",$M690="Rolada"),$O690=""),"Falta prima cierre",IF(AND($N690&lt;&gt;"",$N690&lt;$B690),"Cierre anterior a apertura",IF(AND($M690="Asignada",$R690=""),"Asignada: falta ID lote acciones",IF(AND($R690&lt;&gt;"",ISNA(MATCH($R690,Acciones!$A$2:$A$201,0))),"El ID lote no existe en Acciones",IF($AD690="","Revisa capital en riesgo","OK")))))))))</f>
        <v/>
      </c>
    </row>
    <row r="691" customFormat="false" ht="15" hidden="false" customHeight="true" outlineLevel="0" collapsed="false">
      <c r="A691" s="5"/>
      <c r="B691" s="6"/>
      <c r="C691" s="7"/>
      <c r="D691" s="7"/>
      <c r="E691" s="8"/>
      <c r="F691" s="8"/>
      <c r="G691" s="6"/>
      <c r="H691" s="5"/>
      <c r="I691" s="5" t="n">
        <v>100</v>
      </c>
      <c r="J691" s="8"/>
      <c r="K691" s="8"/>
      <c r="L691" s="9"/>
      <c r="M691" s="7"/>
      <c r="N691" s="6"/>
      <c r="O691" s="8"/>
      <c r="P691" s="9"/>
      <c r="Q691" s="9"/>
      <c r="R691" s="7"/>
      <c r="S691" s="7"/>
      <c r="T691" s="10" t="str">
        <f aca="false">IF($C691="","",IFERROR(INDEX(Listas!$B$2:$B$20,MATCH($D691,Listas!$A$2:$A$20,0)),""))</f>
        <v/>
      </c>
      <c r="U691" s="10" t="str">
        <f aca="false">IF($C691="","",IFERROR(INDEX(Listas!$C$2:$C$20,MATCH($D691,Listas!$A$2:$A$20,0)),""))</f>
        <v/>
      </c>
      <c r="V691" s="10" t="str">
        <f aca="false">IF($C691="","",IFERROR(INDEX(Listas!$D$2:$D$20,MATCH($D691,Listas!$A$2:$A$20,0)),""))</f>
        <v/>
      </c>
      <c r="W691" s="11" t="str">
        <f aca="false">IF(OR($C691="",$B691="",$G691=""),"",$G691-$B691)</f>
        <v/>
      </c>
      <c r="X691" s="11" t="str">
        <f aca="true">IF(OR($C691="",$B691=""),"",IF($N691&lt;&gt;"",$N691,TODAY())-$B691)</f>
        <v/>
      </c>
      <c r="Y691" s="11" t="str">
        <f aca="true">IF(OR($C691="",$M691&lt;&gt;"Abierta",$G691=""),"",MAX($G691-TODAY(),0))</f>
        <v/>
      </c>
      <c r="Z691" s="12" t="str">
        <f aca="false">IF($C691="","",N($K691)*N($H691)*N($I691)*IF($U691="Débito",-1,1))</f>
        <v/>
      </c>
      <c r="AA691" s="13" t="str">
        <f aca="false">IF($C691="","",IF(AND($U691="Débito",$F691&lt;&gt;""),$F691,$E691))</f>
        <v/>
      </c>
      <c r="AB691" s="13" t="str">
        <f aca="false">IF(OR($C691="",$T691="Mixta",$AA691=""),"",IF($V691="Subyacente",IF($J691="","",$J691-$K691),IF($T691="Put",$AA691-$K691,$AA691+$K691)))</f>
        <v/>
      </c>
      <c r="AC691" s="14" t="str">
        <f aca="false">IF(OR($C691="",$T691="Mixta",$J691="",$AA691=""),"",IF($T691="Put",($J691-$AA691)/$J691,($AA691-$J691)/$J691))</f>
        <v/>
      </c>
      <c r="AD691" s="12" t="str">
        <f aca="false">IF($C691="","",IF($Q691&lt;&gt;"",$Q691,IF($V691="Strike",N($E691)*$H691*$I691,IF($V691="Subyacente",IF($J691="","",$J691*$H691*$I691),IF($V691="Ancho",IF($F691="","",ABS($E691-$F691)*$H691*$I691-$K691*$H691*$I691),IF($V691="Prima",$K691*$H691*$I691,""))))))</f>
        <v/>
      </c>
      <c r="AE691" s="12" t="str">
        <f aca="false">IF(OR($C691="",$M691="Abierta",$M691=""),"",(N($K691)-IF(OR($M691="Cerrada",$M691="Rolada"),N($O691),0))*$H691*$I691*IF($U691="Débito",-1,1)-N($L691)-N($P691))</f>
        <v/>
      </c>
      <c r="AF691" s="14" t="str">
        <f aca="false">IF(OR($AE691="",$AD691=""),"",IF($AD691&lt;=0,"",$AE691/$AD691))</f>
        <v/>
      </c>
      <c r="AG691" s="14" t="str">
        <f aca="false">IF($AF691="","",$AF691*365/MAX(N($X691),1))</f>
        <v/>
      </c>
      <c r="AH691" s="14" t="str">
        <f aca="false">IF(OR($C691="",$U691&lt;&gt;"Crédito",$AD691=""),"",IF($AD691&lt;=0,"",($Z691-N($L691))/$AD691))</f>
        <v/>
      </c>
      <c r="AI691" s="14" t="str">
        <f aca="false">IF(OR($AH691="",$W691=""),"",$AH691*365/MAX($W691,1))</f>
        <v/>
      </c>
      <c r="AJ691" s="14" t="str">
        <f aca="false">IF(OR($AE691="",$U691&lt;&gt;"Crédito",N($K691)=0),"",(N($K691)-IF(OR($M691="Cerrada",$M691="Rolada"),N($O691),0))/$K691)</f>
        <v/>
      </c>
      <c r="AK691" s="15" t="str">
        <f aca="false">IF(OR($C691="",$N691=""),"",DATE(YEAR($N691),MONTH($N691),1))</f>
        <v/>
      </c>
      <c r="AL691" s="11" t="str">
        <f aca="false">IF($C691="","",IF($M691="Abierta",0,1))</f>
        <v/>
      </c>
      <c r="AM691" s="16" t="str">
        <f aca="false">IF(OR($AE691="",$AD691=""),"",$AD691*MAX(N($X691),1))</f>
        <v/>
      </c>
      <c r="AN691" s="10" t="str">
        <f aca="false">IF($C691="","",IF(OR($B691="",$D691="",$H691="",$K691="",$M691=""),"Faltan datos obligatorios",IF($T691="","Estrategia no reconocida",IF(AND($M691&lt;&gt;"Abierta",$N691=""),"Falta fecha cierre",IF(AND(OR($M691="Cerrada",$M691="Rolada"),$O691=""),"Falta prima cierre",IF(AND($N691&lt;&gt;"",$N691&lt;$B691),"Cierre anterior a apertura",IF(AND($M691="Asignada",$R691=""),"Asignada: falta ID lote acciones",IF(AND($R691&lt;&gt;"",ISNA(MATCH($R691,Acciones!$A$2:$A$201,0))),"El ID lote no existe en Acciones",IF($AD691="","Revisa capital en riesgo","OK")))))))))</f>
        <v/>
      </c>
    </row>
    <row r="692" customFormat="false" ht="15" hidden="false" customHeight="true" outlineLevel="0" collapsed="false">
      <c r="A692" s="5"/>
      <c r="B692" s="6"/>
      <c r="C692" s="7"/>
      <c r="D692" s="7"/>
      <c r="E692" s="8"/>
      <c r="F692" s="8"/>
      <c r="G692" s="6"/>
      <c r="H692" s="5"/>
      <c r="I692" s="5" t="n">
        <v>100</v>
      </c>
      <c r="J692" s="8"/>
      <c r="K692" s="8"/>
      <c r="L692" s="9"/>
      <c r="M692" s="7"/>
      <c r="N692" s="6"/>
      <c r="O692" s="8"/>
      <c r="P692" s="9"/>
      <c r="Q692" s="9"/>
      <c r="R692" s="7"/>
      <c r="S692" s="7"/>
      <c r="T692" s="10" t="str">
        <f aca="false">IF($C692="","",IFERROR(INDEX(Listas!$B$2:$B$20,MATCH($D692,Listas!$A$2:$A$20,0)),""))</f>
        <v/>
      </c>
      <c r="U692" s="10" t="str">
        <f aca="false">IF($C692="","",IFERROR(INDEX(Listas!$C$2:$C$20,MATCH($D692,Listas!$A$2:$A$20,0)),""))</f>
        <v/>
      </c>
      <c r="V692" s="10" t="str">
        <f aca="false">IF($C692="","",IFERROR(INDEX(Listas!$D$2:$D$20,MATCH($D692,Listas!$A$2:$A$20,0)),""))</f>
        <v/>
      </c>
      <c r="W692" s="11" t="str">
        <f aca="false">IF(OR($C692="",$B692="",$G692=""),"",$G692-$B692)</f>
        <v/>
      </c>
      <c r="X692" s="11" t="str">
        <f aca="true">IF(OR($C692="",$B692=""),"",IF($N692&lt;&gt;"",$N692,TODAY())-$B692)</f>
        <v/>
      </c>
      <c r="Y692" s="11" t="str">
        <f aca="true">IF(OR($C692="",$M692&lt;&gt;"Abierta",$G692=""),"",MAX($G692-TODAY(),0))</f>
        <v/>
      </c>
      <c r="Z692" s="12" t="str">
        <f aca="false">IF($C692="","",N($K692)*N($H692)*N($I692)*IF($U692="Débito",-1,1))</f>
        <v/>
      </c>
      <c r="AA692" s="13" t="str">
        <f aca="false">IF($C692="","",IF(AND($U692="Débito",$F692&lt;&gt;""),$F692,$E692))</f>
        <v/>
      </c>
      <c r="AB692" s="13" t="str">
        <f aca="false">IF(OR($C692="",$T692="Mixta",$AA692=""),"",IF($V692="Subyacente",IF($J692="","",$J692-$K692),IF($T692="Put",$AA692-$K692,$AA692+$K692)))</f>
        <v/>
      </c>
      <c r="AC692" s="14" t="str">
        <f aca="false">IF(OR($C692="",$T692="Mixta",$J692="",$AA692=""),"",IF($T692="Put",($J692-$AA692)/$J692,($AA692-$J692)/$J692))</f>
        <v/>
      </c>
      <c r="AD692" s="12" t="str">
        <f aca="false">IF($C692="","",IF($Q692&lt;&gt;"",$Q692,IF($V692="Strike",N($E692)*$H692*$I692,IF($V692="Subyacente",IF($J692="","",$J692*$H692*$I692),IF($V692="Ancho",IF($F692="","",ABS($E692-$F692)*$H692*$I692-$K692*$H692*$I692),IF($V692="Prima",$K692*$H692*$I692,""))))))</f>
        <v/>
      </c>
      <c r="AE692" s="12" t="str">
        <f aca="false">IF(OR($C692="",$M692="Abierta",$M692=""),"",(N($K692)-IF(OR($M692="Cerrada",$M692="Rolada"),N($O692),0))*$H692*$I692*IF($U692="Débito",-1,1)-N($L692)-N($P692))</f>
        <v/>
      </c>
      <c r="AF692" s="14" t="str">
        <f aca="false">IF(OR($AE692="",$AD692=""),"",IF($AD692&lt;=0,"",$AE692/$AD692))</f>
        <v/>
      </c>
      <c r="AG692" s="14" t="str">
        <f aca="false">IF($AF692="","",$AF692*365/MAX(N($X692),1))</f>
        <v/>
      </c>
      <c r="AH692" s="14" t="str">
        <f aca="false">IF(OR($C692="",$U692&lt;&gt;"Crédito",$AD692=""),"",IF($AD692&lt;=0,"",($Z692-N($L692))/$AD692))</f>
        <v/>
      </c>
      <c r="AI692" s="14" t="str">
        <f aca="false">IF(OR($AH692="",$W692=""),"",$AH692*365/MAX($W692,1))</f>
        <v/>
      </c>
      <c r="AJ692" s="14" t="str">
        <f aca="false">IF(OR($AE692="",$U692&lt;&gt;"Crédito",N($K692)=0),"",(N($K692)-IF(OR($M692="Cerrada",$M692="Rolada"),N($O692),0))/$K692)</f>
        <v/>
      </c>
      <c r="AK692" s="15" t="str">
        <f aca="false">IF(OR($C692="",$N692=""),"",DATE(YEAR($N692),MONTH($N692),1))</f>
        <v/>
      </c>
      <c r="AL692" s="11" t="str">
        <f aca="false">IF($C692="","",IF($M692="Abierta",0,1))</f>
        <v/>
      </c>
      <c r="AM692" s="16" t="str">
        <f aca="false">IF(OR($AE692="",$AD692=""),"",$AD692*MAX(N($X692),1))</f>
        <v/>
      </c>
      <c r="AN692" s="10" t="str">
        <f aca="false">IF($C692="","",IF(OR($B692="",$D692="",$H692="",$K692="",$M692=""),"Faltan datos obligatorios",IF($T692="","Estrategia no reconocida",IF(AND($M692&lt;&gt;"Abierta",$N692=""),"Falta fecha cierre",IF(AND(OR($M692="Cerrada",$M692="Rolada"),$O692=""),"Falta prima cierre",IF(AND($N692&lt;&gt;"",$N692&lt;$B692),"Cierre anterior a apertura",IF(AND($M692="Asignada",$R692=""),"Asignada: falta ID lote acciones",IF(AND($R692&lt;&gt;"",ISNA(MATCH($R692,Acciones!$A$2:$A$201,0))),"El ID lote no existe en Acciones",IF($AD692="","Revisa capital en riesgo","OK")))))))))</f>
        <v/>
      </c>
    </row>
    <row r="693" customFormat="false" ht="15" hidden="false" customHeight="true" outlineLevel="0" collapsed="false">
      <c r="A693" s="5"/>
      <c r="B693" s="6"/>
      <c r="C693" s="7"/>
      <c r="D693" s="7"/>
      <c r="E693" s="8"/>
      <c r="F693" s="8"/>
      <c r="G693" s="6"/>
      <c r="H693" s="5"/>
      <c r="I693" s="5" t="n">
        <v>100</v>
      </c>
      <c r="J693" s="8"/>
      <c r="K693" s="8"/>
      <c r="L693" s="9"/>
      <c r="M693" s="7"/>
      <c r="N693" s="6"/>
      <c r="O693" s="8"/>
      <c r="P693" s="9"/>
      <c r="Q693" s="9"/>
      <c r="R693" s="7"/>
      <c r="S693" s="7"/>
      <c r="T693" s="10" t="str">
        <f aca="false">IF($C693="","",IFERROR(INDEX(Listas!$B$2:$B$20,MATCH($D693,Listas!$A$2:$A$20,0)),""))</f>
        <v/>
      </c>
      <c r="U693" s="10" t="str">
        <f aca="false">IF($C693="","",IFERROR(INDEX(Listas!$C$2:$C$20,MATCH($D693,Listas!$A$2:$A$20,0)),""))</f>
        <v/>
      </c>
      <c r="V693" s="10" t="str">
        <f aca="false">IF($C693="","",IFERROR(INDEX(Listas!$D$2:$D$20,MATCH($D693,Listas!$A$2:$A$20,0)),""))</f>
        <v/>
      </c>
      <c r="W693" s="11" t="str">
        <f aca="false">IF(OR($C693="",$B693="",$G693=""),"",$G693-$B693)</f>
        <v/>
      </c>
      <c r="X693" s="11" t="str">
        <f aca="true">IF(OR($C693="",$B693=""),"",IF($N693&lt;&gt;"",$N693,TODAY())-$B693)</f>
        <v/>
      </c>
      <c r="Y693" s="11" t="str">
        <f aca="true">IF(OR($C693="",$M693&lt;&gt;"Abierta",$G693=""),"",MAX($G693-TODAY(),0))</f>
        <v/>
      </c>
      <c r="Z693" s="12" t="str">
        <f aca="false">IF($C693="","",N($K693)*N($H693)*N($I693)*IF($U693="Débito",-1,1))</f>
        <v/>
      </c>
      <c r="AA693" s="13" t="str">
        <f aca="false">IF($C693="","",IF(AND($U693="Débito",$F693&lt;&gt;""),$F693,$E693))</f>
        <v/>
      </c>
      <c r="AB693" s="13" t="str">
        <f aca="false">IF(OR($C693="",$T693="Mixta",$AA693=""),"",IF($V693="Subyacente",IF($J693="","",$J693-$K693),IF($T693="Put",$AA693-$K693,$AA693+$K693)))</f>
        <v/>
      </c>
      <c r="AC693" s="14" t="str">
        <f aca="false">IF(OR($C693="",$T693="Mixta",$J693="",$AA693=""),"",IF($T693="Put",($J693-$AA693)/$J693,($AA693-$J693)/$J693))</f>
        <v/>
      </c>
      <c r="AD693" s="12" t="str">
        <f aca="false">IF($C693="","",IF($Q693&lt;&gt;"",$Q693,IF($V693="Strike",N($E693)*$H693*$I693,IF($V693="Subyacente",IF($J693="","",$J693*$H693*$I693),IF($V693="Ancho",IF($F693="","",ABS($E693-$F693)*$H693*$I693-$K693*$H693*$I693),IF($V693="Prima",$K693*$H693*$I693,""))))))</f>
        <v/>
      </c>
      <c r="AE693" s="12" t="str">
        <f aca="false">IF(OR($C693="",$M693="Abierta",$M693=""),"",(N($K693)-IF(OR($M693="Cerrada",$M693="Rolada"),N($O693),0))*$H693*$I693*IF($U693="Débito",-1,1)-N($L693)-N($P693))</f>
        <v/>
      </c>
      <c r="AF693" s="14" t="str">
        <f aca="false">IF(OR($AE693="",$AD693=""),"",IF($AD693&lt;=0,"",$AE693/$AD693))</f>
        <v/>
      </c>
      <c r="AG693" s="14" t="str">
        <f aca="false">IF($AF693="","",$AF693*365/MAX(N($X693),1))</f>
        <v/>
      </c>
      <c r="AH693" s="14" t="str">
        <f aca="false">IF(OR($C693="",$U693&lt;&gt;"Crédito",$AD693=""),"",IF($AD693&lt;=0,"",($Z693-N($L693))/$AD693))</f>
        <v/>
      </c>
      <c r="AI693" s="14" t="str">
        <f aca="false">IF(OR($AH693="",$W693=""),"",$AH693*365/MAX($W693,1))</f>
        <v/>
      </c>
      <c r="AJ693" s="14" t="str">
        <f aca="false">IF(OR($AE693="",$U693&lt;&gt;"Crédito",N($K693)=0),"",(N($K693)-IF(OR($M693="Cerrada",$M693="Rolada"),N($O693),0))/$K693)</f>
        <v/>
      </c>
      <c r="AK693" s="15" t="str">
        <f aca="false">IF(OR($C693="",$N693=""),"",DATE(YEAR($N693),MONTH($N693),1))</f>
        <v/>
      </c>
      <c r="AL693" s="11" t="str">
        <f aca="false">IF($C693="","",IF($M693="Abierta",0,1))</f>
        <v/>
      </c>
      <c r="AM693" s="16" t="str">
        <f aca="false">IF(OR($AE693="",$AD693=""),"",$AD693*MAX(N($X693),1))</f>
        <v/>
      </c>
      <c r="AN693" s="10" t="str">
        <f aca="false">IF($C693="","",IF(OR($B693="",$D693="",$H693="",$K693="",$M693=""),"Faltan datos obligatorios",IF($T693="","Estrategia no reconocida",IF(AND($M693&lt;&gt;"Abierta",$N693=""),"Falta fecha cierre",IF(AND(OR($M693="Cerrada",$M693="Rolada"),$O693=""),"Falta prima cierre",IF(AND($N693&lt;&gt;"",$N693&lt;$B693),"Cierre anterior a apertura",IF(AND($M693="Asignada",$R693=""),"Asignada: falta ID lote acciones",IF(AND($R693&lt;&gt;"",ISNA(MATCH($R693,Acciones!$A$2:$A$201,0))),"El ID lote no existe en Acciones",IF($AD693="","Revisa capital en riesgo","OK")))))))))</f>
        <v/>
      </c>
    </row>
    <row r="694" customFormat="false" ht="15" hidden="false" customHeight="true" outlineLevel="0" collapsed="false">
      <c r="A694" s="5"/>
      <c r="B694" s="6"/>
      <c r="C694" s="7"/>
      <c r="D694" s="7"/>
      <c r="E694" s="8"/>
      <c r="F694" s="8"/>
      <c r="G694" s="6"/>
      <c r="H694" s="5"/>
      <c r="I694" s="5" t="n">
        <v>100</v>
      </c>
      <c r="J694" s="8"/>
      <c r="K694" s="8"/>
      <c r="L694" s="9"/>
      <c r="M694" s="7"/>
      <c r="N694" s="6"/>
      <c r="O694" s="8"/>
      <c r="P694" s="9"/>
      <c r="Q694" s="9"/>
      <c r="R694" s="7"/>
      <c r="S694" s="7"/>
      <c r="T694" s="10" t="str">
        <f aca="false">IF($C694="","",IFERROR(INDEX(Listas!$B$2:$B$20,MATCH($D694,Listas!$A$2:$A$20,0)),""))</f>
        <v/>
      </c>
      <c r="U694" s="10" t="str">
        <f aca="false">IF($C694="","",IFERROR(INDEX(Listas!$C$2:$C$20,MATCH($D694,Listas!$A$2:$A$20,0)),""))</f>
        <v/>
      </c>
      <c r="V694" s="10" t="str">
        <f aca="false">IF($C694="","",IFERROR(INDEX(Listas!$D$2:$D$20,MATCH($D694,Listas!$A$2:$A$20,0)),""))</f>
        <v/>
      </c>
      <c r="W694" s="11" t="str">
        <f aca="false">IF(OR($C694="",$B694="",$G694=""),"",$G694-$B694)</f>
        <v/>
      </c>
      <c r="X694" s="11" t="str">
        <f aca="true">IF(OR($C694="",$B694=""),"",IF($N694&lt;&gt;"",$N694,TODAY())-$B694)</f>
        <v/>
      </c>
      <c r="Y694" s="11" t="str">
        <f aca="true">IF(OR($C694="",$M694&lt;&gt;"Abierta",$G694=""),"",MAX($G694-TODAY(),0))</f>
        <v/>
      </c>
      <c r="Z694" s="12" t="str">
        <f aca="false">IF($C694="","",N($K694)*N($H694)*N($I694)*IF($U694="Débito",-1,1))</f>
        <v/>
      </c>
      <c r="AA694" s="13" t="str">
        <f aca="false">IF($C694="","",IF(AND($U694="Débito",$F694&lt;&gt;""),$F694,$E694))</f>
        <v/>
      </c>
      <c r="AB694" s="13" t="str">
        <f aca="false">IF(OR($C694="",$T694="Mixta",$AA694=""),"",IF($V694="Subyacente",IF($J694="","",$J694-$K694),IF($T694="Put",$AA694-$K694,$AA694+$K694)))</f>
        <v/>
      </c>
      <c r="AC694" s="14" t="str">
        <f aca="false">IF(OR($C694="",$T694="Mixta",$J694="",$AA694=""),"",IF($T694="Put",($J694-$AA694)/$J694,($AA694-$J694)/$J694))</f>
        <v/>
      </c>
      <c r="AD694" s="12" t="str">
        <f aca="false">IF($C694="","",IF($Q694&lt;&gt;"",$Q694,IF($V694="Strike",N($E694)*$H694*$I694,IF($V694="Subyacente",IF($J694="","",$J694*$H694*$I694),IF($V694="Ancho",IF($F694="","",ABS($E694-$F694)*$H694*$I694-$K694*$H694*$I694),IF($V694="Prima",$K694*$H694*$I694,""))))))</f>
        <v/>
      </c>
      <c r="AE694" s="12" t="str">
        <f aca="false">IF(OR($C694="",$M694="Abierta",$M694=""),"",(N($K694)-IF(OR($M694="Cerrada",$M694="Rolada"),N($O694),0))*$H694*$I694*IF($U694="Débito",-1,1)-N($L694)-N($P694))</f>
        <v/>
      </c>
      <c r="AF694" s="14" t="str">
        <f aca="false">IF(OR($AE694="",$AD694=""),"",IF($AD694&lt;=0,"",$AE694/$AD694))</f>
        <v/>
      </c>
      <c r="AG694" s="14" t="str">
        <f aca="false">IF($AF694="","",$AF694*365/MAX(N($X694),1))</f>
        <v/>
      </c>
      <c r="AH694" s="14" t="str">
        <f aca="false">IF(OR($C694="",$U694&lt;&gt;"Crédito",$AD694=""),"",IF($AD694&lt;=0,"",($Z694-N($L694))/$AD694))</f>
        <v/>
      </c>
      <c r="AI694" s="14" t="str">
        <f aca="false">IF(OR($AH694="",$W694=""),"",$AH694*365/MAX($W694,1))</f>
        <v/>
      </c>
      <c r="AJ694" s="14" t="str">
        <f aca="false">IF(OR($AE694="",$U694&lt;&gt;"Crédito",N($K694)=0),"",(N($K694)-IF(OR($M694="Cerrada",$M694="Rolada"),N($O694),0))/$K694)</f>
        <v/>
      </c>
      <c r="AK694" s="15" t="str">
        <f aca="false">IF(OR($C694="",$N694=""),"",DATE(YEAR($N694),MONTH($N694),1))</f>
        <v/>
      </c>
      <c r="AL694" s="11" t="str">
        <f aca="false">IF($C694="","",IF($M694="Abierta",0,1))</f>
        <v/>
      </c>
      <c r="AM694" s="16" t="str">
        <f aca="false">IF(OR($AE694="",$AD694=""),"",$AD694*MAX(N($X694),1))</f>
        <v/>
      </c>
      <c r="AN694" s="10" t="str">
        <f aca="false">IF($C694="","",IF(OR($B694="",$D694="",$H694="",$K694="",$M694=""),"Faltan datos obligatorios",IF($T694="","Estrategia no reconocida",IF(AND($M694&lt;&gt;"Abierta",$N694=""),"Falta fecha cierre",IF(AND(OR($M694="Cerrada",$M694="Rolada"),$O694=""),"Falta prima cierre",IF(AND($N694&lt;&gt;"",$N694&lt;$B694),"Cierre anterior a apertura",IF(AND($M694="Asignada",$R694=""),"Asignada: falta ID lote acciones",IF(AND($R694&lt;&gt;"",ISNA(MATCH($R694,Acciones!$A$2:$A$201,0))),"El ID lote no existe en Acciones",IF($AD694="","Revisa capital en riesgo","OK")))))))))</f>
        <v/>
      </c>
    </row>
    <row r="695" customFormat="false" ht="15" hidden="false" customHeight="true" outlineLevel="0" collapsed="false">
      <c r="A695" s="5"/>
      <c r="B695" s="6"/>
      <c r="C695" s="7"/>
      <c r="D695" s="7"/>
      <c r="E695" s="8"/>
      <c r="F695" s="8"/>
      <c r="G695" s="6"/>
      <c r="H695" s="5"/>
      <c r="I695" s="5" t="n">
        <v>100</v>
      </c>
      <c r="J695" s="8"/>
      <c r="K695" s="8"/>
      <c r="L695" s="9"/>
      <c r="M695" s="7"/>
      <c r="N695" s="6"/>
      <c r="O695" s="8"/>
      <c r="P695" s="9"/>
      <c r="Q695" s="9"/>
      <c r="R695" s="7"/>
      <c r="S695" s="7"/>
      <c r="T695" s="10" t="str">
        <f aca="false">IF($C695="","",IFERROR(INDEX(Listas!$B$2:$B$20,MATCH($D695,Listas!$A$2:$A$20,0)),""))</f>
        <v/>
      </c>
      <c r="U695" s="10" t="str">
        <f aca="false">IF($C695="","",IFERROR(INDEX(Listas!$C$2:$C$20,MATCH($D695,Listas!$A$2:$A$20,0)),""))</f>
        <v/>
      </c>
      <c r="V695" s="10" t="str">
        <f aca="false">IF($C695="","",IFERROR(INDEX(Listas!$D$2:$D$20,MATCH($D695,Listas!$A$2:$A$20,0)),""))</f>
        <v/>
      </c>
      <c r="W695" s="11" t="str">
        <f aca="false">IF(OR($C695="",$B695="",$G695=""),"",$G695-$B695)</f>
        <v/>
      </c>
      <c r="X695" s="11" t="str">
        <f aca="true">IF(OR($C695="",$B695=""),"",IF($N695&lt;&gt;"",$N695,TODAY())-$B695)</f>
        <v/>
      </c>
      <c r="Y695" s="11" t="str">
        <f aca="true">IF(OR($C695="",$M695&lt;&gt;"Abierta",$G695=""),"",MAX($G695-TODAY(),0))</f>
        <v/>
      </c>
      <c r="Z695" s="12" t="str">
        <f aca="false">IF($C695="","",N($K695)*N($H695)*N($I695)*IF($U695="Débito",-1,1))</f>
        <v/>
      </c>
      <c r="AA695" s="13" t="str">
        <f aca="false">IF($C695="","",IF(AND($U695="Débito",$F695&lt;&gt;""),$F695,$E695))</f>
        <v/>
      </c>
      <c r="AB695" s="13" t="str">
        <f aca="false">IF(OR($C695="",$T695="Mixta",$AA695=""),"",IF($V695="Subyacente",IF($J695="","",$J695-$K695),IF($T695="Put",$AA695-$K695,$AA695+$K695)))</f>
        <v/>
      </c>
      <c r="AC695" s="14" t="str">
        <f aca="false">IF(OR($C695="",$T695="Mixta",$J695="",$AA695=""),"",IF($T695="Put",($J695-$AA695)/$J695,($AA695-$J695)/$J695))</f>
        <v/>
      </c>
      <c r="AD695" s="12" t="str">
        <f aca="false">IF($C695="","",IF($Q695&lt;&gt;"",$Q695,IF($V695="Strike",N($E695)*$H695*$I695,IF($V695="Subyacente",IF($J695="","",$J695*$H695*$I695),IF($V695="Ancho",IF($F695="","",ABS($E695-$F695)*$H695*$I695-$K695*$H695*$I695),IF($V695="Prima",$K695*$H695*$I695,""))))))</f>
        <v/>
      </c>
      <c r="AE695" s="12" t="str">
        <f aca="false">IF(OR($C695="",$M695="Abierta",$M695=""),"",(N($K695)-IF(OR($M695="Cerrada",$M695="Rolada"),N($O695),0))*$H695*$I695*IF($U695="Débito",-1,1)-N($L695)-N($P695))</f>
        <v/>
      </c>
      <c r="AF695" s="14" t="str">
        <f aca="false">IF(OR($AE695="",$AD695=""),"",IF($AD695&lt;=0,"",$AE695/$AD695))</f>
        <v/>
      </c>
      <c r="AG695" s="14" t="str">
        <f aca="false">IF($AF695="","",$AF695*365/MAX(N($X695),1))</f>
        <v/>
      </c>
      <c r="AH695" s="14" t="str">
        <f aca="false">IF(OR($C695="",$U695&lt;&gt;"Crédito",$AD695=""),"",IF($AD695&lt;=0,"",($Z695-N($L695))/$AD695))</f>
        <v/>
      </c>
      <c r="AI695" s="14" t="str">
        <f aca="false">IF(OR($AH695="",$W695=""),"",$AH695*365/MAX($W695,1))</f>
        <v/>
      </c>
      <c r="AJ695" s="14" t="str">
        <f aca="false">IF(OR($AE695="",$U695&lt;&gt;"Crédito",N($K695)=0),"",(N($K695)-IF(OR($M695="Cerrada",$M695="Rolada"),N($O695),0))/$K695)</f>
        <v/>
      </c>
      <c r="AK695" s="15" t="str">
        <f aca="false">IF(OR($C695="",$N695=""),"",DATE(YEAR($N695),MONTH($N695),1))</f>
        <v/>
      </c>
      <c r="AL695" s="11" t="str">
        <f aca="false">IF($C695="","",IF($M695="Abierta",0,1))</f>
        <v/>
      </c>
      <c r="AM695" s="16" t="str">
        <f aca="false">IF(OR($AE695="",$AD695=""),"",$AD695*MAX(N($X695),1))</f>
        <v/>
      </c>
      <c r="AN695" s="10" t="str">
        <f aca="false">IF($C695="","",IF(OR($B695="",$D695="",$H695="",$K695="",$M695=""),"Faltan datos obligatorios",IF($T695="","Estrategia no reconocida",IF(AND($M695&lt;&gt;"Abierta",$N695=""),"Falta fecha cierre",IF(AND(OR($M695="Cerrada",$M695="Rolada"),$O695=""),"Falta prima cierre",IF(AND($N695&lt;&gt;"",$N695&lt;$B695),"Cierre anterior a apertura",IF(AND($M695="Asignada",$R695=""),"Asignada: falta ID lote acciones",IF(AND($R695&lt;&gt;"",ISNA(MATCH($R695,Acciones!$A$2:$A$201,0))),"El ID lote no existe en Acciones",IF($AD695="","Revisa capital en riesgo","OK")))))))))</f>
        <v/>
      </c>
    </row>
    <row r="696" customFormat="false" ht="15" hidden="false" customHeight="true" outlineLevel="0" collapsed="false">
      <c r="A696" s="5"/>
      <c r="B696" s="6"/>
      <c r="C696" s="7"/>
      <c r="D696" s="7"/>
      <c r="E696" s="8"/>
      <c r="F696" s="8"/>
      <c r="G696" s="6"/>
      <c r="H696" s="5"/>
      <c r="I696" s="5" t="n">
        <v>100</v>
      </c>
      <c r="J696" s="8"/>
      <c r="K696" s="8"/>
      <c r="L696" s="9"/>
      <c r="M696" s="7"/>
      <c r="N696" s="6"/>
      <c r="O696" s="8"/>
      <c r="P696" s="9"/>
      <c r="Q696" s="9"/>
      <c r="R696" s="7"/>
      <c r="S696" s="7"/>
      <c r="T696" s="10" t="str">
        <f aca="false">IF($C696="","",IFERROR(INDEX(Listas!$B$2:$B$20,MATCH($D696,Listas!$A$2:$A$20,0)),""))</f>
        <v/>
      </c>
      <c r="U696" s="10" t="str">
        <f aca="false">IF($C696="","",IFERROR(INDEX(Listas!$C$2:$C$20,MATCH($D696,Listas!$A$2:$A$20,0)),""))</f>
        <v/>
      </c>
      <c r="V696" s="10" t="str">
        <f aca="false">IF($C696="","",IFERROR(INDEX(Listas!$D$2:$D$20,MATCH($D696,Listas!$A$2:$A$20,0)),""))</f>
        <v/>
      </c>
      <c r="W696" s="11" t="str">
        <f aca="false">IF(OR($C696="",$B696="",$G696=""),"",$G696-$B696)</f>
        <v/>
      </c>
      <c r="X696" s="11" t="str">
        <f aca="true">IF(OR($C696="",$B696=""),"",IF($N696&lt;&gt;"",$N696,TODAY())-$B696)</f>
        <v/>
      </c>
      <c r="Y696" s="11" t="str">
        <f aca="true">IF(OR($C696="",$M696&lt;&gt;"Abierta",$G696=""),"",MAX($G696-TODAY(),0))</f>
        <v/>
      </c>
      <c r="Z696" s="12" t="str">
        <f aca="false">IF($C696="","",N($K696)*N($H696)*N($I696)*IF($U696="Débito",-1,1))</f>
        <v/>
      </c>
      <c r="AA696" s="13" t="str">
        <f aca="false">IF($C696="","",IF(AND($U696="Débito",$F696&lt;&gt;""),$F696,$E696))</f>
        <v/>
      </c>
      <c r="AB696" s="13" t="str">
        <f aca="false">IF(OR($C696="",$T696="Mixta",$AA696=""),"",IF($V696="Subyacente",IF($J696="","",$J696-$K696),IF($T696="Put",$AA696-$K696,$AA696+$K696)))</f>
        <v/>
      </c>
      <c r="AC696" s="14" t="str">
        <f aca="false">IF(OR($C696="",$T696="Mixta",$J696="",$AA696=""),"",IF($T696="Put",($J696-$AA696)/$J696,($AA696-$J696)/$J696))</f>
        <v/>
      </c>
      <c r="AD696" s="12" t="str">
        <f aca="false">IF($C696="","",IF($Q696&lt;&gt;"",$Q696,IF($V696="Strike",N($E696)*$H696*$I696,IF($V696="Subyacente",IF($J696="","",$J696*$H696*$I696),IF($V696="Ancho",IF($F696="","",ABS($E696-$F696)*$H696*$I696-$K696*$H696*$I696),IF($V696="Prima",$K696*$H696*$I696,""))))))</f>
        <v/>
      </c>
      <c r="AE696" s="12" t="str">
        <f aca="false">IF(OR($C696="",$M696="Abierta",$M696=""),"",(N($K696)-IF(OR($M696="Cerrada",$M696="Rolada"),N($O696),0))*$H696*$I696*IF($U696="Débito",-1,1)-N($L696)-N($P696))</f>
        <v/>
      </c>
      <c r="AF696" s="14" t="str">
        <f aca="false">IF(OR($AE696="",$AD696=""),"",IF($AD696&lt;=0,"",$AE696/$AD696))</f>
        <v/>
      </c>
      <c r="AG696" s="14" t="str">
        <f aca="false">IF($AF696="","",$AF696*365/MAX(N($X696),1))</f>
        <v/>
      </c>
      <c r="AH696" s="14" t="str">
        <f aca="false">IF(OR($C696="",$U696&lt;&gt;"Crédito",$AD696=""),"",IF($AD696&lt;=0,"",($Z696-N($L696))/$AD696))</f>
        <v/>
      </c>
      <c r="AI696" s="14" t="str">
        <f aca="false">IF(OR($AH696="",$W696=""),"",$AH696*365/MAX($W696,1))</f>
        <v/>
      </c>
      <c r="AJ696" s="14" t="str">
        <f aca="false">IF(OR($AE696="",$U696&lt;&gt;"Crédito",N($K696)=0),"",(N($K696)-IF(OR($M696="Cerrada",$M696="Rolada"),N($O696),0))/$K696)</f>
        <v/>
      </c>
      <c r="AK696" s="15" t="str">
        <f aca="false">IF(OR($C696="",$N696=""),"",DATE(YEAR($N696),MONTH($N696),1))</f>
        <v/>
      </c>
      <c r="AL696" s="11" t="str">
        <f aca="false">IF($C696="","",IF($M696="Abierta",0,1))</f>
        <v/>
      </c>
      <c r="AM696" s="16" t="str">
        <f aca="false">IF(OR($AE696="",$AD696=""),"",$AD696*MAX(N($X696),1))</f>
        <v/>
      </c>
      <c r="AN696" s="10" t="str">
        <f aca="false">IF($C696="","",IF(OR($B696="",$D696="",$H696="",$K696="",$M696=""),"Faltan datos obligatorios",IF($T696="","Estrategia no reconocida",IF(AND($M696&lt;&gt;"Abierta",$N696=""),"Falta fecha cierre",IF(AND(OR($M696="Cerrada",$M696="Rolada"),$O696=""),"Falta prima cierre",IF(AND($N696&lt;&gt;"",$N696&lt;$B696),"Cierre anterior a apertura",IF(AND($M696="Asignada",$R696=""),"Asignada: falta ID lote acciones",IF(AND($R696&lt;&gt;"",ISNA(MATCH($R696,Acciones!$A$2:$A$201,0))),"El ID lote no existe en Acciones",IF($AD696="","Revisa capital en riesgo","OK")))))))))</f>
        <v/>
      </c>
    </row>
    <row r="697" customFormat="false" ht="15" hidden="false" customHeight="true" outlineLevel="0" collapsed="false">
      <c r="A697" s="5"/>
      <c r="B697" s="6"/>
      <c r="C697" s="7"/>
      <c r="D697" s="7"/>
      <c r="E697" s="8"/>
      <c r="F697" s="8"/>
      <c r="G697" s="6"/>
      <c r="H697" s="5"/>
      <c r="I697" s="5" t="n">
        <v>100</v>
      </c>
      <c r="J697" s="8"/>
      <c r="K697" s="8"/>
      <c r="L697" s="9"/>
      <c r="M697" s="7"/>
      <c r="N697" s="6"/>
      <c r="O697" s="8"/>
      <c r="P697" s="9"/>
      <c r="Q697" s="9"/>
      <c r="R697" s="7"/>
      <c r="S697" s="7"/>
      <c r="T697" s="10" t="str">
        <f aca="false">IF($C697="","",IFERROR(INDEX(Listas!$B$2:$B$20,MATCH($D697,Listas!$A$2:$A$20,0)),""))</f>
        <v/>
      </c>
      <c r="U697" s="10" t="str">
        <f aca="false">IF($C697="","",IFERROR(INDEX(Listas!$C$2:$C$20,MATCH($D697,Listas!$A$2:$A$20,0)),""))</f>
        <v/>
      </c>
      <c r="V697" s="10" t="str">
        <f aca="false">IF($C697="","",IFERROR(INDEX(Listas!$D$2:$D$20,MATCH($D697,Listas!$A$2:$A$20,0)),""))</f>
        <v/>
      </c>
      <c r="W697" s="11" t="str">
        <f aca="false">IF(OR($C697="",$B697="",$G697=""),"",$G697-$B697)</f>
        <v/>
      </c>
      <c r="X697" s="11" t="str">
        <f aca="true">IF(OR($C697="",$B697=""),"",IF($N697&lt;&gt;"",$N697,TODAY())-$B697)</f>
        <v/>
      </c>
      <c r="Y697" s="11" t="str">
        <f aca="true">IF(OR($C697="",$M697&lt;&gt;"Abierta",$G697=""),"",MAX($G697-TODAY(),0))</f>
        <v/>
      </c>
      <c r="Z697" s="12" t="str">
        <f aca="false">IF($C697="","",N($K697)*N($H697)*N($I697)*IF($U697="Débito",-1,1))</f>
        <v/>
      </c>
      <c r="AA697" s="13" t="str">
        <f aca="false">IF($C697="","",IF(AND($U697="Débito",$F697&lt;&gt;""),$F697,$E697))</f>
        <v/>
      </c>
      <c r="AB697" s="13" t="str">
        <f aca="false">IF(OR($C697="",$T697="Mixta",$AA697=""),"",IF($V697="Subyacente",IF($J697="","",$J697-$K697),IF($T697="Put",$AA697-$K697,$AA697+$K697)))</f>
        <v/>
      </c>
      <c r="AC697" s="14" t="str">
        <f aca="false">IF(OR($C697="",$T697="Mixta",$J697="",$AA697=""),"",IF($T697="Put",($J697-$AA697)/$J697,($AA697-$J697)/$J697))</f>
        <v/>
      </c>
      <c r="AD697" s="12" t="str">
        <f aca="false">IF($C697="","",IF($Q697&lt;&gt;"",$Q697,IF($V697="Strike",N($E697)*$H697*$I697,IF($V697="Subyacente",IF($J697="","",$J697*$H697*$I697),IF($V697="Ancho",IF($F697="","",ABS($E697-$F697)*$H697*$I697-$K697*$H697*$I697),IF($V697="Prima",$K697*$H697*$I697,""))))))</f>
        <v/>
      </c>
      <c r="AE697" s="12" t="str">
        <f aca="false">IF(OR($C697="",$M697="Abierta",$M697=""),"",(N($K697)-IF(OR($M697="Cerrada",$M697="Rolada"),N($O697),0))*$H697*$I697*IF($U697="Débito",-1,1)-N($L697)-N($P697))</f>
        <v/>
      </c>
      <c r="AF697" s="14" t="str">
        <f aca="false">IF(OR($AE697="",$AD697=""),"",IF($AD697&lt;=0,"",$AE697/$AD697))</f>
        <v/>
      </c>
      <c r="AG697" s="14" t="str">
        <f aca="false">IF($AF697="","",$AF697*365/MAX(N($X697),1))</f>
        <v/>
      </c>
      <c r="AH697" s="14" t="str">
        <f aca="false">IF(OR($C697="",$U697&lt;&gt;"Crédito",$AD697=""),"",IF($AD697&lt;=0,"",($Z697-N($L697))/$AD697))</f>
        <v/>
      </c>
      <c r="AI697" s="14" t="str">
        <f aca="false">IF(OR($AH697="",$W697=""),"",$AH697*365/MAX($W697,1))</f>
        <v/>
      </c>
      <c r="AJ697" s="14" t="str">
        <f aca="false">IF(OR($AE697="",$U697&lt;&gt;"Crédito",N($K697)=0),"",(N($K697)-IF(OR($M697="Cerrada",$M697="Rolada"),N($O697),0))/$K697)</f>
        <v/>
      </c>
      <c r="AK697" s="15" t="str">
        <f aca="false">IF(OR($C697="",$N697=""),"",DATE(YEAR($N697),MONTH($N697),1))</f>
        <v/>
      </c>
      <c r="AL697" s="11" t="str">
        <f aca="false">IF($C697="","",IF($M697="Abierta",0,1))</f>
        <v/>
      </c>
      <c r="AM697" s="16" t="str">
        <f aca="false">IF(OR($AE697="",$AD697=""),"",$AD697*MAX(N($X697),1))</f>
        <v/>
      </c>
      <c r="AN697" s="10" t="str">
        <f aca="false">IF($C697="","",IF(OR($B697="",$D697="",$H697="",$K697="",$M697=""),"Faltan datos obligatorios",IF($T697="","Estrategia no reconocida",IF(AND($M697&lt;&gt;"Abierta",$N697=""),"Falta fecha cierre",IF(AND(OR($M697="Cerrada",$M697="Rolada"),$O697=""),"Falta prima cierre",IF(AND($N697&lt;&gt;"",$N697&lt;$B697),"Cierre anterior a apertura",IF(AND($M697="Asignada",$R697=""),"Asignada: falta ID lote acciones",IF(AND($R697&lt;&gt;"",ISNA(MATCH($R697,Acciones!$A$2:$A$201,0))),"El ID lote no existe en Acciones",IF($AD697="","Revisa capital en riesgo","OK")))))))))</f>
        <v/>
      </c>
    </row>
    <row r="698" customFormat="false" ht="15" hidden="false" customHeight="true" outlineLevel="0" collapsed="false">
      <c r="A698" s="5"/>
      <c r="B698" s="6"/>
      <c r="C698" s="7"/>
      <c r="D698" s="7"/>
      <c r="E698" s="8"/>
      <c r="F698" s="8"/>
      <c r="G698" s="6"/>
      <c r="H698" s="5"/>
      <c r="I698" s="5" t="n">
        <v>100</v>
      </c>
      <c r="J698" s="8"/>
      <c r="K698" s="8"/>
      <c r="L698" s="9"/>
      <c r="M698" s="7"/>
      <c r="N698" s="6"/>
      <c r="O698" s="8"/>
      <c r="P698" s="9"/>
      <c r="Q698" s="9"/>
      <c r="R698" s="7"/>
      <c r="S698" s="7"/>
      <c r="T698" s="10" t="str">
        <f aca="false">IF($C698="","",IFERROR(INDEX(Listas!$B$2:$B$20,MATCH($D698,Listas!$A$2:$A$20,0)),""))</f>
        <v/>
      </c>
      <c r="U698" s="10" t="str">
        <f aca="false">IF($C698="","",IFERROR(INDEX(Listas!$C$2:$C$20,MATCH($D698,Listas!$A$2:$A$20,0)),""))</f>
        <v/>
      </c>
      <c r="V698" s="10" t="str">
        <f aca="false">IF($C698="","",IFERROR(INDEX(Listas!$D$2:$D$20,MATCH($D698,Listas!$A$2:$A$20,0)),""))</f>
        <v/>
      </c>
      <c r="W698" s="11" t="str">
        <f aca="false">IF(OR($C698="",$B698="",$G698=""),"",$G698-$B698)</f>
        <v/>
      </c>
      <c r="X698" s="11" t="str">
        <f aca="true">IF(OR($C698="",$B698=""),"",IF($N698&lt;&gt;"",$N698,TODAY())-$B698)</f>
        <v/>
      </c>
      <c r="Y698" s="11" t="str">
        <f aca="true">IF(OR($C698="",$M698&lt;&gt;"Abierta",$G698=""),"",MAX($G698-TODAY(),0))</f>
        <v/>
      </c>
      <c r="Z698" s="12" t="str">
        <f aca="false">IF($C698="","",N($K698)*N($H698)*N($I698)*IF($U698="Débito",-1,1))</f>
        <v/>
      </c>
      <c r="AA698" s="13" t="str">
        <f aca="false">IF($C698="","",IF(AND($U698="Débito",$F698&lt;&gt;""),$F698,$E698))</f>
        <v/>
      </c>
      <c r="AB698" s="13" t="str">
        <f aca="false">IF(OR($C698="",$T698="Mixta",$AA698=""),"",IF($V698="Subyacente",IF($J698="","",$J698-$K698),IF($T698="Put",$AA698-$K698,$AA698+$K698)))</f>
        <v/>
      </c>
      <c r="AC698" s="14" t="str">
        <f aca="false">IF(OR($C698="",$T698="Mixta",$J698="",$AA698=""),"",IF($T698="Put",($J698-$AA698)/$J698,($AA698-$J698)/$J698))</f>
        <v/>
      </c>
      <c r="AD698" s="12" t="str">
        <f aca="false">IF($C698="","",IF($Q698&lt;&gt;"",$Q698,IF($V698="Strike",N($E698)*$H698*$I698,IF($V698="Subyacente",IF($J698="","",$J698*$H698*$I698),IF($V698="Ancho",IF($F698="","",ABS($E698-$F698)*$H698*$I698-$K698*$H698*$I698),IF($V698="Prima",$K698*$H698*$I698,""))))))</f>
        <v/>
      </c>
      <c r="AE698" s="12" t="str">
        <f aca="false">IF(OR($C698="",$M698="Abierta",$M698=""),"",(N($K698)-IF(OR($M698="Cerrada",$M698="Rolada"),N($O698),0))*$H698*$I698*IF($U698="Débito",-1,1)-N($L698)-N($P698))</f>
        <v/>
      </c>
      <c r="AF698" s="14" t="str">
        <f aca="false">IF(OR($AE698="",$AD698=""),"",IF($AD698&lt;=0,"",$AE698/$AD698))</f>
        <v/>
      </c>
      <c r="AG698" s="14" t="str">
        <f aca="false">IF($AF698="","",$AF698*365/MAX(N($X698),1))</f>
        <v/>
      </c>
      <c r="AH698" s="14" t="str">
        <f aca="false">IF(OR($C698="",$U698&lt;&gt;"Crédito",$AD698=""),"",IF($AD698&lt;=0,"",($Z698-N($L698))/$AD698))</f>
        <v/>
      </c>
      <c r="AI698" s="14" t="str">
        <f aca="false">IF(OR($AH698="",$W698=""),"",$AH698*365/MAX($W698,1))</f>
        <v/>
      </c>
      <c r="AJ698" s="14" t="str">
        <f aca="false">IF(OR($AE698="",$U698&lt;&gt;"Crédito",N($K698)=0),"",(N($K698)-IF(OR($M698="Cerrada",$M698="Rolada"),N($O698),0))/$K698)</f>
        <v/>
      </c>
      <c r="AK698" s="15" t="str">
        <f aca="false">IF(OR($C698="",$N698=""),"",DATE(YEAR($N698),MONTH($N698),1))</f>
        <v/>
      </c>
      <c r="AL698" s="11" t="str">
        <f aca="false">IF($C698="","",IF($M698="Abierta",0,1))</f>
        <v/>
      </c>
      <c r="AM698" s="16" t="str">
        <f aca="false">IF(OR($AE698="",$AD698=""),"",$AD698*MAX(N($X698),1))</f>
        <v/>
      </c>
      <c r="AN698" s="10" t="str">
        <f aca="false">IF($C698="","",IF(OR($B698="",$D698="",$H698="",$K698="",$M698=""),"Faltan datos obligatorios",IF($T698="","Estrategia no reconocida",IF(AND($M698&lt;&gt;"Abierta",$N698=""),"Falta fecha cierre",IF(AND(OR($M698="Cerrada",$M698="Rolada"),$O698=""),"Falta prima cierre",IF(AND($N698&lt;&gt;"",$N698&lt;$B698),"Cierre anterior a apertura",IF(AND($M698="Asignada",$R698=""),"Asignada: falta ID lote acciones",IF(AND($R698&lt;&gt;"",ISNA(MATCH($R698,Acciones!$A$2:$A$201,0))),"El ID lote no existe en Acciones",IF($AD698="","Revisa capital en riesgo","OK")))))))))</f>
        <v/>
      </c>
    </row>
    <row r="699" customFormat="false" ht="15" hidden="false" customHeight="true" outlineLevel="0" collapsed="false">
      <c r="A699" s="5"/>
      <c r="B699" s="6"/>
      <c r="C699" s="7"/>
      <c r="D699" s="7"/>
      <c r="E699" s="8"/>
      <c r="F699" s="8"/>
      <c r="G699" s="6"/>
      <c r="H699" s="5"/>
      <c r="I699" s="5" t="n">
        <v>100</v>
      </c>
      <c r="J699" s="8"/>
      <c r="K699" s="8"/>
      <c r="L699" s="9"/>
      <c r="M699" s="7"/>
      <c r="N699" s="6"/>
      <c r="O699" s="8"/>
      <c r="P699" s="9"/>
      <c r="Q699" s="9"/>
      <c r="R699" s="7"/>
      <c r="S699" s="7"/>
      <c r="T699" s="10" t="str">
        <f aca="false">IF($C699="","",IFERROR(INDEX(Listas!$B$2:$B$20,MATCH($D699,Listas!$A$2:$A$20,0)),""))</f>
        <v/>
      </c>
      <c r="U699" s="10" t="str">
        <f aca="false">IF($C699="","",IFERROR(INDEX(Listas!$C$2:$C$20,MATCH($D699,Listas!$A$2:$A$20,0)),""))</f>
        <v/>
      </c>
      <c r="V699" s="10" t="str">
        <f aca="false">IF($C699="","",IFERROR(INDEX(Listas!$D$2:$D$20,MATCH($D699,Listas!$A$2:$A$20,0)),""))</f>
        <v/>
      </c>
      <c r="W699" s="11" t="str">
        <f aca="false">IF(OR($C699="",$B699="",$G699=""),"",$G699-$B699)</f>
        <v/>
      </c>
      <c r="X699" s="11" t="str">
        <f aca="true">IF(OR($C699="",$B699=""),"",IF($N699&lt;&gt;"",$N699,TODAY())-$B699)</f>
        <v/>
      </c>
      <c r="Y699" s="11" t="str">
        <f aca="true">IF(OR($C699="",$M699&lt;&gt;"Abierta",$G699=""),"",MAX($G699-TODAY(),0))</f>
        <v/>
      </c>
      <c r="Z699" s="12" t="str">
        <f aca="false">IF($C699="","",N($K699)*N($H699)*N($I699)*IF($U699="Débito",-1,1))</f>
        <v/>
      </c>
      <c r="AA699" s="13" t="str">
        <f aca="false">IF($C699="","",IF(AND($U699="Débito",$F699&lt;&gt;""),$F699,$E699))</f>
        <v/>
      </c>
      <c r="AB699" s="13" t="str">
        <f aca="false">IF(OR($C699="",$T699="Mixta",$AA699=""),"",IF($V699="Subyacente",IF($J699="","",$J699-$K699),IF($T699="Put",$AA699-$K699,$AA699+$K699)))</f>
        <v/>
      </c>
      <c r="AC699" s="14" t="str">
        <f aca="false">IF(OR($C699="",$T699="Mixta",$J699="",$AA699=""),"",IF($T699="Put",($J699-$AA699)/$J699,($AA699-$J699)/$J699))</f>
        <v/>
      </c>
      <c r="AD699" s="12" t="str">
        <f aca="false">IF($C699="","",IF($Q699&lt;&gt;"",$Q699,IF($V699="Strike",N($E699)*$H699*$I699,IF($V699="Subyacente",IF($J699="","",$J699*$H699*$I699),IF($V699="Ancho",IF($F699="","",ABS($E699-$F699)*$H699*$I699-$K699*$H699*$I699),IF($V699="Prima",$K699*$H699*$I699,""))))))</f>
        <v/>
      </c>
      <c r="AE699" s="12" t="str">
        <f aca="false">IF(OR($C699="",$M699="Abierta",$M699=""),"",(N($K699)-IF(OR($M699="Cerrada",$M699="Rolada"),N($O699),0))*$H699*$I699*IF($U699="Débito",-1,1)-N($L699)-N($P699))</f>
        <v/>
      </c>
      <c r="AF699" s="14" t="str">
        <f aca="false">IF(OR($AE699="",$AD699=""),"",IF($AD699&lt;=0,"",$AE699/$AD699))</f>
        <v/>
      </c>
      <c r="AG699" s="14" t="str">
        <f aca="false">IF($AF699="","",$AF699*365/MAX(N($X699),1))</f>
        <v/>
      </c>
      <c r="AH699" s="14" t="str">
        <f aca="false">IF(OR($C699="",$U699&lt;&gt;"Crédito",$AD699=""),"",IF($AD699&lt;=0,"",($Z699-N($L699))/$AD699))</f>
        <v/>
      </c>
      <c r="AI699" s="14" t="str">
        <f aca="false">IF(OR($AH699="",$W699=""),"",$AH699*365/MAX($W699,1))</f>
        <v/>
      </c>
      <c r="AJ699" s="14" t="str">
        <f aca="false">IF(OR($AE699="",$U699&lt;&gt;"Crédito",N($K699)=0),"",(N($K699)-IF(OR($M699="Cerrada",$M699="Rolada"),N($O699),0))/$K699)</f>
        <v/>
      </c>
      <c r="AK699" s="15" t="str">
        <f aca="false">IF(OR($C699="",$N699=""),"",DATE(YEAR($N699),MONTH($N699),1))</f>
        <v/>
      </c>
      <c r="AL699" s="11" t="str">
        <f aca="false">IF($C699="","",IF($M699="Abierta",0,1))</f>
        <v/>
      </c>
      <c r="AM699" s="16" t="str">
        <f aca="false">IF(OR($AE699="",$AD699=""),"",$AD699*MAX(N($X699),1))</f>
        <v/>
      </c>
      <c r="AN699" s="10" t="str">
        <f aca="false">IF($C699="","",IF(OR($B699="",$D699="",$H699="",$K699="",$M699=""),"Faltan datos obligatorios",IF($T699="","Estrategia no reconocida",IF(AND($M699&lt;&gt;"Abierta",$N699=""),"Falta fecha cierre",IF(AND(OR($M699="Cerrada",$M699="Rolada"),$O699=""),"Falta prima cierre",IF(AND($N699&lt;&gt;"",$N699&lt;$B699),"Cierre anterior a apertura",IF(AND($M699="Asignada",$R699=""),"Asignada: falta ID lote acciones",IF(AND($R699&lt;&gt;"",ISNA(MATCH($R699,Acciones!$A$2:$A$201,0))),"El ID lote no existe en Acciones",IF($AD699="","Revisa capital en riesgo","OK")))))))))</f>
        <v/>
      </c>
    </row>
    <row r="700" customFormat="false" ht="15" hidden="false" customHeight="true" outlineLevel="0" collapsed="false">
      <c r="A700" s="5"/>
      <c r="B700" s="6"/>
      <c r="C700" s="7"/>
      <c r="D700" s="7"/>
      <c r="E700" s="8"/>
      <c r="F700" s="8"/>
      <c r="G700" s="6"/>
      <c r="H700" s="5"/>
      <c r="I700" s="5" t="n">
        <v>100</v>
      </c>
      <c r="J700" s="8"/>
      <c r="K700" s="8"/>
      <c r="L700" s="9"/>
      <c r="M700" s="7"/>
      <c r="N700" s="6"/>
      <c r="O700" s="8"/>
      <c r="P700" s="9"/>
      <c r="Q700" s="9"/>
      <c r="R700" s="7"/>
      <c r="S700" s="7"/>
      <c r="T700" s="10" t="str">
        <f aca="false">IF($C700="","",IFERROR(INDEX(Listas!$B$2:$B$20,MATCH($D700,Listas!$A$2:$A$20,0)),""))</f>
        <v/>
      </c>
      <c r="U700" s="10" t="str">
        <f aca="false">IF($C700="","",IFERROR(INDEX(Listas!$C$2:$C$20,MATCH($D700,Listas!$A$2:$A$20,0)),""))</f>
        <v/>
      </c>
      <c r="V700" s="10" t="str">
        <f aca="false">IF($C700="","",IFERROR(INDEX(Listas!$D$2:$D$20,MATCH($D700,Listas!$A$2:$A$20,0)),""))</f>
        <v/>
      </c>
      <c r="W700" s="11" t="str">
        <f aca="false">IF(OR($C700="",$B700="",$G700=""),"",$G700-$B700)</f>
        <v/>
      </c>
      <c r="X700" s="11" t="str">
        <f aca="true">IF(OR($C700="",$B700=""),"",IF($N700&lt;&gt;"",$N700,TODAY())-$B700)</f>
        <v/>
      </c>
      <c r="Y700" s="11" t="str">
        <f aca="true">IF(OR($C700="",$M700&lt;&gt;"Abierta",$G700=""),"",MAX($G700-TODAY(),0))</f>
        <v/>
      </c>
      <c r="Z700" s="12" t="str">
        <f aca="false">IF($C700="","",N($K700)*N($H700)*N($I700)*IF($U700="Débito",-1,1))</f>
        <v/>
      </c>
      <c r="AA700" s="13" t="str">
        <f aca="false">IF($C700="","",IF(AND($U700="Débito",$F700&lt;&gt;""),$F700,$E700))</f>
        <v/>
      </c>
      <c r="AB700" s="13" t="str">
        <f aca="false">IF(OR($C700="",$T700="Mixta",$AA700=""),"",IF($V700="Subyacente",IF($J700="","",$J700-$K700),IF($T700="Put",$AA700-$K700,$AA700+$K700)))</f>
        <v/>
      </c>
      <c r="AC700" s="14" t="str">
        <f aca="false">IF(OR($C700="",$T700="Mixta",$J700="",$AA700=""),"",IF($T700="Put",($J700-$AA700)/$J700,($AA700-$J700)/$J700))</f>
        <v/>
      </c>
      <c r="AD700" s="12" t="str">
        <f aca="false">IF($C700="","",IF($Q700&lt;&gt;"",$Q700,IF($V700="Strike",N($E700)*$H700*$I700,IF($V700="Subyacente",IF($J700="","",$J700*$H700*$I700),IF($V700="Ancho",IF($F700="","",ABS($E700-$F700)*$H700*$I700-$K700*$H700*$I700),IF($V700="Prima",$K700*$H700*$I700,""))))))</f>
        <v/>
      </c>
      <c r="AE700" s="12" t="str">
        <f aca="false">IF(OR($C700="",$M700="Abierta",$M700=""),"",(N($K700)-IF(OR($M700="Cerrada",$M700="Rolada"),N($O700),0))*$H700*$I700*IF($U700="Débito",-1,1)-N($L700)-N($P700))</f>
        <v/>
      </c>
      <c r="AF700" s="14" t="str">
        <f aca="false">IF(OR($AE700="",$AD700=""),"",IF($AD700&lt;=0,"",$AE700/$AD700))</f>
        <v/>
      </c>
      <c r="AG700" s="14" t="str">
        <f aca="false">IF($AF700="","",$AF700*365/MAX(N($X700),1))</f>
        <v/>
      </c>
      <c r="AH700" s="14" t="str">
        <f aca="false">IF(OR($C700="",$U700&lt;&gt;"Crédito",$AD700=""),"",IF($AD700&lt;=0,"",($Z700-N($L700))/$AD700))</f>
        <v/>
      </c>
      <c r="AI700" s="14" t="str">
        <f aca="false">IF(OR($AH700="",$W700=""),"",$AH700*365/MAX($W700,1))</f>
        <v/>
      </c>
      <c r="AJ700" s="14" t="str">
        <f aca="false">IF(OR($AE700="",$U700&lt;&gt;"Crédito",N($K700)=0),"",(N($K700)-IF(OR($M700="Cerrada",$M700="Rolada"),N($O700),0))/$K700)</f>
        <v/>
      </c>
      <c r="AK700" s="15" t="str">
        <f aca="false">IF(OR($C700="",$N700=""),"",DATE(YEAR($N700),MONTH($N700),1))</f>
        <v/>
      </c>
      <c r="AL700" s="11" t="str">
        <f aca="false">IF($C700="","",IF($M700="Abierta",0,1))</f>
        <v/>
      </c>
      <c r="AM700" s="16" t="str">
        <f aca="false">IF(OR($AE700="",$AD700=""),"",$AD700*MAX(N($X700),1))</f>
        <v/>
      </c>
      <c r="AN700" s="10" t="str">
        <f aca="false">IF($C700="","",IF(OR($B700="",$D700="",$H700="",$K700="",$M700=""),"Faltan datos obligatorios",IF($T700="","Estrategia no reconocida",IF(AND($M700&lt;&gt;"Abierta",$N700=""),"Falta fecha cierre",IF(AND(OR($M700="Cerrada",$M700="Rolada"),$O700=""),"Falta prima cierre",IF(AND($N700&lt;&gt;"",$N700&lt;$B700),"Cierre anterior a apertura",IF(AND($M700="Asignada",$R700=""),"Asignada: falta ID lote acciones",IF(AND($R700&lt;&gt;"",ISNA(MATCH($R700,Acciones!$A$2:$A$201,0))),"El ID lote no existe en Acciones",IF($AD700="","Revisa capital en riesgo","OK")))))))))</f>
        <v/>
      </c>
    </row>
    <row r="701" customFormat="false" ht="15" hidden="false" customHeight="true" outlineLevel="0" collapsed="false">
      <c r="A701" s="5"/>
      <c r="B701" s="6"/>
      <c r="C701" s="7"/>
      <c r="D701" s="7"/>
      <c r="E701" s="8"/>
      <c r="F701" s="8"/>
      <c r="G701" s="6"/>
      <c r="H701" s="5"/>
      <c r="I701" s="5" t="n">
        <v>100</v>
      </c>
      <c r="J701" s="8"/>
      <c r="K701" s="8"/>
      <c r="L701" s="9"/>
      <c r="M701" s="7"/>
      <c r="N701" s="6"/>
      <c r="O701" s="8"/>
      <c r="P701" s="9"/>
      <c r="Q701" s="9"/>
      <c r="R701" s="7"/>
      <c r="S701" s="7"/>
      <c r="T701" s="10" t="str">
        <f aca="false">IF($C701="","",IFERROR(INDEX(Listas!$B$2:$B$20,MATCH($D701,Listas!$A$2:$A$20,0)),""))</f>
        <v/>
      </c>
      <c r="U701" s="10" t="str">
        <f aca="false">IF($C701="","",IFERROR(INDEX(Listas!$C$2:$C$20,MATCH($D701,Listas!$A$2:$A$20,0)),""))</f>
        <v/>
      </c>
      <c r="V701" s="10" t="str">
        <f aca="false">IF($C701="","",IFERROR(INDEX(Listas!$D$2:$D$20,MATCH($D701,Listas!$A$2:$A$20,0)),""))</f>
        <v/>
      </c>
      <c r="W701" s="11" t="str">
        <f aca="false">IF(OR($C701="",$B701="",$G701=""),"",$G701-$B701)</f>
        <v/>
      </c>
      <c r="X701" s="11" t="str">
        <f aca="true">IF(OR($C701="",$B701=""),"",IF($N701&lt;&gt;"",$N701,TODAY())-$B701)</f>
        <v/>
      </c>
      <c r="Y701" s="11" t="str">
        <f aca="true">IF(OR($C701="",$M701&lt;&gt;"Abierta",$G701=""),"",MAX($G701-TODAY(),0))</f>
        <v/>
      </c>
      <c r="Z701" s="12" t="str">
        <f aca="false">IF($C701="","",N($K701)*N($H701)*N($I701)*IF($U701="Débito",-1,1))</f>
        <v/>
      </c>
      <c r="AA701" s="13" t="str">
        <f aca="false">IF($C701="","",IF(AND($U701="Débito",$F701&lt;&gt;""),$F701,$E701))</f>
        <v/>
      </c>
      <c r="AB701" s="13" t="str">
        <f aca="false">IF(OR($C701="",$T701="Mixta",$AA701=""),"",IF($V701="Subyacente",IF($J701="","",$J701-$K701),IF($T701="Put",$AA701-$K701,$AA701+$K701)))</f>
        <v/>
      </c>
      <c r="AC701" s="14" t="str">
        <f aca="false">IF(OR($C701="",$T701="Mixta",$J701="",$AA701=""),"",IF($T701="Put",($J701-$AA701)/$J701,($AA701-$J701)/$J701))</f>
        <v/>
      </c>
      <c r="AD701" s="12" t="str">
        <f aca="false">IF($C701="","",IF($Q701&lt;&gt;"",$Q701,IF($V701="Strike",N($E701)*$H701*$I701,IF($V701="Subyacente",IF($J701="","",$J701*$H701*$I701),IF($V701="Ancho",IF($F701="","",ABS($E701-$F701)*$H701*$I701-$K701*$H701*$I701),IF($V701="Prima",$K701*$H701*$I701,""))))))</f>
        <v/>
      </c>
      <c r="AE701" s="12" t="str">
        <f aca="false">IF(OR($C701="",$M701="Abierta",$M701=""),"",(N($K701)-IF(OR($M701="Cerrada",$M701="Rolada"),N($O701),0))*$H701*$I701*IF($U701="Débito",-1,1)-N($L701)-N($P701))</f>
        <v/>
      </c>
      <c r="AF701" s="14" t="str">
        <f aca="false">IF(OR($AE701="",$AD701=""),"",IF($AD701&lt;=0,"",$AE701/$AD701))</f>
        <v/>
      </c>
      <c r="AG701" s="14" t="str">
        <f aca="false">IF($AF701="","",$AF701*365/MAX(N($X701),1))</f>
        <v/>
      </c>
      <c r="AH701" s="14" t="str">
        <f aca="false">IF(OR($C701="",$U701&lt;&gt;"Crédito",$AD701=""),"",IF($AD701&lt;=0,"",($Z701-N($L701))/$AD701))</f>
        <v/>
      </c>
      <c r="AI701" s="14" t="str">
        <f aca="false">IF(OR($AH701="",$W701=""),"",$AH701*365/MAX($W701,1))</f>
        <v/>
      </c>
      <c r="AJ701" s="14" t="str">
        <f aca="false">IF(OR($AE701="",$U701&lt;&gt;"Crédito",N($K701)=0),"",(N($K701)-IF(OR($M701="Cerrada",$M701="Rolada"),N($O701),0))/$K701)</f>
        <v/>
      </c>
      <c r="AK701" s="15" t="str">
        <f aca="false">IF(OR($C701="",$N701=""),"",DATE(YEAR($N701),MONTH($N701),1))</f>
        <v/>
      </c>
      <c r="AL701" s="11" t="str">
        <f aca="false">IF($C701="","",IF($M701="Abierta",0,1))</f>
        <v/>
      </c>
      <c r="AM701" s="16" t="str">
        <f aca="false">IF(OR($AE701="",$AD701=""),"",$AD701*MAX(N($X701),1))</f>
        <v/>
      </c>
      <c r="AN701" s="10" t="str">
        <f aca="false">IF($C701="","",IF(OR($B701="",$D701="",$H701="",$K701="",$M701=""),"Faltan datos obligatorios",IF($T701="","Estrategia no reconocida",IF(AND($M701&lt;&gt;"Abierta",$N701=""),"Falta fecha cierre",IF(AND(OR($M701="Cerrada",$M701="Rolada"),$O701=""),"Falta prima cierre",IF(AND($N701&lt;&gt;"",$N701&lt;$B701),"Cierre anterior a apertura",IF(AND($M701="Asignada",$R701=""),"Asignada: falta ID lote acciones",IF(AND($R701&lt;&gt;"",ISNA(MATCH($R701,Acciones!$A$2:$A$201,0))),"El ID lote no existe en Acciones",IF($AD701="","Revisa capital en riesgo","OK")))))))))</f>
        <v/>
      </c>
    </row>
    <row r="702" customFormat="false" ht="15" hidden="false" customHeight="true" outlineLevel="0" collapsed="false">
      <c r="A702" s="5"/>
      <c r="B702" s="6"/>
      <c r="C702" s="7"/>
      <c r="D702" s="7"/>
      <c r="E702" s="8"/>
      <c r="F702" s="8"/>
      <c r="G702" s="6"/>
      <c r="H702" s="5"/>
      <c r="I702" s="5" t="n">
        <v>100</v>
      </c>
      <c r="J702" s="8"/>
      <c r="K702" s="8"/>
      <c r="L702" s="9"/>
      <c r="M702" s="7"/>
      <c r="N702" s="6"/>
      <c r="O702" s="8"/>
      <c r="P702" s="9"/>
      <c r="Q702" s="9"/>
      <c r="R702" s="7"/>
      <c r="S702" s="7"/>
      <c r="T702" s="10" t="str">
        <f aca="false">IF($C702="","",IFERROR(INDEX(Listas!$B$2:$B$20,MATCH($D702,Listas!$A$2:$A$20,0)),""))</f>
        <v/>
      </c>
      <c r="U702" s="10" t="str">
        <f aca="false">IF($C702="","",IFERROR(INDEX(Listas!$C$2:$C$20,MATCH($D702,Listas!$A$2:$A$20,0)),""))</f>
        <v/>
      </c>
      <c r="V702" s="10" t="str">
        <f aca="false">IF($C702="","",IFERROR(INDEX(Listas!$D$2:$D$20,MATCH($D702,Listas!$A$2:$A$20,0)),""))</f>
        <v/>
      </c>
      <c r="W702" s="11" t="str">
        <f aca="false">IF(OR($C702="",$B702="",$G702=""),"",$G702-$B702)</f>
        <v/>
      </c>
      <c r="X702" s="11" t="str">
        <f aca="true">IF(OR($C702="",$B702=""),"",IF($N702&lt;&gt;"",$N702,TODAY())-$B702)</f>
        <v/>
      </c>
      <c r="Y702" s="11" t="str">
        <f aca="true">IF(OR($C702="",$M702&lt;&gt;"Abierta",$G702=""),"",MAX($G702-TODAY(),0))</f>
        <v/>
      </c>
      <c r="Z702" s="12" t="str">
        <f aca="false">IF($C702="","",N($K702)*N($H702)*N($I702)*IF($U702="Débito",-1,1))</f>
        <v/>
      </c>
      <c r="AA702" s="13" t="str">
        <f aca="false">IF($C702="","",IF(AND($U702="Débito",$F702&lt;&gt;""),$F702,$E702))</f>
        <v/>
      </c>
      <c r="AB702" s="13" t="str">
        <f aca="false">IF(OR($C702="",$T702="Mixta",$AA702=""),"",IF($V702="Subyacente",IF($J702="","",$J702-$K702),IF($T702="Put",$AA702-$K702,$AA702+$K702)))</f>
        <v/>
      </c>
      <c r="AC702" s="14" t="str">
        <f aca="false">IF(OR($C702="",$T702="Mixta",$J702="",$AA702=""),"",IF($T702="Put",($J702-$AA702)/$J702,($AA702-$J702)/$J702))</f>
        <v/>
      </c>
      <c r="AD702" s="12" t="str">
        <f aca="false">IF($C702="","",IF($Q702&lt;&gt;"",$Q702,IF($V702="Strike",N($E702)*$H702*$I702,IF($V702="Subyacente",IF($J702="","",$J702*$H702*$I702),IF($V702="Ancho",IF($F702="","",ABS($E702-$F702)*$H702*$I702-$K702*$H702*$I702),IF($V702="Prima",$K702*$H702*$I702,""))))))</f>
        <v/>
      </c>
      <c r="AE702" s="12" t="str">
        <f aca="false">IF(OR($C702="",$M702="Abierta",$M702=""),"",(N($K702)-IF(OR($M702="Cerrada",$M702="Rolada"),N($O702),0))*$H702*$I702*IF($U702="Débito",-1,1)-N($L702)-N($P702))</f>
        <v/>
      </c>
      <c r="AF702" s="14" t="str">
        <f aca="false">IF(OR($AE702="",$AD702=""),"",IF($AD702&lt;=0,"",$AE702/$AD702))</f>
        <v/>
      </c>
      <c r="AG702" s="14" t="str">
        <f aca="false">IF($AF702="","",$AF702*365/MAX(N($X702),1))</f>
        <v/>
      </c>
      <c r="AH702" s="14" t="str">
        <f aca="false">IF(OR($C702="",$U702&lt;&gt;"Crédito",$AD702=""),"",IF($AD702&lt;=0,"",($Z702-N($L702))/$AD702))</f>
        <v/>
      </c>
      <c r="AI702" s="14" t="str">
        <f aca="false">IF(OR($AH702="",$W702=""),"",$AH702*365/MAX($W702,1))</f>
        <v/>
      </c>
      <c r="AJ702" s="14" t="str">
        <f aca="false">IF(OR($AE702="",$U702&lt;&gt;"Crédito",N($K702)=0),"",(N($K702)-IF(OR($M702="Cerrada",$M702="Rolada"),N($O702),0))/$K702)</f>
        <v/>
      </c>
      <c r="AK702" s="15" t="str">
        <f aca="false">IF(OR($C702="",$N702=""),"",DATE(YEAR($N702),MONTH($N702),1))</f>
        <v/>
      </c>
      <c r="AL702" s="11" t="str">
        <f aca="false">IF($C702="","",IF($M702="Abierta",0,1))</f>
        <v/>
      </c>
      <c r="AM702" s="16" t="str">
        <f aca="false">IF(OR($AE702="",$AD702=""),"",$AD702*MAX(N($X702),1))</f>
        <v/>
      </c>
      <c r="AN702" s="10" t="str">
        <f aca="false">IF($C702="","",IF(OR($B702="",$D702="",$H702="",$K702="",$M702=""),"Faltan datos obligatorios",IF($T702="","Estrategia no reconocida",IF(AND($M702&lt;&gt;"Abierta",$N702=""),"Falta fecha cierre",IF(AND(OR($M702="Cerrada",$M702="Rolada"),$O702=""),"Falta prima cierre",IF(AND($N702&lt;&gt;"",$N702&lt;$B702),"Cierre anterior a apertura",IF(AND($M702="Asignada",$R702=""),"Asignada: falta ID lote acciones",IF(AND($R702&lt;&gt;"",ISNA(MATCH($R702,Acciones!$A$2:$A$201,0))),"El ID lote no existe en Acciones",IF($AD702="","Revisa capital en riesgo","OK")))))))))</f>
        <v/>
      </c>
    </row>
    <row r="703" customFormat="false" ht="15" hidden="false" customHeight="true" outlineLevel="0" collapsed="false">
      <c r="A703" s="5"/>
      <c r="B703" s="6"/>
      <c r="C703" s="7"/>
      <c r="D703" s="7"/>
      <c r="E703" s="8"/>
      <c r="F703" s="8"/>
      <c r="G703" s="6"/>
      <c r="H703" s="5"/>
      <c r="I703" s="5" t="n">
        <v>100</v>
      </c>
      <c r="J703" s="8"/>
      <c r="K703" s="8"/>
      <c r="L703" s="9"/>
      <c r="M703" s="7"/>
      <c r="N703" s="6"/>
      <c r="O703" s="8"/>
      <c r="P703" s="9"/>
      <c r="Q703" s="9"/>
      <c r="R703" s="7"/>
      <c r="S703" s="7"/>
      <c r="T703" s="10" t="str">
        <f aca="false">IF($C703="","",IFERROR(INDEX(Listas!$B$2:$B$20,MATCH($D703,Listas!$A$2:$A$20,0)),""))</f>
        <v/>
      </c>
      <c r="U703" s="10" t="str">
        <f aca="false">IF($C703="","",IFERROR(INDEX(Listas!$C$2:$C$20,MATCH($D703,Listas!$A$2:$A$20,0)),""))</f>
        <v/>
      </c>
      <c r="V703" s="10" t="str">
        <f aca="false">IF($C703="","",IFERROR(INDEX(Listas!$D$2:$D$20,MATCH($D703,Listas!$A$2:$A$20,0)),""))</f>
        <v/>
      </c>
      <c r="W703" s="11" t="str">
        <f aca="false">IF(OR($C703="",$B703="",$G703=""),"",$G703-$B703)</f>
        <v/>
      </c>
      <c r="X703" s="11" t="str">
        <f aca="true">IF(OR($C703="",$B703=""),"",IF($N703&lt;&gt;"",$N703,TODAY())-$B703)</f>
        <v/>
      </c>
      <c r="Y703" s="11" t="str">
        <f aca="true">IF(OR($C703="",$M703&lt;&gt;"Abierta",$G703=""),"",MAX($G703-TODAY(),0))</f>
        <v/>
      </c>
      <c r="Z703" s="12" t="str">
        <f aca="false">IF($C703="","",N($K703)*N($H703)*N($I703)*IF($U703="Débito",-1,1))</f>
        <v/>
      </c>
      <c r="AA703" s="13" t="str">
        <f aca="false">IF($C703="","",IF(AND($U703="Débito",$F703&lt;&gt;""),$F703,$E703))</f>
        <v/>
      </c>
      <c r="AB703" s="13" t="str">
        <f aca="false">IF(OR($C703="",$T703="Mixta",$AA703=""),"",IF($V703="Subyacente",IF($J703="","",$J703-$K703),IF($T703="Put",$AA703-$K703,$AA703+$K703)))</f>
        <v/>
      </c>
      <c r="AC703" s="14" t="str">
        <f aca="false">IF(OR($C703="",$T703="Mixta",$J703="",$AA703=""),"",IF($T703="Put",($J703-$AA703)/$J703,($AA703-$J703)/$J703))</f>
        <v/>
      </c>
      <c r="AD703" s="12" t="str">
        <f aca="false">IF($C703="","",IF($Q703&lt;&gt;"",$Q703,IF($V703="Strike",N($E703)*$H703*$I703,IF($V703="Subyacente",IF($J703="","",$J703*$H703*$I703),IF($V703="Ancho",IF($F703="","",ABS($E703-$F703)*$H703*$I703-$K703*$H703*$I703),IF($V703="Prima",$K703*$H703*$I703,""))))))</f>
        <v/>
      </c>
      <c r="AE703" s="12" t="str">
        <f aca="false">IF(OR($C703="",$M703="Abierta",$M703=""),"",(N($K703)-IF(OR($M703="Cerrada",$M703="Rolada"),N($O703),0))*$H703*$I703*IF($U703="Débito",-1,1)-N($L703)-N($P703))</f>
        <v/>
      </c>
      <c r="AF703" s="14" t="str">
        <f aca="false">IF(OR($AE703="",$AD703=""),"",IF($AD703&lt;=0,"",$AE703/$AD703))</f>
        <v/>
      </c>
      <c r="AG703" s="14" t="str">
        <f aca="false">IF($AF703="","",$AF703*365/MAX(N($X703),1))</f>
        <v/>
      </c>
      <c r="AH703" s="14" t="str">
        <f aca="false">IF(OR($C703="",$U703&lt;&gt;"Crédito",$AD703=""),"",IF($AD703&lt;=0,"",($Z703-N($L703))/$AD703))</f>
        <v/>
      </c>
      <c r="AI703" s="14" t="str">
        <f aca="false">IF(OR($AH703="",$W703=""),"",$AH703*365/MAX($W703,1))</f>
        <v/>
      </c>
      <c r="AJ703" s="14" t="str">
        <f aca="false">IF(OR($AE703="",$U703&lt;&gt;"Crédito",N($K703)=0),"",(N($K703)-IF(OR($M703="Cerrada",$M703="Rolada"),N($O703),0))/$K703)</f>
        <v/>
      </c>
      <c r="AK703" s="15" t="str">
        <f aca="false">IF(OR($C703="",$N703=""),"",DATE(YEAR($N703),MONTH($N703),1))</f>
        <v/>
      </c>
      <c r="AL703" s="11" t="str">
        <f aca="false">IF($C703="","",IF($M703="Abierta",0,1))</f>
        <v/>
      </c>
      <c r="AM703" s="16" t="str">
        <f aca="false">IF(OR($AE703="",$AD703=""),"",$AD703*MAX(N($X703),1))</f>
        <v/>
      </c>
      <c r="AN703" s="10" t="str">
        <f aca="false">IF($C703="","",IF(OR($B703="",$D703="",$H703="",$K703="",$M703=""),"Faltan datos obligatorios",IF($T703="","Estrategia no reconocida",IF(AND($M703&lt;&gt;"Abierta",$N703=""),"Falta fecha cierre",IF(AND(OR($M703="Cerrada",$M703="Rolada"),$O703=""),"Falta prima cierre",IF(AND($N703&lt;&gt;"",$N703&lt;$B703),"Cierre anterior a apertura",IF(AND($M703="Asignada",$R703=""),"Asignada: falta ID lote acciones",IF(AND($R703&lt;&gt;"",ISNA(MATCH($R703,Acciones!$A$2:$A$201,0))),"El ID lote no existe en Acciones",IF($AD703="","Revisa capital en riesgo","OK")))))))))</f>
        <v/>
      </c>
    </row>
    <row r="704" customFormat="false" ht="15" hidden="false" customHeight="true" outlineLevel="0" collapsed="false">
      <c r="A704" s="5"/>
      <c r="B704" s="6"/>
      <c r="C704" s="7"/>
      <c r="D704" s="7"/>
      <c r="E704" s="8"/>
      <c r="F704" s="8"/>
      <c r="G704" s="6"/>
      <c r="H704" s="5"/>
      <c r="I704" s="5" t="n">
        <v>100</v>
      </c>
      <c r="J704" s="8"/>
      <c r="K704" s="8"/>
      <c r="L704" s="9"/>
      <c r="M704" s="7"/>
      <c r="N704" s="6"/>
      <c r="O704" s="8"/>
      <c r="P704" s="9"/>
      <c r="Q704" s="9"/>
      <c r="R704" s="7"/>
      <c r="S704" s="7"/>
      <c r="T704" s="10" t="str">
        <f aca="false">IF($C704="","",IFERROR(INDEX(Listas!$B$2:$B$20,MATCH($D704,Listas!$A$2:$A$20,0)),""))</f>
        <v/>
      </c>
      <c r="U704" s="10" t="str">
        <f aca="false">IF($C704="","",IFERROR(INDEX(Listas!$C$2:$C$20,MATCH($D704,Listas!$A$2:$A$20,0)),""))</f>
        <v/>
      </c>
      <c r="V704" s="10" t="str">
        <f aca="false">IF($C704="","",IFERROR(INDEX(Listas!$D$2:$D$20,MATCH($D704,Listas!$A$2:$A$20,0)),""))</f>
        <v/>
      </c>
      <c r="W704" s="11" t="str">
        <f aca="false">IF(OR($C704="",$B704="",$G704=""),"",$G704-$B704)</f>
        <v/>
      </c>
      <c r="X704" s="11" t="str">
        <f aca="true">IF(OR($C704="",$B704=""),"",IF($N704&lt;&gt;"",$N704,TODAY())-$B704)</f>
        <v/>
      </c>
      <c r="Y704" s="11" t="str">
        <f aca="true">IF(OR($C704="",$M704&lt;&gt;"Abierta",$G704=""),"",MAX($G704-TODAY(),0))</f>
        <v/>
      </c>
      <c r="Z704" s="12" t="str">
        <f aca="false">IF($C704="","",N($K704)*N($H704)*N($I704)*IF($U704="Débito",-1,1))</f>
        <v/>
      </c>
      <c r="AA704" s="13" t="str">
        <f aca="false">IF($C704="","",IF(AND($U704="Débito",$F704&lt;&gt;""),$F704,$E704))</f>
        <v/>
      </c>
      <c r="AB704" s="13" t="str">
        <f aca="false">IF(OR($C704="",$T704="Mixta",$AA704=""),"",IF($V704="Subyacente",IF($J704="","",$J704-$K704),IF($T704="Put",$AA704-$K704,$AA704+$K704)))</f>
        <v/>
      </c>
      <c r="AC704" s="14" t="str">
        <f aca="false">IF(OR($C704="",$T704="Mixta",$J704="",$AA704=""),"",IF($T704="Put",($J704-$AA704)/$J704,($AA704-$J704)/$J704))</f>
        <v/>
      </c>
      <c r="AD704" s="12" t="str">
        <f aca="false">IF($C704="","",IF($Q704&lt;&gt;"",$Q704,IF($V704="Strike",N($E704)*$H704*$I704,IF($V704="Subyacente",IF($J704="","",$J704*$H704*$I704),IF($V704="Ancho",IF($F704="","",ABS($E704-$F704)*$H704*$I704-$K704*$H704*$I704),IF($V704="Prima",$K704*$H704*$I704,""))))))</f>
        <v/>
      </c>
      <c r="AE704" s="12" t="str">
        <f aca="false">IF(OR($C704="",$M704="Abierta",$M704=""),"",(N($K704)-IF(OR($M704="Cerrada",$M704="Rolada"),N($O704),0))*$H704*$I704*IF($U704="Débito",-1,1)-N($L704)-N($P704))</f>
        <v/>
      </c>
      <c r="AF704" s="14" t="str">
        <f aca="false">IF(OR($AE704="",$AD704=""),"",IF($AD704&lt;=0,"",$AE704/$AD704))</f>
        <v/>
      </c>
      <c r="AG704" s="14" t="str">
        <f aca="false">IF($AF704="","",$AF704*365/MAX(N($X704),1))</f>
        <v/>
      </c>
      <c r="AH704" s="14" t="str">
        <f aca="false">IF(OR($C704="",$U704&lt;&gt;"Crédito",$AD704=""),"",IF($AD704&lt;=0,"",($Z704-N($L704))/$AD704))</f>
        <v/>
      </c>
      <c r="AI704" s="14" t="str">
        <f aca="false">IF(OR($AH704="",$W704=""),"",$AH704*365/MAX($W704,1))</f>
        <v/>
      </c>
      <c r="AJ704" s="14" t="str">
        <f aca="false">IF(OR($AE704="",$U704&lt;&gt;"Crédito",N($K704)=0),"",(N($K704)-IF(OR($M704="Cerrada",$M704="Rolada"),N($O704),0))/$K704)</f>
        <v/>
      </c>
      <c r="AK704" s="15" t="str">
        <f aca="false">IF(OR($C704="",$N704=""),"",DATE(YEAR($N704),MONTH($N704),1))</f>
        <v/>
      </c>
      <c r="AL704" s="11" t="str">
        <f aca="false">IF($C704="","",IF($M704="Abierta",0,1))</f>
        <v/>
      </c>
      <c r="AM704" s="16" t="str">
        <f aca="false">IF(OR($AE704="",$AD704=""),"",$AD704*MAX(N($X704),1))</f>
        <v/>
      </c>
      <c r="AN704" s="10" t="str">
        <f aca="false">IF($C704="","",IF(OR($B704="",$D704="",$H704="",$K704="",$M704=""),"Faltan datos obligatorios",IF($T704="","Estrategia no reconocida",IF(AND($M704&lt;&gt;"Abierta",$N704=""),"Falta fecha cierre",IF(AND(OR($M704="Cerrada",$M704="Rolada"),$O704=""),"Falta prima cierre",IF(AND($N704&lt;&gt;"",$N704&lt;$B704),"Cierre anterior a apertura",IF(AND($M704="Asignada",$R704=""),"Asignada: falta ID lote acciones",IF(AND($R704&lt;&gt;"",ISNA(MATCH($R704,Acciones!$A$2:$A$201,0))),"El ID lote no existe en Acciones",IF($AD704="","Revisa capital en riesgo","OK")))))))))</f>
        <v/>
      </c>
    </row>
    <row r="705" customFormat="false" ht="15" hidden="false" customHeight="true" outlineLevel="0" collapsed="false">
      <c r="A705" s="5"/>
      <c r="B705" s="6"/>
      <c r="C705" s="7"/>
      <c r="D705" s="7"/>
      <c r="E705" s="8"/>
      <c r="F705" s="8"/>
      <c r="G705" s="6"/>
      <c r="H705" s="5"/>
      <c r="I705" s="5" t="n">
        <v>100</v>
      </c>
      <c r="J705" s="8"/>
      <c r="K705" s="8"/>
      <c r="L705" s="9"/>
      <c r="M705" s="7"/>
      <c r="N705" s="6"/>
      <c r="O705" s="8"/>
      <c r="P705" s="9"/>
      <c r="Q705" s="9"/>
      <c r="R705" s="7"/>
      <c r="S705" s="7"/>
      <c r="T705" s="10" t="str">
        <f aca="false">IF($C705="","",IFERROR(INDEX(Listas!$B$2:$B$20,MATCH($D705,Listas!$A$2:$A$20,0)),""))</f>
        <v/>
      </c>
      <c r="U705" s="10" t="str">
        <f aca="false">IF($C705="","",IFERROR(INDEX(Listas!$C$2:$C$20,MATCH($D705,Listas!$A$2:$A$20,0)),""))</f>
        <v/>
      </c>
      <c r="V705" s="10" t="str">
        <f aca="false">IF($C705="","",IFERROR(INDEX(Listas!$D$2:$D$20,MATCH($D705,Listas!$A$2:$A$20,0)),""))</f>
        <v/>
      </c>
      <c r="W705" s="11" t="str">
        <f aca="false">IF(OR($C705="",$B705="",$G705=""),"",$G705-$B705)</f>
        <v/>
      </c>
      <c r="X705" s="11" t="str">
        <f aca="true">IF(OR($C705="",$B705=""),"",IF($N705&lt;&gt;"",$N705,TODAY())-$B705)</f>
        <v/>
      </c>
      <c r="Y705" s="11" t="str">
        <f aca="true">IF(OR($C705="",$M705&lt;&gt;"Abierta",$G705=""),"",MAX($G705-TODAY(),0))</f>
        <v/>
      </c>
      <c r="Z705" s="12" t="str">
        <f aca="false">IF($C705="","",N($K705)*N($H705)*N($I705)*IF($U705="Débito",-1,1))</f>
        <v/>
      </c>
      <c r="AA705" s="13" t="str">
        <f aca="false">IF($C705="","",IF(AND($U705="Débito",$F705&lt;&gt;""),$F705,$E705))</f>
        <v/>
      </c>
      <c r="AB705" s="13" t="str">
        <f aca="false">IF(OR($C705="",$T705="Mixta",$AA705=""),"",IF($V705="Subyacente",IF($J705="","",$J705-$K705),IF($T705="Put",$AA705-$K705,$AA705+$K705)))</f>
        <v/>
      </c>
      <c r="AC705" s="14" t="str">
        <f aca="false">IF(OR($C705="",$T705="Mixta",$J705="",$AA705=""),"",IF($T705="Put",($J705-$AA705)/$J705,($AA705-$J705)/$J705))</f>
        <v/>
      </c>
      <c r="AD705" s="12" t="str">
        <f aca="false">IF($C705="","",IF($Q705&lt;&gt;"",$Q705,IF($V705="Strike",N($E705)*$H705*$I705,IF($V705="Subyacente",IF($J705="","",$J705*$H705*$I705),IF($V705="Ancho",IF($F705="","",ABS($E705-$F705)*$H705*$I705-$K705*$H705*$I705),IF($V705="Prima",$K705*$H705*$I705,""))))))</f>
        <v/>
      </c>
      <c r="AE705" s="12" t="str">
        <f aca="false">IF(OR($C705="",$M705="Abierta",$M705=""),"",(N($K705)-IF(OR($M705="Cerrada",$M705="Rolada"),N($O705),0))*$H705*$I705*IF($U705="Débito",-1,1)-N($L705)-N($P705))</f>
        <v/>
      </c>
      <c r="AF705" s="14" t="str">
        <f aca="false">IF(OR($AE705="",$AD705=""),"",IF($AD705&lt;=0,"",$AE705/$AD705))</f>
        <v/>
      </c>
      <c r="AG705" s="14" t="str">
        <f aca="false">IF($AF705="","",$AF705*365/MAX(N($X705),1))</f>
        <v/>
      </c>
      <c r="AH705" s="14" t="str">
        <f aca="false">IF(OR($C705="",$U705&lt;&gt;"Crédito",$AD705=""),"",IF($AD705&lt;=0,"",($Z705-N($L705))/$AD705))</f>
        <v/>
      </c>
      <c r="AI705" s="14" t="str">
        <f aca="false">IF(OR($AH705="",$W705=""),"",$AH705*365/MAX($W705,1))</f>
        <v/>
      </c>
      <c r="AJ705" s="14" t="str">
        <f aca="false">IF(OR($AE705="",$U705&lt;&gt;"Crédito",N($K705)=0),"",(N($K705)-IF(OR($M705="Cerrada",$M705="Rolada"),N($O705),0))/$K705)</f>
        <v/>
      </c>
      <c r="AK705" s="15" t="str">
        <f aca="false">IF(OR($C705="",$N705=""),"",DATE(YEAR($N705),MONTH($N705),1))</f>
        <v/>
      </c>
      <c r="AL705" s="11" t="str">
        <f aca="false">IF($C705="","",IF($M705="Abierta",0,1))</f>
        <v/>
      </c>
      <c r="AM705" s="16" t="str">
        <f aca="false">IF(OR($AE705="",$AD705=""),"",$AD705*MAX(N($X705),1))</f>
        <v/>
      </c>
      <c r="AN705" s="10" t="str">
        <f aca="false">IF($C705="","",IF(OR($B705="",$D705="",$H705="",$K705="",$M705=""),"Faltan datos obligatorios",IF($T705="","Estrategia no reconocida",IF(AND($M705&lt;&gt;"Abierta",$N705=""),"Falta fecha cierre",IF(AND(OR($M705="Cerrada",$M705="Rolada"),$O705=""),"Falta prima cierre",IF(AND($N705&lt;&gt;"",$N705&lt;$B705),"Cierre anterior a apertura",IF(AND($M705="Asignada",$R705=""),"Asignada: falta ID lote acciones",IF(AND($R705&lt;&gt;"",ISNA(MATCH($R705,Acciones!$A$2:$A$201,0))),"El ID lote no existe en Acciones",IF($AD705="","Revisa capital en riesgo","OK")))))))))</f>
        <v/>
      </c>
    </row>
    <row r="706" customFormat="false" ht="15" hidden="false" customHeight="true" outlineLevel="0" collapsed="false">
      <c r="A706" s="5"/>
      <c r="B706" s="6"/>
      <c r="C706" s="7"/>
      <c r="D706" s="7"/>
      <c r="E706" s="8"/>
      <c r="F706" s="8"/>
      <c r="G706" s="6"/>
      <c r="H706" s="5"/>
      <c r="I706" s="5" t="n">
        <v>100</v>
      </c>
      <c r="J706" s="8"/>
      <c r="K706" s="8"/>
      <c r="L706" s="9"/>
      <c r="M706" s="7"/>
      <c r="N706" s="6"/>
      <c r="O706" s="8"/>
      <c r="P706" s="9"/>
      <c r="Q706" s="9"/>
      <c r="R706" s="7"/>
      <c r="S706" s="7"/>
      <c r="T706" s="10" t="str">
        <f aca="false">IF($C706="","",IFERROR(INDEX(Listas!$B$2:$B$20,MATCH($D706,Listas!$A$2:$A$20,0)),""))</f>
        <v/>
      </c>
      <c r="U706" s="10" t="str">
        <f aca="false">IF($C706="","",IFERROR(INDEX(Listas!$C$2:$C$20,MATCH($D706,Listas!$A$2:$A$20,0)),""))</f>
        <v/>
      </c>
      <c r="V706" s="10" t="str">
        <f aca="false">IF($C706="","",IFERROR(INDEX(Listas!$D$2:$D$20,MATCH($D706,Listas!$A$2:$A$20,0)),""))</f>
        <v/>
      </c>
      <c r="W706" s="11" t="str">
        <f aca="false">IF(OR($C706="",$B706="",$G706=""),"",$G706-$B706)</f>
        <v/>
      </c>
      <c r="X706" s="11" t="str">
        <f aca="true">IF(OR($C706="",$B706=""),"",IF($N706&lt;&gt;"",$N706,TODAY())-$B706)</f>
        <v/>
      </c>
      <c r="Y706" s="11" t="str">
        <f aca="true">IF(OR($C706="",$M706&lt;&gt;"Abierta",$G706=""),"",MAX($G706-TODAY(),0))</f>
        <v/>
      </c>
      <c r="Z706" s="12" t="str">
        <f aca="false">IF($C706="","",N($K706)*N($H706)*N($I706)*IF($U706="Débito",-1,1))</f>
        <v/>
      </c>
      <c r="AA706" s="13" t="str">
        <f aca="false">IF($C706="","",IF(AND($U706="Débito",$F706&lt;&gt;""),$F706,$E706))</f>
        <v/>
      </c>
      <c r="AB706" s="13" t="str">
        <f aca="false">IF(OR($C706="",$T706="Mixta",$AA706=""),"",IF($V706="Subyacente",IF($J706="","",$J706-$K706),IF($T706="Put",$AA706-$K706,$AA706+$K706)))</f>
        <v/>
      </c>
      <c r="AC706" s="14" t="str">
        <f aca="false">IF(OR($C706="",$T706="Mixta",$J706="",$AA706=""),"",IF($T706="Put",($J706-$AA706)/$J706,($AA706-$J706)/$J706))</f>
        <v/>
      </c>
      <c r="AD706" s="12" t="str">
        <f aca="false">IF($C706="","",IF($Q706&lt;&gt;"",$Q706,IF($V706="Strike",N($E706)*$H706*$I706,IF($V706="Subyacente",IF($J706="","",$J706*$H706*$I706),IF($V706="Ancho",IF($F706="","",ABS($E706-$F706)*$H706*$I706-$K706*$H706*$I706),IF($V706="Prima",$K706*$H706*$I706,""))))))</f>
        <v/>
      </c>
      <c r="AE706" s="12" t="str">
        <f aca="false">IF(OR($C706="",$M706="Abierta",$M706=""),"",(N($K706)-IF(OR($M706="Cerrada",$M706="Rolada"),N($O706),0))*$H706*$I706*IF($U706="Débito",-1,1)-N($L706)-N($P706))</f>
        <v/>
      </c>
      <c r="AF706" s="14" t="str">
        <f aca="false">IF(OR($AE706="",$AD706=""),"",IF($AD706&lt;=0,"",$AE706/$AD706))</f>
        <v/>
      </c>
      <c r="AG706" s="14" t="str">
        <f aca="false">IF($AF706="","",$AF706*365/MAX(N($X706),1))</f>
        <v/>
      </c>
      <c r="AH706" s="14" t="str">
        <f aca="false">IF(OR($C706="",$U706&lt;&gt;"Crédito",$AD706=""),"",IF($AD706&lt;=0,"",($Z706-N($L706))/$AD706))</f>
        <v/>
      </c>
      <c r="AI706" s="14" t="str">
        <f aca="false">IF(OR($AH706="",$W706=""),"",$AH706*365/MAX($W706,1))</f>
        <v/>
      </c>
      <c r="AJ706" s="14" t="str">
        <f aca="false">IF(OR($AE706="",$U706&lt;&gt;"Crédito",N($K706)=0),"",(N($K706)-IF(OR($M706="Cerrada",$M706="Rolada"),N($O706),0))/$K706)</f>
        <v/>
      </c>
      <c r="AK706" s="15" t="str">
        <f aca="false">IF(OR($C706="",$N706=""),"",DATE(YEAR($N706),MONTH($N706),1))</f>
        <v/>
      </c>
      <c r="AL706" s="11" t="str">
        <f aca="false">IF($C706="","",IF($M706="Abierta",0,1))</f>
        <v/>
      </c>
      <c r="AM706" s="16" t="str">
        <f aca="false">IF(OR($AE706="",$AD706=""),"",$AD706*MAX(N($X706),1))</f>
        <v/>
      </c>
      <c r="AN706" s="10" t="str">
        <f aca="false">IF($C706="","",IF(OR($B706="",$D706="",$H706="",$K706="",$M706=""),"Faltan datos obligatorios",IF($T706="","Estrategia no reconocida",IF(AND($M706&lt;&gt;"Abierta",$N706=""),"Falta fecha cierre",IF(AND(OR($M706="Cerrada",$M706="Rolada"),$O706=""),"Falta prima cierre",IF(AND($N706&lt;&gt;"",$N706&lt;$B706),"Cierre anterior a apertura",IF(AND($M706="Asignada",$R706=""),"Asignada: falta ID lote acciones",IF(AND($R706&lt;&gt;"",ISNA(MATCH($R706,Acciones!$A$2:$A$201,0))),"El ID lote no existe en Acciones",IF($AD706="","Revisa capital en riesgo","OK")))))))))</f>
        <v/>
      </c>
    </row>
    <row r="707" customFormat="false" ht="15" hidden="false" customHeight="true" outlineLevel="0" collapsed="false">
      <c r="A707" s="5"/>
      <c r="B707" s="6"/>
      <c r="C707" s="7"/>
      <c r="D707" s="7"/>
      <c r="E707" s="8"/>
      <c r="F707" s="8"/>
      <c r="G707" s="6"/>
      <c r="H707" s="5"/>
      <c r="I707" s="5" t="n">
        <v>100</v>
      </c>
      <c r="J707" s="8"/>
      <c r="K707" s="8"/>
      <c r="L707" s="9"/>
      <c r="M707" s="7"/>
      <c r="N707" s="6"/>
      <c r="O707" s="8"/>
      <c r="P707" s="9"/>
      <c r="Q707" s="9"/>
      <c r="R707" s="7"/>
      <c r="S707" s="7"/>
      <c r="T707" s="10" t="str">
        <f aca="false">IF($C707="","",IFERROR(INDEX(Listas!$B$2:$B$20,MATCH($D707,Listas!$A$2:$A$20,0)),""))</f>
        <v/>
      </c>
      <c r="U707" s="10" t="str">
        <f aca="false">IF($C707="","",IFERROR(INDEX(Listas!$C$2:$C$20,MATCH($D707,Listas!$A$2:$A$20,0)),""))</f>
        <v/>
      </c>
      <c r="V707" s="10" t="str">
        <f aca="false">IF($C707="","",IFERROR(INDEX(Listas!$D$2:$D$20,MATCH($D707,Listas!$A$2:$A$20,0)),""))</f>
        <v/>
      </c>
      <c r="W707" s="11" t="str">
        <f aca="false">IF(OR($C707="",$B707="",$G707=""),"",$G707-$B707)</f>
        <v/>
      </c>
      <c r="X707" s="11" t="str">
        <f aca="true">IF(OR($C707="",$B707=""),"",IF($N707&lt;&gt;"",$N707,TODAY())-$B707)</f>
        <v/>
      </c>
      <c r="Y707" s="11" t="str">
        <f aca="true">IF(OR($C707="",$M707&lt;&gt;"Abierta",$G707=""),"",MAX($G707-TODAY(),0))</f>
        <v/>
      </c>
      <c r="Z707" s="12" t="str">
        <f aca="false">IF($C707="","",N($K707)*N($H707)*N($I707)*IF($U707="Débito",-1,1))</f>
        <v/>
      </c>
      <c r="AA707" s="13" t="str">
        <f aca="false">IF($C707="","",IF(AND($U707="Débito",$F707&lt;&gt;""),$F707,$E707))</f>
        <v/>
      </c>
      <c r="AB707" s="13" t="str">
        <f aca="false">IF(OR($C707="",$T707="Mixta",$AA707=""),"",IF($V707="Subyacente",IF($J707="","",$J707-$K707),IF($T707="Put",$AA707-$K707,$AA707+$K707)))</f>
        <v/>
      </c>
      <c r="AC707" s="14" t="str">
        <f aca="false">IF(OR($C707="",$T707="Mixta",$J707="",$AA707=""),"",IF($T707="Put",($J707-$AA707)/$J707,($AA707-$J707)/$J707))</f>
        <v/>
      </c>
      <c r="AD707" s="12" t="str">
        <f aca="false">IF($C707="","",IF($Q707&lt;&gt;"",$Q707,IF($V707="Strike",N($E707)*$H707*$I707,IF($V707="Subyacente",IF($J707="","",$J707*$H707*$I707),IF($V707="Ancho",IF($F707="","",ABS($E707-$F707)*$H707*$I707-$K707*$H707*$I707),IF($V707="Prima",$K707*$H707*$I707,""))))))</f>
        <v/>
      </c>
      <c r="AE707" s="12" t="str">
        <f aca="false">IF(OR($C707="",$M707="Abierta",$M707=""),"",(N($K707)-IF(OR($M707="Cerrada",$M707="Rolada"),N($O707),0))*$H707*$I707*IF($U707="Débito",-1,1)-N($L707)-N($P707))</f>
        <v/>
      </c>
      <c r="AF707" s="14" t="str">
        <f aca="false">IF(OR($AE707="",$AD707=""),"",IF($AD707&lt;=0,"",$AE707/$AD707))</f>
        <v/>
      </c>
      <c r="AG707" s="14" t="str">
        <f aca="false">IF($AF707="","",$AF707*365/MAX(N($X707),1))</f>
        <v/>
      </c>
      <c r="AH707" s="14" t="str">
        <f aca="false">IF(OR($C707="",$U707&lt;&gt;"Crédito",$AD707=""),"",IF($AD707&lt;=0,"",($Z707-N($L707))/$AD707))</f>
        <v/>
      </c>
      <c r="AI707" s="14" t="str">
        <f aca="false">IF(OR($AH707="",$W707=""),"",$AH707*365/MAX($W707,1))</f>
        <v/>
      </c>
      <c r="AJ707" s="14" t="str">
        <f aca="false">IF(OR($AE707="",$U707&lt;&gt;"Crédito",N($K707)=0),"",(N($K707)-IF(OR($M707="Cerrada",$M707="Rolada"),N($O707),0))/$K707)</f>
        <v/>
      </c>
      <c r="AK707" s="15" t="str">
        <f aca="false">IF(OR($C707="",$N707=""),"",DATE(YEAR($N707),MONTH($N707),1))</f>
        <v/>
      </c>
      <c r="AL707" s="11" t="str">
        <f aca="false">IF($C707="","",IF($M707="Abierta",0,1))</f>
        <v/>
      </c>
      <c r="AM707" s="16" t="str">
        <f aca="false">IF(OR($AE707="",$AD707=""),"",$AD707*MAX(N($X707),1))</f>
        <v/>
      </c>
      <c r="AN707" s="10" t="str">
        <f aca="false">IF($C707="","",IF(OR($B707="",$D707="",$H707="",$K707="",$M707=""),"Faltan datos obligatorios",IF($T707="","Estrategia no reconocida",IF(AND($M707&lt;&gt;"Abierta",$N707=""),"Falta fecha cierre",IF(AND(OR($M707="Cerrada",$M707="Rolada"),$O707=""),"Falta prima cierre",IF(AND($N707&lt;&gt;"",$N707&lt;$B707),"Cierre anterior a apertura",IF(AND($M707="Asignada",$R707=""),"Asignada: falta ID lote acciones",IF(AND($R707&lt;&gt;"",ISNA(MATCH($R707,Acciones!$A$2:$A$201,0))),"El ID lote no existe en Acciones",IF($AD707="","Revisa capital en riesgo","OK")))))))))</f>
        <v/>
      </c>
    </row>
    <row r="708" customFormat="false" ht="15" hidden="false" customHeight="true" outlineLevel="0" collapsed="false">
      <c r="A708" s="5"/>
      <c r="B708" s="6"/>
      <c r="C708" s="7"/>
      <c r="D708" s="7"/>
      <c r="E708" s="8"/>
      <c r="F708" s="8"/>
      <c r="G708" s="6"/>
      <c r="H708" s="5"/>
      <c r="I708" s="5" t="n">
        <v>100</v>
      </c>
      <c r="J708" s="8"/>
      <c r="K708" s="8"/>
      <c r="L708" s="9"/>
      <c r="M708" s="7"/>
      <c r="N708" s="6"/>
      <c r="O708" s="8"/>
      <c r="P708" s="9"/>
      <c r="Q708" s="9"/>
      <c r="R708" s="7"/>
      <c r="S708" s="7"/>
      <c r="T708" s="10" t="str">
        <f aca="false">IF($C708="","",IFERROR(INDEX(Listas!$B$2:$B$20,MATCH($D708,Listas!$A$2:$A$20,0)),""))</f>
        <v/>
      </c>
      <c r="U708" s="10" t="str">
        <f aca="false">IF($C708="","",IFERROR(INDEX(Listas!$C$2:$C$20,MATCH($D708,Listas!$A$2:$A$20,0)),""))</f>
        <v/>
      </c>
      <c r="V708" s="10" t="str">
        <f aca="false">IF($C708="","",IFERROR(INDEX(Listas!$D$2:$D$20,MATCH($D708,Listas!$A$2:$A$20,0)),""))</f>
        <v/>
      </c>
      <c r="W708" s="11" t="str">
        <f aca="false">IF(OR($C708="",$B708="",$G708=""),"",$G708-$B708)</f>
        <v/>
      </c>
      <c r="X708" s="11" t="str">
        <f aca="true">IF(OR($C708="",$B708=""),"",IF($N708&lt;&gt;"",$N708,TODAY())-$B708)</f>
        <v/>
      </c>
      <c r="Y708" s="11" t="str">
        <f aca="true">IF(OR($C708="",$M708&lt;&gt;"Abierta",$G708=""),"",MAX($G708-TODAY(),0))</f>
        <v/>
      </c>
      <c r="Z708" s="12" t="str">
        <f aca="false">IF($C708="","",N($K708)*N($H708)*N($I708)*IF($U708="Débito",-1,1))</f>
        <v/>
      </c>
      <c r="AA708" s="13" t="str">
        <f aca="false">IF($C708="","",IF(AND($U708="Débito",$F708&lt;&gt;""),$F708,$E708))</f>
        <v/>
      </c>
      <c r="AB708" s="13" t="str">
        <f aca="false">IF(OR($C708="",$T708="Mixta",$AA708=""),"",IF($V708="Subyacente",IF($J708="","",$J708-$K708),IF($T708="Put",$AA708-$K708,$AA708+$K708)))</f>
        <v/>
      </c>
      <c r="AC708" s="14" t="str">
        <f aca="false">IF(OR($C708="",$T708="Mixta",$J708="",$AA708=""),"",IF($T708="Put",($J708-$AA708)/$J708,($AA708-$J708)/$J708))</f>
        <v/>
      </c>
      <c r="AD708" s="12" t="str">
        <f aca="false">IF($C708="","",IF($Q708&lt;&gt;"",$Q708,IF($V708="Strike",N($E708)*$H708*$I708,IF($V708="Subyacente",IF($J708="","",$J708*$H708*$I708),IF($V708="Ancho",IF($F708="","",ABS($E708-$F708)*$H708*$I708-$K708*$H708*$I708),IF($V708="Prima",$K708*$H708*$I708,""))))))</f>
        <v/>
      </c>
      <c r="AE708" s="12" t="str">
        <f aca="false">IF(OR($C708="",$M708="Abierta",$M708=""),"",(N($K708)-IF(OR($M708="Cerrada",$M708="Rolada"),N($O708),0))*$H708*$I708*IF($U708="Débito",-1,1)-N($L708)-N($P708))</f>
        <v/>
      </c>
      <c r="AF708" s="14" t="str">
        <f aca="false">IF(OR($AE708="",$AD708=""),"",IF($AD708&lt;=0,"",$AE708/$AD708))</f>
        <v/>
      </c>
      <c r="AG708" s="14" t="str">
        <f aca="false">IF($AF708="","",$AF708*365/MAX(N($X708),1))</f>
        <v/>
      </c>
      <c r="AH708" s="14" t="str">
        <f aca="false">IF(OR($C708="",$U708&lt;&gt;"Crédito",$AD708=""),"",IF($AD708&lt;=0,"",($Z708-N($L708))/$AD708))</f>
        <v/>
      </c>
      <c r="AI708" s="14" t="str">
        <f aca="false">IF(OR($AH708="",$W708=""),"",$AH708*365/MAX($W708,1))</f>
        <v/>
      </c>
      <c r="AJ708" s="14" t="str">
        <f aca="false">IF(OR($AE708="",$U708&lt;&gt;"Crédito",N($K708)=0),"",(N($K708)-IF(OR($M708="Cerrada",$M708="Rolada"),N($O708),0))/$K708)</f>
        <v/>
      </c>
      <c r="AK708" s="15" t="str">
        <f aca="false">IF(OR($C708="",$N708=""),"",DATE(YEAR($N708),MONTH($N708),1))</f>
        <v/>
      </c>
      <c r="AL708" s="11" t="str">
        <f aca="false">IF($C708="","",IF($M708="Abierta",0,1))</f>
        <v/>
      </c>
      <c r="AM708" s="16" t="str">
        <f aca="false">IF(OR($AE708="",$AD708=""),"",$AD708*MAX(N($X708),1))</f>
        <v/>
      </c>
      <c r="AN708" s="10" t="str">
        <f aca="false">IF($C708="","",IF(OR($B708="",$D708="",$H708="",$K708="",$M708=""),"Faltan datos obligatorios",IF($T708="","Estrategia no reconocida",IF(AND($M708&lt;&gt;"Abierta",$N708=""),"Falta fecha cierre",IF(AND(OR($M708="Cerrada",$M708="Rolada"),$O708=""),"Falta prima cierre",IF(AND($N708&lt;&gt;"",$N708&lt;$B708),"Cierre anterior a apertura",IF(AND($M708="Asignada",$R708=""),"Asignada: falta ID lote acciones",IF(AND($R708&lt;&gt;"",ISNA(MATCH($R708,Acciones!$A$2:$A$201,0))),"El ID lote no existe en Acciones",IF($AD708="","Revisa capital en riesgo","OK")))))))))</f>
        <v/>
      </c>
    </row>
    <row r="709" customFormat="false" ht="15" hidden="false" customHeight="true" outlineLevel="0" collapsed="false">
      <c r="A709" s="5"/>
      <c r="B709" s="6"/>
      <c r="C709" s="7"/>
      <c r="D709" s="7"/>
      <c r="E709" s="8"/>
      <c r="F709" s="8"/>
      <c r="G709" s="6"/>
      <c r="H709" s="5"/>
      <c r="I709" s="5" t="n">
        <v>100</v>
      </c>
      <c r="J709" s="8"/>
      <c r="K709" s="8"/>
      <c r="L709" s="9"/>
      <c r="M709" s="7"/>
      <c r="N709" s="6"/>
      <c r="O709" s="8"/>
      <c r="P709" s="9"/>
      <c r="Q709" s="9"/>
      <c r="R709" s="7"/>
      <c r="S709" s="7"/>
      <c r="T709" s="10" t="str">
        <f aca="false">IF($C709="","",IFERROR(INDEX(Listas!$B$2:$B$20,MATCH($D709,Listas!$A$2:$A$20,0)),""))</f>
        <v/>
      </c>
      <c r="U709" s="10" t="str">
        <f aca="false">IF($C709="","",IFERROR(INDEX(Listas!$C$2:$C$20,MATCH($D709,Listas!$A$2:$A$20,0)),""))</f>
        <v/>
      </c>
      <c r="V709" s="10" t="str">
        <f aca="false">IF($C709="","",IFERROR(INDEX(Listas!$D$2:$D$20,MATCH($D709,Listas!$A$2:$A$20,0)),""))</f>
        <v/>
      </c>
      <c r="W709" s="11" t="str">
        <f aca="false">IF(OR($C709="",$B709="",$G709=""),"",$G709-$B709)</f>
        <v/>
      </c>
      <c r="X709" s="11" t="str">
        <f aca="true">IF(OR($C709="",$B709=""),"",IF($N709&lt;&gt;"",$N709,TODAY())-$B709)</f>
        <v/>
      </c>
      <c r="Y709" s="11" t="str">
        <f aca="true">IF(OR($C709="",$M709&lt;&gt;"Abierta",$G709=""),"",MAX($G709-TODAY(),0))</f>
        <v/>
      </c>
      <c r="Z709" s="12" t="str">
        <f aca="false">IF($C709="","",N($K709)*N($H709)*N($I709)*IF($U709="Débito",-1,1))</f>
        <v/>
      </c>
      <c r="AA709" s="13" t="str">
        <f aca="false">IF($C709="","",IF(AND($U709="Débito",$F709&lt;&gt;""),$F709,$E709))</f>
        <v/>
      </c>
      <c r="AB709" s="13" t="str">
        <f aca="false">IF(OR($C709="",$T709="Mixta",$AA709=""),"",IF($V709="Subyacente",IF($J709="","",$J709-$K709),IF($T709="Put",$AA709-$K709,$AA709+$K709)))</f>
        <v/>
      </c>
      <c r="AC709" s="14" t="str">
        <f aca="false">IF(OR($C709="",$T709="Mixta",$J709="",$AA709=""),"",IF($T709="Put",($J709-$AA709)/$J709,($AA709-$J709)/$J709))</f>
        <v/>
      </c>
      <c r="AD709" s="12" t="str">
        <f aca="false">IF($C709="","",IF($Q709&lt;&gt;"",$Q709,IF($V709="Strike",N($E709)*$H709*$I709,IF($V709="Subyacente",IF($J709="","",$J709*$H709*$I709),IF($V709="Ancho",IF($F709="","",ABS($E709-$F709)*$H709*$I709-$K709*$H709*$I709),IF($V709="Prima",$K709*$H709*$I709,""))))))</f>
        <v/>
      </c>
      <c r="AE709" s="12" t="str">
        <f aca="false">IF(OR($C709="",$M709="Abierta",$M709=""),"",(N($K709)-IF(OR($M709="Cerrada",$M709="Rolada"),N($O709),0))*$H709*$I709*IF($U709="Débito",-1,1)-N($L709)-N($P709))</f>
        <v/>
      </c>
      <c r="AF709" s="14" t="str">
        <f aca="false">IF(OR($AE709="",$AD709=""),"",IF($AD709&lt;=0,"",$AE709/$AD709))</f>
        <v/>
      </c>
      <c r="AG709" s="14" t="str">
        <f aca="false">IF($AF709="","",$AF709*365/MAX(N($X709),1))</f>
        <v/>
      </c>
      <c r="AH709" s="14" t="str">
        <f aca="false">IF(OR($C709="",$U709&lt;&gt;"Crédito",$AD709=""),"",IF($AD709&lt;=0,"",($Z709-N($L709))/$AD709))</f>
        <v/>
      </c>
      <c r="AI709" s="14" t="str">
        <f aca="false">IF(OR($AH709="",$W709=""),"",$AH709*365/MAX($W709,1))</f>
        <v/>
      </c>
      <c r="AJ709" s="14" t="str">
        <f aca="false">IF(OR($AE709="",$U709&lt;&gt;"Crédito",N($K709)=0),"",(N($K709)-IF(OR($M709="Cerrada",$M709="Rolada"),N($O709),0))/$K709)</f>
        <v/>
      </c>
      <c r="AK709" s="15" t="str">
        <f aca="false">IF(OR($C709="",$N709=""),"",DATE(YEAR($N709),MONTH($N709),1))</f>
        <v/>
      </c>
      <c r="AL709" s="11" t="str">
        <f aca="false">IF($C709="","",IF($M709="Abierta",0,1))</f>
        <v/>
      </c>
      <c r="AM709" s="16" t="str">
        <f aca="false">IF(OR($AE709="",$AD709=""),"",$AD709*MAX(N($X709),1))</f>
        <v/>
      </c>
      <c r="AN709" s="10" t="str">
        <f aca="false">IF($C709="","",IF(OR($B709="",$D709="",$H709="",$K709="",$M709=""),"Faltan datos obligatorios",IF($T709="","Estrategia no reconocida",IF(AND($M709&lt;&gt;"Abierta",$N709=""),"Falta fecha cierre",IF(AND(OR($M709="Cerrada",$M709="Rolada"),$O709=""),"Falta prima cierre",IF(AND($N709&lt;&gt;"",$N709&lt;$B709),"Cierre anterior a apertura",IF(AND($M709="Asignada",$R709=""),"Asignada: falta ID lote acciones",IF(AND($R709&lt;&gt;"",ISNA(MATCH($R709,Acciones!$A$2:$A$201,0))),"El ID lote no existe en Acciones",IF($AD709="","Revisa capital en riesgo","OK")))))))))</f>
        <v/>
      </c>
    </row>
    <row r="710" customFormat="false" ht="15" hidden="false" customHeight="true" outlineLevel="0" collapsed="false">
      <c r="A710" s="5"/>
      <c r="B710" s="6"/>
      <c r="C710" s="7"/>
      <c r="D710" s="7"/>
      <c r="E710" s="8"/>
      <c r="F710" s="8"/>
      <c r="G710" s="6"/>
      <c r="H710" s="5"/>
      <c r="I710" s="5" t="n">
        <v>100</v>
      </c>
      <c r="J710" s="8"/>
      <c r="K710" s="8"/>
      <c r="L710" s="9"/>
      <c r="M710" s="7"/>
      <c r="N710" s="6"/>
      <c r="O710" s="8"/>
      <c r="P710" s="9"/>
      <c r="Q710" s="9"/>
      <c r="R710" s="7"/>
      <c r="S710" s="7"/>
      <c r="T710" s="10" t="str">
        <f aca="false">IF($C710="","",IFERROR(INDEX(Listas!$B$2:$B$20,MATCH($D710,Listas!$A$2:$A$20,0)),""))</f>
        <v/>
      </c>
      <c r="U710" s="10" t="str">
        <f aca="false">IF($C710="","",IFERROR(INDEX(Listas!$C$2:$C$20,MATCH($D710,Listas!$A$2:$A$20,0)),""))</f>
        <v/>
      </c>
      <c r="V710" s="10" t="str">
        <f aca="false">IF($C710="","",IFERROR(INDEX(Listas!$D$2:$D$20,MATCH($D710,Listas!$A$2:$A$20,0)),""))</f>
        <v/>
      </c>
      <c r="W710" s="11" t="str">
        <f aca="false">IF(OR($C710="",$B710="",$G710=""),"",$G710-$B710)</f>
        <v/>
      </c>
      <c r="X710" s="11" t="str">
        <f aca="true">IF(OR($C710="",$B710=""),"",IF($N710&lt;&gt;"",$N710,TODAY())-$B710)</f>
        <v/>
      </c>
      <c r="Y710" s="11" t="str">
        <f aca="true">IF(OR($C710="",$M710&lt;&gt;"Abierta",$G710=""),"",MAX($G710-TODAY(),0))</f>
        <v/>
      </c>
      <c r="Z710" s="12" t="str">
        <f aca="false">IF($C710="","",N($K710)*N($H710)*N($I710)*IF($U710="Débito",-1,1))</f>
        <v/>
      </c>
      <c r="AA710" s="13" t="str">
        <f aca="false">IF($C710="","",IF(AND($U710="Débito",$F710&lt;&gt;""),$F710,$E710))</f>
        <v/>
      </c>
      <c r="AB710" s="13" t="str">
        <f aca="false">IF(OR($C710="",$T710="Mixta",$AA710=""),"",IF($V710="Subyacente",IF($J710="","",$J710-$K710),IF($T710="Put",$AA710-$K710,$AA710+$K710)))</f>
        <v/>
      </c>
      <c r="AC710" s="14" t="str">
        <f aca="false">IF(OR($C710="",$T710="Mixta",$J710="",$AA710=""),"",IF($T710="Put",($J710-$AA710)/$J710,($AA710-$J710)/$J710))</f>
        <v/>
      </c>
      <c r="AD710" s="12" t="str">
        <f aca="false">IF($C710="","",IF($Q710&lt;&gt;"",$Q710,IF($V710="Strike",N($E710)*$H710*$I710,IF($V710="Subyacente",IF($J710="","",$J710*$H710*$I710),IF($V710="Ancho",IF($F710="","",ABS($E710-$F710)*$H710*$I710-$K710*$H710*$I710),IF($V710="Prima",$K710*$H710*$I710,""))))))</f>
        <v/>
      </c>
      <c r="AE710" s="12" t="str">
        <f aca="false">IF(OR($C710="",$M710="Abierta",$M710=""),"",(N($K710)-IF(OR($M710="Cerrada",$M710="Rolada"),N($O710),0))*$H710*$I710*IF($U710="Débito",-1,1)-N($L710)-N($P710))</f>
        <v/>
      </c>
      <c r="AF710" s="14" t="str">
        <f aca="false">IF(OR($AE710="",$AD710=""),"",IF($AD710&lt;=0,"",$AE710/$AD710))</f>
        <v/>
      </c>
      <c r="AG710" s="14" t="str">
        <f aca="false">IF($AF710="","",$AF710*365/MAX(N($X710),1))</f>
        <v/>
      </c>
      <c r="AH710" s="14" t="str">
        <f aca="false">IF(OR($C710="",$U710&lt;&gt;"Crédito",$AD710=""),"",IF($AD710&lt;=0,"",($Z710-N($L710))/$AD710))</f>
        <v/>
      </c>
      <c r="AI710" s="14" t="str">
        <f aca="false">IF(OR($AH710="",$W710=""),"",$AH710*365/MAX($W710,1))</f>
        <v/>
      </c>
      <c r="AJ710" s="14" t="str">
        <f aca="false">IF(OR($AE710="",$U710&lt;&gt;"Crédito",N($K710)=0),"",(N($K710)-IF(OR($M710="Cerrada",$M710="Rolada"),N($O710),0))/$K710)</f>
        <v/>
      </c>
      <c r="AK710" s="15" t="str">
        <f aca="false">IF(OR($C710="",$N710=""),"",DATE(YEAR($N710),MONTH($N710),1))</f>
        <v/>
      </c>
      <c r="AL710" s="11" t="str">
        <f aca="false">IF($C710="","",IF($M710="Abierta",0,1))</f>
        <v/>
      </c>
      <c r="AM710" s="16" t="str">
        <f aca="false">IF(OR($AE710="",$AD710=""),"",$AD710*MAX(N($X710),1))</f>
        <v/>
      </c>
      <c r="AN710" s="10" t="str">
        <f aca="false">IF($C710="","",IF(OR($B710="",$D710="",$H710="",$K710="",$M710=""),"Faltan datos obligatorios",IF($T710="","Estrategia no reconocida",IF(AND($M710&lt;&gt;"Abierta",$N710=""),"Falta fecha cierre",IF(AND(OR($M710="Cerrada",$M710="Rolada"),$O710=""),"Falta prima cierre",IF(AND($N710&lt;&gt;"",$N710&lt;$B710),"Cierre anterior a apertura",IF(AND($M710="Asignada",$R710=""),"Asignada: falta ID lote acciones",IF(AND($R710&lt;&gt;"",ISNA(MATCH($R710,Acciones!$A$2:$A$201,0))),"El ID lote no existe en Acciones",IF($AD710="","Revisa capital en riesgo","OK")))))))))</f>
        <v/>
      </c>
    </row>
    <row r="711" customFormat="false" ht="15" hidden="false" customHeight="true" outlineLevel="0" collapsed="false">
      <c r="A711" s="5"/>
      <c r="B711" s="6"/>
      <c r="C711" s="7"/>
      <c r="D711" s="7"/>
      <c r="E711" s="8"/>
      <c r="F711" s="8"/>
      <c r="G711" s="6"/>
      <c r="H711" s="5"/>
      <c r="I711" s="5" t="n">
        <v>100</v>
      </c>
      <c r="J711" s="8"/>
      <c r="K711" s="8"/>
      <c r="L711" s="9"/>
      <c r="M711" s="7"/>
      <c r="N711" s="6"/>
      <c r="O711" s="8"/>
      <c r="P711" s="9"/>
      <c r="Q711" s="9"/>
      <c r="R711" s="7"/>
      <c r="S711" s="7"/>
      <c r="T711" s="10" t="str">
        <f aca="false">IF($C711="","",IFERROR(INDEX(Listas!$B$2:$B$20,MATCH($D711,Listas!$A$2:$A$20,0)),""))</f>
        <v/>
      </c>
      <c r="U711" s="10" t="str">
        <f aca="false">IF($C711="","",IFERROR(INDEX(Listas!$C$2:$C$20,MATCH($D711,Listas!$A$2:$A$20,0)),""))</f>
        <v/>
      </c>
      <c r="V711" s="10" t="str">
        <f aca="false">IF($C711="","",IFERROR(INDEX(Listas!$D$2:$D$20,MATCH($D711,Listas!$A$2:$A$20,0)),""))</f>
        <v/>
      </c>
      <c r="W711" s="11" t="str">
        <f aca="false">IF(OR($C711="",$B711="",$G711=""),"",$G711-$B711)</f>
        <v/>
      </c>
      <c r="X711" s="11" t="str">
        <f aca="true">IF(OR($C711="",$B711=""),"",IF($N711&lt;&gt;"",$N711,TODAY())-$B711)</f>
        <v/>
      </c>
      <c r="Y711" s="11" t="str">
        <f aca="true">IF(OR($C711="",$M711&lt;&gt;"Abierta",$G711=""),"",MAX($G711-TODAY(),0))</f>
        <v/>
      </c>
      <c r="Z711" s="12" t="str">
        <f aca="false">IF($C711="","",N($K711)*N($H711)*N($I711)*IF($U711="Débito",-1,1))</f>
        <v/>
      </c>
      <c r="AA711" s="13" t="str">
        <f aca="false">IF($C711="","",IF(AND($U711="Débito",$F711&lt;&gt;""),$F711,$E711))</f>
        <v/>
      </c>
      <c r="AB711" s="13" t="str">
        <f aca="false">IF(OR($C711="",$T711="Mixta",$AA711=""),"",IF($V711="Subyacente",IF($J711="","",$J711-$K711),IF($T711="Put",$AA711-$K711,$AA711+$K711)))</f>
        <v/>
      </c>
      <c r="AC711" s="14" t="str">
        <f aca="false">IF(OR($C711="",$T711="Mixta",$J711="",$AA711=""),"",IF($T711="Put",($J711-$AA711)/$J711,($AA711-$J711)/$J711))</f>
        <v/>
      </c>
      <c r="AD711" s="12" t="str">
        <f aca="false">IF($C711="","",IF($Q711&lt;&gt;"",$Q711,IF($V711="Strike",N($E711)*$H711*$I711,IF($V711="Subyacente",IF($J711="","",$J711*$H711*$I711),IF($V711="Ancho",IF($F711="","",ABS($E711-$F711)*$H711*$I711-$K711*$H711*$I711),IF($V711="Prima",$K711*$H711*$I711,""))))))</f>
        <v/>
      </c>
      <c r="AE711" s="12" t="str">
        <f aca="false">IF(OR($C711="",$M711="Abierta",$M711=""),"",(N($K711)-IF(OR($M711="Cerrada",$M711="Rolada"),N($O711),0))*$H711*$I711*IF($U711="Débito",-1,1)-N($L711)-N($P711))</f>
        <v/>
      </c>
      <c r="AF711" s="14" t="str">
        <f aca="false">IF(OR($AE711="",$AD711=""),"",IF($AD711&lt;=0,"",$AE711/$AD711))</f>
        <v/>
      </c>
      <c r="AG711" s="14" t="str">
        <f aca="false">IF($AF711="","",$AF711*365/MAX(N($X711),1))</f>
        <v/>
      </c>
      <c r="AH711" s="14" t="str">
        <f aca="false">IF(OR($C711="",$U711&lt;&gt;"Crédito",$AD711=""),"",IF($AD711&lt;=0,"",($Z711-N($L711))/$AD711))</f>
        <v/>
      </c>
      <c r="AI711" s="14" t="str">
        <f aca="false">IF(OR($AH711="",$W711=""),"",$AH711*365/MAX($W711,1))</f>
        <v/>
      </c>
      <c r="AJ711" s="14" t="str">
        <f aca="false">IF(OR($AE711="",$U711&lt;&gt;"Crédito",N($K711)=0),"",(N($K711)-IF(OR($M711="Cerrada",$M711="Rolada"),N($O711),0))/$K711)</f>
        <v/>
      </c>
      <c r="AK711" s="15" t="str">
        <f aca="false">IF(OR($C711="",$N711=""),"",DATE(YEAR($N711),MONTH($N711),1))</f>
        <v/>
      </c>
      <c r="AL711" s="11" t="str">
        <f aca="false">IF($C711="","",IF($M711="Abierta",0,1))</f>
        <v/>
      </c>
      <c r="AM711" s="16" t="str">
        <f aca="false">IF(OR($AE711="",$AD711=""),"",$AD711*MAX(N($X711),1))</f>
        <v/>
      </c>
      <c r="AN711" s="10" t="str">
        <f aca="false">IF($C711="","",IF(OR($B711="",$D711="",$H711="",$K711="",$M711=""),"Faltan datos obligatorios",IF($T711="","Estrategia no reconocida",IF(AND($M711&lt;&gt;"Abierta",$N711=""),"Falta fecha cierre",IF(AND(OR($M711="Cerrada",$M711="Rolada"),$O711=""),"Falta prima cierre",IF(AND($N711&lt;&gt;"",$N711&lt;$B711),"Cierre anterior a apertura",IF(AND($M711="Asignada",$R711=""),"Asignada: falta ID lote acciones",IF(AND($R711&lt;&gt;"",ISNA(MATCH($R711,Acciones!$A$2:$A$201,0))),"El ID lote no existe en Acciones",IF($AD711="","Revisa capital en riesgo","OK")))))))))</f>
        <v/>
      </c>
    </row>
    <row r="712" customFormat="false" ht="15" hidden="false" customHeight="true" outlineLevel="0" collapsed="false">
      <c r="A712" s="5"/>
      <c r="B712" s="6"/>
      <c r="C712" s="7"/>
      <c r="D712" s="7"/>
      <c r="E712" s="8"/>
      <c r="F712" s="8"/>
      <c r="G712" s="6"/>
      <c r="H712" s="5"/>
      <c r="I712" s="5" t="n">
        <v>100</v>
      </c>
      <c r="J712" s="8"/>
      <c r="K712" s="8"/>
      <c r="L712" s="9"/>
      <c r="M712" s="7"/>
      <c r="N712" s="6"/>
      <c r="O712" s="8"/>
      <c r="P712" s="9"/>
      <c r="Q712" s="9"/>
      <c r="R712" s="7"/>
      <c r="S712" s="7"/>
      <c r="T712" s="10" t="str">
        <f aca="false">IF($C712="","",IFERROR(INDEX(Listas!$B$2:$B$20,MATCH($D712,Listas!$A$2:$A$20,0)),""))</f>
        <v/>
      </c>
      <c r="U712" s="10" t="str">
        <f aca="false">IF($C712="","",IFERROR(INDEX(Listas!$C$2:$C$20,MATCH($D712,Listas!$A$2:$A$20,0)),""))</f>
        <v/>
      </c>
      <c r="V712" s="10" t="str">
        <f aca="false">IF($C712="","",IFERROR(INDEX(Listas!$D$2:$D$20,MATCH($D712,Listas!$A$2:$A$20,0)),""))</f>
        <v/>
      </c>
      <c r="W712" s="11" t="str">
        <f aca="false">IF(OR($C712="",$B712="",$G712=""),"",$G712-$B712)</f>
        <v/>
      </c>
      <c r="X712" s="11" t="str">
        <f aca="true">IF(OR($C712="",$B712=""),"",IF($N712&lt;&gt;"",$N712,TODAY())-$B712)</f>
        <v/>
      </c>
      <c r="Y712" s="11" t="str">
        <f aca="true">IF(OR($C712="",$M712&lt;&gt;"Abierta",$G712=""),"",MAX($G712-TODAY(),0))</f>
        <v/>
      </c>
      <c r="Z712" s="12" t="str">
        <f aca="false">IF($C712="","",N($K712)*N($H712)*N($I712)*IF($U712="Débito",-1,1))</f>
        <v/>
      </c>
      <c r="AA712" s="13" t="str">
        <f aca="false">IF($C712="","",IF(AND($U712="Débito",$F712&lt;&gt;""),$F712,$E712))</f>
        <v/>
      </c>
      <c r="AB712" s="13" t="str">
        <f aca="false">IF(OR($C712="",$T712="Mixta",$AA712=""),"",IF($V712="Subyacente",IF($J712="","",$J712-$K712),IF($T712="Put",$AA712-$K712,$AA712+$K712)))</f>
        <v/>
      </c>
      <c r="AC712" s="14" t="str">
        <f aca="false">IF(OR($C712="",$T712="Mixta",$J712="",$AA712=""),"",IF($T712="Put",($J712-$AA712)/$J712,($AA712-$J712)/$J712))</f>
        <v/>
      </c>
      <c r="AD712" s="12" t="str">
        <f aca="false">IF($C712="","",IF($Q712&lt;&gt;"",$Q712,IF($V712="Strike",N($E712)*$H712*$I712,IF($V712="Subyacente",IF($J712="","",$J712*$H712*$I712),IF($V712="Ancho",IF($F712="","",ABS($E712-$F712)*$H712*$I712-$K712*$H712*$I712),IF($V712="Prima",$K712*$H712*$I712,""))))))</f>
        <v/>
      </c>
      <c r="AE712" s="12" t="str">
        <f aca="false">IF(OR($C712="",$M712="Abierta",$M712=""),"",(N($K712)-IF(OR($M712="Cerrada",$M712="Rolada"),N($O712),0))*$H712*$I712*IF($U712="Débito",-1,1)-N($L712)-N($P712))</f>
        <v/>
      </c>
      <c r="AF712" s="14" t="str">
        <f aca="false">IF(OR($AE712="",$AD712=""),"",IF($AD712&lt;=0,"",$AE712/$AD712))</f>
        <v/>
      </c>
      <c r="AG712" s="14" t="str">
        <f aca="false">IF($AF712="","",$AF712*365/MAX(N($X712),1))</f>
        <v/>
      </c>
      <c r="AH712" s="14" t="str">
        <f aca="false">IF(OR($C712="",$U712&lt;&gt;"Crédito",$AD712=""),"",IF($AD712&lt;=0,"",($Z712-N($L712))/$AD712))</f>
        <v/>
      </c>
      <c r="AI712" s="14" t="str">
        <f aca="false">IF(OR($AH712="",$W712=""),"",$AH712*365/MAX($W712,1))</f>
        <v/>
      </c>
      <c r="AJ712" s="14" t="str">
        <f aca="false">IF(OR($AE712="",$U712&lt;&gt;"Crédito",N($K712)=0),"",(N($K712)-IF(OR($M712="Cerrada",$M712="Rolada"),N($O712),0))/$K712)</f>
        <v/>
      </c>
      <c r="AK712" s="15" t="str">
        <f aca="false">IF(OR($C712="",$N712=""),"",DATE(YEAR($N712),MONTH($N712),1))</f>
        <v/>
      </c>
      <c r="AL712" s="11" t="str">
        <f aca="false">IF($C712="","",IF($M712="Abierta",0,1))</f>
        <v/>
      </c>
      <c r="AM712" s="16" t="str">
        <f aca="false">IF(OR($AE712="",$AD712=""),"",$AD712*MAX(N($X712),1))</f>
        <v/>
      </c>
      <c r="AN712" s="10" t="str">
        <f aca="false">IF($C712="","",IF(OR($B712="",$D712="",$H712="",$K712="",$M712=""),"Faltan datos obligatorios",IF($T712="","Estrategia no reconocida",IF(AND($M712&lt;&gt;"Abierta",$N712=""),"Falta fecha cierre",IF(AND(OR($M712="Cerrada",$M712="Rolada"),$O712=""),"Falta prima cierre",IF(AND($N712&lt;&gt;"",$N712&lt;$B712),"Cierre anterior a apertura",IF(AND($M712="Asignada",$R712=""),"Asignada: falta ID lote acciones",IF(AND($R712&lt;&gt;"",ISNA(MATCH($R712,Acciones!$A$2:$A$201,0))),"El ID lote no existe en Acciones",IF($AD712="","Revisa capital en riesgo","OK")))))))))</f>
        <v/>
      </c>
    </row>
    <row r="713" customFormat="false" ht="15" hidden="false" customHeight="true" outlineLevel="0" collapsed="false">
      <c r="A713" s="5"/>
      <c r="B713" s="6"/>
      <c r="C713" s="7"/>
      <c r="D713" s="7"/>
      <c r="E713" s="8"/>
      <c r="F713" s="8"/>
      <c r="G713" s="6"/>
      <c r="H713" s="5"/>
      <c r="I713" s="5" t="n">
        <v>100</v>
      </c>
      <c r="J713" s="8"/>
      <c r="K713" s="8"/>
      <c r="L713" s="9"/>
      <c r="M713" s="7"/>
      <c r="N713" s="6"/>
      <c r="O713" s="8"/>
      <c r="P713" s="9"/>
      <c r="Q713" s="9"/>
      <c r="R713" s="7"/>
      <c r="S713" s="7"/>
      <c r="T713" s="10" t="str">
        <f aca="false">IF($C713="","",IFERROR(INDEX(Listas!$B$2:$B$20,MATCH($D713,Listas!$A$2:$A$20,0)),""))</f>
        <v/>
      </c>
      <c r="U713" s="10" t="str">
        <f aca="false">IF($C713="","",IFERROR(INDEX(Listas!$C$2:$C$20,MATCH($D713,Listas!$A$2:$A$20,0)),""))</f>
        <v/>
      </c>
      <c r="V713" s="10" t="str">
        <f aca="false">IF($C713="","",IFERROR(INDEX(Listas!$D$2:$D$20,MATCH($D713,Listas!$A$2:$A$20,0)),""))</f>
        <v/>
      </c>
      <c r="W713" s="11" t="str">
        <f aca="false">IF(OR($C713="",$B713="",$G713=""),"",$G713-$B713)</f>
        <v/>
      </c>
      <c r="X713" s="11" t="str">
        <f aca="true">IF(OR($C713="",$B713=""),"",IF($N713&lt;&gt;"",$N713,TODAY())-$B713)</f>
        <v/>
      </c>
      <c r="Y713" s="11" t="str">
        <f aca="true">IF(OR($C713="",$M713&lt;&gt;"Abierta",$G713=""),"",MAX($G713-TODAY(),0))</f>
        <v/>
      </c>
      <c r="Z713" s="12" t="str">
        <f aca="false">IF($C713="","",N($K713)*N($H713)*N($I713)*IF($U713="Débito",-1,1))</f>
        <v/>
      </c>
      <c r="AA713" s="13" t="str">
        <f aca="false">IF($C713="","",IF(AND($U713="Débito",$F713&lt;&gt;""),$F713,$E713))</f>
        <v/>
      </c>
      <c r="AB713" s="13" t="str">
        <f aca="false">IF(OR($C713="",$T713="Mixta",$AA713=""),"",IF($V713="Subyacente",IF($J713="","",$J713-$K713),IF($T713="Put",$AA713-$K713,$AA713+$K713)))</f>
        <v/>
      </c>
      <c r="AC713" s="14" t="str">
        <f aca="false">IF(OR($C713="",$T713="Mixta",$J713="",$AA713=""),"",IF($T713="Put",($J713-$AA713)/$J713,($AA713-$J713)/$J713))</f>
        <v/>
      </c>
      <c r="AD713" s="12" t="str">
        <f aca="false">IF($C713="","",IF($Q713&lt;&gt;"",$Q713,IF($V713="Strike",N($E713)*$H713*$I713,IF($V713="Subyacente",IF($J713="","",$J713*$H713*$I713),IF($V713="Ancho",IF($F713="","",ABS($E713-$F713)*$H713*$I713-$K713*$H713*$I713),IF($V713="Prima",$K713*$H713*$I713,""))))))</f>
        <v/>
      </c>
      <c r="AE713" s="12" t="str">
        <f aca="false">IF(OR($C713="",$M713="Abierta",$M713=""),"",(N($K713)-IF(OR($M713="Cerrada",$M713="Rolada"),N($O713),0))*$H713*$I713*IF($U713="Débito",-1,1)-N($L713)-N($P713))</f>
        <v/>
      </c>
      <c r="AF713" s="14" t="str">
        <f aca="false">IF(OR($AE713="",$AD713=""),"",IF($AD713&lt;=0,"",$AE713/$AD713))</f>
        <v/>
      </c>
      <c r="AG713" s="14" t="str">
        <f aca="false">IF($AF713="","",$AF713*365/MAX(N($X713),1))</f>
        <v/>
      </c>
      <c r="AH713" s="14" t="str">
        <f aca="false">IF(OR($C713="",$U713&lt;&gt;"Crédito",$AD713=""),"",IF($AD713&lt;=0,"",($Z713-N($L713))/$AD713))</f>
        <v/>
      </c>
      <c r="AI713" s="14" t="str">
        <f aca="false">IF(OR($AH713="",$W713=""),"",$AH713*365/MAX($W713,1))</f>
        <v/>
      </c>
      <c r="AJ713" s="14" t="str">
        <f aca="false">IF(OR($AE713="",$U713&lt;&gt;"Crédito",N($K713)=0),"",(N($K713)-IF(OR($M713="Cerrada",$M713="Rolada"),N($O713),0))/$K713)</f>
        <v/>
      </c>
      <c r="AK713" s="15" t="str">
        <f aca="false">IF(OR($C713="",$N713=""),"",DATE(YEAR($N713),MONTH($N713),1))</f>
        <v/>
      </c>
      <c r="AL713" s="11" t="str">
        <f aca="false">IF($C713="","",IF($M713="Abierta",0,1))</f>
        <v/>
      </c>
      <c r="AM713" s="16" t="str">
        <f aca="false">IF(OR($AE713="",$AD713=""),"",$AD713*MAX(N($X713),1))</f>
        <v/>
      </c>
      <c r="AN713" s="10" t="str">
        <f aca="false">IF($C713="","",IF(OR($B713="",$D713="",$H713="",$K713="",$M713=""),"Faltan datos obligatorios",IF($T713="","Estrategia no reconocida",IF(AND($M713&lt;&gt;"Abierta",$N713=""),"Falta fecha cierre",IF(AND(OR($M713="Cerrada",$M713="Rolada"),$O713=""),"Falta prima cierre",IF(AND($N713&lt;&gt;"",$N713&lt;$B713),"Cierre anterior a apertura",IF(AND($M713="Asignada",$R713=""),"Asignada: falta ID lote acciones",IF(AND($R713&lt;&gt;"",ISNA(MATCH($R713,Acciones!$A$2:$A$201,0))),"El ID lote no existe en Acciones",IF($AD713="","Revisa capital en riesgo","OK")))))))))</f>
        <v/>
      </c>
    </row>
    <row r="714" customFormat="false" ht="15" hidden="false" customHeight="true" outlineLevel="0" collapsed="false">
      <c r="A714" s="5"/>
      <c r="B714" s="6"/>
      <c r="C714" s="7"/>
      <c r="D714" s="7"/>
      <c r="E714" s="8"/>
      <c r="F714" s="8"/>
      <c r="G714" s="6"/>
      <c r="H714" s="5"/>
      <c r="I714" s="5" t="n">
        <v>100</v>
      </c>
      <c r="J714" s="8"/>
      <c r="K714" s="8"/>
      <c r="L714" s="9"/>
      <c r="M714" s="7"/>
      <c r="N714" s="6"/>
      <c r="O714" s="8"/>
      <c r="P714" s="9"/>
      <c r="Q714" s="9"/>
      <c r="R714" s="7"/>
      <c r="S714" s="7"/>
      <c r="T714" s="10" t="str">
        <f aca="false">IF($C714="","",IFERROR(INDEX(Listas!$B$2:$B$20,MATCH($D714,Listas!$A$2:$A$20,0)),""))</f>
        <v/>
      </c>
      <c r="U714" s="10" t="str">
        <f aca="false">IF($C714="","",IFERROR(INDEX(Listas!$C$2:$C$20,MATCH($D714,Listas!$A$2:$A$20,0)),""))</f>
        <v/>
      </c>
      <c r="V714" s="10" t="str">
        <f aca="false">IF($C714="","",IFERROR(INDEX(Listas!$D$2:$D$20,MATCH($D714,Listas!$A$2:$A$20,0)),""))</f>
        <v/>
      </c>
      <c r="W714" s="11" t="str">
        <f aca="false">IF(OR($C714="",$B714="",$G714=""),"",$G714-$B714)</f>
        <v/>
      </c>
      <c r="X714" s="11" t="str">
        <f aca="true">IF(OR($C714="",$B714=""),"",IF($N714&lt;&gt;"",$N714,TODAY())-$B714)</f>
        <v/>
      </c>
      <c r="Y714" s="11" t="str">
        <f aca="true">IF(OR($C714="",$M714&lt;&gt;"Abierta",$G714=""),"",MAX($G714-TODAY(),0))</f>
        <v/>
      </c>
      <c r="Z714" s="12" t="str">
        <f aca="false">IF($C714="","",N($K714)*N($H714)*N($I714)*IF($U714="Débito",-1,1))</f>
        <v/>
      </c>
      <c r="AA714" s="13" t="str">
        <f aca="false">IF($C714="","",IF(AND($U714="Débito",$F714&lt;&gt;""),$F714,$E714))</f>
        <v/>
      </c>
      <c r="AB714" s="13" t="str">
        <f aca="false">IF(OR($C714="",$T714="Mixta",$AA714=""),"",IF($V714="Subyacente",IF($J714="","",$J714-$K714),IF($T714="Put",$AA714-$K714,$AA714+$K714)))</f>
        <v/>
      </c>
      <c r="AC714" s="14" t="str">
        <f aca="false">IF(OR($C714="",$T714="Mixta",$J714="",$AA714=""),"",IF($T714="Put",($J714-$AA714)/$J714,($AA714-$J714)/$J714))</f>
        <v/>
      </c>
      <c r="AD714" s="12" t="str">
        <f aca="false">IF($C714="","",IF($Q714&lt;&gt;"",$Q714,IF($V714="Strike",N($E714)*$H714*$I714,IF($V714="Subyacente",IF($J714="","",$J714*$H714*$I714),IF($V714="Ancho",IF($F714="","",ABS($E714-$F714)*$H714*$I714-$K714*$H714*$I714),IF($V714="Prima",$K714*$H714*$I714,""))))))</f>
        <v/>
      </c>
      <c r="AE714" s="12" t="str">
        <f aca="false">IF(OR($C714="",$M714="Abierta",$M714=""),"",(N($K714)-IF(OR($M714="Cerrada",$M714="Rolada"),N($O714),0))*$H714*$I714*IF($U714="Débito",-1,1)-N($L714)-N($P714))</f>
        <v/>
      </c>
      <c r="AF714" s="14" t="str">
        <f aca="false">IF(OR($AE714="",$AD714=""),"",IF($AD714&lt;=0,"",$AE714/$AD714))</f>
        <v/>
      </c>
      <c r="AG714" s="14" t="str">
        <f aca="false">IF($AF714="","",$AF714*365/MAX(N($X714),1))</f>
        <v/>
      </c>
      <c r="AH714" s="14" t="str">
        <f aca="false">IF(OR($C714="",$U714&lt;&gt;"Crédito",$AD714=""),"",IF($AD714&lt;=0,"",($Z714-N($L714))/$AD714))</f>
        <v/>
      </c>
      <c r="AI714" s="14" t="str">
        <f aca="false">IF(OR($AH714="",$W714=""),"",$AH714*365/MAX($W714,1))</f>
        <v/>
      </c>
      <c r="AJ714" s="14" t="str">
        <f aca="false">IF(OR($AE714="",$U714&lt;&gt;"Crédito",N($K714)=0),"",(N($K714)-IF(OR($M714="Cerrada",$M714="Rolada"),N($O714),0))/$K714)</f>
        <v/>
      </c>
      <c r="AK714" s="15" t="str">
        <f aca="false">IF(OR($C714="",$N714=""),"",DATE(YEAR($N714),MONTH($N714),1))</f>
        <v/>
      </c>
      <c r="AL714" s="11" t="str">
        <f aca="false">IF($C714="","",IF($M714="Abierta",0,1))</f>
        <v/>
      </c>
      <c r="AM714" s="16" t="str">
        <f aca="false">IF(OR($AE714="",$AD714=""),"",$AD714*MAX(N($X714),1))</f>
        <v/>
      </c>
      <c r="AN714" s="10" t="str">
        <f aca="false">IF($C714="","",IF(OR($B714="",$D714="",$H714="",$K714="",$M714=""),"Faltan datos obligatorios",IF($T714="","Estrategia no reconocida",IF(AND($M714&lt;&gt;"Abierta",$N714=""),"Falta fecha cierre",IF(AND(OR($M714="Cerrada",$M714="Rolada"),$O714=""),"Falta prima cierre",IF(AND($N714&lt;&gt;"",$N714&lt;$B714),"Cierre anterior a apertura",IF(AND($M714="Asignada",$R714=""),"Asignada: falta ID lote acciones",IF(AND($R714&lt;&gt;"",ISNA(MATCH($R714,Acciones!$A$2:$A$201,0))),"El ID lote no existe en Acciones",IF($AD714="","Revisa capital en riesgo","OK")))))))))</f>
        <v/>
      </c>
    </row>
    <row r="715" customFormat="false" ht="15" hidden="false" customHeight="true" outlineLevel="0" collapsed="false">
      <c r="A715" s="5"/>
      <c r="B715" s="6"/>
      <c r="C715" s="7"/>
      <c r="D715" s="7"/>
      <c r="E715" s="8"/>
      <c r="F715" s="8"/>
      <c r="G715" s="6"/>
      <c r="H715" s="5"/>
      <c r="I715" s="5" t="n">
        <v>100</v>
      </c>
      <c r="J715" s="8"/>
      <c r="K715" s="8"/>
      <c r="L715" s="9"/>
      <c r="M715" s="7"/>
      <c r="N715" s="6"/>
      <c r="O715" s="8"/>
      <c r="P715" s="9"/>
      <c r="Q715" s="9"/>
      <c r="R715" s="7"/>
      <c r="S715" s="7"/>
      <c r="T715" s="10" t="str">
        <f aca="false">IF($C715="","",IFERROR(INDEX(Listas!$B$2:$B$20,MATCH($D715,Listas!$A$2:$A$20,0)),""))</f>
        <v/>
      </c>
      <c r="U715" s="10" t="str">
        <f aca="false">IF($C715="","",IFERROR(INDEX(Listas!$C$2:$C$20,MATCH($D715,Listas!$A$2:$A$20,0)),""))</f>
        <v/>
      </c>
      <c r="V715" s="10" t="str">
        <f aca="false">IF($C715="","",IFERROR(INDEX(Listas!$D$2:$D$20,MATCH($D715,Listas!$A$2:$A$20,0)),""))</f>
        <v/>
      </c>
      <c r="W715" s="11" t="str">
        <f aca="false">IF(OR($C715="",$B715="",$G715=""),"",$G715-$B715)</f>
        <v/>
      </c>
      <c r="X715" s="11" t="str">
        <f aca="true">IF(OR($C715="",$B715=""),"",IF($N715&lt;&gt;"",$N715,TODAY())-$B715)</f>
        <v/>
      </c>
      <c r="Y715" s="11" t="str">
        <f aca="true">IF(OR($C715="",$M715&lt;&gt;"Abierta",$G715=""),"",MAX($G715-TODAY(),0))</f>
        <v/>
      </c>
      <c r="Z715" s="12" t="str">
        <f aca="false">IF($C715="","",N($K715)*N($H715)*N($I715)*IF($U715="Débito",-1,1))</f>
        <v/>
      </c>
      <c r="AA715" s="13" t="str">
        <f aca="false">IF($C715="","",IF(AND($U715="Débito",$F715&lt;&gt;""),$F715,$E715))</f>
        <v/>
      </c>
      <c r="AB715" s="13" t="str">
        <f aca="false">IF(OR($C715="",$T715="Mixta",$AA715=""),"",IF($V715="Subyacente",IF($J715="","",$J715-$K715),IF($T715="Put",$AA715-$K715,$AA715+$K715)))</f>
        <v/>
      </c>
      <c r="AC715" s="14" t="str">
        <f aca="false">IF(OR($C715="",$T715="Mixta",$J715="",$AA715=""),"",IF($T715="Put",($J715-$AA715)/$J715,($AA715-$J715)/$J715))</f>
        <v/>
      </c>
      <c r="AD715" s="12" t="str">
        <f aca="false">IF($C715="","",IF($Q715&lt;&gt;"",$Q715,IF($V715="Strike",N($E715)*$H715*$I715,IF($V715="Subyacente",IF($J715="","",$J715*$H715*$I715),IF($V715="Ancho",IF($F715="","",ABS($E715-$F715)*$H715*$I715-$K715*$H715*$I715),IF($V715="Prima",$K715*$H715*$I715,""))))))</f>
        <v/>
      </c>
      <c r="AE715" s="12" t="str">
        <f aca="false">IF(OR($C715="",$M715="Abierta",$M715=""),"",(N($K715)-IF(OR($M715="Cerrada",$M715="Rolada"),N($O715),0))*$H715*$I715*IF($U715="Débito",-1,1)-N($L715)-N($P715))</f>
        <v/>
      </c>
      <c r="AF715" s="14" t="str">
        <f aca="false">IF(OR($AE715="",$AD715=""),"",IF($AD715&lt;=0,"",$AE715/$AD715))</f>
        <v/>
      </c>
      <c r="AG715" s="14" t="str">
        <f aca="false">IF($AF715="","",$AF715*365/MAX(N($X715),1))</f>
        <v/>
      </c>
      <c r="AH715" s="14" t="str">
        <f aca="false">IF(OR($C715="",$U715&lt;&gt;"Crédito",$AD715=""),"",IF($AD715&lt;=0,"",($Z715-N($L715))/$AD715))</f>
        <v/>
      </c>
      <c r="AI715" s="14" t="str">
        <f aca="false">IF(OR($AH715="",$W715=""),"",$AH715*365/MAX($W715,1))</f>
        <v/>
      </c>
      <c r="AJ715" s="14" t="str">
        <f aca="false">IF(OR($AE715="",$U715&lt;&gt;"Crédito",N($K715)=0),"",(N($K715)-IF(OR($M715="Cerrada",$M715="Rolada"),N($O715),0))/$K715)</f>
        <v/>
      </c>
      <c r="AK715" s="15" t="str">
        <f aca="false">IF(OR($C715="",$N715=""),"",DATE(YEAR($N715),MONTH($N715),1))</f>
        <v/>
      </c>
      <c r="AL715" s="11" t="str">
        <f aca="false">IF($C715="","",IF($M715="Abierta",0,1))</f>
        <v/>
      </c>
      <c r="AM715" s="16" t="str">
        <f aca="false">IF(OR($AE715="",$AD715=""),"",$AD715*MAX(N($X715),1))</f>
        <v/>
      </c>
      <c r="AN715" s="10" t="str">
        <f aca="false">IF($C715="","",IF(OR($B715="",$D715="",$H715="",$K715="",$M715=""),"Faltan datos obligatorios",IF($T715="","Estrategia no reconocida",IF(AND($M715&lt;&gt;"Abierta",$N715=""),"Falta fecha cierre",IF(AND(OR($M715="Cerrada",$M715="Rolada"),$O715=""),"Falta prima cierre",IF(AND($N715&lt;&gt;"",$N715&lt;$B715),"Cierre anterior a apertura",IF(AND($M715="Asignada",$R715=""),"Asignada: falta ID lote acciones",IF(AND($R715&lt;&gt;"",ISNA(MATCH($R715,Acciones!$A$2:$A$201,0))),"El ID lote no existe en Acciones",IF($AD715="","Revisa capital en riesgo","OK")))))))))</f>
        <v/>
      </c>
    </row>
    <row r="716" customFormat="false" ht="15" hidden="false" customHeight="true" outlineLevel="0" collapsed="false">
      <c r="A716" s="5"/>
      <c r="B716" s="6"/>
      <c r="C716" s="7"/>
      <c r="D716" s="7"/>
      <c r="E716" s="8"/>
      <c r="F716" s="8"/>
      <c r="G716" s="6"/>
      <c r="H716" s="5"/>
      <c r="I716" s="5" t="n">
        <v>100</v>
      </c>
      <c r="J716" s="8"/>
      <c r="K716" s="8"/>
      <c r="L716" s="9"/>
      <c r="M716" s="7"/>
      <c r="N716" s="6"/>
      <c r="O716" s="8"/>
      <c r="P716" s="9"/>
      <c r="Q716" s="9"/>
      <c r="R716" s="7"/>
      <c r="S716" s="7"/>
      <c r="T716" s="10" t="str">
        <f aca="false">IF($C716="","",IFERROR(INDEX(Listas!$B$2:$B$20,MATCH($D716,Listas!$A$2:$A$20,0)),""))</f>
        <v/>
      </c>
      <c r="U716" s="10" t="str">
        <f aca="false">IF($C716="","",IFERROR(INDEX(Listas!$C$2:$C$20,MATCH($D716,Listas!$A$2:$A$20,0)),""))</f>
        <v/>
      </c>
      <c r="V716" s="10" t="str">
        <f aca="false">IF($C716="","",IFERROR(INDEX(Listas!$D$2:$D$20,MATCH($D716,Listas!$A$2:$A$20,0)),""))</f>
        <v/>
      </c>
      <c r="W716" s="11" t="str">
        <f aca="false">IF(OR($C716="",$B716="",$G716=""),"",$G716-$B716)</f>
        <v/>
      </c>
      <c r="X716" s="11" t="str">
        <f aca="true">IF(OR($C716="",$B716=""),"",IF($N716&lt;&gt;"",$N716,TODAY())-$B716)</f>
        <v/>
      </c>
      <c r="Y716" s="11" t="str">
        <f aca="true">IF(OR($C716="",$M716&lt;&gt;"Abierta",$G716=""),"",MAX($G716-TODAY(),0))</f>
        <v/>
      </c>
      <c r="Z716" s="12" t="str">
        <f aca="false">IF($C716="","",N($K716)*N($H716)*N($I716)*IF($U716="Débito",-1,1))</f>
        <v/>
      </c>
      <c r="AA716" s="13" t="str">
        <f aca="false">IF($C716="","",IF(AND($U716="Débito",$F716&lt;&gt;""),$F716,$E716))</f>
        <v/>
      </c>
      <c r="AB716" s="13" t="str">
        <f aca="false">IF(OR($C716="",$T716="Mixta",$AA716=""),"",IF($V716="Subyacente",IF($J716="","",$J716-$K716),IF($T716="Put",$AA716-$K716,$AA716+$K716)))</f>
        <v/>
      </c>
      <c r="AC716" s="14" t="str">
        <f aca="false">IF(OR($C716="",$T716="Mixta",$J716="",$AA716=""),"",IF($T716="Put",($J716-$AA716)/$J716,($AA716-$J716)/$J716))</f>
        <v/>
      </c>
      <c r="AD716" s="12" t="str">
        <f aca="false">IF($C716="","",IF($Q716&lt;&gt;"",$Q716,IF($V716="Strike",N($E716)*$H716*$I716,IF($V716="Subyacente",IF($J716="","",$J716*$H716*$I716),IF($V716="Ancho",IF($F716="","",ABS($E716-$F716)*$H716*$I716-$K716*$H716*$I716),IF($V716="Prima",$K716*$H716*$I716,""))))))</f>
        <v/>
      </c>
      <c r="AE716" s="12" t="str">
        <f aca="false">IF(OR($C716="",$M716="Abierta",$M716=""),"",(N($K716)-IF(OR($M716="Cerrada",$M716="Rolada"),N($O716),0))*$H716*$I716*IF($U716="Débito",-1,1)-N($L716)-N($P716))</f>
        <v/>
      </c>
      <c r="AF716" s="14" t="str">
        <f aca="false">IF(OR($AE716="",$AD716=""),"",IF($AD716&lt;=0,"",$AE716/$AD716))</f>
        <v/>
      </c>
      <c r="AG716" s="14" t="str">
        <f aca="false">IF($AF716="","",$AF716*365/MAX(N($X716),1))</f>
        <v/>
      </c>
      <c r="AH716" s="14" t="str">
        <f aca="false">IF(OR($C716="",$U716&lt;&gt;"Crédito",$AD716=""),"",IF($AD716&lt;=0,"",($Z716-N($L716))/$AD716))</f>
        <v/>
      </c>
      <c r="AI716" s="14" t="str">
        <f aca="false">IF(OR($AH716="",$W716=""),"",$AH716*365/MAX($W716,1))</f>
        <v/>
      </c>
      <c r="AJ716" s="14" t="str">
        <f aca="false">IF(OR($AE716="",$U716&lt;&gt;"Crédito",N($K716)=0),"",(N($K716)-IF(OR($M716="Cerrada",$M716="Rolada"),N($O716),0))/$K716)</f>
        <v/>
      </c>
      <c r="AK716" s="15" t="str">
        <f aca="false">IF(OR($C716="",$N716=""),"",DATE(YEAR($N716),MONTH($N716),1))</f>
        <v/>
      </c>
      <c r="AL716" s="11" t="str">
        <f aca="false">IF($C716="","",IF($M716="Abierta",0,1))</f>
        <v/>
      </c>
      <c r="AM716" s="16" t="str">
        <f aca="false">IF(OR($AE716="",$AD716=""),"",$AD716*MAX(N($X716),1))</f>
        <v/>
      </c>
      <c r="AN716" s="10" t="str">
        <f aca="false">IF($C716="","",IF(OR($B716="",$D716="",$H716="",$K716="",$M716=""),"Faltan datos obligatorios",IF($T716="","Estrategia no reconocida",IF(AND($M716&lt;&gt;"Abierta",$N716=""),"Falta fecha cierre",IF(AND(OR($M716="Cerrada",$M716="Rolada"),$O716=""),"Falta prima cierre",IF(AND($N716&lt;&gt;"",$N716&lt;$B716),"Cierre anterior a apertura",IF(AND($M716="Asignada",$R716=""),"Asignada: falta ID lote acciones",IF(AND($R716&lt;&gt;"",ISNA(MATCH($R716,Acciones!$A$2:$A$201,0))),"El ID lote no existe en Acciones",IF($AD716="","Revisa capital en riesgo","OK")))))))))</f>
        <v/>
      </c>
    </row>
    <row r="717" customFormat="false" ht="15" hidden="false" customHeight="true" outlineLevel="0" collapsed="false">
      <c r="A717" s="5"/>
      <c r="B717" s="6"/>
      <c r="C717" s="7"/>
      <c r="D717" s="7"/>
      <c r="E717" s="8"/>
      <c r="F717" s="8"/>
      <c r="G717" s="6"/>
      <c r="H717" s="5"/>
      <c r="I717" s="5" t="n">
        <v>100</v>
      </c>
      <c r="J717" s="8"/>
      <c r="K717" s="8"/>
      <c r="L717" s="9"/>
      <c r="M717" s="7"/>
      <c r="N717" s="6"/>
      <c r="O717" s="8"/>
      <c r="P717" s="9"/>
      <c r="Q717" s="9"/>
      <c r="R717" s="7"/>
      <c r="S717" s="7"/>
      <c r="T717" s="10" t="str">
        <f aca="false">IF($C717="","",IFERROR(INDEX(Listas!$B$2:$B$20,MATCH($D717,Listas!$A$2:$A$20,0)),""))</f>
        <v/>
      </c>
      <c r="U717" s="10" t="str">
        <f aca="false">IF($C717="","",IFERROR(INDEX(Listas!$C$2:$C$20,MATCH($D717,Listas!$A$2:$A$20,0)),""))</f>
        <v/>
      </c>
      <c r="V717" s="10" t="str">
        <f aca="false">IF($C717="","",IFERROR(INDEX(Listas!$D$2:$D$20,MATCH($D717,Listas!$A$2:$A$20,0)),""))</f>
        <v/>
      </c>
      <c r="W717" s="11" t="str">
        <f aca="false">IF(OR($C717="",$B717="",$G717=""),"",$G717-$B717)</f>
        <v/>
      </c>
      <c r="X717" s="11" t="str">
        <f aca="true">IF(OR($C717="",$B717=""),"",IF($N717&lt;&gt;"",$N717,TODAY())-$B717)</f>
        <v/>
      </c>
      <c r="Y717" s="11" t="str">
        <f aca="true">IF(OR($C717="",$M717&lt;&gt;"Abierta",$G717=""),"",MAX($G717-TODAY(),0))</f>
        <v/>
      </c>
      <c r="Z717" s="12" t="str">
        <f aca="false">IF($C717="","",N($K717)*N($H717)*N($I717)*IF($U717="Débito",-1,1))</f>
        <v/>
      </c>
      <c r="AA717" s="13" t="str">
        <f aca="false">IF($C717="","",IF(AND($U717="Débito",$F717&lt;&gt;""),$F717,$E717))</f>
        <v/>
      </c>
      <c r="AB717" s="13" t="str">
        <f aca="false">IF(OR($C717="",$T717="Mixta",$AA717=""),"",IF($V717="Subyacente",IF($J717="","",$J717-$K717),IF($T717="Put",$AA717-$K717,$AA717+$K717)))</f>
        <v/>
      </c>
      <c r="AC717" s="14" t="str">
        <f aca="false">IF(OR($C717="",$T717="Mixta",$J717="",$AA717=""),"",IF($T717="Put",($J717-$AA717)/$J717,($AA717-$J717)/$J717))</f>
        <v/>
      </c>
      <c r="AD717" s="12" t="str">
        <f aca="false">IF($C717="","",IF($Q717&lt;&gt;"",$Q717,IF($V717="Strike",N($E717)*$H717*$I717,IF($V717="Subyacente",IF($J717="","",$J717*$H717*$I717),IF($V717="Ancho",IF($F717="","",ABS($E717-$F717)*$H717*$I717-$K717*$H717*$I717),IF($V717="Prima",$K717*$H717*$I717,""))))))</f>
        <v/>
      </c>
      <c r="AE717" s="12" t="str">
        <f aca="false">IF(OR($C717="",$M717="Abierta",$M717=""),"",(N($K717)-IF(OR($M717="Cerrada",$M717="Rolada"),N($O717),0))*$H717*$I717*IF($U717="Débito",-1,1)-N($L717)-N($P717))</f>
        <v/>
      </c>
      <c r="AF717" s="14" t="str">
        <f aca="false">IF(OR($AE717="",$AD717=""),"",IF($AD717&lt;=0,"",$AE717/$AD717))</f>
        <v/>
      </c>
      <c r="AG717" s="14" t="str">
        <f aca="false">IF($AF717="","",$AF717*365/MAX(N($X717),1))</f>
        <v/>
      </c>
      <c r="AH717" s="14" t="str">
        <f aca="false">IF(OR($C717="",$U717&lt;&gt;"Crédito",$AD717=""),"",IF($AD717&lt;=0,"",($Z717-N($L717))/$AD717))</f>
        <v/>
      </c>
      <c r="AI717" s="14" t="str">
        <f aca="false">IF(OR($AH717="",$W717=""),"",$AH717*365/MAX($W717,1))</f>
        <v/>
      </c>
      <c r="AJ717" s="14" t="str">
        <f aca="false">IF(OR($AE717="",$U717&lt;&gt;"Crédito",N($K717)=0),"",(N($K717)-IF(OR($M717="Cerrada",$M717="Rolada"),N($O717),0))/$K717)</f>
        <v/>
      </c>
      <c r="AK717" s="15" t="str">
        <f aca="false">IF(OR($C717="",$N717=""),"",DATE(YEAR($N717),MONTH($N717),1))</f>
        <v/>
      </c>
      <c r="AL717" s="11" t="str">
        <f aca="false">IF($C717="","",IF($M717="Abierta",0,1))</f>
        <v/>
      </c>
      <c r="AM717" s="16" t="str">
        <f aca="false">IF(OR($AE717="",$AD717=""),"",$AD717*MAX(N($X717),1))</f>
        <v/>
      </c>
      <c r="AN717" s="10" t="str">
        <f aca="false">IF($C717="","",IF(OR($B717="",$D717="",$H717="",$K717="",$M717=""),"Faltan datos obligatorios",IF($T717="","Estrategia no reconocida",IF(AND($M717&lt;&gt;"Abierta",$N717=""),"Falta fecha cierre",IF(AND(OR($M717="Cerrada",$M717="Rolada"),$O717=""),"Falta prima cierre",IF(AND($N717&lt;&gt;"",$N717&lt;$B717),"Cierre anterior a apertura",IF(AND($M717="Asignada",$R717=""),"Asignada: falta ID lote acciones",IF(AND($R717&lt;&gt;"",ISNA(MATCH($R717,Acciones!$A$2:$A$201,0))),"El ID lote no existe en Acciones",IF($AD717="","Revisa capital en riesgo","OK")))))))))</f>
        <v/>
      </c>
    </row>
    <row r="718" customFormat="false" ht="15" hidden="false" customHeight="true" outlineLevel="0" collapsed="false">
      <c r="A718" s="5"/>
      <c r="B718" s="6"/>
      <c r="C718" s="7"/>
      <c r="D718" s="7"/>
      <c r="E718" s="8"/>
      <c r="F718" s="8"/>
      <c r="G718" s="6"/>
      <c r="H718" s="5"/>
      <c r="I718" s="5" t="n">
        <v>100</v>
      </c>
      <c r="J718" s="8"/>
      <c r="K718" s="8"/>
      <c r="L718" s="9"/>
      <c r="M718" s="7"/>
      <c r="N718" s="6"/>
      <c r="O718" s="8"/>
      <c r="P718" s="9"/>
      <c r="Q718" s="9"/>
      <c r="R718" s="7"/>
      <c r="S718" s="7"/>
      <c r="T718" s="10" t="str">
        <f aca="false">IF($C718="","",IFERROR(INDEX(Listas!$B$2:$B$20,MATCH($D718,Listas!$A$2:$A$20,0)),""))</f>
        <v/>
      </c>
      <c r="U718" s="10" t="str">
        <f aca="false">IF($C718="","",IFERROR(INDEX(Listas!$C$2:$C$20,MATCH($D718,Listas!$A$2:$A$20,0)),""))</f>
        <v/>
      </c>
      <c r="V718" s="10" t="str">
        <f aca="false">IF($C718="","",IFERROR(INDEX(Listas!$D$2:$D$20,MATCH($D718,Listas!$A$2:$A$20,0)),""))</f>
        <v/>
      </c>
      <c r="W718" s="11" t="str">
        <f aca="false">IF(OR($C718="",$B718="",$G718=""),"",$G718-$B718)</f>
        <v/>
      </c>
      <c r="X718" s="11" t="str">
        <f aca="true">IF(OR($C718="",$B718=""),"",IF($N718&lt;&gt;"",$N718,TODAY())-$B718)</f>
        <v/>
      </c>
      <c r="Y718" s="11" t="str">
        <f aca="true">IF(OR($C718="",$M718&lt;&gt;"Abierta",$G718=""),"",MAX($G718-TODAY(),0))</f>
        <v/>
      </c>
      <c r="Z718" s="12" t="str">
        <f aca="false">IF($C718="","",N($K718)*N($H718)*N($I718)*IF($U718="Débito",-1,1))</f>
        <v/>
      </c>
      <c r="AA718" s="13" t="str">
        <f aca="false">IF($C718="","",IF(AND($U718="Débito",$F718&lt;&gt;""),$F718,$E718))</f>
        <v/>
      </c>
      <c r="AB718" s="13" t="str">
        <f aca="false">IF(OR($C718="",$T718="Mixta",$AA718=""),"",IF($V718="Subyacente",IF($J718="","",$J718-$K718),IF($T718="Put",$AA718-$K718,$AA718+$K718)))</f>
        <v/>
      </c>
      <c r="AC718" s="14" t="str">
        <f aca="false">IF(OR($C718="",$T718="Mixta",$J718="",$AA718=""),"",IF($T718="Put",($J718-$AA718)/$J718,($AA718-$J718)/$J718))</f>
        <v/>
      </c>
      <c r="AD718" s="12" t="str">
        <f aca="false">IF($C718="","",IF($Q718&lt;&gt;"",$Q718,IF($V718="Strike",N($E718)*$H718*$I718,IF($V718="Subyacente",IF($J718="","",$J718*$H718*$I718),IF($V718="Ancho",IF($F718="","",ABS($E718-$F718)*$H718*$I718-$K718*$H718*$I718),IF($V718="Prima",$K718*$H718*$I718,""))))))</f>
        <v/>
      </c>
      <c r="AE718" s="12" t="str">
        <f aca="false">IF(OR($C718="",$M718="Abierta",$M718=""),"",(N($K718)-IF(OR($M718="Cerrada",$M718="Rolada"),N($O718),0))*$H718*$I718*IF($U718="Débito",-1,1)-N($L718)-N($P718))</f>
        <v/>
      </c>
      <c r="AF718" s="14" t="str">
        <f aca="false">IF(OR($AE718="",$AD718=""),"",IF($AD718&lt;=0,"",$AE718/$AD718))</f>
        <v/>
      </c>
      <c r="AG718" s="14" t="str">
        <f aca="false">IF($AF718="","",$AF718*365/MAX(N($X718),1))</f>
        <v/>
      </c>
      <c r="AH718" s="14" t="str">
        <f aca="false">IF(OR($C718="",$U718&lt;&gt;"Crédito",$AD718=""),"",IF($AD718&lt;=0,"",($Z718-N($L718))/$AD718))</f>
        <v/>
      </c>
      <c r="AI718" s="14" t="str">
        <f aca="false">IF(OR($AH718="",$W718=""),"",$AH718*365/MAX($W718,1))</f>
        <v/>
      </c>
      <c r="AJ718" s="14" t="str">
        <f aca="false">IF(OR($AE718="",$U718&lt;&gt;"Crédito",N($K718)=0),"",(N($K718)-IF(OR($M718="Cerrada",$M718="Rolada"),N($O718),0))/$K718)</f>
        <v/>
      </c>
      <c r="AK718" s="15" t="str">
        <f aca="false">IF(OR($C718="",$N718=""),"",DATE(YEAR($N718),MONTH($N718),1))</f>
        <v/>
      </c>
      <c r="AL718" s="11" t="str">
        <f aca="false">IF($C718="","",IF($M718="Abierta",0,1))</f>
        <v/>
      </c>
      <c r="AM718" s="16" t="str">
        <f aca="false">IF(OR($AE718="",$AD718=""),"",$AD718*MAX(N($X718),1))</f>
        <v/>
      </c>
      <c r="AN718" s="10" t="str">
        <f aca="false">IF($C718="","",IF(OR($B718="",$D718="",$H718="",$K718="",$M718=""),"Faltan datos obligatorios",IF($T718="","Estrategia no reconocida",IF(AND($M718&lt;&gt;"Abierta",$N718=""),"Falta fecha cierre",IF(AND(OR($M718="Cerrada",$M718="Rolada"),$O718=""),"Falta prima cierre",IF(AND($N718&lt;&gt;"",$N718&lt;$B718),"Cierre anterior a apertura",IF(AND($M718="Asignada",$R718=""),"Asignada: falta ID lote acciones",IF(AND($R718&lt;&gt;"",ISNA(MATCH($R718,Acciones!$A$2:$A$201,0))),"El ID lote no existe en Acciones",IF($AD718="","Revisa capital en riesgo","OK")))))))))</f>
        <v/>
      </c>
    </row>
    <row r="719" customFormat="false" ht="15" hidden="false" customHeight="true" outlineLevel="0" collapsed="false">
      <c r="A719" s="5"/>
      <c r="B719" s="6"/>
      <c r="C719" s="7"/>
      <c r="D719" s="7"/>
      <c r="E719" s="8"/>
      <c r="F719" s="8"/>
      <c r="G719" s="6"/>
      <c r="H719" s="5"/>
      <c r="I719" s="5" t="n">
        <v>100</v>
      </c>
      <c r="J719" s="8"/>
      <c r="K719" s="8"/>
      <c r="L719" s="9"/>
      <c r="M719" s="7"/>
      <c r="N719" s="6"/>
      <c r="O719" s="8"/>
      <c r="P719" s="9"/>
      <c r="Q719" s="9"/>
      <c r="R719" s="7"/>
      <c r="S719" s="7"/>
      <c r="T719" s="10" t="str">
        <f aca="false">IF($C719="","",IFERROR(INDEX(Listas!$B$2:$B$20,MATCH($D719,Listas!$A$2:$A$20,0)),""))</f>
        <v/>
      </c>
      <c r="U719" s="10" t="str">
        <f aca="false">IF($C719="","",IFERROR(INDEX(Listas!$C$2:$C$20,MATCH($D719,Listas!$A$2:$A$20,0)),""))</f>
        <v/>
      </c>
      <c r="V719" s="10" t="str">
        <f aca="false">IF($C719="","",IFERROR(INDEX(Listas!$D$2:$D$20,MATCH($D719,Listas!$A$2:$A$20,0)),""))</f>
        <v/>
      </c>
      <c r="W719" s="11" t="str">
        <f aca="false">IF(OR($C719="",$B719="",$G719=""),"",$G719-$B719)</f>
        <v/>
      </c>
      <c r="X719" s="11" t="str">
        <f aca="true">IF(OR($C719="",$B719=""),"",IF($N719&lt;&gt;"",$N719,TODAY())-$B719)</f>
        <v/>
      </c>
      <c r="Y719" s="11" t="str">
        <f aca="true">IF(OR($C719="",$M719&lt;&gt;"Abierta",$G719=""),"",MAX($G719-TODAY(),0))</f>
        <v/>
      </c>
      <c r="Z719" s="12" t="str">
        <f aca="false">IF($C719="","",N($K719)*N($H719)*N($I719)*IF($U719="Débito",-1,1))</f>
        <v/>
      </c>
      <c r="AA719" s="13" t="str">
        <f aca="false">IF($C719="","",IF(AND($U719="Débito",$F719&lt;&gt;""),$F719,$E719))</f>
        <v/>
      </c>
      <c r="AB719" s="13" t="str">
        <f aca="false">IF(OR($C719="",$T719="Mixta",$AA719=""),"",IF($V719="Subyacente",IF($J719="","",$J719-$K719),IF($T719="Put",$AA719-$K719,$AA719+$K719)))</f>
        <v/>
      </c>
      <c r="AC719" s="14" t="str">
        <f aca="false">IF(OR($C719="",$T719="Mixta",$J719="",$AA719=""),"",IF($T719="Put",($J719-$AA719)/$J719,($AA719-$J719)/$J719))</f>
        <v/>
      </c>
      <c r="AD719" s="12" t="str">
        <f aca="false">IF($C719="","",IF($Q719&lt;&gt;"",$Q719,IF($V719="Strike",N($E719)*$H719*$I719,IF($V719="Subyacente",IF($J719="","",$J719*$H719*$I719),IF($V719="Ancho",IF($F719="","",ABS($E719-$F719)*$H719*$I719-$K719*$H719*$I719),IF($V719="Prima",$K719*$H719*$I719,""))))))</f>
        <v/>
      </c>
      <c r="AE719" s="12" t="str">
        <f aca="false">IF(OR($C719="",$M719="Abierta",$M719=""),"",(N($K719)-IF(OR($M719="Cerrada",$M719="Rolada"),N($O719),0))*$H719*$I719*IF($U719="Débito",-1,1)-N($L719)-N($P719))</f>
        <v/>
      </c>
      <c r="AF719" s="14" t="str">
        <f aca="false">IF(OR($AE719="",$AD719=""),"",IF($AD719&lt;=0,"",$AE719/$AD719))</f>
        <v/>
      </c>
      <c r="AG719" s="14" t="str">
        <f aca="false">IF($AF719="","",$AF719*365/MAX(N($X719),1))</f>
        <v/>
      </c>
      <c r="AH719" s="14" t="str">
        <f aca="false">IF(OR($C719="",$U719&lt;&gt;"Crédito",$AD719=""),"",IF($AD719&lt;=0,"",($Z719-N($L719))/$AD719))</f>
        <v/>
      </c>
      <c r="AI719" s="14" t="str">
        <f aca="false">IF(OR($AH719="",$W719=""),"",$AH719*365/MAX($W719,1))</f>
        <v/>
      </c>
      <c r="AJ719" s="14" t="str">
        <f aca="false">IF(OR($AE719="",$U719&lt;&gt;"Crédito",N($K719)=0),"",(N($K719)-IF(OR($M719="Cerrada",$M719="Rolada"),N($O719),0))/$K719)</f>
        <v/>
      </c>
      <c r="AK719" s="15" t="str">
        <f aca="false">IF(OR($C719="",$N719=""),"",DATE(YEAR($N719),MONTH($N719),1))</f>
        <v/>
      </c>
      <c r="AL719" s="11" t="str">
        <f aca="false">IF($C719="","",IF($M719="Abierta",0,1))</f>
        <v/>
      </c>
      <c r="AM719" s="16" t="str">
        <f aca="false">IF(OR($AE719="",$AD719=""),"",$AD719*MAX(N($X719),1))</f>
        <v/>
      </c>
      <c r="AN719" s="10" t="str">
        <f aca="false">IF($C719="","",IF(OR($B719="",$D719="",$H719="",$K719="",$M719=""),"Faltan datos obligatorios",IF($T719="","Estrategia no reconocida",IF(AND($M719&lt;&gt;"Abierta",$N719=""),"Falta fecha cierre",IF(AND(OR($M719="Cerrada",$M719="Rolada"),$O719=""),"Falta prima cierre",IF(AND($N719&lt;&gt;"",$N719&lt;$B719),"Cierre anterior a apertura",IF(AND($M719="Asignada",$R719=""),"Asignada: falta ID lote acciones",IF(AND($R719&lt;&gt;"",ISNA(MATCH($R719,Acciones!$A$2:$A$201,0))),"El ID lote no existe en Acciones",IF($AD719="","Revisa capital en riesgo","OK")))))))))</f>
        <v/>
      </c>
    </row>
    <row r="720" customFormat="false" ht="15" hidden="false" customHeight="true" outlineLevel="0" collapsed="false">
      <c r="A720" s="5"/>
      <c r="B720" s="6"/>
      <c r="C720" s="7"/>
      <c r="D720" s="7"/>
      <c r="E720" s="8"/>
      <c r="F720" s="8"/>
      <c r="G720" s="6"/>
      <c r="H720" s="5"/>
      <c r="I720" s="5" t="n">
        <v>100</v>
      </c>
      <c r="J720" s="8"/>
      <c r="K720" s="8"/>
      <c r="L720" s="9"/>
      <c r="M720" s="7"/>
      <c r="N720" s="6"/>
      <c r="O720" s="8"/>
      <c r="P720" s="9"/>
      <c r="Q720" s="9"/>
      <c r="R720" s="7"/>
      <c r="S720" s="7"/>
      <c r="T720" s="10" t="str">
        <f aca="false">IF($C720="","",IFERROR(INDEX(Listas!$B$2:$B$20,MATCH($D720,Listas!$A$2:$A$20,0)),""))</f>
        <v/>
      </c>
      <c r="U720" s="10" t="str">
        <f aca="false">IF($C720="","",IFERROR(INDEX(Listas!$C$2:$C$20,MATCH($D720,Listas!$A$2:$A$20,0)),""))</f>
        <v/>
      </c>
      <c r="V720" s="10" t="str">
        <f aca="false">IF($C720="","",IFERROR(INDEX(Listas!$D$2:$D$20,MATCH($D720,Listas!$A$2:$A$20,0)),""))</f>
        <v/>
      </c>
      <c r="W720" s="11" t="str">
        <f aca="false">IF(OR($C720="",$B720="",$G720=""),"",$G720-$B720)</f>
        <v/>
      </c>
      <c r="X720" s="11" t="str">
        <f aca="true">IF(OR($C720="",$B720=""),"",IF($N720&lt;&gt;"",$N720,TODAY())-$B720)</f>
        <v/>
      </c>
      <c r="Y720" s="11" t="str">
        <f aca="true">IF(OR($C720="",$M720&lt;&gt;"Abierta",$G720=""),"",MAX($G720-TODAY(),0))</f>
        <v/>
      </c>
      <c r="Z720" s="12" t="str">
        <f aca="false">IF($C720="","",N($K720)*N($H720)*N($I720)*IF($U720="Débito",-1,1))</f>
        <v/>
      </c>
      <c r="AA720" s="13" t="str">
        <f aca="false">IF($C720="","",IF(AND($U720="Débito",$F720&lt;&gt;""),$F720,$E720))</f>
        <v/>
      </c>
      <c r="AB720" s="13" t="str">
        <f aca="false">IF(OR($C720="",$T720="Mixta",$AA720=""),"",IF($V720="Subyacente",IF($J720="","",$J720-$K720),IF($T720="Put",$AA720-$K720,$AA720+$K720)))</f>
        <v/>
      </c>
      <c r="AC720" s="14" t="str">
        <f aca="false">IF(OR($C720="",$T720="Mixta",$J720="",$AA720=""),"",IF($T720="Put",($J720-$AA720)/$J720,($AA720-$J720)/$J720))</f>
        <v/>
      </c>
      <c r="AD720" s="12" t="str">
        <f aca="false">IF($C720="","",IF($Q720&lt;&gt;"",$Q720,IF($V720="Strike",N($E720)*$H720*$I720,IF($V720="Subyacente",IF($J720="","",$J720*$H720*$I720),IF($V720="Ancho",IF($F720="","",ABS($E720-$F720)*$H720*$I720-$K720*$H720*$I720),IF($V720="Prima",$K720*$H720*$I720,""))))))</f>
        <v/>
      </c>
      <c r="AE720" s="12" t="str">
        <f aca="false">IF(OR($C720="",$M720="Abierta",$M720=""),"",(N($K720)-IF(OR($M720="Cerrada",$M720="Rolada"),N($O720),0))*$H720*$I720*IF($U720="Débito",-1,1)-N($L720)-N($P720))</f>
        <v/>
      </c>
      <c r="AF720" s="14" t="str">
        <f aca="false">IF(OR($AE720="",$AD720=""),"",IF($AD720&lt;=0,"",$AE720/$AD720))</f>
        <v/>
      </c>
      <c r="AG720" s="14" t="str">
        <f aca="false">IF($AF720="","",$AF720*365/MAX(N($X720),1))</f>
        <v/>
      </c>
      <c r="AH720" s="14" t="str">
        <f aca="false">IF(OR($C720="",$U720&lt;&gt;"Crédito",$AD720=""),"",IF($AD720&lt;=0,"",($Z720-N($L720))/$AD720))</f>
        <v/>
      </c>
      <c r="AI720" s="14" t="str">
        <f aca="false">IF(OR($AH720="",$W720=""),"",$AH720*365/MAX($W720,1))</f>
        <v/>
      </c>
      <c r="AJ720" s="14" t="str">
        <f aca="false">IF(OR($AE720="",$U720&lt;&gt;"Crédito",N($K720)=0),"",(N($K720)-IF(OR($M720="Cerrada",$M720="Rolada"),N($O720),0))/$K720)</f>
        <v/>
      </c>
      <c r="AK720" s="15" t="str">
        <f aca="false">IF(OR($C720="",$N720=""),"",DATE(YEAR($N720),MONTH($N720),1))</f>
        <v/>
      </c>
      <c r="AL720" s="11" t="str">
        <f aca="false">IF($C720="","",IF($M720="Abierta",0,1))</f>
        <v/>
      </c>
      <c r="AM720" s="16" t="str">
        <f aca="false">IF(OR($AE720="",$AD720=""),"",$AD720*MAX(N($X720),1))</f>
        <v/>
      </c>
      <c r="AN720" s="10" t="str">
        <f aca="false">IF($C720="","",IF(OR($B720="",$D720="",$H720="",$K720="",$M720=""),"Faltan datos obligatorios",IF($T720="","Estrategia no reconocida",IF(AND($M720&lt;&gt;"Abierta",$N720=""),"Falta fecha cierre",IF(AND(OR($M720="Cerrada",$M720="Rolada"),$O720=""),"Falta prima cierre",IF(AND($N720&lt;&gt;"",$N720&lt;$B720),"Cierre anterior a apertura",IF(AND($M720="Asignada",$R720=""),"Asignada: falta ID lote acciones",IF(AND($R720&lt;&gt;"",ISNA(MATCH($R720,Acciones!$A$2:$A$201,0))),"El ID lote no existe en Acciones",IF($AD720="","Revisa capital en riesgo","OK")))))))))</f>
        <v/>
      </c>
    </row>
    <row r="721" customFormat="false" ht="15" hidden="false" customHeight="true" outlineLevel="0" collapsed="false">
      <c r="A721" s="5"/>
      <c r="B721" s="6"/>
      <c r="C721" s="7"/>
      <c r="D721" s="7"/>
      <c r="E721" s="8"/>
      <c r="F721" s="8"/>
      <c r="G721" s="6"/>
      <c r="H721" s="5"/>
      <c r="I721" s="5" t="n">
        <v>100</v>
      </c>
      <c r="J721" s="8"/>
      <c r="K721" s="8"/>
      <c r="L721" s="9"/>
      <c r="M721" s="7"/>
      <c r="N721" s="6"/>
      <c r="O721" s="8"/>
      <c r="P721" s="9"/>
      <c r="Q721" s="9"/>
      <c r="R721" s="7"/>
      <c r="S721" s="7"/>
      <c r="T721" s="10" t="str">
        <f aca="false">IF($C721="","",IFERROR(INDEX(Listas!$B$2:$B$20,MATCH($D721,Listas!$A$2:$A$20,0)),""))</f>
        <v/>
      </c>
      <c r="U721" s="10" t="str">
        <f aca="false">IF($C721="","",IFERROR(INDEX(Listas!$C$2:$C$20,MATCH($D721,Listas!$A$2:$A$20,0)),""))</f>
        <v/>
      </c>
      <c r="V721" s="10" t="str">
        <f aca="false">IF($C721="","",IFERROR(INDEX(Listas!$D$2:$D$20,MATCH($D721,Listas!$A$2:$A$20,0)),""))</f>
        <v/>
      </c>
      <c r="W721" s="11" t="str">
        <f aca="false">IF(OR($C721="",$B721="",$G721=""),"",$G721-$B721)</f>
        <v/>
      </c>
      <c r="X721" s="11" t="str">
        <f aca="true">IF(OR($C721="",$B721=""),"",IF($N721&lt;&gt;"",$N721,TODAY())-$B721)</f>
        <v/>
      </c>
      <c r="Y721" s="11" t="str">
        <f aca="true">IF(OR($C721="",$M721&lt;&gt;"Abierta",$G721=""),"",MAX($G721-TODAY(),0))</f>
        <v/>
      </c>
      <c r="Z721" s="12" t="str">
        <f aca="false">IF($C721="","",N($K721)*N($H721)*N($I721)*IF($U721="Débito",-1,1))</f>
        <v/>
      </c>
      <c r="AA721" s="13" t="str">
        <f aca="false">IF($C721="","",IF(AND($U721="Débito",$F721&lt;&gt;""),$F721,$E721))</f>
        <v/>
      </c>
      <c r="AB721" s="13" t="str">
        <f aca="false">IF(OR($C721="",$T721="Mixta",$AA721=""),"",IF($V721="Subyacente",IF($J721="","",$J721-$K721),IF($T721="Put",$AA721-$K721,$AA721+$K721)))</f>
        <v/>
      </c>
      <c r="AC721" s="14" t="str">
        <f aca="false">IF(OR($C721="",$T721="Mixta",$J721="",$AA721=""),"",IF($T721="Put",($J721-$AA721)/$J721,($AA721-$J721)/$J721))</f>
        <v/>
      </c>
      <c r="AD721" s="12" t="str">
        <f aca="false">IF($C721="","",IF($Q721&lt;&gt;"",$Q721,IF($V721="Strike",N($E721)*$H721*$I721,IF($V721="Subyacente",IF($J721="","",$J721*$H721*$I721),IF($V721="Ancho",IF($F721="","",ABS($E721-$F721)*$H721*$I721-$K721*$H721*$I721),IF($V721="Prima",$K721*$H721*$I721,""))))))</f>
        <v/>
      </c>
      <c r="AE721" s="12" t="str">
        <f aca="false">IF(OR($C721="",$M721="Abierta",$M721=""),"",(N($K721)-IF(OR($M721="Cerrada",$M721="Rolada"),N($O721),0))*$H721*$I721*IF($U721="Débito",-1,1)-N($L721)-N($P721))</f>
        <v/>
      </c>
      <c r="AF721" s="14" t="str">
        <f aca="false">IF(OR($AE721="",$AD721=""),"",IF($AD721&lt;=0,"",$AE721/$AD721))</f>
        <v/>
      </c>
      <c r="AG721" s="14" t="str">
        <f aca="false">IF($AF721="","",$AF721*365/MAX(N($X721),1))</f>
        <v/>
      </c>
      <c r="AH721" s="14" t="str">
        <f aca="false">IF(OR($C721="",$U721&lt;&gt;"Crédito",$AD721=""),"",IF($AD721&lt;=0,"",($Z721-N($L721))/$AD721))</f>
        <v/>
      </c>
      <c r="AI721" s="14" t="str">
        <f aca="false">IF(OR($AH721="",$W721=""),"",$AH721*365/MAX($W721,1))</f>
        <v/>
      </c>
      <c r="AJ721" s="14" t="str">
        <f aca="false">IF(OR($AE721="",$U721&lt;&gt;"Crédito",N($K721)=0),"",(N($K721)-IF(OR($M721="Cerrada",$M721="Rolada"),N($O721),0))/$K721)</f>
        <v/>
      </c>
      <c r="AK721" s="15" t="str">
        <f aca="false">IF(OR($C721="",$N721=""),"",DATE(YEAR($N721),MONTH($N721),1))</f>
        <v/>
      </c>
      <c r="AL721" s="11" t="str">
        <f aca="false">IF($C721="","",IF($M721="Abierta",0,1))</f>
        <v/>
      </c>
      <c r="AM721" s="16" t="str">
        <f aca="false">IF(OR($AE721="",$AD721=""),"",$AD721*MAX(N($X721),1))</f>
        <v/>
      </c>
      <c r="AN721" s="10" t="str">
        <f aca="false">IF($C721="","",IF(OR($B721="",$D721="",$H721="",$K721="",$M721=""),"Faltan datos obligatorios",IF($T721="","Estrategia no reconocida",IF(AND($M721&lt;&gt;"Abierta",$N721=""),"Falta fecha cierre",IF(AND(OR($M721="Cerrada",$M721="Rolada"),$O721=""),"Falta prima cierre",IF(AND($N721&lt;&gt;"",$N721&lt;$B721),"Cierre anterior a apertura",IF(AND($M721="Asignada",$R721=""),"Asignada: falta ID lote acciones",IF(AND($R721&lt;&gt;"",ISNA(MATCH($R721,Acciones!$A$2:$A$201,0))),"El ID lote no existe en Acciones",IF($AD721="","Revisa capital en riesgo","OK")))))))))</f>
        <v/>
      </c>
    </row>
    <row r="722" customFormat="false" ht="15" hidden="false" customHeight="true" outlineLevel="0" collapsed="false">
      <c r="A722" s="5"/>
      <c r="B722" s="6"/>
      <c r="C722" s="7"/>
      <c r="D722" s="7"/>
      <c r="E722" s="8"/>
      <c r="F722" s="8"/>
      <c r="G722" s="6"/>
      <c r="H722" s="5"/>
      <c r="I722" s="5" t="n">
        <v>100</v>
      </c>
      <c r="J722" s="8"/>
      <c r="K722" s="8"/>
      <c r="L722" s="9"/>
      <c r="M722" s="7"/>
      <c r="N722" s="6"/>
      <c r="O722" s="8"/>
      <c r="P722" s="9"/>
      <c r="Q722" s="9"/>
      <c r="R722" s="7"/>
      <c r="S722" s="7"/>
      <c r="T722" s="10" t="str">
        <f aca="false">IF($C722="","",IFERROR(INDEX(Listas!$B$2:$B$20,MATCH($D722,Listas!$A$2:$A$20,0)),""))</f>
        <v/>
      </c>
      <c r="U722" s="10" t="str">
        <f aca="false">IF($C722="","",IFERROR(INDEX(Listas!$C$2:$C$20,MATCH($D722,Listas!$A$2:$A$20,0)),""))</f>
        <v/>
      </c>
      <c r="V722" s="10" t="str">
        <f aca="false">IF($C722="","",IFERROR(INDEX(Listas!$D$2:$D$20,MATCH($D722,Listas!$A$2:$A$20,0)),""))</f>
        <v/>
      </c>
      <c r="W722" s="11" t="str">
        <f aca="false">IF(OR($C722="",$B722="",$G722=""),"",$G722-$B722)</f>
        <v/>
      </c>
      <c r="X722" s="11" t="str">
        <f aca="true">IF(OR($C722="",$B722=""),"",IF($N722&lt;&gt;"",$N722,TODAY())-$B722)</f>
        <v/>
      </c>
      <c r="Y722" s="11" t="str">
        <f aca="true">IF(OR($C722="",$M722&lt;&gt;"Abierta",$G722=""),"",MAX($G722-TODAY(),0))</f>
        <v/>
      </c>
      <c r="Z722" s="12" t="str">
        <f aca="false">IF($C722="","",N($K722)*N($H722)*N($I722)*IF($U722="Débito",-1,1))</f>
        <v/>
      </c>
      <c r="AA722" s="13" t="str">
        <f aca="false">IF($C722="","",IF(AND($U722="Débito",$F722&lt;&gt;""),$F722,$E722))</f>
        <v/>
      </c>
      <c r="AB722" s="13" t="str">
        <f aca="false">IF(OR($C722="",$T722="Mixta",$AA722=""),"",IF($V722="Subyacente",IF($J722="","",$J722-$K722),IF($T722="Put",$AA722-$K722,$AA722+$K722)))</f>
        <v/>
      </c>
      <c r="AC722" s="14" t="str">
        <f aca="false">IF(OR($C722="",$T722="Mixta",$J722="",$AA722=""),"",IF($T722="Put",($J722-$AA722)/$J722,($AA722-$J722)/$J722))</f>
        <v/>
      </c>
      <c r="AD722" s="12" t="str">
        <f aca="false">IF($C722="","",IF($Q722&lt;&gt;"",$Q722,IF($V722="Strike",N($E722)*$H722*$I722,IF($V722="Subyacente",IF($J722="","",$J722*$H722*$I722),IF($V722="Ancho",IF($F722="","",ABS($E722-$F722)*$H722*$I722-$K722*$H722*$I722),IF($V722="Prima",$K722*$H722*$I722,""))))))</f>
        <v/>
      </c>
      <c r="AE722" s="12" t="str">
        <f aca="false">IF(OR($C722="",$M722="Abierta",$M722=""),"",(N($K722)-IF(OR($M722="Cerrada",$M722="Rolada"),N($O722),0))*$H722*$I722*IF($U722="Débito",-1,1)-N($L722)-N($P722))</f>
        <v/>
      </c>
      <c r="AF722" s="14" t="str">
        <f aca="false">IF(OR($AE722="",$AD722=""),"",IF($AD722&lt;=0,"",$AE722/$AD722))</f>
        <v/>
      </c>
      <c r="AG722" s="14" t="str">
        <f aca="false">IF($AF722="","",$AF722*365/MAX(N($X722),1))</f>
        <v/>
      </c>
      <c r="AH722" s="14" t="str">
        <f aca="false">IF(OR($C722="",$U722&lt;&gt;"Crédito",$AD722=""),"",IF($AD722&lt;=0,"",($Z722-N($L722))/$AD722))</f>
        <v/>
      </c>
      <c r="AI722" s="14" t="str">
        <f aca="false">IF(OR($AH722="",$W722=""),"",$AH722*365/MAX($W722,1))</f>
        <v/>
      </c>
      <c r="AJ722" s="14" t="str">
        <f aca="false">IF(OR($AE722="",$U722&lt;&gt;"Crédito",N($K722)=0),"",(N($K722)-IF(OR($M722="Cerrada",$M722="Rolada"),N($O722),0))/$K722)</f>
        <v/>
      </c>
      <c r="AK722" s="15" t="str">
        <f aca="false">IF(OR($C722="",$N722=""),"",DATE(YEAR($N722),MONTH($N722),1))</f>
        <v/>
      </c>
      <c r="AL722" s="11" t="str">
        <f aca="false">IF($C722="","",IF($M722="Abierta",0,1))</f>
        <v/>
      </c>
      <c r="AM722" s="16" t="str">
        <f aca="false">IF(OR($AE722="",$AD722=""),"",$AD722*MAX(N($X722),1))</f>
        <v/>
      </c>
      <c r="AN722" s="10" t="str">
        <f aca="false">IF($C722="","",IF(OR($B722="",$D722="",$H722="",$K722="",$M722=""),"Faltan datos obligatorios",IF($T722="","Estrategia no reconocida",IF(AND($M722&lt;&gt;"Abierta",$N722=""),"Falta fecha cierre",IF(AND(OR($M722="Cerrada",$M722="Rolada"),$O722=""),"Falta prima cierre",IF(AND($N722&lt;&gt;"",$N722&lt;$B722),"Cierre anterior a apertura",IF(AND($M722="Asignada",$R722=""),"Asignada: falta ID lote acciones",IF(AND($R722&lt;&gt;"",ISNA(MATCH($R722,Acciones!$A$2:$A$201,0))),"El ID lote no existe en Acciones",IF($AD722="","Revisa capital en riesgo","OK")))))))))</f>
        <v/>
      </c>
    </row>
    <row r="723" customFormat="false" ht="15" hidden="false" customHeight="true" outlineLevel="0" collapsed="false">
      <c r="A723" s="5"/>
      <c r="B723" s="6"/>
      <c r="C723" s="7"/>
      <c r="D723" s="7"/>
      <c r="E723" s="8"/>
      <c r="F723" s="8"/>
      <c r="G723" s="6"/>
      <c r="H723" s="5"/>
      <c r="I723" s="5" t="n">
        <v>100</v>
      </c>
      <c r="J723" s="8"/>
      <c r="K723" s="8"/>
      <c r="L723" s="9"/>
      <c r="M723" s="7"/>
      <c r="N723" s="6"/>
      <c r="O723" s="8"/>
      <c r="P723" s="9"/>
      <c r="Q723" s="9"/>
      <c r="R723" s="7"/>
      <c r="S723" s="7"/>
      <c r="T723" s="10" t="str">
        <f aca="false">IF($C723="","",IFERROR(INDEX(Listas!$B$2:$B$20,MATCH($D723,Listas!$A$2:$A$20,0)),""))</f>
        <v/>
      </c>
      <c r="U723" s="10" t="str">
        <f aca="false">IF($C723="","",IFERROR(INDEX(Listas!$C$2:$C$20,MATCH($D723,Listas!$A$2:$A$20,0)),""))</f>
        <v/>
      </c>
      <c r="V723" s="10" t="str">
        <f aca="false">IF($C723="","",IFERROR(INDEX(Listas!$D$2:$D$20,MATCH($D723,Listas!$A$2:$A$20,0)),""))</f>
        <v/>
      </c>
      <c r="W723" s="11" t="str">
        <f aca="false">IF(OR($C723="",$B723="",$G723=""),"",$G723-$B723)</f>
        <v/>
      </c>
      <c r="X723" s="11" t="str">
        <f aca="true">IF(OR($C723="",$B723=""),"",IF($N723&lt;&gt;"",$N723,TODAY())-$B723)</f>
        <v/>
      </c>
      <c r="Y723" s="11" t="str">
        <f aca="true">IF(OR($C723="",$M723&lt;&gt;"Abierta",$G723=""),"",MAX($G723-TODAY(),0))</f>
        <v/>
      </c>
      <c r="Z723" s="12" t="str">
        <f aca="false">IF($C723="","",N($K723)*N($H723)*N($I723)*IF($U723="Débito",-1,1))</f>
        <v/>
      </c>
      <c r="AA723" s="13" t="str">
        <f aca="false">IF($C723="","",IF(AND($U723="Débito",$F723&lt;&gt;""),$F723,$E723))</f>
        <v/>
      </c>
      <c r="AB723" s="13" t="str">
        <f aca="false">IF(OR($C723="",$T723="Mixta",$AA723=""),"",IF($V723="Subyacente",IF($J723="","",$J723-$K723),IF($T723="Put",$AA723-$K723,$AA723+$K723)))</f>
        <v/>
      </c>
      <c r="AC723" s="14" t="str">
        <f aca="false">IF(OR($C723="",$T723="Mixta",$J723="",$AA723=""),"",IF($T723="Put",($J723-$AA723)/$J723,($AA723-$J723)/$J723))</f>
        <v/>
      </c>
      <c r="AD723" s="12" t="str">
        <f aca="false">IF($C723="","",IF($Q723&lt;&gt;"",$Q723,IF($V723="Strike",N($E723)*$H723*$I723,IF($V723="Subyacente",IF($J723="","",$J723*$H723*$I723),IF($V723="Ancho",IF($F723="","",ABS($E723-$F723)*$H723*$I723-$K723*$H723*$I723),IF($V723="Prima",$K723*$H723*$I723,""))))))</f>
        <v/>
      </c>
      <c r="AE723" s="12" t="str">
        <f aca="false">IF(OR($C723="",$M723="Abierta",$M723=""),"",(N($K723)-IF(OR($M723="Cerrada",$M723="Rolada"),N($O723),0))*$H723*$I723*IF($U723="Débito",-1,1)-N($L723)-N($P723))</f>
        <v/>
      </c>
      <c r="AF723" s="14" t="str">
        <f aca="false">IF(OR($AE723="",$AD723=""),"",IF($AD723&lt;=0,"",$AE723/$AD723))</f>
        <v/>
      </c>
      <c r="AG723" s="14" t="str">
        <f aca="false">IF($AF723="","",$AF723*365/MAX(N($X723),1))</f>
        <v/>
      </c>
      <c r="AH723" s="14" t="str">
        <f aca="false">IF(OR($C723="",$U723&lt;&gt;"Crédito",$AD723=""),"",IF($AD723&lt;=0,"",($Z723-N($L723))/$AD723))</f>
        <v/>
      </c>
      <c r="AI723" s="14" t="str">
        <f aca="false">IF(OR($AH723="",$W723=""),"",$AH723*365/MAX($W723,1))</f>
        <v/>
      </c>
      <c r="AJ723" s="14" t="str">
        <f aca="false">IF(OR($AE723="",$U723&lt;&gt;"Crédito",N($K723)=0),"",(N($K723)-IF(OR($M723="Cerrada",$M723="Rolada"),N($O723),0))/$K723)</f>
        <v/>
      </c>
      <c r="AK723" s="15" t="str">
        <f aca="false">IF(OR($C723="",$N723=""),"",DATE(YEAR($N723),MONTH($N723),1))</f>
        <v/>
      </c>
      <c r="AL723" s="11" t="str">
        <f aca="false">IF($C723="","",IF($M723="Abierta",0,1))</f>
        <v/>
      </c>
      <c r="AM723" s="16" t="str">
        <f aca="false">IF(OR($AE723="",$AD723=""),"",$AD723*MAX(N($X723),1))</f>
        <v/>
      </c>
      <c r="AN723" s="10" t="str">
        <f aca="false">IF($C723="","",IF(OR($B723="",$D723="",$H723="",$K723="",$M723=""),"Faltan datos obligatorios",IF($T723="","Estrategia no reconocida",IF(AND($M723&lt;&gt;"Abierta",$N723=""),"Falta fecha cierre",IF(AND(OR($M723="Cerrada",$M723="Rolada"),$O723=""),"Falta prima cierre",IF(AND($N723&lt;&gt;"",$N723&lt;$B723),"Cierre anterior a apertura",IF(AND($M723="Asignada",$R723=""),"Asignada: falta ID lote acciones",IF(AND($R723&lt;&gt;"",ISNA(MATCH($R723,Acciones!$A$2:$A$201,0))),"El ID lote no existe en Acciones",IF($AD723="","Revisa capital en riesgo","OK")))))))))</f>
        <v/>
      </c>
    </row>
    <row r="724" customFormat="false" ht="15" hidden="false" customHeight="true" outlineLevel="0" collapsed="false">
      <c r="A724" s="5"/>
      <c r="B724" s="6"/>
      <c r="C724" s="7"/>
      <c r="D724" s="7"/>
      <c r="E724" s="8"/>
      <c r="F724" s="8"/>
      <c r="G724" s="6"/>
      <c r="H724" s="5"/>
      <c r="I724" s="5" t="n">
        <v>100</v>
      </c>
      <c r="J724" s="8"/>
      <c r="K724" s="8"/>
      <c r="L724" s="9"/>
      <c r="M724" s="7"/>
      <c r="N724" s="6"/>
      <c r="O724" s="8"/>
      <c r="P724" s="9"/>
      <c r="Q724" s="9"/>
      <c r="R724" s="7"/>
      <c r="S724" s="7"/>
      <c r="T724" s="10" t="str">
        <f aca="false">IF($C724="","",IFERROR(INDEX(Listas!$B$2:$B$20,MATCH($D724,Listas!$A$2:$A$20,0)),""))</f>
        <v/>
      </c>
      <c r="U724" s="10" t="str">
        <f aca="false">IF($C724="","",IFERROR(INDEX(Listas!$C$2:$C$20,MATCH($D724,Listas!$A$2:$A$20,0)),""))</f>
        <v/>
      </c>
      <c r="V724" s="10" t="str">
        <f aca="false">IF($C724="","",IFERROR(INDEX(Listas!$D$2:$D$20,MATCH($D724,Listas!$A$2:$A$20,0)),""))</f>
        <v/>
      </c>
      <c r="W724" s="11" t="str">
        <f aca="false">IF(OR($C724="",$B724="",$G724=""),"",$G724-$B724)</f>
        <v/>
      </c>
      <c r="X724" s="11" t="str">
        <f aca="true">IF(OR($C724="",$B724=""),"",IF($N724&lt;&gt;"",$N724,TODAY())-$B724)</f>
        <v/>
      </c>
      <c r="Y724" s="11" t="str">
        <f aca="true">IF(OR($C724="",$M724&lt;&gt;"Abierta",$G724=""),"",MAX($G724-TODAY(),0))</f>
        <v/>
      </c>
      <c r="Z724" s="12" t="str">
        <f aca="false">IF($C724="","",N($K724)*N($H724)*N($I724)*IF($U724="Débito",-1,1))</f>
        <v/>
      </c>
      <c r="AA724" s="13" t="str">
        <f aca="false">IF($C724="","",IF(AND($U724="Débito",$F724&lt;&gt;""),$F724,$E724))</f>
        <v/>
      </c>
      <c r="AB724" s="13" t="str">
        <f aca="false">IF(OR($C724="",$T724="Mixta",$AA724=""),"",IF($V724="Subyacente",IF($J724="","",$J724-$K724),IF($T724="Put",$AA724-$K724,$AA724+$K724)))</f>
        <v/>
      </c>
      <c r="AC724" s="14" t="str">
        <f aca="false">IF(OR($C724="",$T724="Mixta",$J724="",$AA724=""),"",IF($T724="Put",($J724-$AA724)/$J724,($AA724-$J724)/$J724))</f>
        <v/>
      </c>
      <c r="AD724" s="12" t="str">
        <f aca="false">IF($C724="","",IF($Q724&lt;&gt;"",$Q724,IF($V724="Strike",N($E724)*$H724*$I724,IF($V724="Subyacente",IF($J724="","",$J724*$H724*$I724),IF($V724="Ancho",IF($F724="","",ABS($E724-$F724)*$H724*$I724-$K724*$H724*$I724),IF($V724="Prima",$K724*$H724*$I724,""))))))</f>
        <v/>
      </c>
      <c r="AE724" s="12" t="str">
        <f aca="false">IF(OR($C724="",$M724="Abierta",$M724=""),"",(N($K724)-IF(OR($M724="Cerrada",$M724="Rolada"),N($O724),0))*$H724*$I724*IF($U724="Débito",-1,1)-N($L724)-N($P724))</f>
        <v/>
      </c>
      <c r="AF724" s="14" t="str">
        <f aca="false">IF(OR($AE724="",$AD724=""),"",IF($AD724&lt;=0,"",$AE724/$AD724))</f>
        <v/>
      </c>
      <c r="AG724" s="14" t="str">
        <f aca="false">IF($AF724="","",$AF724*365/MAX(N($X724),1))</f>
        <v/>
      </c>
      <c r="AH724" s="14" t="str">
        <f aca="false">IF(OR($C724="",$U724&lt;&gt;"Crédito",$AD724=""),"",IF($AD724&lt;=0,"",($Z724-N($L724))/$AD724))</f>
        <v/>
      </c>
      <c r="AI724" s="14" t="str">
        <f aca="false">IF(OR($AH724="",$W724=""),"",$AH724*365/MAX($W724,1))</f>
        <v/>
      </c>
      <c r="AJ724" s="14" t="str">
        <f aca="false">IF(OR($AE724="",$U724&lt;&gt;"Crédito",N($K724)=0),"",(N($K724)-IF(OR($M724="Cerrada",$M724="Rolada"),N($O724),0))/$K724)</f>
        <v/>
      </c>
      <c r="AK724" s="15" t="str">
        <f aca="false">IF(OR($C724="",$N724=""),"",DATE(YEAR($N724),MONTH($N724),1))</f>
        <v/>
      </c>
      <c r="AL724" s="11" t="str">
        <f aca="false">IF($C724="","",IF($M724="Abierta",0,1))</f>
        <v/>
      </c>
      <c r="AM724" s="16" t="str">
        <f aca="false">IF(OR($AE724="",$AD724=""),"",$AD724*MAX(N($X724),1))</f>
        <v/>
      </c>
      <c r="AN724" s="10" t="str">
        <f aca="false">IF($C724="","",IF(OR($B724="",$D724="",$H724="",$K724="",$M724=""),"Faltan datos obligatorios",IF($T724="","Estrategia no reconocida",IF(AND($M724&lt;&gt;"Abierta",$N724=""),"Falta fecha cierre",IF(AND(OR($M724="Cerrada",$M724="Rolada"),$O724=""),"Falta prima cierre",IF(AND($N724&lt;&gt;"",$N724&lt;$B724),"Cierre anterior a apertura",IF(AND($M724="Asignada",$R724=""),"Asignada: falta ID lote acciones",IF(AND($R724&lt;&gt;"",ISNA(MATCH($R724,Acciones!$A$2:$A$201,0))),"El ID lote no existe en Acciones",IF($AD724="","Revisa capital en riesgo","OK")))))))))</f>
        <v/>
      </c>
    </row>
    <row r="725" customFormat="false" ht="15" hidden="false" customHeight="true" outlineLevel="0" collapsed="false">
      <c r="A725" s="5"/>
      <c r="B725" s="6"/>
      <c r="C725" s="7"/>
      <c r="D725" s="7"/>
      <c r="E725" s="8"/>
      <c r="F725" s="8"/>
      <c r="G725" s="6"/>
      <c r="H725" s="5"/>
      <c r="I725" s="5" t="n">
        <v>100</v>
      </c>
      <c r="J725" s="8"/>
      <c r="K725" s="8"/>
      <c r="L725" s="9"/>
      <c r="M725" s="7"/>
      <c r="N725" s="6"/>
      <c r="O725" s="8"/>
      <c r="P725" s="9"/>
      <c r="Q725" s="9"/>
      <c r="R725" s="7"/>
      <c r="S725" s="7"/>
      <c r="T725" s="10" t="str">
        <f aca="false">IF($C725="","",IFERROR(INDEX(Listas!$B$2:$B$20,MATCH($D725,Listas!$A$2:$A$20,0)),""))</f>
        <v/>
      </c>
      <c r="U725" s="10" t="str">
        <f aca="false">IF($C725="","",IFERROR(INDEX(Listas!$C$2:$C$20,MATCH($D725,Listas!$A$2:$A$20,0)),""))</f>
        <v/>
      </c>
      <c r="V725" s="10" t="str">
        <f aca="false">IF($C725="","",IFERROR(INDEX(Listas!$D$2:$D$20,MATCH($D725,Listas!$A$2:$A$20,0)),""))</f>
        <v/>
      </c>
      <c r="W725" s="11" t="str">
        <f aca="false">IF(OR($C725="",$B725="",$G725=""),"",$G725-$B725)</f>
        <v/>
      </c>
      <c r="X725" s="11" t="str">
        <f aca="true">IF(OR($C725="",$B725=""),"",IF($N725&lt;&gt;"",$N725,TODAY())-$B725)</f>
        <v/>
      </c>
      <c r="Y725" s="11" t="str">
        <f aca="true">IF(OR($C725="",$M725&lt;&gt;"Abierta",$G725=""),"",MAX($G725-TODAY(),0))</f>
        <v/>
      </c>
      <c r="Z725" s="12" t="str">
        <f aca="false">IF($C725="","",N($K725)*N($H725)*N($I725)*IF($U725="Débito",-1,1))</f>
        <v/>
      </c>
      <c r="AA725" s="13" t="str">
        <f aca="false">IF($C725="","",IF(AND($U725="Débito",$F725&lt;&gt;""),$F725,$E725))</f>
        <v/>
      </c>
      <c r="AB725" s="13" t="str">
        <f aca="false">IF(OR($C725="",$T725="Mixta",$AA725=""),"",IF($V725="Subyacente",IF($J725="","",$J725-$K725),IF($T725="Put",$AA725-$K725,$AA725+$K725)))</f>
        <v/>
      </c>
      <c r="AC725" s="14" t="str">
        <f aca="false">IF(OR($C725="",$T725="Mixta",$J725="",$AA725=""),"",IF($T725="Put",($J725-$AA725)/$J725,($AA725-$J725)/$J725))</f>
        <v/>
      </c>
      <c r="AD725" s="12" t="str">
        <f aca="false">IF($C725="","",IF($Q725&lt;&gt;"",$Q725,IF($V725="Strike",N($E725)*$H725*$I725,IF($V725="Subyacente",IF($J725="","",$J725*$H725*$I725),IF($V725="Ancho",IF($F725="","",ABS($E725-$F725)*$H725*$I725-$K725*$H725*$I725),IF($V725="Prima",$K725*$H725*$I725,""))))))</f>
        <v/>
      </c>
      <c r="AE725" s="12" t="str">
        <f aca="false">IF(OR($C725="",$M725="Abierta",$M725=""),"",(N($K725)-IF(OR($M725="Cerrada",$M725="Rolada"),N($O725),0))*$H725*$I725*IF($U725="Débito",-1,1)-N($L725)-N($P725))</f>
        <v/>
      </c>
      <c r="AF725" s="14" t="str">
        <f aca="false">IF(OR($AE725="",$AD725=""),"",IF($AD725&lt;=0,"",$AE725/$AD725))</f>
        <v/>
      </c>
      <c r="AG725" s="14" t="str">
        <f aca="false">IF($AF725="","",$AF725*365/MAX(N($X725),1))</f>
        <v/>
      </c>
      <c r="AH725" s="14" t="str">
        <f aca="false">IF(OR($C725="",$U725&lt;&gt;"Crédito",$AD725=""),"",IF($AD725&lt;=0,"",($Z725-N($L725))/$AD725))</f>
        <v/>
      </c>
      <c r="AI725" s="14" t="str">
        <f aca="false">IF(OR($AH725="",$W725=""),"",$AH725*365/MAX($W725,1))</f>
        <v/>
      </c>
      <c r="AJ725" s="14" t="str">
        <f aca="false">IF(OR($AE725="",$U725&lt;&gt;"Crédito",N($K725)=0),"",(N($K725)-IF(OR($M725="Cerrada",$M725="Rolada"),N($O725),0))/$K725)</f>
        <v/>
      </c>
      <c r="AK725" s="15" t="str">
        <f aca="false">IF(OR($C725="",$N725=""),"",DATE(YEAR($N725),MONTH($N725),1))</f>
        <v/>
      </c>
      <c r="AL725" s="11" t="str">
        <f aca="false">IF($C725="","",IF($M725="Abierta",0,1))</f>
        <v/>
      </c>
      <c r="AM725" s="16" t="str">
        <f aca="false">IF(OR($AE725="",$AD725=""),"",$AD725*MAX(N($X725),1))</f>
        <v/>
      </c>
      <c r="AN725" s="10" t="str">
        <f aca="false">IF($C725="","",IF(OR($B725="",$D725="",$H725="",$K725="",$M725=""),"Faltan datos obligatorios",IF($T725="","Estrategia no reconocida",IF(AND($M725&lt;&gt;"Abierta",$N725=""),"Falta fecha cierre",IF(AND(OR($M725="Cerrada",$M725="Rolada"),$O725=""),"Falta prima cierre",IF(AND($N725&lt;&gt;"",$N725&lt;$B725),"Cierre anterior a apertura",IF(AND($M725="Asignada",$R725=""),"Asignada: falta ID lote acciones",IF(AND($R725&lt;&gt;"",ISNA(MATCH($R725,Acciones!$A$2:$A$201,0))),"El ID lote no existe en Acciones",IF($AD725="","Revisa capital en riesgo","OK")))))))))</f>
        <v/>
      </c>
    </row>
    <row r="726" customFormat="false" ht="15" hidden="false" customHeight="true" outlineLevel="0" collapsed="false">
      <c r="A726" s="5"/>
      <c r="B726" s="6"/>
      <c r="C726" s="7"/>
      <c r="D726" s="7"/>
      <c r="E726" s="8"/>
      <c r="F726" s="8"/>
      <c r="G726" s="6"/>
      <c r="H726" s="5"/>
      <c r="I726" s="5" t="n">
        <v>100</v>
      </c>
      <c r="J726" s="8"/>
      <c r="K726" s="8"/>
      <c r="L726" s="9"/>
      <c r="M726" s="7"/>
      <c r="N726" s="6"/>
      <c r="O726" s="8"/>
      <c r="P726" s="9"/>
      <c r="Q726" s="9"/>
      <c r="R726" s="7"/>
      <c r="S726" s="7"/>
      <c r="T726" s="10" t="str">
        <f aca="false">IF($C726="","",IFERROR(INDEX(Listas!$B$2:$B$20,MATCH($D726,Listas!$A$2:$A$20,0)),""))</f>
        <v/>
      </c>
      <c r="U726" s="10" t="str">
        <f aca="false">IF($C726="","",IFERROR(INDEX(Listas!$C$2:$C$20,MATCH($D726,Listas!$A$2:$A$20,0)),""))</f>
        <v/>
      </c>
      <c r="V726" s="10" t="str">
        <f aca="false">IF($C726="","",IFERROR(INDEX(Listas!$D$2:$D$20,MATCH($D726,Listas!$A$2:$A$20,0)),""))</f>
        <v/>
      </c>
      <c r="W726" s="11" t="str">
        <f aca="false">IF(OR($C726="",$B726="",$G726=""),"",$G726-$B726)</f>
        <v/>
      </c>
      <c r="X726" s="11" t="str">
        <f aca="true">IF(OR($C726="",$B726=""),"",IF($N726&lt;&gt;"",$N726,TODAY())-$B726)</f>
        <v/>
      </c>
      <c r="Y726" s="11" t="str">
        <f aca="true">IF(OR($C726="",$M726&lt;&gt;"Abierta",$G726=""),"",MAX($G726-TODAY(),0))</f>
        <v/>
      </c>
      <c r="Z726" s="12" t="str">
        <f aca="false">IF($C726="","",N($K726)*N($H726)*N($I726)*IF($U726="Débito",-1,1))</f>
        <v/>
      </c>
      <c r="AA726" s="13" t="str">
        <f aca="false">IF($C726="","",IF(AND($U726="Débito",$F726&lt;&gt;""),$F726,$E726))</f>
        <v/>
      </c>
      <c r="AB726" s="13" t="str">
        <f aca="false">IF(OR($C726="",$T726="Mixta",$AA726=""),"",IF($V726="Subyacente",IF($J726="","",$J726-$K726),IF($T726="Put",$AA726-$K726,$AA726+$K726)))</f>
        <v/>
      </c>
      <c r="AC726" s="14" t="str">
        <f aca="false">IF(OR($C726="",$T726="Mixta",$J726="",$AA726=""),"",IF($T726="Put",($J726-$AA726)/$J726,($AA726-$J726)/$J726))</f>
        <v/>
      </c>
      <c r="AD726" s="12" t="str">
        <f aca="false">IF($C726="","",IF($Q726&lt;&gt;"",$Q726,IF($V726="Strike",N($E726)*$H726*$I726,IF($V726="Subyacente",IF($J726="","",$J726*$H726*$I726),IF($V726="Ancho",IF($F726="","",ABS($E726-$F726)*$H726*$I726-$K726*$H726*$I726),IF($V726="Prima",$K726*$H726*$I726,""))))))</f>
        <v/>
      </c>
      <c r="AE726" s="12" t="str">
        <f aca="false">IF(OR($C726="",$M726="Abierta",$M726=""),"",(N($K726)-IF(OR($M726="Cerrada",$M726="Rolada"),N($O726),0))*$H726*$I726*IF($U726="Débito",-1,1)-N($L726)-N($P726))</f>
        <v/>
      </c>
      <c r="AF726" s="14" t="str">
        <f aca="false">IF(OR($AE726="",$AD726=""),"",IF($AD726&lt;=0,"",$AE726/$AD726))</f>
        <v/>
      </c>
      <c r="AG726" s="14" t="str">
        <f aca="false">IF($AF726="","",$AF726*365/MAX(N($X726),1))</f>
        <v/>
      </c>
      <c r="AH726" s="14" t="str">
        <f aca="false">IF(OR($C726="",$U726&lt;&gt;"Crédito",$AD726=""),"",IF($AD726&lt;=0,"",($Z726-N($L726))/$AD726))</f>
        <v/>
      </c>
      <c r="AI726" s="14" t="str">
        <f aca="false">IF(OR($AH726="",$W726=""),"",$AH726*365/MAX($W726,1))</f>
        <v/>
      </c>
      <c r="AJ726" s="14" t="str">
        <f aca="false">IF(OR($AE726="",$U726&lt;&gt;"Crédito",N($K726)=0),"",(N($K726)-IF(OR($M726="Cerrada",$M726="Rolada"),N($O726),0))/$K726)</f>
        <v/>
      </c>
      <c r="AK726" s="15" t="str">
        <f aca="false">IF(OR($C726="",$N726=""),"",DATE(YEAR($N726),MONTH($N726),1))</f>
        <v/>
      </c>
      <c r="AL726" s="11" t="str">
        <f aca="false">IF($C726="","",IF($M726="Abierta",0,1))</f>
        <v/>
      </c>
      <c r="AM726" s="16" t="str">
        <f aca="false">IF(OR($AE726="",$AD726=""),"",$AD726*MAX(N($X726),1))</f>
        <v/>
      </c>
      <c r="AN726" s="10" t="str">
        <f aca="false">IF($C726="","",IF(OR($B726="",$D726="",$H726="",$K726="",$M726=""),"Faltan datos obligatorios",IF($T726="","Estrategia no reconocida",IF(AND($M726&lt;&gt;"Abierta",$N726=""),"Falta fecha cierre",IF(AND(OR($M726="Cerrada",$M726="Rolada"),$O726=""),"Falta prima cierre",IF(AND($N726&lt;&gt;"",$N726&lt;$B726),"Cierre anterior a apertura",IF(AND($M726="Asignada",$R726=""),"Asignada: falta ID lote acciones",IF(AND($R726&lt;&gt;"",ISNA(MATCH($R726,Acciones!$A$2:$A$201,0))),"El ID lote no existe en Acciones",IF($AD726="","Revisa capital en riesgo","OK")))))))))</f>
        <v/>
      </c>
    </row>
    <row r="727" customFormat="false" ht="15" hidden="false" customHeight="true" outlineLevel="0" collapsed="false">
      <c r="A727" s="5"/>
      <c r="B727" s="6"/>
      <c r="C727" s="7"/>
      <c r="D727" s="7"/>
      <c r="E727" s="8"/>
      <c r="F727" s="8"/>
      <c r="G727" s="6"/>
      <c r="H727" s="5"/>
      <c r="I727" s="5" t="n">
        <v>100</v>
      </c>
      <c r="J727" s="8"/>
      <c r="K727" s="8"/>
      <c r="L727" s="9"/>
      <c r="M727" s="7"/>
      <c r="N727" s="6"/>
      <c r="O727" s="8"/>
      <c r="P727" s="9"/>
      <c r="Q727" s="9"/>
      <c r="R727" s="7"/>
      <c r="S727" s="7"/>
      <c r="T727" s="10" t="str">
        <f aca="false">IF($C727="","",IFERROR(INDEX(Listas!$B$2:$B$20,MATCH($D727,Listas!$A$2:$A$20,0)),""))</f>
        <v/>
      </c>
      <c r="U727" s="10" t="str">
        <f aca="false">IF($C727="","",IFERROR(INDEX(Listas!$C$2:$C$20,MATCH($D727,Listas!$A$2:$A$20,0)),""))</f>
        <v/>
      </c>
      <c r="V727" s="10" t="str">
        <f aca="false">IF($C727="","",IFERROR(INDEX(Listas!$D$2:$D$20,MATCH($D727,Listas!$A$2:$A$20,0)),""))</f>
        <v/>
      </c>
      <c r="W727" s="11" t="str">
        <f aca="false">IF(OR($C727="",$B727="",$G727=""),"",$G727-$B727)</f>
        <v/>
      </c>
      <c r="X727" s="11" t="str">
        <f aca="true">IF(OR($C727="",$B727=""),"",IF($N727&lt;&gt;"",$N727,TODAY())-$B727)</f>
        <v/>
      </c>
      <c r="Y727" s="11" t="str">
        <f aca="true">IF(OR($C727="",$M727&lt;&gt;"Abierta",$G727=""),"",MAX($G727-TODAY(),0))</f>
        <v/>
      </c>
      <c r="Z727" s="12" t="str">
        <f aca="false">IF($C727="","",N($K727)*N($H727)*N($I727)*IF($U727="Débito",-1,1))</f>
        <v/>
      </c>
      <c r="AA727" s="13" t="str">
        <f aca="false">IF($C727="","",IF(AND($U727="Débito",$F727&lt;&gt;""),$F727,$E727))</f>
        <v/>
      </c>
      <c r="AB727" s="13" t="str">
        <f aca="false">IF(OR($C727="",$T727="Mixta",$AA727=""),"",IF($V727="Subyacente",IF($J727="","",$J727-$K727),IF($T727="Put",$AA727-$K727,$AA727+$K727)))</f>
        <v/>
      </c>
      <c r="AC727" s="14" t="str">
        <f aca="false">IF(OR($C727="",$T727="Mixta",$J727="",$AA727=""),"",IF($T727="Put",($J727-$AA727)/$J727,($AA727-$J727)/$J727))</f>
        <v/>
      </c>
      <c r="AD727" s="12" t="str">
        <f aca="false">IF($C727="","",IF($Q727&lt;&gt;"",$Q727,IF($V727="Strike",N($E727)*$H727*$I727,IF($V727="Subyacente",IF($J727="","",$J727*$H727*$I727),IF($V727="Ancho",IF($F727="","",ABS($E727-$F727)*$H727*$I727-$K727*$H727*$I727),IF($V727="Prima",$K727*$H727*$I727,""))))))</f>
        <v/>
      </c>
      <c r="AE727" s="12" t="str">
        <f aca="false">IF(OR($C727="",$M727="Abierta",$M727=""),"",(N($K727)-IF(OR($M727="Cerrada",$M727="Rolada"),N($O727),0))*$H727*$I727*IF($U727="Débito",-1,1)-N($L727)-N($P727))</f>
        <v/>
      </c>
      <c r="AF727" s="14" t="str">
        <f aca="false">IF(OR($AE727="",$AD727=""),"",IF($AD727&lt;=0,"",$AE727/$AD727))</f>
        <v/>
      </c>
      <c r="AG727" s="14" t="str">
        <f aca="false">IF($AF727="","",$AF727*365/MAX(N($X727),1))</f>
        <v/>
      </c>
      <c r="AH727" s="14" t="str">
        <f aca="false">IF(OR($C727="",$U727&lt;&gt;"Crédito",$AD727=""),"",IF($AD727&lt;=0,"",($Z727-N($L727))/$AD727))</f>
        <v/>
      </c>
      <c r="AI727" s="14" t="str">
        <f aca="false">IF(OR($AH727="",$W727=""),"",$AH727*365/MAX($W727,1))</f>
        <v/>
      </c>
      <c r="AJ727" s="14" t="str">
        <f aca="false">IF(OR($AE727="",$U727&lt;&gt;"Crédito",N($K727)=0),"",(N($K727)-IF(OR($M727="Cerrada",$M727="Rolada"),N($O727),0))/$K727)</f>
        <v/>
      </c>
      <c r="AK727" s="15" t="str">
        <f aca="false">IF(OR($C727="",$N727=""),"",DATE(YEAR($N727),MONTH($N727),1))</f>
        <v/>
      </c>
      <c r="AL727" s="11" t="str">
        <f aca="false">IF($C727="","",IF($M727="Abierta",0,1))</f>
        <v/>
      </c>
      <c r="AM727" s="16" t="str">
        <f aca="false">IF(OR($AE727="",$AD727=""),"",$AD727*MAX(N($X727),1))</f>
        <v/>
      </c>
      <c r="AN727" s="10" t="str">
        <f aca="false">IF($C727="","",IF(OR($B727="",$D727="",$H727="",$K727="",$M727=""),"Faltan datos obligatorios",IF($T727="","Estrategia no reconocida",IF(AND($M727&lt;&gt;"Abierta",$N727=""),"Falta fecha cierre",IF(AND(OR($M727="Cerrada",$M727="Rolada"),$O727=""),"Falta prima cierre",IF(AND($N727&lt;&gt;"",$N727&lt;$B727),"Cierre anterior a apertura",IF(AND($M727="Asignada",$R727=""),"Asignada: falta ID lote acciones",IF(AND($R727&lt;&gt;"",ISNA(MATCH($R727,Acciones!$A$2:$A$201,0))),"El ID lote no existe en Acciones",IF($AD727="","Revisa capital en riesgo","OK")))))))))</f>
        <v/>
      </c>
    </row>
    <row r="728" customFormat="false" ht="15" hidden="false" customHeight="true" outlineLevel="0" collapsed="false">
      <c r="A728" s="5"/>
      <c r="B728" s="6"/>
      <c r="C728" s="7"/>
      <c r="D728" s="7"/>
      <c r="E728" s="8"/>
      <c r="F728" s="8"/>
      <c r="G728" s="6"/>
      <c r="H728" s="5"/>
      <c r="I728" s="5" t="n">
        <v>100</v>
      </c>
      <c r="J728" s="8"/>
      <c r="K728" s="8"/>
      <c r="L728" s="9"/>
      <c r="M728" s="7"/>
      <c r="N728" s="6"/>
      <c r="O728" s="8"/>
      <c r="P728" s="9"/>
      <c r="Q728" s="9"/>
      <c r="R728" s="7"/>
      <c r="S728" s="7"/>
      <c r="T728" s="10" t="str">
        <f aca="false">IF($C728="","",IFERROR(INDEX(Listas!$B$2:$B$20,MATCH($D728,Listas!$A$2:$A$20,0)),""))</f>
        <v/>
      </c>
      <c r="U728" s="10" t="str">
        <f aca="false">IF($C728="","",IFERROR(INDEX(Listas!$C$2:$C$20,MATCH($D728,Listas!$A$2:$A$20,0)),""))</f>
        <v/>
      </c>
      <c r="V728" s="10" t="str">
        <f aca="false">IF($C728="","",IFERROR(INDEX(Listas!$D$2:$D$20,MATCH($D728,Listas!$A$2:$A$20,0)),""))</f>
        <v/>
      </c>
      <c r="W728" s="11" t="str">
        <f aca="false">IF(OR($C728="",$B728="",$G728=""),"",$G728-$B728)</f>
        <v/>
      </c>
      <c r="X728" s="11" t="str">
        <f aca="true">IF(OR($C728="",$B728=""),"",IF($N728&lt;&gt;"",$N728,TODAY())-$B728)</f>
        <v/>
      </c>
      <c r="Y728" s="11" t="str">
        <f aca="true">IF(OR($C728="",$M728&lt;&gt;"Abierta",$G728=""),"",MAX($G728-TODAY(),0))</f>
        <v/>
      </c>
      <c r="Z728" s="12" t="str">
        <f aca="false">IF($C728="","",N($K728)*N($H728)*N($I728)*IF($U728="Débito",-1,1))</f>
        <v/>
      </c>
      <c r="AA728" s="13" t="str">
        <f aca="false">IF($C728="","",IF(AND($U728="Débito",$F728&lt;&gt;""),$F728,$E728))</f>
        <v/>
      </c>
      <c r="AB728" s="13" t="str">
        <f aca="false">IF(OR($C728="",$T728="Mixta",$AA728=""),"",IF($V728="Subyacente",IF($J728="","",$J728-$K728),IF($T728="Put",$AA728-$K728,$AA728+$K728)))</f>
        <v/>
      </c>
      <c r="AC728" s="14" t="str">
        <f aca="false">IF(OR($C728="",$T728="Mixta",$J728="",$AA728=""),"",IF($T728="Put",($J728-$AA728)/$J728,($AA728-$J728)/$J728))</f>
        <v/>
      </c>
      <c r="AD728" s="12" t="str">
        <f aca="false">IF($C728="","",IF($Q728&lt;&gt;"",$Q728,IF($V728="Strike",N($E728)*$H728*$I728,IF($V728="Subyacente",IF($J728="","",$J728*$H728*$I728),IF($V728="Ancho",IF($F728="","",ABS($E728-$F728)*$H728*$I728-$K728*$H728*$I728),IF($V728="Prima",$K728*$H728*$I728,""))))))</f>
        <v/>
      </c>
      <c r="AE728" s="12" t="str">
        <f aca="false">IF(OR($C728="",$M728="Abierta",$M728=""),"",(N($K728)-IF(OR($M728="Cerrada",$M728="Rolada"),N($O728),0))*$H728*$I728*IF($U728="Débito",-1,1)-N($L728)-N($P728))</f>
        <v/>
      </c>
      <c r="AF728" s="14" t="str">
        <f aca="false">IF(OR($AE728="",$AD728=""),"",IF($AD728&lt;=0,"",$AE728/$AD728))</f>
        <v/>
      </c>
      <c r="AG728" s="14" t="str">
        <f aca="false">IF($AF728="","",$AF728*365/MAX(N($X728),1))</f>
        <v/>
      </c>
      <c r="AH728" s="14" t="str">
        <f aca="false">IF(OR($C728="",$U728&lt;&gt;"Crédito",$AD728=""),"",IF($AD728&lt;=0,"",($Z728-N($L728))/$AD728))</f>
        <v/>
      </c>
      <c r="AI728" s="14" t="str">
        <f aca="false">IF(OR($AH728="",$W728=""),"",$AH728*365/MAX($W728,1))</f>
        <v/>
      </c>
      <c r="AJ728" s="14" t="str">
        <f aca="false">IF(OR($AE728="",$U728&lt;&gt;"Crédito",N($K728)=0),"",(N($K728)-IF(OR($M728="Cerrada",$M728="Rolada"),N($O728),0))/$K728)</f>
        <v/>
      </c>
      <c r="AK728" s="15" t="str">
        <f aca="false">IF(OR($C728="",$N728=""),"",DATE(YEAR($N728),MONTH($N728),1))</f>
        <v/>
      </c>
      <c r="AL728" s="11" t="str">
        <f aca="false">IF($C728="","",IF($M728="Abierta",0,1))</f>
        <v/>
      </c>
      <c r="AM728" s="16" t="str">
        <f aca="false">IF(OR($AE728="",$AD728=""),"",$AD728*MAX(N($X728),1))</f>
        <v/>
      </c>
      <c r="AN728" s="10" t="str">
        <f aca="false">IF($C728="","",IF(OR($B728="",$D728="",$H728="",$K728="",$M728=""),"Faltan datos obligatorios",IF($T728="","Estrategia no reconocida",IF(AND($M728&lt;&gt;"Abierta",$N728=""),"Falta fecha cierre",IF(AND(OR($M728="Cerrada",$M728="Rolada"),$O728=""),"Falta prima cierre",IF(AND($N728&lt;&gt;"",$N728&lt;$B728),"Cierre anterior a apertura",IF(AND($M728="Asignada",$R728=""),"Asignada: falta ID lote acciones",IF(AND($R728&lt;&gt;"",ISNA(MATCH($R728,Acciones!$A$2:$A$201,0))),"El ID lote no existe en Acciones",IF($AD728="","Revisa capital en riesgo","OK")))))))))</f>
        <v/>
      </c>
    </row>
    <row r="729" customFormat="false" ht="15" hidden="false" customHeight="true" outlineLevel="0" collapsed="false">
      <c r="A729" s="5"/>
      <c r="B729" s="6"/>
      <c r="C729" s="7"/>
      <c r="D729" s="7"/>
      <c r="E729" s="8"/>
      <c r="F729" s="8"/>
      <c r="G729" s="6"/>
      <c r="H729" s="5"/>
      <c r="I729" s="5" t="n">
        <v>100</v>
      </c>
      <c r="J729" s="8"/>
      <c r="K729" s="8"/>
      <c r="L729" s="9"/>
      <c r="M729" s="7"/>
      <c r="N729" s="6"/>
      <c r="O729" s="8"/>
      <c r="P729" s="9"/>
      <c r="Q729" s="9"/>
      <c r="R729" s="7"/>
      <c r="S729" s="7"/>
      <c r="T729" s="10" t="str">
        <f aca="false">IF($C729="","",IFERROR(INDEX(Listas!$B$2:$B$20,MATCH($D729,Listas!$A$2:$A$20,0)),""))</f>
        <v/>
      </c>
      <c r="U729" s="10" t="str">
        <f aca="false">IF($C729="","",IFERROR(INDEX(Listas!$C$2:$C$20,MATCH($D729,Listas!$A$2:$A$20,0)),""))</f>
        <v/>
      </c>
      <c r="V729" s="10" t="str">
        <f aca="false">IF($C729="","",IFERROR(INDEX(Listas!$D$2:$D$20,MATCH($D729,Listas!$A$2:$A$20,0)),""))</f>
        <v/>
      </c>
      <c r="W729" s="11" t="str">
        <f aca="false">IF(OR($C729="",$B729="",$G729=""),"",$G729-$B729)</f>
        <v/>
      </c>
      <c r="X729" s="11" t="str">
        <f aca="true">IF(OR($C729="",$B729=""),"",IF($N729&lt;&gt;"",$N729,TODAY())-$B729)</f>
        <v/>
      </c>
      <c r="Y729" s="11" t="str">
        <f aca="true">IF(OR($C729="",$M729&lt;&gt;"Abierta",$G729=""),"",MAX($G729-TODAY(),0))</f>
        <v/>
      </c>
      <c r="Z729" s="12" t="str">
        <f aca="false">IF($C729="","",N($K729)*N($H729)*N($I729)*IF($U729="Débito",-1,1))</f>
        <v/>
      </c>
      <c r="AA729" s="13" t="str">
        <f aca="false">IF($C729="","",IF(AND($U729="Débito",$F729&lt;&gt;""),$F729,$E729))</f>
        <v/>
      </c>
      <c r="AB729" s="13" t="str">
        <f aca="false">IF(OR($C729="",$T729="Mixta",$AA729=""),"",IF($V729="Subyacente",IF($J729="","",$J729-$K729),IF($T729="Put",$AA729-$K729,$AA729+$K729)))</f>
        <v/>
      </c>
      <c r="AC729" s="14" t="str">
        <f aca="false">IF(OR($C729="",$T729="Mixta",$J729="",$AA729=""),"",IF($T729="Put",($J729-$AA729)/$J729,($AA729-$J729)/$J729))</f>
        <v/>
      </c>
      <c r="AD729" s="12" t="str">
        <f aca="false">IF($C729="","",IF($Q729&lt;&gt;"",$Q729,IF($V729="Strike",N($E729)*$H729*$I729,IF($V729="Subyacente",IF($J729="","",$J729*$H729*$I729),IF($V729="Ancho",IF($F729="","",ABS($E729-$F729)*$H729*$I729-$K729*$H729*$I729),IF($V729="Prima",$K729*$H729*$I729,""))))))</f>
        <v/>
      </c>
      <c r="AE729" s="12" t="str">
        <f aca="false">IF(OR($C729="",$M729="Abierta",$M729=""),"",(N($K729)-IF(OR($M729="Cerrada",$M729="Rolada"),N($O729),0))*$H729*$I729*IF($U729="Débito",-1,1)-N($L729)-N($P729))</f>
        <v/>
      </c>
      <c r="AF729" s="14" t="str">
        <f aca="false">IF(OR($AE729="",$AD729=""),"",IF($AD729&lt;=0,"",$AE729/$AD729))</f>
        <v/>
      </c>
      <c r="AG729" s="14" t="str">
        <f aca="false">IF($AF729="","",$AF729*365/MAX(N($X729),1))</f>
        <v/>
      </c>
      <c r="AH729" s="14" t="str">
        <f aca="false">IF(OR($C729="",$U729&lt;&gt;"Crédito",$AD729=""),"",IF($AD729&lt;=0,"",($Z729-N($L729))/$AD729))</f>
        <v/>
      </c>
      <c r="AI729" s="14" t="str">
        <f aca="false">IF(OR($AH729="",$W729=""),"",$AH729*365/MAX($W729,1))</f>
        <v/>
      </c>
      <c r="AJ729" s="14" t="str">
        <f aca="false">IF(OR($AE729="",$U729&lt;&gt;"Crédito",N($K729)=0),"",(N($K729)-IF(OR($M729="Cerrada",$M729="Rolada"),N($O729),0))/$K729)</f>
        <v/>
      </c>
      <c r="AK729" s="15" t="str">
        <f aca="false">IF(OR($C729="",$N729=""),"",DATE(YEAR($N729),MONTH($N729),1))</f>
        <v/>
      </c>
      <c r="AL729" s="11" t="str">
        <f aca="false">IF($C729="","",IF($M729="Abierta",0,1))</f>
        <v/>
      </c>
      <c r="AM729" s="16" t="str">
        <f aca="false">IF(OR($AE729="",$AD729=""),"",$AD729*MAX(N($X729),1))</f>
        <v/>
      </c>
      <c r="AN729" s="10" t="str">
        <f aca="false">IF($C729="","",IF(OR($B729="",$D729="",$H729="",$K729="",$M729=""),"Faltan datos obligatorios",IF($T729="","Estrategia no reconocida",IF(AND($M729&lt;&gt;"Abierta",$N729=""),"Falta fecha cierre",IF(AND(OR($M729="Cerrada",$M729="Rolada"),$O729=""),"Falta prima cierre",IF(AND($N729&lt;&gt;"",$N729&lt;$B729),"Cierre anterior a apertura",IF(AND($M729="Asignada",$R729=""),"Asignada: falta ID lote acciones",IF(AND($R729&lt;&gt;"",ISNA(MATCH($R729,Acciones!$A$2:$A$201,0))),"El ID lote no existe en Acciones",IF($AD729="","Revisa capital en riesgo","OK")))))))))</f>
        <v/>
      </c>
    </row>
    <row r="730" customFormat="false" ht="15" hidden="false" customHeight="true" outlineLevel="0" collapsed="false">
      <c r="A730" s="5"/>
      <c r="B730" s="6"/>
      <c r="C730" s="7"/>
      <c r="D730" s="7"/>
      <c r="E730" s="8"/>
      <c r="F730" s="8"/>
      <c r="G730" s="6"/>
      <c r="H730" s="5"/>
      <c r="I730" s="5" t="n">
        <v>100</v>
      </c>
      <c r="J730" s="8"/>
      <c r="K730" s="8"/>
      <c r="L730" s="9"/>
      <c r="M730" s="7"/>
      <c r="N730" s="6"/>
      <c r="O730" s="8"/>
      <c r="P730" s="9"/>
      <c r="Q730" s="9"/>
      <c r="R730" s="7"/>
      <c r="S730" s="7"/>
      <c r="T730" s="10" t="str">
        <f aca="false">IF($C730="","",IFERROR(INDEX(Listas!$B$2:$B$20,MATCH($D730,Listas!$A$2:$A$20,0)),""))</f>
        <v/>
      </c>
      <c r="U730" s="10" t="str">
        <f aca="false">IF($C730="","",IFERROR(INDEX(Listas!$C$2:$C$20,MATCH($D730,Listas!$A$2:$A$20,0)),""))</f>
        <v/>
      </c>
      <c r="V730" s="10" t="str">
        <f aca="false">IF($C730="","",IFERROR(INDEX(Listas!$D$2:$D$20,MATCH($D730,Listas!$A$2:$A$20,0)),""))</f>
        <v/>
      </c>
      <c r="W730" s="11" t="str">
        <f aca="false">IF(OR($C730="",$B730="",$G730=""),"",$G730-$B730)</f>
        <v/>
      </c>
      <c r="X730" s="11" t="str">
        <f aca="true">IF(OR($C730="",$B730=""),"",IF($N730&lt;&gt;"",$N730,TODAY())-$B730)</f>
        <v/>
      </c>
      <c r="Y730" s="11" t="str">
        <f aca="true">IF(OR($C730="",$M730&lt;&gt;"Abierta",$G730=""),"",MAX($G730-TODAY(),0))</f>
        <v/>
      </c>
      <c r="Z730" s="12" t="str">
        <f aca="false">IF($C730="","",N($K730)*N($H730)*N($I730)*IF($U730="Débito",-1,1))</f>
        <v/>
      </c>
      <c r="AA730" s="13" t="str">
        <f aca="false">IF($C730="","",IF(AND($U730="Débito",$F730&lt;&gt;""),$F730,$E730))</f>
        <v/>
      </c>
      <c r="AB730" s="13" t="str">
        <f aca="false">IF(OR($C730="",$T730="Mixta",$AA730=""),"",IF($V730="Subyacente",IF($J730="","",$J730-$K730),IF($T730="Put",$AA730-$K730,$AA730+$K730)))</f>
        <v/>
      </c>
      <c r="AC730" s="14" t="str">
        <f aca="false">IF(OR($C730="",$T730="Mixta",$J730="",$AA730=""),"",IF($T730="Put",($J730-$AA730)/$J730,($AA730-$J730)/$J730))</f>
        <v/>
      </c>
      <c r="AD730" s="12" t="str">
        <f aca="false">IF($C730="","",IF($Q730&lt;&gt;"",$Q730,IF($V730="Strike",N($E730)*$H730*$I730,IF($V730="Subyacente",IF($J730="","",$J730*$H730*$I730),IF($V730="Ancho",IF($F730="","",ABS($E730-$F730)*$H730*$I730-$K730*$H730*$I730),IF($V730="Prima",$K730*$H730*$I730,""))))))</f>
        <v/>
      </c>
      <c r="AE730" s="12" t="str">
        <f aca="false">IF(OR($C730="",$M730="Abierta",$M730=""),"",(N($K730)-IF(OR($M730="Cerrada",$M730="Rolada"),N($O730),0))*$H730*$I730*IF($U730="Débito",-1,1)-N($L730)-N($P730))</f>
        <v/>
      </c>
      <c r="AF730" s="14" t="str">
        <f aca="false">IF(OR($AE730="",$AD730=""),"",IF($AD730&lt;=0,"",$AE730/$AD730))</f>
        <v/>
      </c>
      <c r="AG730" s="14" t="str">
        <f aca="false">IF($AF730="","",$AF730*365/MAX(N($X730),1))</f>
        <v/>
      </c>
      <c r="AH730" s="14" t="str">
        <f aca="false">IF(OR($C730="",$U730&lt;&gt;"Crédito",$AD730=""),"",IF($AD730&lt;=0,"",($Z730-N($L730))/$AD730))</f>
        <v/>
      </c>
      <c r="AI730" s="14" t="str">
        <f aca="false">IF(OR($AH730="",$W730=""),"",$AH730*365/MAX($W730,1))</f>
        <v/>
      </c>
      <c r="AJ730" s="14" t="str">
        <f aca="false">IF(OR($AE730="",$U730&lt;&gt;"Crédito",N($K730)=0),"",(N($K730)-IF(OR($M730="Cerrada",$M730="Rolada"),N($O730),0))/$K730)</f>
        <v/>
      </c>
      <c r="AK730" s="15" t="str">
        <f aca="false">IF(OR($C730="",$N730=""),"",DATE(YEAR($N730),MONTH($N730),1))</f>
        <v/>
      </c>
      <c r="AL730" s="11" t="str">
        <f aca="false">IF($C730="","",IF($M730="Abierta",0,1))</f>
        <v/>
      </c>
      <c r="AM730" s="16" t="str">
        <f aca="false">IF(OR($AE730="",$AD730=""),"",$AD730*MAX(N($X730),1))</f>
        <v/>
      </c>
      <c r="AN730" s="10" t="str">
        <f aca="false">IF($C730="","",IF(OR($B730="",$D730="",$H730="",$K730="",$M730=""),"Faltan datos obligatorios",IF($T730="","Estrategia no reconocida",IF(AND($M730&lt;&gt;"Abierta",$N730=""),"Falta fecha cierre",IF(AND(OR($M730="Cerrada",$M730="Rolada"),$O730=""),"Falta prima cierre",IF(AND($N730&lt;&gt;"",$N730&lt;$B730),"Cierre anterior a apertura",IF(AND($M730="Asignada",$R730=""),"Asignada: falta ID lote acciones",IF(AND($R730&lt;&gt;"",ISNA(MATCH($R730,Acciones!$A$2:$A$201,0))),"El ID lote no existe en Acciones",IF($AD730="","Revisa capital en riesgo","OK")))))))))</f>
        <v/>
      </c>
    </row>
    <row r="731" customFormat="false" ht="15" hidden="false" customHeight="true" outlineLevel="0" collapsed="false">
      <c r="A731" s="5"/>
      <c r="B731" s="6"/>
      <c r="C731" s="7"/>
      <c r="D731" s="7"/>
      <c r="E731" s="8"/>
      <c r="F731" s="8"/>
      <c r="G731" s="6"/>
      <c r="H731" s="5"/>
      <c r="I731" s="5" t="n">
        <v>100</v>
      </c>
      <c r="J731" s="8"/>
      <c r="K731" s="8"/>
      <c r="L731" s="9"/>
      <c r="M731" s="7"/>
      <c r="N731" s="6"/>
      <c r="O731" s="8"/>
      <c r="P731" s="9"/>
      <c r="Q731" s="9"/>
      <c r="R731" s="7"/>
      <c r="S731" s="7"/>
      <c r="T731" s="10" t="str">
        <f aca="false">IF($C731="","",IFERROR(INDEX(Listas!$B$2:$B$20,MATCH($D731,Listas!$A$2:$A$20,0)),""))</f>
        <v/>
      </c>
      <c r="U731" s="10" t="str">
        <f aca="false">IF($C731="","",IFERROR(INDEX(Listas!$C$2:$C$20,MATCH($D731,Listas!$A$2:$A$20,0)),""))</f>
        <v/>
      </c>
      <c r="V731" s="10" t="str">
        <f aca="false">IF($C731="","",IFERROR(INDEX(Listas!$D$2:$D$20,MATCH($D731,Listas!$A$2:$A$20,0)),""))</f>
        <v/>
      </c>
      <c r="W731" s="11" t="str">
        <f aca="false">IF(OR($C731="",$B731="",$G731=""),"",$G731-$B731)</f>
        <v/>
      </c>
      <c r="X731" s="11" t="str">
        <f aca="true">IF(OR($C731="",$B731=""),"",IF($N731&lt;&gt;"",$N731,TODAY())-$B731)</f>
        <v/>
      </c>
      <c r="Y731" s="11" t="str">
        <f aca="true">IF(OR($C731="",$M731&lt;&gt;"Abierta",$G731=""),"",MAX($G731-TODAY(),0))</f>
        <v/>
      </c>
      <c r="Z731" s="12" t="str">
        <f aca="false">IF($C731="","",N($K731)*N($H731)*N($I731)*IF($U731="Débito",-1,1))</f>
        <v/>
      </c>
      <c r="AA731" s="13" t="str">
        <f aca="false">IF($C731="","",IF(AND($U731="Débito",$F731&lt;&gt;""),$F731,$E731))</f>
        <v/>
      </c>
      <c r="AB731" s="13" t="str">
        <f aca="false">IF(OR($C731="",$T731="Mixta",$AA731=""),"",IF($V731="Subyacente",IF($J731="","",$J731-$K731),IF($T731="Put",$AA731-$K731,$AA731+$K731)))</f>
        <v/>
      </c>
      <c r="AC731" s="14" t="str">
        <f aca="false">IF(OR($C731="",$T731="Mixta",$J731="",$AA731=""),"",IF($T731="Put",($J731-$AA731)/$J731,($AA731-$J731)/$J731))</f>
        <v/>
      </c>
      <c r="AD731" s="12" t="str">
        <f aca="false">IF($C731="","",IF($Q731&lt;&gt;"",$Q731,IF($V731="Strike",N($E731)*$H731*$I731,IF($V731="Subyacente",IF($J731="","",$J731*$H731*$I731),IF($V731="Ancho",IF($F731="","",ABS($E731-$F731)*$H731*$I731-$K731*$H731*$I731),IF($V731="Prima",$K731*$H731*$I731,""))))))</f>
        <v/>
      </c>
      <c r="AE731" s="12" t="str">
        <f aca="false">IF(OR($C731="",$M731="Abierta",$M731=""),"",(N($K731)-IF(OR($M731="Cerrada",$M731="Rolada"),N($O731),0))*$H731*$I731*IF($U731="Débito",-1,1)-N($L731)-N($P731))</f>
        <v/>
      </c>
      <c r="AF731" s="14" t="str">
        <f aca="false">IF(OR($AE731="",$AD731=""),"",IF($AD731&lt;=0,"",$AE731/$AD731))</f>
        <v/>
      </c>
      <c r="AG731" s="14" t="str">
        <f aca="false">IF($AF731="","",$AF731*365/MAX(N($X731),1))</f>
        <v/>
      </c>
      <c r="AH731" s="14" t="str">
        <f aca="false">IF(OR($C731="",$U731&lt;&gt;"Crédito",$AD731=""),"",IF($AD731&lt;=0,"",($Z731-N($L731))/$AD731))</f>
        <v/>
      </c>
      <c r="AI731" s="14" t="str">
        <f aca="false">IF(OR($AH731="",$W731=""),"",$AH731*365/MAX($W731,1))</f>
        <v/>
      </c>
      <c r="AJ731" s="14" t="str">
        <f aca="false">IF(OR($AE731="",$U731&lt;&gt;"Crédito",N($K731)=0),"",(N($K731)-IF(OR($M731="Cerrada",$M731="Rolada"),N($O731),0))/$K731)</f>
        <v/>
      </c>
      <c r="AK731" s="15" t="str">
        <f aca="false">IF(OR($C731="",$N731=""),"",DATE(YEAR($N731),MONTH($N731),1))</f>
        <v/>
      </c>
      <c r="AL731" s="11" t="str">
        <f aca="false">IF($C731="","",IF($M731="Abierta",0,1))</f>
        <v/>
      </c>
      <c r="AM731" s="16" t="str">
        <f aca="false">IF(OR($AE731="",$AD731=""),"",$AD731*MAX(N($X731),1))</f>
        <v/>
      </c>
      <c r="AN731" s="10" t="str">
        <f aca="false">IF($C731="","",IF(OR($B731="",$D731="",$H731="",$K731="",$M731=""),"Faltan datos obligatorios",IF($T731="","Estrategia no reconocida",IF(AND($M731&lt;&gt;"Abierta",$N731=""),"Falta fecha cierre",IF(AND(OR($M731="Cerrada",$M731="Rolada"),$O731=""),"Falta prima cierre",IF(AND($N731&lt;&gt;"",$N731&lt;$B731),"Cierre anterior a apertura",IF(AND($M731="Asignada",$R731=""),"Asignada: falta ID lote acciones",IF(AND($R731&lt;&gt;"",ISNA(MATCH($R731,Acciones!$A$2:$A$201,0))),"El ID lote no existe en Acciones",IF($AD731="","Revisa capital en riesgo","OK")))))))))</f>
        <v/>
      </c>
    </row>
    <row r="732" customFormat="false" ht="15" hidden="false" customHeight="true" outlineLevel="0" collapsed="false">
      <c r="A732" s="5"/>
      <c r="B732" s="6"/>
      <c r="C732" s="7"/>
      <c r="D732" s="7"/>
      <c r="E732" s="8"/>
      <c r="F732" s="8"/>
      <c r="G732" s="6"/>
      <c r="H732" s="5"/>
      <c r="I732" s="5" t="n">
        <v>100</v>
      </c>
      <c r="J732" s="8"/>
      <c r="K732" s="8"/>
      <c r="L732" s="9"/>
      <c r="M732" s="7"/>
      <c r="N732" s="6"/>
      <c r="O732" s="8"/>
      <c r="P732" s="9"/>
      <c r="Q732" s="9"/>
      <c r="R732" s="7"/>
      <c r="S732" s="7"/>
      <c r="T732" s="10" t="str">
        <f aca="false">IF($C732="","",IFERROR(INDEX(Listas!$B$2:$B$20,MATCH($D732,Listas!$A$2:$A$20,0)),""))</f>
        <v/>
      </c>
      <c r="U732" s="10" t="str">
        <f aca="false">IF($C732="","",IFERROR(INDEX(Listas!$C$2:$C$20,MATCH($D732,Listas!$A$2:$A$20,0)),""))</f>
        <v/>
      </c>
      <c r="V732" s="10" t="str">
        <f aca="false">IF($C732="","",IFERROR(INDEX(Listas!$D$2:$D$20,MATCH($D732,Listas!$A$2:$A$20,0)),""))</f>
        <v/>
      </c>
      <c r="W732" s="11" t="str">
        <f aca="false">IF(OR($C732="",$B732="",$G732=""),"",$G732-$B732)</f>
        <v/>
      </c>
      <c r="X732" s="11" t="str">
        <f aca="true">IF(OR($C732="",$B732=""),"",IF($N732&lt;&gt;"",$N732,TODAY())-$B732)</f>
        <v/>
      </c>
      <c r="Y732" s="11" t="str">
        <f aca="true">IF(OR($C732="",$M732&lt;&gt;"Abierta",$G732=""),"",MAX($G732-TODAY(),0))</f>
        <v/>
      </c>
      <c r="Z732" s="12" t="str">
        <f aca="false">IF($C732="","",N($K732)*N($H732)*N($I732)*IF($U732="Débito",-1,1))</f>
        <v/>
      </c>
      <c r="AA732" s="13" t="str">
        <f aca="false">IF($C732="","",IF(AND($U732="Débito",$F732&lt;&gt;""),$F732,$E732))</f>
        <v/>
      </c>
      <c r="AB732" s="13" t="str">
        <f aca="false">IF(OR($C732="",$T732="Mixta",$AA732=""),"",IF($V732="Subyacente",IF($J732="","",$J732-$K732),IF($T732="Put",$AA732-$K732,$AA732+$K732)))</f>
        <v/>
      </c>
      <c r="AC732" s="14" t="str">
        <f aca="false">IF(OR($C732="",$T732="Mixta",$J732="",$AA732=""),"",IF($T732="Put",($J732-$AA732)/$J732,($AA732-$J732)/$J732))</f>
        <v/>
      </c>
      <c r="AD732" s="12" t="str">
        <f aca="false">IF($C732="","",IF($Q732&lt;&gt;"",$Q732,IF($V732="Strike",N($E732)*$H732*$I732,IF($V732="Subyacente",IF($J732="","",$J732*$H732*$I732),IF($V732="Ancho",IF($F732="","",ABS($E732-$F732)*$H732*$I732-$K732*$H732*$I732),IF($V732="Prima",$K732*$H732*$I732,""))))))</f>
        <v/>
      </c>
      <c r="AE732" s="12" t="str">
        <f aca="false">IF(OR($C732="",$M732="Abierta",$M732=""),"",(N($K732)-IF(OR($M732="Cerrada",$M732="Rolada"),N($O732),0))*$H732*$I732*IF($U732="Débito",-1,1)-N($L732)-N($P732))</f>
        <v/>
      </c>
      <c r="AF732" s="14" t="str">
        <f aca="false">IF(OR($AE732="",$AD732=""),"",IF($AD732&lt;=0,"",$AE732/$AD732))</f>
        <v/>
      </c>
      <c r="AG732" s="14" t="str">
        <f aca="false">IF($AF732="","",$AF732*365/MAX(N($X732),1))</f>
        <v/>
      </c>
      <c r="AH732" s="14" t="str">
        <f aca="false">IF(OR($C732="",$U732&lt;&gt;"Crédito",$AD732=""),"",IF($AD732&lt;=0,"",($Z732-N($L732))/$AD732))</f>
        <v/>
      </c>
      <c r="AI732" s="14" t="str">
        <f aca="false">IF(OR($AH732="",$W732=""),"",$AH732*365/MAX($W732,1))</f>
        <v/>
      </c>
      <c r="AJ732" s="14" t="str">
        <f aca="false">IF(OR($AE732="",$U732&lt;&gt;"Crédito",N($K732)=0),"",(N($K732)-IF(OR($M732="Cerrada",$M732="Rolada"),N($O732),0))/$K732)</f>
        <v/>
      </c>
      <c r="AK732" s="15" t="str">
        <f aca="false">IF(OR($C732="",$N732=""),"",DATE(YEAR($N732),MONTH($N732),1))</f>
        <v/>
      </c>
      <c r="AL732" s="11" t="str">
        <f aca="false">IF($C732="","",IF($M732="Abierta",0,1))</f>
        <v/>
      </c>
      <c r="AM732" s="16" t="str">
        <f aca="false">IF(OR($AE732="",$AD732=""),"",$AD732*MAX(N($X732),1))</f>
        <v/>
      </c>
      <c r="AN732" s="10" t="str">
        <f aca="false">IF($C732="","",IF(OR($B732="",$D732="",$H732="",$K732="",$M732=""),"Faltan datos obligatorios",IF($T732="","Estrategia no reconocida",IF(AND($M732&lt;&gt;"Abierta",$N732=""),"Falta fecha cierre",IF(AND(OR($M732="Cerrada",$M732="Rolada"),$O732=""),"Falta prima cierre",IF(AND($N732&lt;&gt;"",$N732&lt;$B732),"Cierre anterior a apertura",IF(AND($M732="Asignada",$R732=""),"Asignada: falta ID lote acciones",IF(AND($R732&lt;&gt;"",ISNA(MATCH($R732,Acciones!$A$2:$A$201,0))),"El ID lote no existe en Acciones",IF($AD732="","Revisa capital en riesgo","OK")))))))))</f>
        <v/>
      </c>
    </row>
    <row r="733" customFormat="false" ht="15" hidden="false" customHeight="true" outlineLevel="0" collapsed="false">
      <c r="A733" s="5"/>
      <c r="B733" s="6"/>
      <c r="C733" s="7"/>
      <c r="D733" s="7"/>
      <c r="E733" s="8"/>
      <c r="F733" s="8"/>
      <c r="G733" s="6"/>
      <c r="H733" s="5"/>
      <c r="I733" s="5" t="n">
        <v>100</v>
      </c>
      <c r="J733" s="8"/>
      <c r="K733" s="8"/>
      <c r="L733" s="9"/>
      <c r="M733" s="7"/>
      <c r="N733" s="6"/>
      <c r="O733" s="8"/>
      <c r="P733" s="9"/>
      <c r="Q733" s="9"/>
      <c r="R733" s="7"/>
      <c r="S733" s="7"/>
      <c r="T733" s="10" t="str">
        <f aca="false">IF($C733="","",IFERROR(INDEX(Listas!$B$2:$B$20,MATCH($D733,Listas!$A$2:$A$20,0)),""))</f>
        <v/>
      </c>
      <c r="U733" s="10" t="str">
        <f aca="false">IF($C733="","",IFERROR(INDEX(Listas!$C$2:$C$20,MATCH($D733,Listas!$A$2:$A$20,0)),""))</f>
        <v/>
      </c>
      <c r="V733" s="10" t="str">
        <f aca="false">IF($C733="","",IFERROR(INDEX(Listas!$D$2:$D$20,MATCH($D733,Listas!$A$2:$A$20,0)),""))</f>
        <v/>
      </c>
      <c r="W733" s="11" t="str">
        <f aca="false">IF(OR($C733="",$B733="",$G733=""),"",$G733-$B733)</f>
        <v/>
      </c>
      <c r="X733" s="11" t="str">
        <f aca="true">IF(OR($C733="",$B733=""),"",IF($N733&lt;&gt;"",$N733,TODAY())-$B733)</f>
        <v/>
      </c>
      <c r="Y733" s="11" t="str">
        <f aca="true">IF(OR($C733="",$M733&lt;&gt;"Abierta",$G733=""),"",MAX($G733-TODAY(),0))</f>
        <v/>
      </c>
      <c r="Z733" s="12" t="str">
        <f aca="false">IF($C733="","",N($K733)*N($H733)*N($I733)*IF($U733="Débito",-1,1))</f>
        <v/>
      </c>
      <c r="AA733" s="13" t="str">
        <f aca="false">IF($C733="","",IF(AND($U733="Débito",$F733&lt;&gt;""),$F733,$E733))</f>
        <v/>
      </c>
      <c r="AB733" s="13" t="str">
        <f aca="false">IF(OR($C733="",$T733="Mixta",$AA733=""),"",IF($V733="Subyacente",IF($J733="","",$J733-$K733),IF($T733="Put",$AA733-$K733,$AA733+$K733)))</f>
        <v/>
      </c>
      <c r="AC733" s="14" t="str">
        <f aca="false">IF(OR($C733="",$T733="Mixta",$J733="",$AA733=""),"",IF($T733="Put",($J733-$AA733)/$J733,($AA733-$J733)/$J733))</f>
        <v/>
      </c>
      <c r="AD733" s="12" t="str">
        <f aca="false">IF($C733="","",IF($Q733&lt;&gt;"",$Q733,IF($V733="Strike",N($E733)*$H733*$I733,IF($V733="Subyacente",IF($J733="","",$J733*$H733*$I733),IF($V733="Ancho",IF($F733="","",ABS($E733-$F733)*$H733*$I733-$K733*$H733*$I733),IF($V733="Prima",$K733*$H733*$I733,""))))))</f>
        <v/>
      </c>
      <c r="AE733" s="12" t="str">
        <f aca="false">IF(OR($C733="",$M733="Abierta",$M733=""),"",(N($K733)-IF(OR($M733="Cerrada",$M733="Rolada"),N($O733),0))*$H733*$I733*IF($U733="Débito",-1,1)-N($L733)-N($P733))</f>
        <v/>
      </c>
      <c r="AF733" s="14" t="str">
        <f aca="false">IF(OR($AE733="",$AD733=""),"",IF($AD733&lt;=0,"",$AE733/$AD733))</f>
        <v/>
      </c>
      <c r="AG733" s="14" t="str">
        <f aca="false">IF($AF733="","",$AF733*365/MAX(N($X733),1))</f>
        <v/>
      </c>
      <c r="AH733" s="14" t="str">
        <f aca="false">IF(OR($C733="",$U733&lt;&gt;"Crédito",$AD733=""),"",IF($AD733&lt;=0,"",($Z733-N($L733))/$AD733))</f>
        <v/>
      </c>
      <c r="AI733" s="14" t="str">
        <f aca="false">IF(OR($AH733="",$W733=""),"",$AH733*365/MAX($W733,1))</f>
        <v/>
      </c>
      <c r="AJ733" s="14" t="str">
        <f aca="false">IF(OR($AE733="",$U733&lt;&gt;"Crédito",N($K733)=0),"",(N($K733)-IF(OR($M733="Cerrada",$M733="Rolada"),N($O733),0))/$K733)</f>
        <v/>
      </c>
      <c r="AK733" s="15" t="str">
        <f aca="false">IF(OR($C733="",$N733=""),"",DATE(YEAR($N733),MONTH($N733),1))</f>
        <v/>
      </c>
      <c r="AL733" s="11" t="str">
        <f aca="false">IF($C733="","",IF($M733="Abierta",0,1))</f>
        <v/>
      </c>
      <c r="AM733" s="16" t="str">
        <f aca="false">IF(OR($AE733="",$AD733=""),"",$AD733*MAX(N($X733),1))</f>
        <v/>
      </c>
      <c r="AN733" s="10" t="str">
        <f aca="false">IF($C733="","",IF(OR($B733="",$D733="",$H733="",$K733="",$M733=""),"Faltan datos obligatorios",IF($T733="","Estrategia no reconocida",IF(AND($M733&lt;&gt;"Abierta",$N733=""),"Falta fecha cierre",IF(AND(OR($M733="Cerrada",$M733="Rolada"),$O733=""),"Falta prima cierre",IF(AND($N733&lt;&gt;"",$N733&lt;$B733),"Cierre anterior a apertura",IF(AND($M733="Asignada",$R733=""),"Asignada: falta ID lote acciones",IF(AND($R733&lt;&gt;"",ISNA(MATCH($R733,Acciones!$A$2:$A$201,0))),"El ID lote no existe en Acciones",IF($AD733="","Revisa capital en riesgo","OK")))))))))</f>
        <v/>
      </c>
    </row>
    <row r="734" customFormat="false" ht="15" hidden="false" customHeight="true" outlineLevel="0" collapsed="false">
      <c r="A734" s="5"/>
      <c r="B734" s="6"/>
      <c r="C734" s="7"/>
      <c r="D734" s="7"/>
      <c r="E734" s="8"/>
      <c r="F734" s="8"/>
      <c r="G734" s="6"/>
      <c r="H734" s="5"/>
      <c r="I734" s="5" t="n">
        <v>100</v>
      </c>
      <c r="J734" s="8"/>
      <c r="K734" s="8"/>
      <c r="L734" s="9"/>
      <c r="M734" s="7"/>
      <c r="N734" s="6"/>
      <c r="O734" s="8"/>
      <c r="P734" s="9"/>
      <c r="Q734" s="9"/>
      <c r="R734" s="7"/>
      <c r="S734" s="7"/>
      <c r="T734" s="10" t="str">
        <f aca="false">IF($C734="","",IFERROR(INDEX(Listas!$B$2:$B$20,MATCH($D734,Listas!$A$2:$A$20,0)),""))</f>
        <v/>
      </c>
      <c r="U734" s="10" t="str">
        <f aca="false">IF($C734="","",IFERROR(INDEX(Listas!$C$2:$C$20,MATCH($D734,Listas!$A$2:$A$20,0)),""))</f>
        <v/>
      </c>
      <c r="V734" s="10" t="str">
        <f aca="false">IF($C734="","",IFERROR(INDEX(Listas!$D$2:$D$20,MATCH($D734,Listas!$A$2:$A$20,0)),""))</f>
        <v/>
      </c>
      <c r="W734" s="11" t="str">
        <f aca="false">IF(OR($C734="",$B734="",$G734=""),"",$G734-$B734)</f>
        <v/>
      </c>
      <c r="X734" s="11" t="str">
        <f aca="true">IF(OR($C734="",$B734=""),"",IF($N734&lt;&gt;"",$N734,TODAY())-$B734)</f>
        <v/>
      </c>
      <c r="Y734" s="11" t="str">
        <f aca="true">IF(OR($C734="",$M734&lt;&gt;"Abierta",$G734=""),"",MAX($G734-TODAY(),0))</f>
        <v/>
      </c>
      <c r="Z734" s="12" t="str">
        <f aca="false">IF($C734="","",N($K734)*N($H734)*N($I734)*IF($U734="Débito",-1,1))</f>
        <v/>
      </c>
      <c r="AA734" s="13" t="str">
        <f aca="false">IF($C734="","",IF(AND($U734="Débito",$F734&lt;&gt;""),$F734,$E734))</f>
        <v/>
      </c>
      <c r="AB734" s="13" t="str">
        <f aca="false">IF(OR($C734="",$T734="Mixta",$AA734=""),"",IF($V734="Subyacente",IF($J734="","",$J734-$K734),IF($T734="Put",$AA734-$K734,$AA734+$K734)))</f>
        <v/>
      </c>
      <c r="AC734" s="14" t="str">
        <f aca="false">IF(OR($C734="",$T734="Mixta",$J734="",$AA734=""),"",IF($T734="Put",($J734-$AA734)/$J734,($AA734-$J734)/$J734))</f>
        <v/>
      </c>
      <c r="AD734" s="12" t="str">
        <f aca="false">IF($C734="","",IF($Q734&lt;&gt;"",$Q734,IF($V734="Strike",N($E734)*$H734*$I734,IF($V734="Subyacente",IF($J734="","",$J734*$H734*$I734),IF($V734="Ancho",IF($F734="","",ABS($E734-$F734)*$H734*$I734-$K734*$H734*$I734),IF($V734="Prima",$K734*$H734*$I734,""))))))</f>
        <v/>
      </c>
      <c r="AE734" s="12" t="str">
        <f aca="false">IF(OR($C734="",$M734="Abierta",$M734=""),"",(N($K734)-IF(OR($M734="Cerrada",$M734="Rolada"),N($O734),0))*$H734*$I734*IF($U734="Débito",-1,1)-N($L734)-N($P734))</f>
        <v/>
      </c>
      <c r="AF734" s="14" t="str">
        <f aca="false">IF(OR($AE734="",$AD734=""),"",IF($AD734&lt;=0,"",$AE734/$AD734))</f>
        <v/>
      </c>
      <c r="AG734" s="14" t="str">
        <f aca="false">IF($AF734="","",$AF734*365/MAX(N($X734),1))</f>
        <v/>
      </c>
      <c r="AH734" s="14" t="str">
        <f aca="false">IF(OR($C734="",$U734&lt;&gt;"Crédito",$AD734=""),"",IF($AD734&lt;=0,"",($Z734-N($L734))/$AD734))</f>
        <v/>
      </c>
      <c r="AI734" s="14" t="str">
        <f aca="false">IF(OR($AH734="",$W734=""),"",$AH734*365/MAX($W734,1))</f>
        <v/>
      </c>
      <c r="AJ734" s="14" t="str">
        <f aca="false">IF(OR($AE734="",$U734&lt;&gt;"Crédito",N($K734)=0),"",(N($K734)-IF(OR($M734="Cerrada",$M734="Rolada"),N($O734),0))/$K734)</f>
        <v/>
      </c>
      <c r="AK734" s="15" t="str">
        <f aca="false">IF(OR($C734="",$N734=""),"",DATE(YEAR($N734),MONTH($N734),1))</f>
        <v/>
      </c>
      <c r="AL734" s="11" t="str">
        <f aca="false">IF($C734="","",IF($M734="Abierta",0,1))</f>
        <v/>
      </c>
      <c r="AM734" s="16" t="str">
        <f aca="false">IF(OR($AE734="",$AD734=""),"",$AD734*MAX(N($X734),1))</f>
        <v/>
      </c>
      <c r="AN734" s="10" t="str">
        <f aca="false">IF($C734="","",IF(OR($B734="",$D734="",$H734="",$K734="",$M734=""),"Faltan datos obligatorios",IF($T734="","Estrategia no reconocida",IF(AND($M734&lt;&gt;"Abierta",$N734=""),"Falta fecha cierre",IF(AND(OR($M734="Cerrada",$M734="Rolada"),$O734=""),"Falta prima cierre",IF(AND($N734&lt;&gt;"",$N734&lt;$B734),"Cierre anterior a apertura",IF(AND($M734="Asignada",$R734=""),"Asignada: falta ID lote acciones",IF(AND($R734&lt;&gt;"",ISNA(MATCH($R734,Acciones!$A$2:$A$201,0))),"El ID lote no existe en Acciones",IF($AD734="","Revisa capital en riesgo","OK")))))))))</f>
        <v/>
      </c>
    </row>
    <row r="735" customFormat="false" ht="15" hidden="false" customHeight="true" outlineLevel="0" collapsed="false">
      <c r="A735" s="5"/>
      <c r="B735" s="6"/>
      <c r="C735" s="7"/>
      <c r="D735" s="7"/>
      <c r="E735" s="8"/>
      <c r="F735" s="8"/>
      <c r="G735" s="6"/>
      <c r="H735" s="5"/>
      <c r="I735" s="5" t="n">
        <v>100</v>
      </c>
      <c r="J735" s="8"/>
      <c r="K735" s="8"/>
      <c r="L735" s="9"/>
      <c r="M735" s="7"/>
      <c r="N735" s="6"/>
      <c r="O735" s="8"/>
      <c r="P735" s="9"/>
      <c r="Q735" s="9"/>
      <c r="R735" s="7"/>
      <c r="S735" s="7"/>
      <c r="T735" s="10" t="str">
        <f aca="false">IF($C735="","",IFERROR(INDEX(Listas!$B$2:$B$20,MATCH($D735,Listas!$A$2:$A$20,0)),""))</f>
        <v/>
      </c>
      <c r="U735" s="10" t="str">
        <f aca="false">IF($C735="","",IFERROR(INDEX(Listas!$C$2:$C$20,MATCH($D735,Listas!$A$2:$A$20,0)),""))</f>
        <v/>
      </c>
      <c r="V735" s="10" t="str">
        <f aca="false">IF($C735="","",IFERROR(INDEX(Listas!$D$2:$D$20,MATCH($D735,Listas!$A$2:$A$20,0)),""))</f>
        <v/>
      </c>
      <c r="W735" s="11" t="str">
        <f aca="false">IF(OR($C735="",$B735="",$G735=""),"",$G735-$B735)</f>
        <v/>
      </c>
      <c r="X735" s="11" t="str">
        <f aca="true">IF(OR($C735="",$B735=""),"",IF($N735&lt;&gt;"",$N735,TODAY())-$B735)</f>
        <v/>
      </c>
      <c r="Y735" s="11" t="str">
        <f aca="true">IF(OR($C735="",$M735&lt;&gt;"Abierta",$G735=""),"",MAX($G735-TODAY(),0))</f>
        <v/>
      </c>
      <c r="Z735" s="12" t="str">
        <f aca="false">IF($C735="","",N($K735)*N($H735)*N($I735)*IF($U735="Débito",-1,1))</f>
        <v/>
      </c>
      <c r="AA735" s="13" t="str">
        <f aca="false">IF($C735="","",IF(AND($U735="Débito",$F735&lt;&gt;""),$F735,$E735))</f>
        <v/>
      </c>
      <c r="AB735" s="13" t="str">
        <f aca="false">IF(OR($C735="",$T735="Mixta",$AA735=""),"",IF($V735="Subyacente",IF($J735="","",$J735-$K735),IF($T735="Put",$AA735-$K735,$AA735+$K735)))</f>
        <v/>
      </c>
      <c r="AC735" s="14" t="str">
        <f aca="false">IF(OR($C735="",$T735="Mixta",$J735="",$AA735=""),"",IF($T735="Put",($J735-$AA735)/$J735,($AA735-$J735)/$J735))</f>
        <v/>
      </c>
      <c r="AD735" s="12" t="str">
        <f aca="false">IF($C735="","",IF($Q735&lt;&gt;"",$Q735,IF($V735="Strike",N($E735)*$H735*$I735,IF($V735="Subyacente",IF($J735="","",$J735*$H735*$I735),IF($V735="Ancho",IF($F735="","",ABS($E735-$F735)*$H735*$I735-$K735*$H735*$I735),IF($V735="Prima",$K735*$H735*$I735,""))))))</f>
        <v/>
      </c>
      <c r="AE735" s="12" t="str">
        <f aca="false">IF(OR($C735="",$M735="Abierta",$M735=""),"",(N($K735)-IF(OR($M735="Cerrada",$M735="Rolada"),N($O735),0))*$H735*$I735*IF($U735="Débito",-1,1)-N($L735)-N($P735))</f>
        <v/>
      </c>
      <c r="AF735" s="14" t="str">
        <f aca="false">IF(OR($AE735="",$AD735=""),"",IF($AD735&lt;=0,"",$AE735/$AD735))</f>
        <v/>
      </c>
      <c r="AG735" s="14" t="str">
        <f aca="false">IF($AF735="","",$AF735*365/MAX(N($X735),1))</f>
        <v/>
      </c>
      <c r="AH735" s="14" t="str">
        <f aca="false">IF(OR($C735="",$U735&lt;&gt;"Crédito",$AD735=""),"",IF($AD735&lt;=0,"",($Z735-N($L735))/$AD735))</f>
        <v/>
      </c>
      <c r="AI735" s="14" t="str">
        <f aca="false">IF(OR($AH735="",$W735=""),"",$AH735*365/MAX($W735,1))</f>
        <v/>
      </c>
      <c r="AJ735" s="14" t="str">
        <f aca="false">IF(OR($AE735="",$U735&lt;&gt;"Crédito",N($K735)=0),"",(N($K735)-IF(OR($M735="Cerrada",$M735="Rolada"),N($O735),0))/$K735)</f>
        <v/>
      </c>
      <c r="AK735" s="15" t="str">
        <f aca="false">IF(OR($C735="",$N735=""),"",DATE(YEAR($N735),MONTH($N735),1))</f>
        <v/>
      </c>
      <c r="AL735" s="11" t="str">
        <f aca="false">IF($C735="","",IF($M735="Abierta",0,1))</f>
        <v/>
      </c>
      <c r="AM735" s="16" t="str">
        <f aca="false">IF(OR($AE735="",$AD735=""),"",$AD735*MAX(N($X735),1))</f>
        <v/>
      </c>
      <c r="AN735" s="10" t="str">
        <f aca="false">IF($C735="","",IF(OR($B735="",$D735="",$H735="",$K735="",$M735=""),"Faltan datos obligatorios",IF($T735="","Estrategia no reconocida",IF(AND($M735&lt;&gt;"Abierta",$N735=""),"Falta fecha cierre",IF(AND(OR($M735="Cerrada",$M735="Rolada"),$O735=""),"Falta prima cierre",IF(AND($N735&lt;&gt;"",$N735&lt;$B735),"Cierre anterior a apertura",IF(AND($M735="Asignada",$R735=""),"Asignada: falta ID lote acciones",IF(AND($R735&lt;&gt;"",ISNA(MATCH($R735,Acciones!$A$2:$A$201,0))),"El ID lote no existe en Acciones",IF($AD735="","Revisa capital en riesgo","OK")))))))))</f>
        <v/>
      </c>
    </row>
    <row r="736" customFormat="false" ht="15" hidden="false" customHeight="true" outlineLevel="0" collapsed="false">
      <c r="A736" s="5"/>
      <c r="B736" s="6"/>
      <c r="C736" s="7"/>
      <c r="D736" s="7"/>
      <c r="E736" s="8"/>
      <c r="F736" s="8"/>
      <c r="G736" s="6"/>
      <c r="H736" s="5"/>
      <c r="I736" s="5" t="n">
        <v>100</v>
      </c>
      <c r="J736" s="8"/>
      <c r="K736" s="8"/>
      <c r="L736" s="9"/>
      <c r="M736" s="7"/>
      <c r="N736" s="6"/>
      <c r="O736" s="8"/>
      <c r="P736" s="9"/>
      <c r="Q736" s="9"/>
      <c r="R736" s="7"/>
      <c r="S736" s="7"/>
      <c r="T736" s="10" t="str">
        <f aca="false">IF($C736="","",IFERROR(INDEX(Listas!$B$2:$B$20,MATCH($D736,Listas!$A$2:$A$20,0)),""))</f>
        <v/>
      </c>
      <c r="U736" s="10" t="str">
        <f aca="false">IF($C736="","",IFERROR(INDEX(Listas!$C$2:$C$20,MATCH($D736,Listas!$A$2:$A$20,0)),""))</f>
        <v/>
      </c>
      <c r="V736" s="10" t="str">
        <f aca="false">IF($C736="","",IFERROR(INDEX(Listas!$D$2:$D$20,MATCH($D736,Listas!$A$2:$A$20,0)),""))</f>
        <v/>
      </c>
      <c r="W736" s="11" t="str">
        <f aca="false">IF(OR($C736="",$B736="",$G736=""),"",$G736-$B736)</f>
        <v/>
      </c>
      <c r="X736" s="11" t="str">
        <f aca="true">IF(OR($C736="",$B736=""),"",IF($N736&lt;&gt;"",$N736,TODAY())-$B736)</f>
        <v/>
      </c>
      <c r="Y736" s="11" t="str">
        <f aca="true">IF(OR($C736="",$M736&lt;&gt;"Abierta",$G736=""),"",MAX($G736-TODAY(),0))</f>
        <v/>
      </c>
      <c r="Z736" s="12" t="str">
        <f aca="false">IF($C736="","",N($K736)*N($H736)*N($I736)*IF($U736="Débito",-1,1))</f>
        <v/>
      </c>
      <c r="AA736" s="13" t="str">
        <f aca="false">IF($C736="","",IF(AND($U736="Débito",$F736&lt;&gt;""),$F736,$E736))</f>
        <v/>
      </c>
      <c r="AB736" s="13" t="str">
        <f aca="false">IF(OR($C736="",$T736="Mixta",$AA736=""),"",IF($V736="Subyacente",IF($J736="","",$J736-$K736),IF($T736="Put",$AA736-$K736,$AA736+$K736)))</f>
        <v/>
      </c>
      <c r="AC736" s="14" t="str">
        <f aca="false">IF(OR($C736="",$T736="Mixta",$J736="",$AA736=""),"",IF($T736="Put",($J736-$AA736)/$J736,($AA736-$J736)/$J736))</f>
        <v/>
      </c>
      <c r="AD736" s="12" t="str">
        <f aca="false">IF($C736="","",IF($Q736&lt;&gt;"",$Q736,IF($V736="Strike",N($E736)*$H736*$I736,IF($V736="Subyacente",IF($J736="","",$J736*$H736*$I736),IF($V736="Ancho",IF($F736="","",ABS($E736-$F736)*$H736*$I736-$K736*$H736*$I736),IF($V736="Prima",$K736*$H736*$I736,""))))))</f>
        <v/>
      </c>
      <c r="AE736" s="12" t="str">
        <f aca="false">IF(OR($C736="",$M736="Abierta",$M736=""),"",(N($K736)-IF(OR($M736="Cerrada",$M736="Rolada"),N($O736),0))*$H736*$I736*IF($U736="Débito",-1,1)-N($L736)-N($P736))</f>
        <v/>
      </c>
      <c r="AF736" s="14" t="str">
        <f aca="false">IF(OR($AE736="",$AD736=""),"",IF($AD736&lt;=0,"",$AE736/$AD736))</f>
        <v/>
      </c>
      <c r="AG736" s="14" t="str">
        <f aca="false">IF($AF736="","",$AF736*365/MAX(N($X736),1))</f>
        <v/>
      </c>
      <c r="AH736" s="14" t="str">
        <f aca="false">IF(OR($C736="",$U736&lt;&gt;"Crédito",$AD736=""),"",IF($AD736&lt;=0,"",($Z736-N($L736))/$AD736))</f>
        <v/>
      </c>
      <c r="AI736" s="14" t="str">
        <f aca="false">IF(OR($AH736="",$W736=""),"",$AH736*365/MAX($W736,1))</f>
        <v/>
      </c>
      <c r="AJ736" s="14" t="str">
        <f aca="false">IF(OR($AE736="",$U736&lt;&gt;"Crédito",N($K736)=0),"",(N($K736)-IF(OR($M736="Cerrada",$M736="Rolada"),N($O736),0))/$K736)</f>
        <v/>
      </c>
      <c r="AK736" s="15" t="str">
        <f aca="false">IF(OR($C736="",$N736=""),"",DATE(YEAR($N736),MONTH($N736),1))</f>
        <v/>
      </c>
      <c r="AL736" s="11" t="str">
        <f aca="false">IF($C736="","",IF($M736="Abierta",0,1))</f>
        <v/>
      </c>
      <c r="AM736" s="16" t="str">
        <f aca="false">IF(OR($AE736="",$AD736=""),"",$AD736*MAX(N($X736),1))</f>
        <v/>
      </c>
      <c r="AN736" s="10" t="str">
        <f aca="false">IF($C736="","",IF(OR($B736="",$D736="",$H736="",$K736="",$M736=""),"Faltan datos obligatorios",IF($T736="","Estrategia no reconocida",IF(AND($M736&lt;&gt;"Abierta",$N736=""),"Falta fecha cierre",IF(AND(OR($M736="Cerrada",$M736="Rolada"),$O736=""),"Falta prima cierre",IF(AND($N736&lt;&gt;"",$N736&lt;$B736),"Cierre anterior a apertura",IF(AND($M736="Asignada",$R736=""),"Asignada: falta ID lote acciones",IF(AND($R736&lt;&gt;"",ISNA(MATCH($R736,Acciones!$A$2:$A$201,0))),"El ID lote no existe en Acciones",IF($AD736="","Revisa capital en riesgo","OK")))))))))</f>
        <v/>
      </c>
    </row>
    <row r="737" customFormat="false" ht="15" hidden="false" customHeight="true" outlineLevel="0" collapsed="false">
      <c r="A737" s="5"/>
      <c r="B737" s="6"/>
      <c r="C737" s="7"/>
      <c r="D737" s="7"/>
      <c r="E737" s="8"/>
      <c r="F737" s="8"/>
      <c r="G737" s="6"/>
      <c r="H737" s="5"/>
      <c r="I737" s="5" t="n">
        <v>100</v>
      </c>
      <c r="J737" s="8"/>
      <c r="K737" s="8"/>
      <c r="L737" s="9"/>
      <c r="M737" s="7"/>
      <c r="N737" s="6"/>
      <c r="O737" s="8"/>
      <c r="P737" s="9"/>
      <c r="Q737" s="9"/>
      <c r="R737" s="7"/>
      <c r="S737" s="7"/>
      <c r="T737" s="10" t="str">
        <f aca="false">IF($C737="","",IFERROR(INDEX(Listas!$B$2:$B$20,MATCH($D737,Listas!$A$2:$A$20,0)),""))</f>
        <v/>
      </c>
      <c r="U737" s="10" t="str">
        <f aca="false">IF($C737="","",IFERROR(INDEX(Listas!$C$2:$C$20,MATCH($D737,Listas!$A$2:$A$20,0)),""))</f>
        <v/>
      </c>
      <c r="V737" s="10" t="str">
        <f aca="false">IF($C737="","",IFERROR(INDEX(Listas!$D$2:$D$20,MATCH($D737,Listas!$A$2:$A$20,0)),""))</f>
        <v/>
      </c>
      <c r="W737" s="11" t="str">
        <f aca="false">IF(OR($C737="",$B737="",$G737=""),"",$G737-$B737)</f>
        <v/>
      </c>
      <c r="X737" s="11" t="str">
        <f aca="true">IF(OR($C737="",$B737=""),"",IF($N737&lt;&gt;"",$N737,TODAY())-$B737)</f>
        <v/>
      </c>
      <c r="Y737" s="11" t="str">
        <f aca="true">IF(OR($C737="",$M737&lt;&gt;"Abierta",$G737=""),"",MAX($G737-TODAY(),0))</f>
        <v/>
      </c>
      <c r="Z737" s="12" t="str">
        <f aca="false">IF($C737="","",N($K737)*N($H737)*N($I737)*IF($U737="Débito",-1,1))</f>
        <v/>
      </c>
      <c r="AA737" s="13" t="str">
        <f aca="false">IF($C737="","",IF(AND($U737="Débito",$F737&lt;&gt;""),$F737,$E737))</f>
        <v/>
      </c>
      <c r="AB737" s="13" t="str">
        <f aca="false">IF(OR($C737="",$T737="Mixta",$AA737=""),"",IF($V737="Subyacente",IF($J737="","",$J737-$K737),IF($T737="Put",$AA737-$K737,$AA737+$K737)))</f>
        <v/>
      </c>
      <c r="AC737" s="14" t="str">
        <f aca="false">IF(OR($C737="",$T737="Mixta",$J737="",$AA737=""),"",IF($T737="Put",($J737-$AA737)/$J737,($AA737-$J737)/$J737))</f>
        <v/>
      </c>
      <c r="AD737" s="12" t="str">
        <f aca="false">IF($C737="","",IF($Q737&lt;&gt;"",$Q737,IF($V737="Strike",N($E737)*$H737*$I737,IF($V737="Subyacente",IF($J737="","",$J737*$H737*$I737),IF($V737="Ancho",IF($F737="","",ABS($E737-$F737)*$H737*$I737-$K737*$H737*$I737),IF($V737="Prima",$K737*$H737*$I737,""))))))</f>
        <v/>
      </c>
      <c r="AE737" s="12" t="str">
        <f aca="false">IF(OR($C737="",$M737="Abierta",$M737=""),"",(N($K737)-IF(OR($M737="Cerrada",$M737="Rolada"),N($O737),0))*$H737*$I737*IF($U737="Débito",-1,1)-N($L737)-N($P737))</f>
        <v/>
      </c>
      <c r="AF737" s="14" t="str">
        <f aca="false">IF(OR($AE737="",$AD737=""),"",IF($AD737&lt;=0,"",$AE737/$AD737))</f>
        <v/>
      </c>
      <c r="AG737" s="14" t="str">
        <f aca="false">IF($AF737="","",$AF737*365/MAX(N($X737),1))</f>
        <v/>
      </c>
      <c r="AH737" s="14" t="str">
        <f aca="false">IF(OR($C737="",$U737&lt;&gt;"Crédito",$AD737=""),"",IF($AD737&lt;=0,"",($Z737-N($L737))/$AD737))</f>
        <v/>
      </c>
      <c r="AI737" s="14" t="str">
        <f aca="false">IF(OR($AH737="",$W737=""),"",$AH737*365/MAX($W737,1))</f>
        <v/>
      </c>
      <c r="AJ737" s="14" t="str">
        <f aca="false">IF(OR($AE737="",$U737&lt;&gt;"Crédito",N($K737)=0),"",(N($K737)-IF(OR($M737="Cerrada",$M737="Rolada"),N($O737),0))/$K737)</f>
        <v/>
      </c>
      <c r="AK737" s="15" t="str">
        <f aca="false">IF(OR($C737="",$N737=""),"",DATE(YEAR($N737),MONTH($N737),1))</f>
        <v/>
      </c>
      <c r="AL737" s="11" t="str">
        <f aca="false">IF($C737="","",IF($M737="Abierta",0,1))</f>
        <v/>
      </c>
      <c r="AM737" s="16" t="str">
        <f aca="false">IF(OR($AE737="",$AD737=""),"",$AD737*MAX(N($X737),1))</f>
        <v/>
      </c>
      <c r="AN737" s="10" t="str">
        <f aca="false">IF($C737="","",IF(OR($B737="",$D737="",$H737="",$K737="",$M737=""),"Faltan datos obligatorios",IF($T737="","Estrategia no reconocida",IF(AND($M737&lt;&gt;"Abierta",$N737=""),"Falta fecha cierre",IF(AND(OR($M737="Cerrada",$M737="Rolada"),$O737=""),"Falta prima cierre",IF(AND($N737&lt;&gt;"",$N737&lt;$B737),"Cierre anterior a apertura",IF(AND($M737="Asignada",$R737=""),"Asignada: falta ID lote acciones",IF(AND($R737&lt;&gt;"",ISNA(MATCH($R737,Acciones!$A$2:$A$201,0))),"El ID lote no existe en Acciones",IF($AD737="","Revisa capital en riesgo","OK")))))))))</f>
        <v/>
      </c>
    </row>
    <row r="738" customFormat="false" ht="15" hidden="false" customHeight="true" outlineLevel="0" collapsed="false">
      <c r="A738" s="5"/>
      <c r="B738" s="6"/>
      <c r="C738" s="7"/>
      <c r="D738" s="7"/>
      <c r="E738" s="8"/>
      <c r="F738" s="8"/>
      <c r="G738" s="6"/>
      <c r="H738" s="5"/>
      <c r="I738" s="5" t="n">
        <v>100</v>
      </c>
      <c r="J738" s="8"/>
      <c r="K738" s="8"/>
      <c r="L738" s="9"/>
      <c r="M738" s="7"/>
      <c r="N738" s="6"/>
      <c r="O738" s="8"/>
      <c r="P738" s="9"/>
      <c r="Q738" s="9"/>
      <c r="R738" s="7"/>
      <c r="S738" s="7"/>
      <c r="T738" s="10" t="str">
        <f aca="false">IF($C738="","",IFERROR(INDEX(Listas!$B$2:$B$20,MATCH($D738,Listas!$A$2:$A$20,0)),""))</f>
        <v/>
      </c>
      <c r="U738" s="10" t="str">
        <f aca="false">IF($C738="","",IFERROR(INDEX(Listas!$C$2:$C$20,MATCH($D738,Listas!$A$2:$A$20,0)),""))</f>
        <v/>
      </c>
      <c r="V738" s="10" t="str">
        <f aca="false">IF($C738="","",IFERROR(INDEX(Listas!$D$2:$D$20,MATCH($D738,Listas!$A$2:$A$20,0)),""))</f>
        <v/>
      </c>
      <c r="W738" s="11" t="str">
        <f aca="false">IF(OR($C738="",$B738="",$G738=""),"",$G738-$B738)</f>
        <v/>
      </c>
      <c r="X738" s="11" t="str">
        <f aca="true">IF(OR($C738="",$B738=""),"",IF($N738&lt;&gt;"",$N738,TODAY())-$B738)</f>
        <v/>
      </c>
      <c r="Y738" s="11" t="str">
        <f aca="true">IF(OR($C738="",$M738&lt;&gt;"Abierta",$G738=""),"",MAX($G738-TODAY(),0))</f>
        <v/>
      </c>
      <c r="Z738" s="12" t="str">
        <f aca="false">IF($C738="","",N($K738)*N($H738)*N($I738)*IF($U738="Débito",-1,1))</f>
        <v/>
      </c>
      <c r="AA738" s="13" t="str">
        <f aca="false">IF($C738="","",IF(AND($U738="Débito",$F738&lt;&gt;""),$F738,$E738))</f>
        <v/>
      </c>
      <c r="AB738" s="13" t="str">
        <f aca="false">IF(OR($C738="",$T738="Mixta",$AA738=""),"",IF($V738="Subyacente",IF($J738="","",$J738-$K738),IF($T738="Put",$AA738-$K738,$AA738+$K738)))</f>
        <v/>
      </c>
      <c r="AC738" s="14" t="str">
        <f aca="false">IF(OR($C738="",$T738="Mixta",$J738="",$AA738=""),"",IF($T738="Put",($J738-$AA738)/$J738,($AA738-$J738)/$J738))</f>
        <v/>
      </c>
      <c r="AD738" s="12" t="str">
        <f aca="false">IF($C738="","",IF($Q738&lt;&gt;"",$Q738,IF($V738="Strike",N($E738)*$H738*$I738,IF($V738="Subyacente",IF($J738="","",$J738*$H738*$I738),IF($V738="Ancho",IF($F738="","",ABS($E738-$F738)*$H738*$I738-$K738*$H738*$I738),IF($V738="Prima",$K738*$H738*$I738,""))))))</f>
        <v/>
      </c>
      <c r="AE738" s="12" t="str">
        <f aca="false">IF(OR($C738="",$M738="Abierta",$M738=""),"",(N($K738)-IF(OR($M738="Cerrada",$M738="Rolada"),N($O738),0))*$H738*$I738*IF($U738="Débito",-1,1)-N($L738)-N($P738))</f>
        <v/>
      </c>
      <c r="AF738" s="14" t="str">
        <f aca="false">IF(OR($AE738="",$AD738=""),"",IF($AD738&lt;=0,"",$AE738/$AD738))</f>
        <v/>
      </c>
      <c r="AG738" s="14" t="str">
        <f aca="false">IF($AF738="","",$AF738*365/MAX(N($X738),1))</f>
        <v/>
      </c>
      <c r="AH738" s="14" t="str">
        <f aca="false">IF(OR($C738="",$U738&lt;&gt;"Crédito",$AD738=""),"",IF($AD738&lt;=0,"",($Z738-N($L738))/$AD738))</f>
        <v/>
      </c>
      <c r="AI738" s="14" t="str">
        <f aca="false">IF(OR($AH738="",$W738=""),"",$AH738*365/MAX($W738,1))</f>
        <v/>
      </c>
      <c r="AJ738" s="14" t="str">
        <f aca="false">IF(OR($AE738="",$U738&lt;&gt;"Crédito",N($K738)=0),"",(N($K738)-IF(OR($M738="Cerrada",$M738="Rolada"),N($O738),0))/$K738)</f>
        <v/>
      </c>
      <c r="AK738" s="15" t="str">
        <f aca="false">IF(OR($C738="",$N738=""),"",DATE(YEAR($N738),MONTH($N738),1))</f>
        <v/>
      </c>
      <c r="AL738" s="11" t="str">
        <f aca="false">IF($C738="","",IF($M738="Abierta",0,1))</f>
        <v/>
      </c>
      <c r="AM738" s="16" t="str">
        <f aca="false">IF(OR($AE738="",$AD738=""),"",$AD738*MAX(N($X738),1))</f>
        <v/>
      </c>
      <c r="AN738" s="10" t="str">
        <f aca="false">IF($C738="","",IF(OR($B738="",$D738="",$H738="",$K738="",$M738=""),"Faltan datos obligatorios",IF($T738="","Estrategia no reconocida",IF(AND($M738&lt;&gt;"Abierta",$N738=""),"Falta fecha cierre",IF(AND(OR($M738="Cerrada",$M738="Rolada"),$O738=""),"Falta prima cierre",IF(AND($N738&lt;&gt;"",$N738&lt;$B738),"Cierre anterior a apertura",IF(AND($M738="Asignada",$R738=""),"Asignada: falta ID lote acciones",IF(AND($R738&lt;&gt;"",ISNA(MATCH($R738,Acciones!$A$2:$A$201,0))),"El ID lote no existe en Acciones",IF($AD738="","Revisa capital en riesgo","OK")))))))))</f>
        <v/>
      </c>
    </row>
    <row r="739" customFormat="false" ht="15" hidden="false" customHeight="true" outlineLevel="0" collapsed="false">
      <c r="A739" s="5"/>
      <c r="B739" s="6"/>
      <c r="C739" s="7"/>
      <c r="D739" s="7"/>
      <c r="E739" s="8"/>
      <c r="F739" s="8"/>
      <c r="G739" s="6"/>
      <c r="H739" s="5"/>
      <c r="I739" s="5" t="n">
        <v>100</v>
      </c>
      <c r="J739" s="8"/>
      <c r="K739" s="8"/>
      <c r="L739" s="9"/>
      <c r="M739" s="7"/>
      <c r="N739" s="6"/>
      <c r="O739" s="8"/>
      <c r="P739" s="9"/>
      <c r="Q739" s="9"/>
      <c r="R739" s="7"/>
      <c r="S739" s="7"/>
      <c r="T739" s="10" t="str">
        <f aca="false">IF($C739="","",IFERROR(INDEX(Listas!$B$2:$B$20,MATCH($D739,Listas!$A$2:$A$20,0)),""))</f>
        <v/>
      </c>
      <c r="U739" s="10" t="str">
        <f aca="false">IF($C739="","",IFERROR(INDEX(Listas!$C$2:$C$20,MATCH($D739,Listas!$A$2:$A$20,0)),""))</f>
        <v/>
      </c>
      <c r="V739" s="10" t="str">
        <f aca="false">IF($C739="","",IFERROR(INDEX(Listas!$D$2:$D$20,MATCH($D739,Listas!$A$2:$A$20,0)),""))</f>
        <v/>
      </c>
      <c r="W739" s="11" t="str">
        <f aca="false">IF(OR($C739="",$B739="",$G739=""),"",$G739-$B739)</f>
        <v/>
      </c>
      <c r="X739" s="11" t="str">
        <f aca="true">IF(OR($C739="",$B739=""),"",IF($N739&lt;&gt;"",$N739,TODAY())-$B739)</f>
        <v/>
      </c>
      <c r="Y739" s="11" t="str">
        <f aca="true">IF(OR($C739="",$M739&lt;&gt;"Abierta",$G739=""),"",MAX($G739-TODAY(),0))</f>
        <v/>
      </c>
      <c r="Z739" s="12" t="str">
        <f aca="false">IF($C739="","",N($K739)*N($H739)*N($I739)*IF($U739="Débito",-1,1))</f>
        <v/>
      </c>
      <c r="AA739" s="13" t="str">
        <f aca="false">IF($C739="","",IF(AND($U739="Débito",$F739&lt;&gt;""),$F739,$E739))</f>
        <v/>
      </c>
      <c r="AB739" s="13" t="str">
        <f aca="false">IF(OR($C739="",$T739="Mixta",$AA739=""),"",IF($V739="Subyacente",IF($J739="","",$J739-$K739),IF($T739="Put",$AA739-$K739,$AA739+$K739)))</f>
        <v/>
      </c>
      <c r="AC739" s="14" t="str">
        <f aca="false">IF(OR($C739="",$T739="Mixta",$J739="",$AA739=""),"",IF($T739="Put",($J739-$AA739)/$J739,($AA739-$J739)/$J739))</f>
        <v/>
      </c>
      <c r="AD739" s="12" t="str">
        <f aca="false">IF($C739="","",IF($Q739&lt;&gt;"",$Q739,IF($V739="Strike",N($E739)*$H739*$I739,IF($V739="Subyacente",IF($J739="","",$J739*$H739*$I739),IF($V739="Ancho",IF($F739="","",ABS($E739-$F739)*$H739*$I739-$K739*$H739*$I739),IF($V739="Prima",$K739*$H739*$I739,""))))))</f>
        <v/>
      </c>
      <c r="AE739" s="12" t="str">
        <f aca="false">IF(OR($C739="",$M739="Abierta",$M739=""),"",(N($K739)-IF(OR($M739="Cerrada",$M739="Rolada"),N($O739),0))*$H739*$I739*IF($U739="Débito",-1,1)-N($L739)-N($P739))</f>
        <v/>
      </c>
      <c r="AF739" s="14" t="str">
        <f aca="false">IF(OR($AE739="",$AD739=""),"",IF($AD739&lt;=0,"",$AE739/$AD739))</f>
        <v/>
      </c>
      <c r="AG739" s="14" t="str">
        <f aca="false">IF($AF739="","",$AF739*365/MAX(N($X739),1))</f>
        <v/>
      </c>
      <c r="AH739" s="14" t="str">
        <f aca="false">IF(OR($C739="",$U739&lt;&gt;"Crédito",$AD739=""),"",IF($AD739&lt;=0,"",($Z739-N($L739))/$AD739))</f>
        <v/>
      </c>
      <c r="AI739" s="14" t="str">
        <f aca="false">IF(OR($AH739="",$W739=""),"",$AH739*365/MAX($W739,1))</f>
        <v/>
      </c>
      <c r="AJ739" s="14" t="str">
        <f aca="false">IF(OR($AE739="",$U739&lt;&gt;"Crédito",N($K739)=0),"",(N($K739)-IF(OR($M739="Cerrada",$M739="Rolada"),N($O739),0))/$K739)</f>
        <v/>
      </c>
      <c r="AK739" s="15" t="str">
        <f aca="false">IF(OR($C739="",$N739=""),"",DATE(YEAR($N739),MONTH($N739),1))</f>
        <v/>
      </c>
      <c r="AL739" s="11" t="str">
        <f aca="false">IF($C739="","",IF($M739="Abierta",0,1))</f>
        <v/>
      </c>
      <c r="AM739" s="16" t="str">
        <f aca="false">IF(OR($AE739="",$AD739=""),"",$AD739*MAX(N($X739),1))</f>
        <v/>
      </c>
      <c r="AN739" s="10" t="str">
        <f aca="false">IF($C739="","",IF(OR($B739="",$D739="",$H739="",$K739="",$M739=""),"Faltan datos obligatorios",IF($T739="","Estrategia no reconocida",IF(AND($M739&lt;&gt;"Abierta",$N739=""),"Falta fecha cierre",IF(AND(OR($M739="Cerrada",$M739="Rolada"),$O739=""),"Falta prima cierre",IF(AND($N739&lt;&gt;"",$N739&lt;$B739),"Cierre anterior a apertura",IF(AND($M739="Asignada",$R739=""),"Asignada: falta ID lote acciones",IF(AND($R739&lt;&gt;"",ISNA(MATCH($R739,Acciones!$A$2:$A$201,0))),"El ID lote no existe en Acciones",IF($AD739="","Revisa capital en riesgo","OK")))))))))</f>
        <v/>
      </c>
    </row>
    <row r="740" customFormat="false" ht="15" hidden="false" customHeight="true" outlineLevel="0" collapsed="false">
      <c r="A740" s="5"/>
      <c r="B740" s="6"/>
      <c r="C740" s="7"/>
      <c r="D740" s="7"/>
      <c r="E740" s="8"/>
      <c r="F740" s="8"/>
      <c r="G740" s="6"/>
      <c r="H740" s="5"/>
      <c r="I740" s="5" t="n">
        <v>100</v>
      </c>
      <c r="J740" s="8"/>
      <c r="K740" s="8"/>
      <c r="L740" s="9"/>
      <c r="M740" s="7"/>
      <c r="N740" s="6"/>
      <c r="O740" s="8"/>
      <c r="P740" s="9"/>
      <c r="Q740" s="9"/>
      <c r="R740" s="7"/>
      <c r="S740" s="7"/>
      <c r="T740" s="10" t="str">
        <f aca="false">IF($C740="","",IFERROR(INDEX(Listas!$B$2:$B$20,MATCH($D740,Listas!$A$2:$A$20,0)),""))</f>
        <v/>
      </c>
      <c r="U740" s="10" t="str">
        <f aca="false">IF($C740="","",IFERROR(INDEX(Listas!$C$2:$C$20,MATCH($D740,Listas!$A$2:$A$20,0)),""))</f>
        <v/>
      </c>
      <c r="V740" s="10" t="str">
        <f aca="false">IF($C740="","",IFERROR(INDEX(Listas!$D$2:$D$20,MATCH($D740,Listas!$A$2:$A$20,0)),""))</f>
        <v/>
      </c>
      <c r="W740" s="11" t="str">
        <f aca="false">IF(OR($C740="",$B740="",$G740=""),"",$G740-$B740)</f>
        <v/>
      </c>
      <c r="X740" s="11" t="str">
        <f aca="true">IF(OR($C740="",$B740=""),"",IF($N740&lt;&gt;"",$N740,TODAY())-$B740)</f>
        <v/>
      </c>
      <c r="Y740" s="11" t="str">
        <f aca="true">IF(OR($C740="",$M740&lt;&gt;"Abierta",$G740=""),"",MAX($G740-TODAY(),0))</f>
        <v/>
      </c>
      <c r="Z740" s="12" t="str">
        <f aca="false">IF($C740="","",N($K740)*N($H740)*N($I740)*IF($U740="Débito",-1,1))</f>
        <v/>
      </c>
      <c r="AA740" s="13" t="str">
        <f aca="false">IF($C740="","",IF(AND($U740="Débito",$F740&lt;&gt;""),$F740,$E740))</f>
        <v/>
      </c>
      <c r="AB740" s="13" t="str">
        <f aca="false">IF(OR($C740="",$T740="Mixta",$AA740=""),"",IF($V740="Subyacente",IF($J740="","",$J740-$K740),IF($T740="Put",$AA740-$K740,$AA740+$K740)))</f>
        <v/>
      </c>
      <c r="AC740" s="14" t="str">
        <f aca="false">IF(OR($C740="",$T740="Mixta",$J740="",$AA740=""),"",IF($T740="Put",($J740-$AA740)/$J740,($AA740-$J740)/$J740))</f>
        <v/>
      </c>
      <c r="AD740" s="12" t="str">
        <f aca="false">IF($C740="","",IF($Q740&lt;&gt;"",$Q740,IF($V740="Strike",N($E740)*$H740*$I740,IF($V740="Subyacente",IF($J740="","",$J740*$H740*$I740),IF($V740="Ancho",IF($F740="","",ABS($E740-$F740)*$H740*$I740-$K740*$H740*$I740),IF($V740="Prima",$K740*$H740*$I740,""))))))</f>
        <v/>
      </c>
      <c r="AE740" s="12" t="str">
        <f aca="false">IF(OR($C740="",$M740="Abierta",$M740=""),"",(N($K740)-IF(OR($M740="Cerrada",$M740="Rolada"),N($O740),0))*$H740*$I740*IF($U740="Débito",-1,1)-N($L740)-N($P740))</f>
        <v/>
      </c>
      <c r="AF740" s="14" t="str">
        <f aca="false">IF(OR($AE740="",$AD740=""),"",IF($AD740&lt;=0,"",$AE740/$AD740))</f>
        <v/>
      </c>
      <c r="AG740" s="14" t="str">
        <f aca="false">IF($AF740="","",$AF740*365/MAX(N($X740),1))</f>
        <v/>
      </c>
      <c r="AH740" s="14" t="str">
        <f aca="false">IF(OR($C740="",$U740&lt;&gt;"Crédito",$AD740=""),"",IF($AD740&lt;=0,"",($Z740-N($L740))/$AD740))</f>
        <v/>
      </c>
      <c r="AI740" s="14" t="str">
        <f aca="false">IF(OR($AH740="",$W740=""),"",$AH740*365/MAX($W740,1))</f>
        <v/>
      </c>
      <c r="AJ740" s="14" t="str">
        <f aca="false">IF(OR($AE740="",$U740&lt;&gt;"Crédito",N($K740)=0),"",(N($K740)-IF(OR($M740="Cerrada",$M740="Rolada"),N($O740),0))/$K740)</f>
        <v/>
      </c>
      <c r="AK740" s="15" t="str">
        <f aca="false">IF(OR($C740="",$N740=""),"",DATE(YEAR($N740),MONTH($N740),1))</f>
        <v/>
      </c>
      <c r="AL740" s="11" t="str">
        <f aca="false">IF($C740="","",IF($M740="Abierta",0,1))</f>
        <v/>
      </c>
      <c r="AM740" s="16" t="str">
        <f aca="false">IF(OR($AE740="",$AD740=""),"",$AD740*MAX(N($X740),1))</f>
        <v/>
      </c>
      <c r="AN740" s="10" t="str">
        <f aca="false">IF($C740="","",IF(OR($B740="",$D740="",$H740="",$K740="",$M740=""),"Faltan datos obligatorios",IF($T740="","Estrategia no reconocida",IF(AND($M740&lt;&gt;"Abierta",$N740=""),"Falta fecha cierre",IF(AND(OR($M740="Cerrada",$M740="Rolada"),$O740=""),"Falta prima cierre",IF(AND($N740&lt;&gt;"",$N740&lt;$B740),"Cierre anterior a apertura",IF(AND($M740="Asignada",$R740=""),"Asignada: falta ID lote acciones",IF(AND($R740&lt;&gt;"",ISNA(MATCH($R740,Acciones!$A$2:$A$201,0))),"El ID lote no existe en Acciones",IF($AD740="","Revisa capital en riesgo","OK")))))))))</f>
        <v/>
      </c>
    </row>
    <row r="741" customFormat="false" ht="15" hidden="false" customHeight="true" outlineLevel="0" collapsed="false">
      <c r="A741" s="5"/>
      <c r="B741" s="6"/>
      <c r="C741" s="7"/>
      <c r="D741" s="7"/>
      <c r="E741" s="8"/>
      <c r="F741" s="8"/>
      <c r="G741" s="6"/>
      <c r="H741" s="5"/>
      <c r="I741" s="5" t="n">
        <v>100</v>
      </c>
      <c r="J741" s="8"/>
      <c r="K741" s="8"/>
      <c r="L741" s="9"/>
      <c r="M741" s="7"/>
      <c r="N741" s="6"/>
      <c r="O741" s="8"/>
      <c r="P741" s="9"/>
      <c r="Q741" s="9"/>
      <c r="R741" s="7"/>
      <c r="S741" s="7"/>
      <c r="T741" s="10" t="str">
        <f aca="false">IF($C741="","",IFERROR(INDEX(Listas!$B$2:$B$20,MATCH($D741,Listas!$A$2:$A$20,0)),""))</f>
        <v/>
      </c>
      <c r="U741" s="10" t="str">
        <f aca="false">IF($C741="","",IFERROR(INDEX(Listas!$C$2:$C$20,MATCH($D741,Listas!$A$2:$A$20,0)),""))</f>
        <v/>
      </c>
      <c r="V741" s="10" t="str">
        <f aca="false">IF($C741="","",IFERROR(INDEX(Listas!$D$2:$D$20,MATCH($D741,Listas!$A$2:$A$20,0)),""))</f>
        <v/>
      </c>
      <c r="W741" s="11" t="str">
        <f aca="false">IF(OR($C741="",$B741="",$G741=""),"",$G741-$B741)</f>
        <v/>
      </c>
      <c r="X741" s="11" t="str">
        <f aca="true">IF(OR($C741="",$B741=""),"",IF($N741&lt;&gt;"",$N741,TODAY())-$B741)</f>
        <v/>
      </c>
      <c r="Y741" s="11" t="str">
        <f aca="true">IF(OR($C741="",$M741&lt;&gt;"Abierta",$G741=""),"",MAX($G741-TODAY(),0))</f>
        <v/>
      </c>
      <c r="Z741" s="12" t="str">
        <f aca="false">IF($C741="","",N($K741)*N($H741)*N($I741)*IF($U741="Débito",-1,1))</f>
        <v/>
      </c>
      <c r="AA741" s="13" t="str">
        <f aca="false">IF($C741="","",IF(AND($U741="Débito",$F741&lt;&gt;""),$F741,$E741))</f>
        <v/>
      </c>
      <c r="AB741" s="13" t="str">
        <f aca="false">IF(OR($C741="",$T741="Mixta",$AA741=""),"",IF($V741="Subyacente",IF($J741="","",$J741-$K741),IF($T741="Put",$AA741-$K741,$AA741+$K741)))</f>
        <v/>
      </c>
      <c r="AC741" s="14" t="str">
        <f aca="false">IF(OR($C741="",$T741="Mixta",$J741="",$AA741=""),"",IF($T741="Put",($J741-$AA741)/$J741,($AA741-$J741)/$J741))</f>
        <v/>
      </c>
      <c r="AD741" s="12" t="str">
        <f aca="false">IF($C741="","",IF($Q741&lt;&gt;"",$Q741,IF($V741="Strike",N($E741)*$H741*$I741,IF($V741="Subyacente",IF($J741="","",$J741*$H741*$I741),IF($V741="Ancho",IF($F741="","",ABS($E741-$F741)*$H741*$I741-$K741*$H741*$I741),IF($V741="Prima",$K741*$H741*$I741,""))))))</f>
        <v/>
      </c>
      <c r="AE741" s="12" t="str">
        <f aca="false">IF(OR($C741="",$M741="Abierta",$M741=""),"",(N($K741)-IF(OR($M741="Cerrada",$M741="Rolada"),N($O741),0))*$H741*$I741*IF($U741="Débito",-1,1)-N($L741)-N($P741))</f>
        <v/>
      </c>
      <c r="AF741" s="14" t="str">
        <f aca="false">IF(OR($AE741="",$AD741=""),"",IF($AD741&lt;=0,"",$AE741/$AD741))</f>
        <v/>
      </c>
      <c r="AG741" s="14" t="str">
        <f aca="false">IF($AF741="","",$AF741*365/MAX(N($X741),1))</f>
        <v/>
      </c>
      <c r="AH741" s="14" t="str">
        <f aca="false">IF(OR($C741="",$U741&lt;&gt;"Crédito",$AD741=""),"",IF($AD741&lt;=0,"",($Z741-N($L741))/$AD741))</f>
        <v/>
      </c>
      <c r="AI741" s="14" t="str">
        <f aca="false">IF(OR($AH741="",$W741=""),"",$AH741*365/MAX($W741,1))</f>
        <v/>
      </c>
      <c r="AJ741" s="14" t="str">
        <f aca="false">IF(OR($AE741="",$U741&lt;&gt;"Crédito",N($K741)=0),"",(N($K741)-IF(OR($M741="Cerrada",$M741="Rolada"),N($O741),0))/$K741)</f>
        <v/>
      </c>
      <c r="AK741" s="15" t="str">
        <f aca="false">IF(OR($C741="",$N741=""),"",DATE(YEAR($N741),MONTH($N741),1))</f>
        <v/>
      </c>
      <c r="AL741" s="11" t="str">
        <f aca="false">IF($C741="","",IF($M741="Abierta",0,1))</f>
        <v/>
      </c>
      <c r="AM741" s="16" t="str">
        <f aca="false">IF(OR($AE741="",$AD741=""),"",$AD741*MAX(N($X741),1))</f>
        <v/>
      </c>
      <c r="AN741" s="10" t="str">
        <f aca="false">IF($C741="","",IF(OR($B741="",$D741="",$H741="",$K741="",$M741=""),"Faltan datos obligatorios",IF($T741="","Estrategia no reconocida",IF(AND($M741&lt;&gt;"Abierta",$N741=""),"Falta fecha cierre",IF(AND(OR($M741="Cerrada",$M741="Rolada"),$O741=""),"Falta prima cierre",IF(AND($N741&lt;&gt;"",$N741&lt;$B741),"Cierre anterior a apertura",IF(AND($M741="Asignada",$R741=""),"Asignada: falta ID lote acciones",IF(AND($R741&lt;&gt;"",ISNA(MATCH($R741,Acciones!$A$2:$A$201,0))),"El ID lote no existe en Acciones",IF($AD741="","Revisa capital en riesgo","OK")))))))))</f>
        <v/>
      </c>
    </row>
    <row r="742" customFormat="false" ht="15" hidden="false" customHeight="true" outlineLevel="0" collapsed="false">
      <c r="A742" s="5"/>
      <c r="B742" s="6"/>
      <c r="C742" s="7"/>
      <c r="D742" s="7"/>
      <c r="E742" s="8"/>
      <c r="F742" s="8"/>
      <c r="G742" s="6"/>
      <c r="H742" s="5"/>
      <c r="I742" s="5" t="n">
        <v>100</v>
      </c>
      <c r="J742" s="8"/>
      <c r="K742" s="8"/>
      <c r="L742" s="9"/>
      <c r="M742" s="7"/>
      <c r="N742" s="6"/>
      <c r="O742" s="8"/>
      <c r="P742" s="9"/>
      <c r="Q742" s="9"/>
      <c r="R742" s="7"/>
      <c r="S742" s="7"/>
      <c r="T742" s="10" t="str">
        <f aca="false">IF($C742="","",IFERROR(INDEX(Listas!$B$2:$B$20,MATCH($D742,Listas!$A$2:$A$20,0)),""))</f>
        <v/>
      </c>
      <c r="U742" s="10" t="str">
        <f aca="false">IF($C742="","",IFERROR(INDEX(Listas!$C$2:$C$20,MATCH($D742,Listas!$A$2:$A$20,0)),""))</f>
        <v/>
      </c>
      <c r="V742" s="10" t="str">
        <f aca="false">IF($C742="","",IFERROR(INDEX(Listas!$D$2:$D$20,MATCH($D742,Listas!$A$2:$A$20,0)),""))</f>
        <v/>
      </c>
      <c r="W742" s="11" t="str">
        <f aca="false">IF(OR($C742="",$B742="",$G742=""),"",$G742-$B742)</f>
        <v/>
      </c>
      <c r="X742" s="11" t="str">
        <f aca="true">IF(OR($C742="",$B742=""),"",IF($N742&lt;&gt;"",$N742,TODAY())-$B742)</f>
        <v/>
      </c>
      <c r="Y742" s="11" t="str">
        <f aca="true">IF(OR($C742="",$M742&lt;&gt;"Abierta",$G742=""),"",MAX($G742-TODAY(),0))</f>
        <v/>
      </c>
      <c r="Z742" s="12" t="str">
        <f aca="false">IF($C742="","",N($K742)*N($H742)*N($I742)*IF($U742="Débito",-1,1))</f>
        <v/>
      </c>
      <c r="AA742" s="13" t="str">
        <f aca="false">IF($C742="","",IF(AND($U742="Débito",$F742&lt;&gt;""),$F742,$E742))</f>
        <v/>
      </c>
      <c r="AB742" s="13" t="str">
        <f aca="false">IF(OR($C742="",$T742="Mixta",$AA742=""),"",IF($V742="Subyacente",IF($J742="","",$J742-$K742),IF($T742="Put",$AA742-$K742,$AA742+$K742)))</f>
        <v/>
      </c>
      <c r="AC742" s="14" t="str">
        <f aca="false">IF(OR($C742="",$T742="Mixta",$J742="",$AA742=""),"",IF($T742="Put",($J742-$AA742)/$J742,($AA742-$J742)/$J742))</f>
        <v/>
      </c>
      <c r="AD742" s="12" t="str">
        <f aca="false">IF($C742="","",IF($Q742&lt;&gt;"",$Q742,IF($V742="Strike",N($E742)*$H742*$I742,IF($V742="Subyacente",IF($J742="","",$J742*$H742*$I742),IF($V742="Ancho",IF($F742="","",ABS($E742-$F742)*$H742*$I742-$K742*$H742*$I742),IF($V742="Prima",$K742*$H742*$I742,""))))))</f>
        <v/>
      </c>
      <c r="AE742" s="12" t="str">
        <f aca="false">IF(OR($C742="",$M742="Abierta",$M742=""),"",(N($K742)-IF(OR($M742="Cerrada",$M742="Rolada"),N($O742),0))*$H742*$I742*IF($U742="Débito",-1,1)-N($L742)-N($P742))</f>
        <v/>
      </c>
      <c r="AF742" s="14" t="str">
        <f aca="false">IF(OR($AE742="",$AD742=""),"",IF($AD742&lt;=0,"",$AE742/$AD742))</f>
        <v/>
      </c>
      <c r="AG742" s="14" t="str">
        <f aca="false">IF($AF742="","",$AF742*365/MAX(N($X742),1))</f>
        <v/>
      </c>
      <c r="AH742" s="14" t="str">
        <f aca="false">IF(OR($C742="",$U742&lt;&gt;"Crédito",$AD742=""),"",IF($AD742&lt;=0,"",($Z742-N($L742))/$AD742))</f>
        <v/>
      </c>
      <c r="AI742" s="14" t="str">
        <f aca="false">IF(OR($AH742="",$W742=""),"",$AH742*365/MAX($W742,1))</f>
        <v/>
      </c>
      <c r="AJ742" s="14" t="str">
        <f aca="false">IF(OR($AE742="",$U742&lt;&gt;"Crédito",N($K742)=0),"",(N($K742)-IF(OR($M742="Cerrada",$M742="Rolada"),N($O742),0))/$K742)</f>
        <v/>
      </c>
      <c r="AK742" s="15" t="str">
        <f aca="false">IF(OR($C742="",$N742=""),"",DATE(YEAR($N742),MONTH($N742),1))</f>
        <v/>
      </c>
      <c r="AL742" s="11" t="str">
        <f aca="false">IF($C742="","",IF($M742="Abierta",0,1))</f>
        <v/>
      </c>
      <c r="AM742" s="16" t="str">
        <f aca="false">IF(OR($AE742="",$AD742=""),"",$AD742*MAX(N($X742),1))</f>
        <v/>
      </c>
      <c r="AN742" s="10" t="str">
        <f aca="false">IF($C742="","",IF(OR($B742="",$D742="",$H742="",$K742="",$M742=""),"Faltan datos obligatorios",IF($T742="","Estrategia no reconocida",IF(AND($M742&lt;&gt;"Abierta",$N742=""),"Falta fecha cierre",IF(AND(OR($M742="Cerrada",$M742="Rolada"),$O742=""),"Falta prima cierre",IF(AND($N742&lt;&gt;"",$N742&lt;$B742),"Cierre anterior a apertura",IF(AND($M742="Asignada",$R742=""),"Asignada: falta ID lote acciones",IF(AND($R742&lt;&gt;"",ISNA(MATCH($R742,Acciones!$A$2:$A$201,0))),"El ID lote no existe en Acciones",IF($AD742="","Revisa capital en riesgo","OK")))))))))</f>
        <v/>
      </c>
    </row>
    <row r="743" customFormat="false" ht="15" hidden="false" customHeight="true" outlineLevel="0" collapsed="false">
      <c r="A743" s="5"/>
      <c r="B743" s="6"/>
      <c r="C743" s="7"/>
      <c r="D743" s="7"/>
      <c r="E743" s="8"/>
      <c r="F743" s="8"/>
      <c r="G743" s="6"/>
      <c r="H743" s="5"/>
      <c r="I743" s="5" t="n">
        <v>100</v>
      </c>
      <c r="J743" s="8"/>
      <c r="K743" s="8"/>
      <c r="L743" s="9"/>
      <c r="M743" s="7"/>
      <c r="N743" s="6"/>
      <c r="O743" s="8"/>
      <c r="P743" s="9"/>
      <c r="Q743" s="9"/>
      <c r="R743" s="7"/>
      <c r="S743" s="7"/>
      <c r="T743" s="10" t="str">
        <f aca="false">IF($C743="","",IFERROR(INDEX(Listas!$B$2:$B$20,MATCH($D743,Listas!$A$2:$A$20,0)),""))</f>
        <v/>
      </c>
      <c r="U743" s="10" t="str">
        <f aca="false">IF($C743="","",IFERROR(INDEX(Listas!$C$2:$C$20,MATCH($D743,Listas!$A$2:$A$20,0)),""))</f>
        <v/>
      </c>
      <c r="V743" s="10" t="str">
        <f aca="false">IF($C743="","",IFERROR(INDEX(Listas!$D$2:$D$20,MATCH($D743,Listas!$A$2:$A$20,0)),""))</f>
        <v/>
      </c>
      <c r="W743" s="11" t="str">
        <f aca="false">IF(OR($C743="",$B743="",$G743=""),"",$G743-$B743)</f>
        <v/>
      </c>
      <c r="X743" s="11" t="str">
        <f aca="true">IF(OR($C743="",$B743=""),"",IF($N743&lt;&gt;"",$N743,TODAY())-$B743)</f>
        <v/>
      </c>
      <c r="Y743" s="11" t="str">
        <f aca="true">IF(OR($C743="",$M743&lt;&gt;"Abierta",$G743=""),"",MAX($G743-TODAY(),0))</f>
        <v/>
      </c>
      <c r="Z743" s="12" t="str">
        <f aca="false">IF($C743="","",N($K743)*N($H743)*N($I743)*IF($U743="Débito",-1,1))</f>
        <v/>
      </c>
      <c r="AA743" s="13" t="str">
        <f aca="false">IF($C743="","",IF(AND($U743="Débito",$F743&lt;&gt;""),$F743,$E743))</f>
        <v/>
      </c>
      <c r="AB743" s="13" t="str">
        <f aca="false">IF(OR($C743="",$T743="Mixta",$AA743=""),"",IF($V743="Subyacente",IF($J743="","",$J743-$K743),IF($T743="Put",$AA743-$K743,$AA743+$K743)))</f>
        <v/>
      </c>
      <c r="AC743" s="14" t="str">
        <f aca="false">IF(OR($C743="",$T743="Mixta",$J743="",$AA743=""),"",IF($T743="Put",($J743-$AA743)/$J743,($AA743-$J743)/$J743))</f>
        <v/>
      </c>
      <c r="AD743" s="12" t="str">
        <f aca="false">IF($C743="","",IF($Q743&lt;&gt;"",$Q743,IF($V743="Strike",N($E743)*$H743*$I743,IF($V743="Subyacente",IF($J743="","",$J743*$H743*$I743),IF($V743="Ancho",IF($F743="","",ABS($E743-$F743)*$H743*$I743-$K743*$H743*$I743),IF($V743="Prima",$K743*$H743*$I743,""))))))</f>
        <v/>
      </c>
      <c r="AE743" s="12" t="str">
        <f aca="false">IF(OR($C743="",$M743="Abierta",$M743=""),"",(N($K743)-IF(OR($M743="Cerrada",$M743="Rolada"),N($O743),0))*$H743*$I743*IF($U743="Débito",-1,1)-N($L743)-N($P743))</f>
        <v/>
      </c>
      <c r="AF743" s="14" t="str">
        <f aca="false">IF(OR($AE743="",$AD743=""),"",IF($AD743&lt;=0,"",$AE743/$AD743))</f>
        <v/>
      </c>
      <c r="AG743" s="14" t="str">
        <f aca="false">IF($AF743="","",$AF743*365/MAX(N($X743),1))</f>
        <v/>
      </c>
      <c r="AH743" s="14" t="str">
        <f aca="false">IF(OR($C743="",$U743&lt;&gt;"Crédito",$AD743=""),"",IF($AD743&lt;=0,"",($Z743-N($L743))/$AD743))</f>
        <v/>
      </c>
      <c r="AI743" s="14" t="str">
        <f aca="false">IF(OR($AH743="",$W743=""),"",$AH743*365/MAX($W743,1))</f>
        <v/>
      </c>
      <c r="AJ743" s="14" t="str">
        <f aca="false">IF(OR($AE743="",$U743&lt;&gt;"Crédito",N($K743)=0),"",(N($K743)-IF(OR($M743="Cerrada",$M743="Rolada"),N($O743),0))/$K743)</f>
        <v/>
      </c>
      <c r="AK743" s="15" t="str">
        <f aca="false">IF(OR($C743="",$N743=""),"",DATE(YEAR($N743),MONTH($N743),1))</f>
        <v/>
      </c>
      <c r="AL743" s="11" t="str">
        <f aca="false">IF($C743="","",IF($M743="Abierta",0,1))</f>
        <v/>
      </c>
      <c r="AM743" s="16" t="str">
        <f aca="false">IF(OR($AE743="",$AD743=""),"",$AD743*MAX(N($X743),1))</f>
        <v/>
      </c>
      <c r="AN743" s="10" t="str">
        <f aca="false">IF($C743="","",IF(OR($B743="",$D743="",$H743="",$K743="",$M743=""),"Faltan datos obligatorios",IF($T743="","Estrategia no reconocida",IF(AND($M743&lt;&gt;"Abierta",$N743=""),"Falta fecha cierre",IF(AND(OR($M743="Cerrada",$M743="Rolada"),$O743=""),"Falta prima cierre",IF(AND($N743&lt;&gt;"",$N743&lt;$B743),"Cierre anterior a apertura",IF(AND($M743="Asignada",$R743=""),"Asignada: falta ID lote acciones",IF(AND($R743&lt;&gt;"",ISNA(MATCH($R743,Acciones!$A$2:$A$201,0))),"El ID lote no existe en Acciones",IF($AD743="","Revisa capital en riesgo","OK")))))))))</f>
        <v/>
      </c>
    </row>
    <row r="744" customFormat="false" ht="15" hidden="false" customHeight="true" outlineLevel="0" collapsed="false">
      <c r="A744" s="5"/>
      <c r="B744" s="6"/>
      <c r="C744" s="7"/>
      <c r="D744" s="7"/>
      <c r="E744" s="8"/>
      <c r="F744" s="8"/>
      <c r="G744" s="6"/>
      <c r="H744" s="5"/>
      <c r="I744" s="5" t="n">
        <v>100</v>
      </c>
      <c r="J744" s="8"/>
      <c r="K744" s="8"/>
      <c r="L744" s="9"/>
      <c r="M744" s="7"/>
      <c r="N744" s="6"/>
      <c r="O744" s="8"/>
      <c r="P744" s="9"/>
      <c r="Q744" s="9"/>
      <c r="R744" s="7"/>
      <c r="S744" s="7"/>
      <c r="T744" s="10" t="str">
        <f aca="false">IF($C744="","",IFERROR(INDEX(Listas!$B$2:$B$20,MATCH($D744,Listas!$A$2:$A$20,0)),""))</f>
        <v/>
      </c>
      <c r="U744" s="10" t="str">
        <f aca="false">IF($C744="","",IFERROR(INDEX(Listas!$C$2:$C$20,MATCH($D744,Listas!$A$2:$A$20,0)),""))</f>
        <v/>
      </c>
      <c r="V744" s="10" t="str">
        <f aca="false">IF($C744="","",IFERROR(INDEX(Listas!$D$2:$D$20,MATCH($D744,Listas!$A$2:$A$20,0)),""))</f>
        <v/>
      </c>
      <c r="W744" s="11" t="str">
        <f aca="false">IF(OR($C744="",$B744="",$G744=""),"",$G744-$B744)</f>
        <v/>
      </c>
      <c r="X744" s="11" t="str">
        <f aca="true">IF(OR($C744="",$B744=""),"",IF($N744&lt;&gt;"",$N744,TODAY())-$B744)</f>
        <v/>
      </c>
      <c r="Y744" s="11" t="str">
        <f aca="true">IF(OR($C744="",$M744&lt;&gt;"Abierta",$G744=""),"",MAX($G744-TODAY(),0))</f>
        <v/>
      </c>
      <c r="Z744" s="12" t="str">
        <f aca="false">IF($C744="","",N($K744)*N($H744)*N($I744)*IF($U744="Débito",-1,1))</f>
        <v/>
      </c>
      <c r="AA744" s="13" t="str">
        <f aca="false">IF($C744="","",IF(AND($U744="Débito",$F744&lt;&gt;""),$F744,$E744))</f>
        <v/>
      </c>
      <c r="AB744" s="13" t="str">
        <f aca="false">IF(OR($C744="",$T744="Mixta",$AA744=""),"",IF($V744="Subyacente",IF($J744="","",$J744-$K744),IF($T744="Put",$AA744-$K744,$AA744+$K744)))</f>
        <v/>
      </c>
      <c r="AC744" s="14" t="str">
        <f aca="false">IF(OR($C744="",$T744="Mixta",$J744="",$AA744=""),"",IF($T744="Put",($J744-$AA744)/$J744,($AA744-$J744)/$J744))</f>
        <v/>
      </c>
      <c r="AD744" s="12" t="str">
        <f aca="false">IF($C744="","",IF($Q744&lt;&gt;"",$Q744,IF($V744="Strike",N($E744)*$H744*$I744,IF($V744="Subyacente",IF($J744="","",$J744*$H744*$I744),IF($V744="Ancho",IF($F744="","",ABS($E744-$F744)*$H744*$I744-$K744*$H744*$I744),IF($V744="Prima",$K744*$H744*$I744,""))))))</f>
        <v/>
      </c>
      <c r="AE744" s="12" t="str">
        <f aca="false">IF(OR($C744="",$M744="Abierta",$M744=""),"",(N($K744)-IF(OR($M744="Cerrada",$M744="Rolada"),N($O744),0))*$H744*$I744*IF($U744="Débito",-1,1)-N($L744)-N($P744))</f>
        <v/>
      </c>
      <c r="AF744" s="14" t="str">
        <f aca="false">IF(OR($AE744="",$AD744=""),"",IF($AD744&lt;=0,"",$AE744/$AD744))</f>
        <v/>
      </c>
      <c r="AG744" s="14" t="str">
        <f aca="false">IF($AF744="","",$AF744*365/MAX(N($X744),1))</f>
        <v/>
      </c>
      <c r="AH744" s="14" t="str">
        <f aca="false">IF(OR($C744="",$U744&lt;&gt;"Crédito",$AD744=""),"",IF($AD744&lt;=0,"",($Z744-N($L744))/$AD744))</f>
        <v/>
      </c>
      <c r="AI744" s="14" t="str">
        <f aca="false">IF(OR($AH744="",$W744=""),"",$AH744*365/MAX($W744,1))</f>
        <v/>
      </c>
      <c r="AJ744" s="14" t="str">
        <f aca="false">IF(OR($AE744="",$U744&lt;&gt;"Crédito",N($K744)=0),"",(N($K744)-IF(OR($M744="Cerrada",$M744="Rolada"),N($O744),0))/$K744)</f>
        <v/>
      </c>
      <c r="AK744" s="15" t="str">
        <f aca="false">IF(OR($C744="",$N744=""),"",DATE(YEAR($N744),MONTH($N744),1))</f>
        <v/>
      </c>
      <c r="AL744" s="11" t="str">
        <f aca="false">IF($C744="","",IF($M744="Abierta",0,1))</f>
        <v/>
      </c>
      <c r="AM744" s="16" t="str">
        <f aca="false">IF(OR($AE744="",$AD744=""),"",$AD744*MAX(N($X744),1))</f>
        <v/>
      </c>
      <c r="AN744" s="10" t="str">
        <f aca="false">IF($C744="","",IF(OR($B744="",$D744="",$H744="",$K744="",$M744=""),"Faltan datos obligatorios",IF($T744="","Estrategia no reconocida",IF(AND($M744&lt;&gt;"Abierta",$N744=""),"Falta fecha cierre",IF(AND(OR($M744="Cerrada",$M744="Rolada"),$O744=""),"Falta prima cierre",IF(AND($N744&lt;&gt;"",$N744&lt;$B744),"Cierre anterior a apertura",IF(AND($M744="Asignada",$R744=""),"Asignada: falta ID lote acciones",IF(AND($R744&lt;&gt;"",ISNA(MATCH($R744,Acciones!$A$2:$A$201,0))),"El ID lote no existe en Acciones",IF($AD744="","Revisa capital en riesgo","OK")))))))))</f>
        <v/>
      </c>
    </row>
    <row r="745" customFormat="false" ht="15" hidden="false" customHeight="true" outlineLevel="0" collapsed="false">
      <c r="A745" s="5"/>
      <c r="B745" s="6"/>
      <c r="C745" s="7"/>
      <c r="D745" s="7"/>
      <c r="E745" s="8"/>
      <c r="F745" s="8"/>
      <c r="G745" s="6"/>
      <c r="H745" s="5"/>
      <c r="I745" s="5" t="n">
        <v>100</v>
      </c>
      <c r="J745" s="8"/>
      <c r="K745" s="8"/>
      <c r="L745" s="9"/>
      <c r="M745" s="7"/>
      <c r="N745" s="6"/>
      <c r="O745" s="8"/>
      <c r="P745" s="9"/>
      <c r="Q745" s="9"/>
      <c r="R745" s="7"/>
      <c r="S745" s="7"/>
      <c r="T745" s="10" t="str">
        <f aca="false">IF($C745="","",IFERROR(INDEX(Listas!$B$2:$B$20,MATCH($D745,Listas!$A$2:$A$20,0)),""))</f>
        <v/>
      </c>
      <c r="U745" s="10" t="str">
        <f aca="false">IF($C745="","",IFERROR(INDEX(Listas!$C$2:$C$20,MATCH($D745,Listas!$A$2:$A$20,0)),""))</f>
        <v/>
      </c>
      <c r="V745" s="10" t="str">
        <f aca="false">IF($C745="","",IFERROR(INDEX(Listas!$D$2:$D$20,MATCH($D745,Listas!$A$2:$A$20,0)),""))</f>
        <v/>
      </c>
      <c r="W745" s="11" t="str">
        <f aca="false">IF(OR($C745="",$B745="",$G745=""),"",$G745-$B745)</f>
        <v/>
      </c>
      <c r="X745" s="11" t="str">
        <f aca="true">IF(OR($C745="",$B745=""),"",IF($N745&lt;&gt;"",$N745,TODAY())-$B745)</f>
        <v/>
      </c>
      <c r="Y745" s="11" t="str">
        <f aca="true">IF(OR($C745="",$M745&lt;&gt;"Abierta",$G745=""),"",MAX($G745-TODAY(),0))</f>
        <v/>
      </c>
      <c r="Z745" s="12" t="str">
        <f aca="false">IF($C745="","",N($K745)*N($H745)*N($I745)*IF($U745="Débito",-1,1))</f>
        <v/>
      </c>
      <c r="AA745" s="13" t="str">
        <f aca="false">IF($C745="","",IF(AND($U745="Débito",$F745&lt;&gt;""),$F745,$E745))</f>
        <v/>
      </c>
      <c r="AB745" s="13" t="str">
        <f aca="false">IF(OR($C745="",$T745="Mixta",$AA745=""),"",IF($V745="Subyacente",IF($J745="","",$J745-$K745),IF($T745="Put",$AA745-$K745,$AA745+$K745)))</f>
        <v/>
      </c>
      <c r="AC745" s="14" t="str">
        <f aca="false">IF(OR($C745="",$T745="Mixta",$J745="",$AA745=""),"",IF($T745="Put",($J745-$AA745)/$J745,($AA745-$J745)/$J745))</f>
        <v/>
      </c>
      <c r="AD745" s="12" t="str">
        <f aca="false">IF($C745="","",IF($Q745&lt;&gt;"",$Q745,IF($V745="Strike",N($E745)*$H745*$I745,IF($V745="Subyacente",IF($J745="","",$J745*$H745*$I745),IF($V745="Ancho",IF($F745="","",ABS($E745-$F745)*$H745*$I745-$K745*$H745*$I745),IF($V745="Prima",$K745*$H745*$I745,""))))))</f>
        <v/>
      </c>
      <c r="AE745" s="12" t="str">
        <f aca="false">IF(OR($C745="",$M745="Abierta",$M745=""),"",(N($K745)-IF(OR($M745="Cerrada",$M745="Rolada"),N($O745),0))*$H745*$I745*IF($U745="Débito",-1,1)-N($L745)-N($P745))</f>
        <v/>
      </c>
      <c r="AF745" s="14" t="str">
        <f aca="false">IF(OR($AE745="",$AD745=""),"",IF($AD745&lt;=0,"",$AE745/$AD745))</f>
        <v/>
      </c>
      <c r="AG745" s="14" t="str">
        <f aca="false">IF($AF745="","",$AF745*365/MAX(N($X745),1))</f>
        <v/>
      </c>
      <c r="AH745" s="14" t="str">
        <f aca="false">IF(OR($C745="",$U745&lt;&gt;"Crédito",$AD745=""),"",IF($AD745&lt;=0,"",($Z745-N($L745))/$AD745))</f>
        <v/>
      </c>
      <c r="AI745" s="14" t="str">
        <f aca="false">IF(OR($AH745="",$W745=""),"",$AH745*365/MAX($W745,1))</f>
        <v/>
      </c>
      <c r="AJ745" s="14" t="str">
        <f aca="false">IF(OR($AE745="",$U745&lt;&gt;"Crédito",N($K745)=0),"",(N($K745)-IF(OR($M745="Cerrada",$M745="Rolada"),N($O745),0))/$K745)</f>
        <v/>
      </c>
      <c r="AK745" s="15" t="str">
        <f aca="false">IF(OR($C745="",$N745=""),"",DATE(YEAR($N745),MONTH($N745),1))</f>
        <v/>
      </c>
      <c r="AL745" s="11" t="str">
        <f aca="false">IF($C745="","",IF($M745="Abierta",0,1))</f>
        <v/>
      </c>
      <c r="AM745" s="16" t="str">
        <f aca="false">IF(OR($AE745="",$AD745=""),"",$AD745*MAX(N($X745),1))</f>
        <v/>
      </c>
      <c r="AN745" s="10" t="str">
        <f aca="false">IF($C745="","",IF(OR($B745="",$D745="",$H745="",$K745="",$M745=""),"Faltan datos obligatorios",IF($T745="","Estrategia no reconocida",IF(AND($M745&lt;&gt;"Abierta",$N745=""),"Falta fecha cierre",IF(AND(OR($M745="Cerrada",$M745="Rolada"),$O745=""),"Falta prima cierre",IF(AND($N745&lt;&gt;"",$N745&lt;$B745),"Cierre anterior a apertura",IF(AND($M745="Asignada",$R745=""),"Asignada: falta ID lote acciones",IF(AND($R745&lt;&gt;"",ISNA(MATCH($R745,Acciones!$A$2:$A$201,0))),"El ID lote no existe en Acciones",IF($AD745="","Revisa capital en riesgo","OK")))))))))</f>
        <v/>
      </c>
    </row>
    <row r="746" customFormat="false" ht="15" hidden="false" customHeight="true" outlineLevel="0" collapsed="false">
      <c r="A746" s="5"/>
      <c r="B746" s="6"/>
      <c r="C746" s="7"/>
      <c r="D746" s="7"/>
      <c r="E746" s="8"/>
      <c r="F746" s="8"/>
      <c r="G746" s="6"/>
      <c r="H746" s="5"/>
      <c r="I746" s="5" t="n">
        <v>100</v>
      </c>
      <c r="J746" s="8"/>
      <c r="K746" s="8"/>
      <c r="L746" s="9"/>
      <c r="M746" s="7"/>
      <c r="N746" s="6"/>
      <c r="O746" s="8"/>
      <c r="P746" s="9"/>
      <c r="Q746" s="9"/>
      <c r="R746" s="7"/>
      <c r="S746" s="7"/>
      <c r="T746" s="10" t="str">
        <f aca="false">IF($C746="","",IFERROR(INDEX(Listas!$B$2:$B$20,MATCH($D746,Listas!$A$2:$A$20,0)),""))</f>
        <v/>
      </c>
      <c r="U746" s="10" t="str">
        <f aca="false">IF($C746="","",IFERROR(INDEX(Listas!$C$2:$C$20,MATCH($D746,Listas!$A$2:$A$20,0)),""))</f>
        <v/>
      </c>
      <c r="V746" s="10" t="str">
        <f aca="false">IF($C746="","",IFERROR(INDEX(Listas!$D$2:$D$20,MATCH($D746,Listas!$A$2:$A$20,0)),""))</f>
        <v/>
      </c>
      <c r="W746" s="11" t="str">
        <f aca="false">IF(OR($C746="",$B746="",$G746=""),"",$G746-$B746)</f>
        <v/>
      </c>
      <c r="X746" s="11" t="str">
        <f aca="true">IF(OR($C746="",$B746=""),"",IF($N746&lt;&gt;"",$N746,TODAY())-$B746)</f>
        <v/>
      </c>
      <c r="Y746" s="11" t="str">
        <f aca="true">IF(OR($C746="",$M746&lt;&gt;"Abierta",$G746=""),"",MAX($G746-TODAY(),0))</f>
        <v/>
      </c>
      <c r="Z746" s="12" t="str">
        <f aca="false">IF($C746="","",N($K746)*N($H746)*N($I746)*IF($U746="Débito",-1,1))</f>
        <v/>
      </c>
      <c r="AA746" s="13" t="str">
        <f aca="false">IF($C746="","",IF(AND($U746="Débito",$F746&lt;&gt;""),$F746,$E746))</f>
        <v/>
      </c>
      <c r="AB746" s="13" t="str">
        <f aca="false">IF(OR($C746="",$T746="Mixta",$AA746=""),"",IF($V746="Subyacente",IF($J746="","",$J746-$K746),IF($T746="Put",$AA746-$K746,$AA746+$K746)))</f>
        <v/>
      </c>
      <c r="AC746" s="14" t="str">
        <f aca="false">IF(OR($C746="",$T746="Mixta",$J746="",$AA746=""),"",IF($T746="Put",($J746-$AA746)/$J746,($AA746-$J746)/$J746))</f>
        <v/>
      </c>
      <c r="AD746" s="12" t="str">
        <f aca="false">IF($C746="","",IF($Q746&lt;&gt;"",$Q746,IF($V746="Strike",N($E746)*$H746*$I746,IF($V746="Subyacente",IF($J746="","",$J746*$H746*$I746),IF($V746="Ancho",IF($F746="","",ABS($E746-$F746)*$H746*$I746-$K746*$H746*$I746),IF($V746="Prima",$K746*$H746*$I746,""))))))</f>
        <v/>
      </c>
      <c r="AE746" s="12" t="str">
        <f aca="false">IF(OR($C746="",$M746="Abierta",$M746=""),"",(N($K746)-IF(OR($M746="Cerrada",$M746="Rolada"),N($O746),0))*$H746*$I746*IF($U746="Débito",-1,1)-N($L746)-N($P746))</f>
        <v/>
      </c>
      <c r="AF746" s="14" t="str">
        <f aca="false">IF(OR($AE746="",$AD746=""),"",IF($AD746&lt;=0,"",$AE746/$AD746))</f>
        <v/>
      </c>
      <c r="AG746" s="14" t="str">
        <f aca="false">IF($AF746="","",$AF746*365/MAX(N($X746),1))</f>
        <v/>
      </c>
      <c r="AH746" s="14" t="str">
        <f aca="false">IF(OR($C746="",$U746&lt;&gt;"Crédito",$AD746=""),"",IF($AD746&lt;=0,"",($Z746-N($L746))/$AD746))</f>
        <v/>
      </c>
      <c r="AI746" s="14" t="str">
        <f aca="false">IF(OR($AH746="",$W746=""),"",$AH746*365/MAX($W746,1))</f>
        <v/>
      </c>
      <c r="AJ746" s="14" t="str">
        <f aca="false">IF(OR($AE746="",$U746&lt;&gt;"Crédito",N($K746)=0),"",(N($K746)-IF(OR($M746="Cerrada",$M746="Rolada"),N($O746),0))/$K746)</f>
        <v/>
      </c>
      <c r="AK746" s="15" t="str">
        <f aca="false">IF(OR($C746="",$N746=""),"",DATE(YEAR($N746),MONTH($N746),1))</f>
        <v/>
      </c>
      <c r="AL746" s="11" t="str">
        <f aca="false">IF($C746="","",IF($M746="Abierta",0,1))</f>
        <v/>
      </c>
      <c r="AM746" s="16" t="str">
        <f aca="false">IF(OR($AE746="",$AD746=""),"",$AD746*MAX(N($X746),1))</f>
        <v/>
      </c>
      <c r="AN746" s="10" t="str">
        <f aca="false">IF($C746="","",IF(OR($B746="",$D746="",$H746="",$K746="",$M746=""),"Faltan datos obligatorios",IF($T746="","Estrategia no reconocida",IF(AND($M746&lt;&gt;"Abierta",$N746=""),"Falta fecha cierre",IF(AND(OR($M746="Cerrada",$M746="Rolada"),$O746=""),"Falta prima cierre",IF(AND($N746&lt;&gt;"",$N746&lt;$B746),"Cierre anterior a apertura",IF(AND($M746="Asignada",$R746=""),"Asignada: falta ID lote acciones",IF(AND($R746&lt;&gt;"",ISNA(MATCH($R746,Acciones!$A$2:$A$201,0))),"El ID lote no existe en Acciones",IF($AD746="","Revisa capital en riesgo","OK")))))))))</f>
        <v/>
      </c>
    </row>
    <row r="747" customFormat="false" ht="15" hidden="false" customHeight="true" outlineLevel="0" collapsed="false">
      <c r="A747" s="5"/>
      <c r="B747" s="6"/>
      <c r="C747" s="7"/>
      <c r="D747" s="7"/>
      <c r="E747" s="8"/>
      <c r="F747" s="8"/>
      <c r="G747" s="6"/>
      <c r="H747" s="5"/>
      <c r="I747" s="5" t="n">
        <v>100</v>
      </c>
      <c r="J747" s="8"/>
      <c r="K747" s="8"/>
      <c r="L747" s="9"/>
      <c r="M747" s="7"/>
      <c r="N747" s="6"/>
      <c r="O747" s="8"/>
      <c r="P747" s="9"/>
      <c r="Q747" s="9"/>
      <c r="R747" s="7"/>
      <c r="S747" s="7"/>
      <c r="T747" s="10" t="str">
        <f aca="false">IF($C747="","",IFERROR(INDEX(Listas!$B$2:$B$20,MATCH($D747,Listas!$A$2:$A$20,0)),""))</f>
        <v/>
      </c>
      <c r="U747" s="10" t="str">
        <f aca="false">IF($C747="","",IFERROR(INDEX(Listas!$C$2:$C$20,MATCH($D747,Listas!$A$2:$A$20,0)),""))</f>
        <v/>
      </c>
      <c r="V747" s="10" t="str">
        <f aca="false">IF($C747="","",IFERROR(INDEX(Listas!$D$2:$D$20,MATCH($D747,Listas!$A$2:$A$20,0)),""))</f>
        <v/>
      </c>
      <c r="W747" s="11" t="str">
        <f aca="false">IF(OR($C747="",$B747="",$G747=""),"",$G747-$B747)</f>
        <v/>
      </c>
      <c r="X747" s="11" t="str">
        <f aca="true">IF(OR($C747="",$B747=""),"",IF($N747&lt;&gt;"",$N747,TODAY())-$B747)</f>
        <v/>
      </c>
      <c r="Y747" s="11" t="str">
        <f aca="true">IF(OR($C747="",$M747&lt;&gt;"Abierta",$G747=""),"",MAX($G747-TODAY(),0))</f>
        <v/>
      </c>
      <c r="Z747" s="12" t="str">
        <f aca="false">IF($C747="","",N($K747)*N($H747)*N($I747)*IF($U747="Débito",-1,1))</f>
        <v/>
      </c>
      <c r="AA747" s="13" t="str">
        <f aca="false">IF($C747="","",IF(AND($U747="Débito",$F747&lt;&gt;""),$F747,$E747))</f>
        <v/>
      </c>
      <c r="AB747" s="13" t="str">
        <f aca="false">IF(OR($C747="",$T747="Mixta",$AA747=""),"",IF($V747="Subyacente",IF($J747="","",$J747-$K747),IF($T747="Put",$AA747-$K747,$AA747+$K747)))</f>
        <v/>
      </c>
      <c r="AC747" s="14" t="str">
        <f aca="false">IF(OR($C747="",$T747="Mixta",$J747="",$AA747=""),"",IF($T747="Put",($J747-$AA747)/$J747,($AA747-$J747)/$J747))</f>
        <v/>
      </c>
      <c r="AD747" s="12" t="str">
        <f aca="false">IF($C747="","",IF($Q747&lt;&gt;"",$Q747,IF($V747="Strike",N($E747)*$H747*$I747,IF($V747="Subyacente",IF($J747="","",$J747*$H747*$I747),IF($V747="Ancho",IF($F747="","",ABS($E747-$F747)*$H747*$I747-$K747*$H747*$I747),IF($V747="Prima",$K747*$H747*$I747,""))))))</f>
        <v/>
      </c>
      <c r="AE747" s="12" t="str">
        <f aca="false">IF(OR($C747="",$M747="Abierta",$M747=""),"",(N($K747)-IF(OR($M747="Cerrada",$M747="Rolada"),N($O747),0))*$H747*$I747*IF($U747="Débito",-1,1)-N($L747)-N($P747))</f>
        <v/>
      </c>
      <c r="AF747" s="14" t="str">
        <f aca="false">IF(OR($AE747="",$AD747=""),"",IF($AD747&lt;=0,"",$AE747/$AD747))</f>
        <v/>
      </c>
      <c r="AG747" s="14" t="str">
        <f aca="false">IF($AF747="","",$AF747*365/MAX(N($X747),1))</f>
        <v/>
      </c>
      <c r="AH747" s="14" t="str">
        <f aca="false">IF(OR($C747="",$U747&lt;&gt;"Crédito",$AD747=""),"",IF($AD747&lt;=0,"",($Z747-N($L747))/$AD747))</f>
        <v/>
      </c>
      <c r="AI747" s="14" t="str">
        <f aca="false">IF(OR($AH747="",$W747=""),"",$AH747*365/MAX($W747,1))</f>
        <v/>
      </c>
      <c r="AJ747" s="14" t="str">
        <f aca="false">IF(OR($AE747="",$U747&lt;&gt;"Crédito",N($K747)=0),"",(N($K747)-IF(OR($M747="Cerrada",$M747="Rolada"),N($O747),0))/$K747)</f>
        <v/>
      </c>
      <c r="AK747" s="15" t="str">
        <f aca="false">IF(OR($C747="",$N747=""),"",DATE(YEAR($N747),MONTH($N747),1))</f>
        <v/>
      </c>
      <c r="AL747" s="11" t="str">
        <f aca="false">IF($C747="","",IF($M747="Abierta",0,1))</f>
        <v/>
      </c>
      <c r="AM747" s="16" t="str">
        <f aca="false">IF(OR($AE747="",$AD747=""),"",$AD747*MAX(N($X747),1))</f>
        <v/>
      </c>
      <c r="AN747" s="10" t="str">
        <f aca="false">IF($C747="","",IF(OR($B747="",$D747="",$H747="",$K747="",$M747=""),"Faltan datos obligatorios",IF($T747="","Estrategia no reconocida",IF(AND($M747&lt;&gt;"Abierta",$N747=""),"Falta fecha cierre",IF(AND(OR($M747="Cerrada",$M747="Rolada"),$O747=""),"Falta prima cierre",IF(AND($N747&lt;&gt;"",$N747&lt;$B747),"Cierre anterior a apertura",IF(AND($M747="Asignada",$R747=""),"Asignada: falta ID lote acciones",IF(AND($R747&lt;&gt;"",ISNA(MATCH($R747,Acciones!$A$2:$A$201,0))),"El ID lote no existe en Acciones",IF($AD747="","Revisa capital en riesgo","OK")))))))))</f>
        <v/>
      </c>
    </row>
    <row r="748" customFormat="false" ht="15" hidden="false" customHeight="true" outlineLevel="0" collapsed="false">
      <c r="A748" s="5"/>
      <c r="B748" s="6"/>
      <c r="C748" s="7"/>
      <c r="D748" s="7"/>
      <c r="E748" s="8"/>
      <c r="F748" s="8"/>
      <c r="G748" s="6"/>
      <c r="H748" s="5"/>
      <c r="I748" s="5" t="n">
        <v>100</v>
      </c>
      <c r="J748" s="8"/>
      <c r="K748" s="8"/>
      <c r="L748" s="9"/>
      <c r="M748" s="7"/>
      <c r="N748" s="6"/>
      <c r="O748" s="8"/>
      <c r="P748" s="9"/>
      <c r="Q748" s="9"/>
      <c r="R748" s="7"/>
      <c r="S748" s="7"/>
      <c r="T748" s="10" t="str">
        <f aca="false">IF($C748="","",IFERROR(INDEX(Listas!$B$2:$B$20,MATCH($D748,Listas!$A$2:$A$20,0)),""))</f>
        <v/>
      </c>
      <c r="U748" s="10" t="str">
        <f aca="false">IF($C748="","",IFERROR(INDEX(Listas!$C$2:$C$20,MATCH($D748,Listas!$A$2:$A$20,0)),""))</f>
        <v/>
      </c>
      <c r="V748" s="10" t="str">
        <f aca="false">IF($C748="","",IFERROR(INDEX(Listas!$D$2:$D$20,MATCH($D748,Listas!$A$2:$A$20,0)),""))</f>
        <v/>
      </c>
      <c r="W748" s="11" t="str">
        <f aca="false">IF(OR($C748="",$B748="",$G748=""),"",$G748-$B748)</f>
        <v/>
      </c>
      <c r="X748" s="11" t="str">
        <f aca="true">IF(OR($C748="",$B748=""),"",IF($N748&lt;&gt;"",$N748,TODAY())-$B748)</f>
        <v/>
      </c>
      <c r="Y748" s="11" t="str">
        <f aca="true">IF(OR($C748="",$M748&lt;&gt;"Abierta",$G748=""),"",MAX($G748-TODAY(),0))</f>
        <v/>
      </c>
      <c r="Z748" s="12" t="str">
        <f aca="false">IF($C748="","",N($K748)*N($H748)*N($I748)*IF($U748="Débito",-1,1))</f>
        <v/>
      </c>
      <c r="AA748" s="13" t="str">
        <f aca="false">IF($C748="","",IF(AND($U748="Débito",$F748&lt;&gt;""),$F748,$E748))</f>
        <v/>
      </c>
      <c r="AB748" s="13" t="str">
        <f aca="false">IF(OR($C748="",$T748="Mixta",$AA748=""),"",IF($V748="Subyacente",IF($J748="","",$J748-$K748),IF($T748="Put",$AA748-$K748,$AA748+$K748)))</f>
        <v/>
      </c>
      <c r="AC748" s="14" t="str">
        <f aca="false">IF(OR($C748="",$T748="Mixta",$J748="",$AA748=""),"",IF($T748="Put",($J748-$AA748)/$J748,($AA748-$J748)/$J748))</f>
        <v/>
      </c>
      <c r="AD748" s="12" t="str">
        <f aca="false">IF($C748="","",IF($Q748&lt;&gt;"",$Q748,IF($V748="Strike",N($E748)*$H748*$I748,IF($V748="Subyacente",IF($J748="","",$J748*$H748*$I748),IF($V748="Ancho",IF($F748="","",ABS($E748-$F748)*$H748*$I748-$K748*$H748*$I748),IF($V748="Prima",$K748*$H748*$I748,""))))))</f>
        <v/>
      </c>
      <c r="AE748" s="12" t="str">
        <f aca="false">IF(OR($C748="",$M748="Abierta",$M748=""),"",(N($K748)-IF(OR($M748="Cerrada",$M748="Rolada"),N($O748),0))*$H748*$I748*IF($U748="Débito",-1,1)-N($L748)-N($P748))</f>
        <v/>
      </c>
      <c r="AF748" s="14" t="str">
        <f aca="false">IF(OR($AE748="",$AD748=""),"",IF($AD748&lt;=0,"",$AE748/$AD748))</f>
        <v/>
      </c>
      <c r="AG748" s="14" t="str">
        <f aca="false">IF($AF748="","",$AF748*365/MAX(N($X748),1))</f>
        <v/>
      </c>
      <c r="AH748" s="14" t="str">
        <f aca="false">IF(OR($C748="",$U748&lt;&gt;"Crédito",$AD748=""),"",IF($AD748&lt;=0,"",($Z748-N($L748))/$AD748))</f>
        <v/>
      </c>
      <c r="AI748" s="14" t="str">
        <f aca="false">IF(OR($AH748="",$W748=""),"",$AH748*365/MAX($W748,1))</f>
        <v/>
      </c>
      <c r="AJ748" s="14" t="str">
        <f aca="false">IF(OR($AE748="",$U748&lt;&gt;"Crédito",N($K748)=0),"",(N($K748)-IF(OR($M748="Cerrada",$M748="Rolada"),N($O748),0))/$K748)</f>
        <v/>
      </c>
      <c r="AK748" s="15" t="str">
        <f aca="false">IF(OR($C748="",$N748=""),"",DATE(YEAR($N748),MONTH($N748),1))</f>
        <v/>
      </c>
      <c r="AL748" s="11" t="str">
        <f aca="false">IF($C748="","",IF($M748="Abierta",0,1))</f>
        <v/>
      </c>
      <c r="AM748" s="16" t="str">
        <f aca="false">IF(OR($AE748="",$AD748=""),"",$AD748*MAX(N($X748),1))</f>
        <v/>
      </c>
      <c r="AN748" s="10" t="str">
        <f aca="false">IF($C748="","",IF(OR($B748="",$D748="",$H748="",$K748="",$M748=""),"Faltan datos obligatorios",IF($T748="","Estrategia no reconocida",IF(AND($M748&lt;&gt;"Abierta",$N748=""),"Falta fecha cierre",IF(AND(OR($M748="Cerrada",$M748="Rolada"),$O748=""),"Falta prima cierre",IF(AND($N748&lt;&gt;"",$N748&lt;$B748),"Cierre anterior a apertura",IF(AND($M748="Asignada",$R748=""),"Asignada: falta ID lote acciones",IF(AND($R748&lt;&gt;"",ISNA(MATCH($R748,Acciones!$A$2:$A$201,0))),"El ID lote no existe en Acciones",IF($AD748="","Revisa capital en riesgo","OK")))))))))</f>
        <v/>
      </c>
    </row>
    <row r="749" customFormat="false" ht="15" hidden="false" customHeight="true" outlineLevel="0" collapsed="false">
      <c r="A749" s="5"/>
      <c r="B749" s="6"/>
      <c r="C749" s="7"/>
      <c r="D749" s="7"/>
      <c r="E749" s="8"/>
      <c r="F749" s="8"/>
      <c r="G749" s="6"/>
      <c r="H749" s="5"/>
      <c r="I749" s="5" t="n">
        <v>100</v>
      </c>
      <c r="J749" s="8"/>
      <c r="K749" s="8"/>
      <c r="L749" s="9"/>
      <c r="M749" s="7"/>
      <c r="N749" s="6"/>
      <c r="O749" s="8"/>
      <c r="P749" s="9"/>
      <c r="Q749" s="9"/>
      <c r="R749" s="7"/>
      <c r="S749" s="7"/>
      <c r="T749" s="10" t="str">
        <f aca="false">IF($C749="","",IFERROR(INDEX(Listas!$B$2:$B$20,MATCH($D749,Listas!$A$2:$A$20,0)),""))</f>
        <v/>
      </c>
      <c r="U749" s="10" t="str">
        <f aca="false">IF($C749="","",IFERROR(INDEX(Listas!$C$2:$C$20,MATCH($D749,Listas!$A$2:$A$20,0)),""))</f>
        <v/>
      </c>
      <c r="V749" s="10" t="str">
        <f aca="false">IF($C749="","",IFERROR(INDEX(Listas!$D$2:$D$20,MATCH($D749,Listas!$A$2:$A$20,0)),""))</f>
        <v/>
      </c>
      <c r="W749" s="11" t="str">
        <f aca="false">IF(OR($C749="",$B749="",$G749=""),"",$G749-$B749)</f>
        <v/>
      </c>
      <c r="X749" s="11" t="str">
        <f aca="true">IF(OR($C749="",$B749=""),"",IF($N749&lt;&gt;"",$N749,TODAY())-$B749)</f>
        <v/>
      </c>
      <c r="Y749" s="11" t="str">
        <f aca="true">IF(OR($C749="",$M749&lt;&gt;"Abierta",$G749=""),"",MAX($G749-TODAY(),0))</f>
        <v/>
      </c>
      <c r="Z749" s="12" t="str">
        <f aca="false">IF($C749="","",N($K749)*N($H749)*N($I749)*IF($U749="Débito",-1,1))</f>
        <v/>
      </c>
      <c r="AA749" s="13" t="str">
        <f aca="false">IF($C749="","",IF(AND($U749="Débito",$F749&lt;&gt;""),$F749,$E749))</f>
        <v/>
      </c>
      <c r="AB749" s="13" t="str">
        <f aca="false">IF(OR($C749="",$T749="Mixta",$AA749=""),"",IF($V749="Subyacente",IF($J749="","",$J749-$K749),IF($T749="Put",$AA749-$K749,$AA749+$K749)))</f>
        <v/>
      </c>
      <c r="AC749" s="14" t="str">
        <f aca="false">IF(OR($C749="",$T749="Mixta",$J749="",$AA749=""),"",IF($T749="Put",($J749-$AA749)/$J749,($AA749-$J749)/$J749))</f>
        <v/>
      </c>
      <c r="AD749" s="12" t="str">
        <f aca="false">IF($C749="","",IF($Q749&lt;&gt;"",$Q749,IF($V749="Strike",N($E749)*$H749*$I749,IF($V749="Subyacente",IF($J749="","",$J749*$H749*$I749),IF($V749="Ancho",IF($F749="","",ABS($E749-$F749)*$H749*$I749-$K749*$H749*$I749),IF($V749="Prima",$K749*$H749*$I749,""))))))</f>
        <v/>
      </c>
      <c r="AE749" s="12" t="str">
        <f aca="false">IF(OR($C749="",$M749="Abierta",$M749=""),"",(N($K749)-IF(OR($M749="Cerrada",$M749="Rolada"),N($O749),0))*$H749*$I749*IF($U749="Débito",-1,1)-N($L749)-N($P749))</f>
        <v/>
      </c>
      <c r="AF749" s="14" t="str">
        <f aca="false">IF(OR($AE749="",$AD749=""),"",IF($AD749&lt;=0,"",$AE749/$AD749))</f>
        <v/>
      </c>
      <c r="AG749" s="14" t="str">
        <f aca="false">IF($AF749="","",$AF749*365/MAX(N($X749),1))</f>
        <v/>
      </c>
      <c r="AH749" s="14" t="str">
        <f aca="false">IF(OR($C749="",$U749&lt;&gt;"Crédito",$AD749=""),"",IF($AD749&lt;=0,"",($Z749-N($L749))/$AD749))</f>
        <v/>
      </c>
      <c r="AI749" s="14" t="str">
        <f aca="false">IF(OR($AH749="",$W749=""),"",$AH749*365/MAX($W749,1))</f>
        <v/>
      </c>
      <c r="AJ749" s="14" t="str">
        <f aca="false">IF(OR($AE749="",$U749&lt;&gt;"Crédito",N($K749)=0),"",(N($K749)-IF(OR($M749="Cerrada",$M749="Rolada"),N($O749),0))/$K749)</f>
        <v/>
      </c>
      <c r="AK749" s="15" t="str">
        <f aca="false">IF(OR($C749="",$N749=""),"",DATE(YEAR($N749),MONTH($N749),1))</f>
        <v/>
      </c>
      <c r="AL749" s="11" t="str">
        <f aca="false">IF($C749="","",IF($M749="Abierta",0,1))</f>
        <v/>
      </c>
      <c r="AM749" s="16" t="str">
        <f aca="false">IF(OR($AE749="",$AD749=""),"",$AD749*MAX(N($X749),1))</f>
        <v/>
      </c>
      <c r="AN749" s="10" t="str">
        <f aca="false">IF($C749="","",IF(OR($B749="",$D749="",$H749="",$K749="",$M749=""),"Faltan datos obligatorios",IF($T749="","Estrategia no reconocida",IF(AND($M749&lt;&gt;"Abierta",$N749=""),"Falta fecha cierre",IF(AND(OR($M749="Cerrada",$M749="Rolada"),$O749=""),"Falta prima cierre",IF(AND($N749&lt;&gt;"",$N749&lt;$B749),"Cierre anterior a apertura",IF(AND($M749="Asignada",$R749=""),"Asignada: falta ID lote acciones",IF(AND($R749&lt;&gt;"",ISNA(MATCH($R749,Acciones!$A$2:$A$201,0))),"El ID lote no existe en Acciones",IF($AD749="","Revisa capital en riesgo","OK")))))))))</f>
        <v/>
      </c>
    </row>
    <row r="750" customFormat="false" ht="15" hidden="false" customHeight="true" outlineLevel="0" collapsed="false">
      <c r="A750" s="5"/>
      <c r="B750" s="6"/>
      <c r="C750" s="7"/>
      <c r="D750" s="7"/>
      <c r="E750" s="8"/>
      <c r="F750" s="8"/>
      <c r="G750" s="6"/>
      <c r="H750" s="5"/>
      <c r="I750" s="5" t="n">
        <v>100</v>
      </c>
      <c r="J750" s="8"/>
      <c r="K750" s="8"/>
      <c r="L750" s="9"/>
      <c r="M750" s="7"/>
      <c r="N750" s="6"/>
      <c r="O750" s="8"/>
      <c r="P750" s="9"/>
      <c r="Q750" s="9"/>
      <c r="R750" s="7"/>
      <c r="S750" s="7"/>
      <c r="T750" s="10" t="str">
        <f aca="false">IF($C750="","",IFERROR(INDEX(Listas!$B$2:$B$20,MATCH($D750,Listas!$A$2:$A$20,0)),""))</f>
        <v/>
      </c>
      <c r="U750" s="10" t="str">
        <f aca="false">IF($C750="","",IFERROR(INDEX(Listas!$C$2:$C$20,MATCH($D750,Listas!$A$2:$A$20,0)),""))</f>
        <v/>
      </c>
      <c r="V750" s="10" t="str">
        <f aca="false">IF($C750="","",IFERROR(INDEX(Listas!$D$2:$D$20,MATCH($D750,Listas!$A$2:$A$20,0)),""))</f>
        <v/>
      </c>
      <c r="W750" s="11" t="str">
        <f aca="false">IF(OR($C750="",$B750="",$G750=""),"",$G750-$B750)</f>
        <v/>
      </c>
      <c r="X750" s="11" t="str">
        <f aca="true">IF(OR($C750="",$B750=""),"",IF($N750&lt;&gt;"",$N750,TODAY())-$B750)</f>
        <v/>
      </c>
      <c r="Y750" s="11" t="str">
        <f aca="true">IF(OR($C750="",$M750&lt;&gt;"Abierta",$G750=""),"",MAX($G750-TODAY(),0))</f>
        <v/>
      </c>
      <c r="Z750" s="12" t="str">
        <f aca="false">IF($C750="","",N($K750)*N($H750)*N($I750)*IF($U750="Débito",-1,1))</f>
        <v/>
      </c>
      <c r="AA750" s="13" t="str">
        <f aca="false">IF($C750="","",IF(AND($U750="Débito",$F750&lt;&gt;""),$F750,$E750))</f>
        <v/>
      </c>
      <c r="AB750" s="13" t="str">
        <f aca="false">IF(OR($C750="",$T750="Mixta",$AA750=""),"",IF($V750="Subyacente",IF($J750="","",$J750-$K750),IF($T750="Put",$AA750-$K750,$AA750+$K750)))</f>
        <v/>
      </c>
      <c r="AC750" s="14" t="str">
        <f aca="false">IF(OR($C750="",$T750="Mixta",$J750="",$AA750=""),"",IF($T750="Put",($J750-$AA750)/$J750,($AA750-$J750)/$J750))</f>
        <v/>
      </c>
      <c r="AD750" s="12" t="str">
        <f aca="false">IF($C750="","",IF($Q750&lt;&gt;"",$Q750,IF($V750="Strike",N($E750)*$H750*$I750,IF($V750="Subyacente",IF($J750="","",$J750*$H750*$I750),IF($V750="Ancho",IF($F750="","",ABS($E750-$F750)*$H750*$I750-$K750*$H750*$I750),IF($V750="Prima",$K750*$H750*$I750,""))))))</f>
        <v/>
      </c>
      <c r="AE750" s="12" t="str">
        <f aca="false">IF(OR($C750="",$M750="Abierta",$M750=""),"",(N($K750)-IF(OR($M750="Cerrada",$M750="Rolada"),N($O750),0))*$H750*$I750*IF($U750="Débito",-1,1)-N($L750)-N($P750))</f>
        <v/>
      </c>
      <c r="AF750" s="14" t="str">
        <f aca="false">IF(OR($AE750="",$AD750=""),"",IF($AD750&lt;=0,"",$AE750/$AD750))</f>
        <v/>
      </c>
      <c r="AG750" s="14" t="str">
        <f aca="false">IF($AF750="","",$AF750*365/MAX(N($X750),1))</f>
        <v/>
      </c>
      <c r="AH750" s="14" t="str">
        <f aca="false">IF(OR($C750="",$U750&lt;&gt;"Crédito",$AD750=""),"",IF($AD750&lt;=0,"",($Z750-N($L750))/$AD750))</f>
        <v/>
      </c>
      <c r="AI750" s="14" t="str">
        <f aca="false">IF(OR($AH750="",$W750=""),"",$AH750*365/MAX($W750,1))</f>
        <v/>
      </c>
      <c r="AJ750" s="14" t="str">
        <f aca="false">IF(OR($AE750="",$U750&lt;&gt;"Crédito",N($K750)=0),"",(N($K750)-IF(OR($M750="Cerrada",$M750="Rolada"),N($O750),0))/$K750)</f>
        <v/>
      </c>
      <c r="AK750" s="15" t="str">
        <f aca="false">IF(OR($C750="",$N750=""),"",DATE(YEAR($N750),MONTH($N750),1))</f>
        <v/>
      </c>
      <c r="AL750" s="11" t="str">
        <f aca="false">IF($C750="","",IF($M750="Abierta",0,1))</f>
        <v/>
      </c>
      <c r="AM750" s="16" t="str">
        <f aca="false">IF(OR($AE750="",$AD750=""),"",$AD750*MAX(N($X750),1))</f>
        <v/>
      </c>
      <c r="AN750" s="10" t="str">
        <f aca="false">IF($C750="","",IF(OR($B750="",$D750="",$H750="",$K750="",$M750=""),"Faltan datos obligatorios",IF($T750="","Estrategia no reconocida",IF(AND($M750&lt;&gt;"Abierta",$N750=""),"Falta fecha cierre",IF(AND(OR($M750="Cerrada",$M750="Rolada"),$O750=""),"Falta prima cierre",IF(AND($N750&lt;&gt;"",$N750&lt;$B750),"Cierre anterior a apertura",IF(AND($M750="Asignada",$R750=""),"Asignada: falta ID lote acciones",IF(AND($R750&lt;&gt;"",ISNA(MATCH($R750,Acciones!$A$2:$A$201,0))),"El ID lote no existe en Acciones",IF($AD750="","Revisa capital en riesgo","OK")))))))))</f>
        <v/>
      </c>
    </row>
    <row r="751" customFormat="false" ht="15" hidden="false" customHeight="true" outlineLevel="0" collapsed="false">
      <c r="A751" s="5"/>
      <c r="B751" s="6"/>
      <c r="C751" s="7"/>
      <c r="D751" s="7"/>
      <c r="E751" s="8"/>
      <c r="F751" s="8"/>
      <c r="G751" s="6"/>
      <c r="H751" s="5"/>
      <c r="I751" s="5" t="n">
        <v>100</v>
      </c>
      <c r="J751" s="8"/>
      <c r="K751" s="8"/>
      <c r="L751" s="9"/>
      <c r="M751" s="7"/>
      <c r="N751" s="6"/>
      <c r="O751" s="8"/>
      <c r="P751" s="9"/>
      <c r="Q751" s="9"/>
      <c r="R751" s="7"/>
      <c r="S751" s="7"/>
      <c r="T751" s="10" t="str">
        <f aca="false">IF($C751="","",IFERROR(INDEX(Listas!$B$2:$B$20,MATCH($D751,Listas!$A$2:$A$20,0)),""))</f>
        <v/>
      </c>
      <c r="U751" s="10" t="str">
        <f aca="false">IF($C751="","",IFERROR(INDEX(Listas!$C$2:$C$20,MATCH($D751,Listas!$A$2:$A$20,0)),""))</f>
        <v/>
      </c>
      <c r="V751" s="10" t="str">
        <f aca="false">IF($C751="","",IFERROR(INDEX(Listas!$D$2:$D$20,MATCH($D751,Listas!$A$2:$A$20,0)),""))</f>
        <v/>
      </c>
      <c r="W751" s="11" t="str">
        <f aca="false">IF(OR($C751="",$B751="",$G751=""),"",$G751-$B751)</f>
        <v/>
      </c>
      <c r="X751" s="11" t="str">
        <f aca="true">IF(OR($C751="",$B751=""),"",IF($N751&lt;&gt;"",$N751,TODAY())-$B751)</f>
        <v/>
      </c>
      <c r="Y751" s="11" t="str">
        <f aca="true">IF(OR($C751="",$M751&lt;&gt;"Abierta",$G751=""),"",MAX($G751-TODAY(),0))</f>
        <v/>
      </c>
      <c r="Z751" s="12" t="str">
        <f aca="false">IF($C751="","",N($K751)*N($H751)*N($I751)*IF($U751="Débito",-1,1))</f>
        <v/>
      </c>
      <c r="AA751" s="13" t="str">
        <f aca="false">IF($C751="","",IF(AND($U751="Débito",$F751&lt;&gt;""),$F751,$E751))</f>
        <v/>
      </c>
      <c r="AB751" s="13" t="str">
        <f aca="false">IF(OR($C751="",$T751="Mixta",$AA751=""),"",IF($V751="Subyacente",IF($J751="","",$J751-$K751),IF($T751="Put",$AA751-$K751,$AA751+$K751)))</f>
        <v/>
      </c>
      <c r="AC751" s="14" t="str">
        <f aca="false">IF(OR($C751="",$T751="Mixta",$J751="",$AA751=""),"",IF($T751="Put",($J751-$AA751)/$J751,($AA751-$J751)/$J751))</f>
        <v/>
      </c>
      <c r="AD751" s="12" t="str">
        <f aca="false">IF($C751="","",IF($Q751&lt;&gt;"",$Q751,IF($V751="Strike",N($E751)*$H751*$I751,IF($V751="Subyacente",IF($J751="","",$J751*$H751*$I751),IF($V751="Ancho",IF($F751="","",ABS($E751-$F751)*$H751*$I751-$K751*$H751*$I751),IF($V751="Prima",$K751*$H751*$I751,""))))))</f>
        <v/>
      </c>
      <c r="AE751" s="12" t="str">
        <f aca="false">IF(OR($C751="",$M751="Abierta",$M751=""),"",(N($K751)-IF(OR($M751="Cerrada",$M751="Rolada"),N($O751),0))*$H751*$I751*IF($U751="Débito",-1,1)-N($L751)-N($P751))</f>
        <v/>
      </c>
      <c r="AF751" s="14" t="str">
        <f aca="false">IF(OR($AE751="",$AD751=""),"",IF($AD751&lt;=0,"",$AE751/$AD751))</f>
        <v/>
      </c>
      <c r="AG751" s="14" t="str">
        <f aca="false">IF($AF751="","",$AF751*365/MAX(N($X751),1))</f>
        <v/>
      </c>
      <c r="AH751" s="14" t="str">
        <f aca="false">IF(OR($C751="",$U751&lt;&gt;"Crédito",$AD751=""),"",IF($AD751&lt;=0,"",($Z751-N($L751))/$AD751))</f>
        <v/>
      </c>
      <c r="AI751" s="14" t="str">
        <f aca="false">IF(OR($AH751="",$W751=""),"",$AH751*365/MAX($W751,1))</f>
        <v/>
      </c>
      <c r="AJ751" s="14" t="str">
        <f aca="false">IF(OR($AE751="",$U751&lt;&gt;"Crédito",N($K751)=0),"",(N($K751)-IF(OR($M751="Cerrada",$M751="Rolada"),N($O751),0))/$K751)</f>
        <v/>
      </c>
      <c r="AK751" s="15" t="str">
        <f aca="false">IF(OR($C751="",$N751=""),"",DATE(YEAR($N751),MONTH($N751),1))</f>
        <v/>
      </c>
      <c r="AL751" s="11" t="str">
        <f aca="false">IF($C751="","",IF($M751="Abierta",0,1))</f>
        <v/>
      </c>
      <c r="AM751" s="16" t="str">
        <f aca="false">IF(OR($AE751="",$AD751=""),"",$AD751*MAX(N($X751),1))</f>
        <v/>
      </c>
      <c r="AN751" s="10" t="str">
        <f aca="false">IF($C751="","",IF(OR($B751="",$D751="",$H751="",$K751="",$M751=""),"Faltan datos obligatorios",IF($T751="","Estrategia no reconocida",IF(AND($M751&lt;&gt;"Abierta",$N751=""),"Falta fecha cierre",IF(AND(OR($M751="Cerrada",$M751="Rolada"),$O751=""),"Falta prima cierre",IF(AND($N751&lt;&gt;"",$N751&lt;$B751),"Cierre anterior a apertura",IF(AND($M751="Asignada",$R751=""),"Asignada: falta ID lote acciones",IF(AND($R751&lt;&gt;"",ISNA(MATCH($R751,Acciones!$A$2:$A$201,0))),"El ID lote no existe en Acciones",IF($AD751="","Revisa capital en riesgo","OK")))))))))</f>
        <v/>
      </c>
    </row>
    <row r="752" customFormat="false" ht="15" hidden="false" customHeight="true" outlineLevel="0" collapsed="false">
      <c r="A752" s="5"/>
      <c r="B752" s="6"/>
      <c r="C752" s="7"/>
      <c r="D752" s="7"/>
      <c r="E752" s="8"/>
      <c r="F752" s="8"/>
      <c r="G752" s="6"/>
      <c r="H752" s="5"/>
      <c r="I752" s="5" t="n">
        <v>100</v>
      </c>
      <c r="J752" s="8"/>
      <c r="K752" s="8"/>
      <c r="L752" s="9"/>
      <c r="M752" s="7"/>
      <c r="N752" s="6"/>
      <c r="O752" s="8"/>
      <c r="P752" s="9"/>
      <c r="Q752" s="9"/>
      <c r="R752" s="7"/>
      <c r="S752" s="7"/>
      <c r="T752" s="10" t="str">
        <f aca="false">IF($C752="","",IFERROR(INDEX(Listas!$B$2:$B$20,MATCH($D752,Listas!$A$2:$A$20,0)),""))</f>
        <v/>
      </c>
      <c r="U752" s="10" t="str">
        <f aca="false">IF($C752="","",IFERROR(INDEX(Listas!$C$2:$C$20,MATCH($D752,Listas!$A$2:$A$20,0)),""))</f>
        <v/>
      </c>
      <c r="V752" s="10" t="str">
        <f aca="false">IF($C752="","",IFERROR(INDEX(Listas!$D$2:$D$20,MATCH($D752,Listas!$A$2:$A$20,0)),""))</f>
        <v/>
      </c>
      <c r="W752" s="11" t="str">
        <f aca="false">IF(OR($C752="",$B752="",$G752=""),"",$G752-$B752)</f>
        <v/>
      </c>
      <c r="X752" s="11" t="str">
        <f aca="true">IF(OR($C752="",$B752=""),"",IF($N752&lt;&gt;"",$N752,TODAY())-$B752)</f>
        <v/>
      </c>
      <c r="Y752" s="11" t="str">
        <f aca="true">IF(OR($C752="",$M752&lt;&gt;"Abierta",$G752=""),"",MAX($G752-TODAY(),0))</f>
        <v/>
      </c>
      <c r="Z752" s="12" t="str">
        <f aca="false">IF($C752="","",N($K752)*N($H752)*N($I752)*IF($U752="Débito",-1,1))</f>
        <v/>
      </c>
      <c r="AA752" s="13" t="str">
        <f aca="false">IF($C752="","",IF(AND($U752="Débito",$F752&lt;&gt;""),$F752,$E752))</f>
        <v/>
      </c>
      <c r="AB752" s="13" t="str">
        <f aca="false">IF(OR($C752="",$T752="Mixta",$AA752=""),"",IF($V752="Subyacente",IF($J752="","",$J752-$K752),IF($T752="Put",$AA752-$K752,$AA752+$K752)))</f>
        <v/>
      </c>
      <c r="AC752" s="14" t="str">
        <f aca="false">IF(OR($C752="",$T752="Mixta",$J752="",$AA752=""),"",IF($T752="Put",($J752-$AA752)/$J752,($AA752-$J752)/$J752))</f>
        <v/>
      </c>
      <c r="AD752" s="12" t="str">
        <f aca="false">IF($C752="","",IF($Q752&lt;&gt;"",$Q752,IF($V752="Strike",N($E752)*$H752*$I752,IF($V752="Subyacente",IF($J752="","",$J752*$H752*$I752),IF($V752="Ancho",IF($F752="","",ABS($E752-$F752)*$H752*$I752-$K752*$H752*$I752),IF($V752="Prima",$K752*$H752*$I752,""))))))</f>
        <v/>
      </c>
      <c r="AE752" s="12" t="str">
        <f aca="false">IF(OR($C752="",$M752="Abierta",$M752=""),"",(N($K752)-IF(OR($M752="Cerrada",$M752="Rolada"),N($O752),0))*$H752*$I752*IF($U752="Débito",-1,1)-N($L752)-N($P752))</f>
        <v/>
      </c>
      <c r="AF752" s="14" t="str">
        <f aca="false">IF(OR($AE752="",$AD752=""),"",IF($AD752&lt;=0,"",$AE752/$AD752))</f>
        <v/>
      </c>
      <c r="AG752" s="14" t="str">
        <f aca="false">IF($AF752="","",$AF752*365/MAX(N($X752),1))</f>
        <v/>
      </c>
      <c r="AH752" s="14" t="str">
        <f aca="false">IF(OR($C752="",$U752&lt;&gt;"Crédito",$AD752=""),"",IF($AD752&lt;=0,"",($Z752-N($L752))/$AD752))</f>
        <v/>
      </c>
      <c r="AI752" s="14" t="str">
        <f aca="false">IF(OR($AH752="",$W752=""),"",$AH752*365/MAX($W752,1))</f>
        <v/>
      </c>
      <c r="AJ752" s="14" t="str">
        <f aca="false">IF(OR($AE752="",$U752&lt;&gt;"Crédito",N($K752)=0),"",(N($K752)-IF(OR($M752="Cerrada",$M752="Rolada"),N($O752),0))/$K752)</f>
        <v/>
      </c>
      <c r="AK752" s="15" t="str">
        <f aca="false">IF(OR($C752="",$N752=""),"",DATE(YEAR($N752),MONTH($N752),1))</f>
        <v/>
      </c>
      <c r="AL752" s="11" t="str">
        <f aca="false">IF($C752="","",IF($M752="Abierta",0,1))</f>
        <v/>
      </c>
      <c r="AM752" s="16" t="str">
        <f aca="false">IF(OR($AE752="",$AD752=""),"",$AD752*MAX(N($X752),1))</f>
        <v/>
      </c>
      <c r="AN752" s="10" t="str">
        <f aca="false">IF($C752="","",IF(OR($B752="",$D752="",$H752="",$K752="",$M752=""),"Faltan datos obligatorios",IF($T752="","Estrategia no reconocida",IF(AND($M752&lt;&gt;"Abierta",$N752=""),"Falta fecha cierre",IF(AND(OR($M752="Cerrada",$M752="Rolada"),$O752=""),"Falta prima cierre",IF(AND($N752&lt;&gt;"",$N752&lt;$B752),"Cierre anterior a apertura",IF(AND($M752="Asignada",$R752=""),"Asignada: falta ID lote acciones",IF(AND($R752&lt;&gt;"",ISNA(MATCH($R752,Acciones!$A$2:$A$201,0))),"El ID lote no existe en Acciones",IF($AD752="","Revisa capital en riesgo","OK")))))))))</f>
        <v/>
      </c>
    </row>
    <row r="753" customFormat="false" ht="15" hidden="false" customHeight="true" outlineLevel="0" collapsed="false">
      <c r="A753" s="5"/>
      <c r="B753" s="6"/>
      <c r="C753" s="7"/>
      <c r="D753" s="7"/>
      <c r="E753" s="8"/>
      <c r="F753" s="8"/>
      <c r="G753" s="6"/>
      <c r="H753" s="5"/>
      <c r="I753" s="5" t="n">
        <v>100</v>
      </c>
      <c r="J753" s="8"/>
      <c r="K753" s="8"/>
      <c r="L753" s="9"/>
      <c r="M753" s="7"/>
      <c r="N753" s="6"/>
      <c r="O753" s="8"/>
      <c r="P753" s="9"/>
      <c r="Q753" s="9"/>
      <c r="R753" s="7"/>
      <c r="S753" s="7"/>
      <c r="T753" s="10" t="str">
        <f aca="false">IF($C753="","",IFERROR(INDEX(Listas!$B$2:$B$20,MATCH($D753,Listas!$A$2:$A$20,0)),""))</f>
        <v/>
      </c>
      <c r="U753" s="10" t="str">
        <f aca="false">IF($C753="","",IFERROR(INDEX(Listas!$C$2:$C$20,MATCH($D753,Listas!$A$2:$A$20,0)),""))</f>
        <v/>
      </c>
      <c r="V753" s="10" t="str">
        <f aca="false">IF($C753="","",IFERROR(INDEX(Listas!$D$2:$D$20,MATCH($D753,Listas!$A$2:$A$20,0)),""))</f>
        <v/>
      </c>
      <c r="W753" s="11" t="str">
        <f aca="false">IF(OR($C753="",$B753="",$G753=""),"",$G753-$B753)</f>
        <v/>
      </c>
      <c r="X753" s="11" t="str">
        <f aca="true">IF(OR($C753="",$B753=""),"",IF($N753&lt;&gt;"",$N753,TODAY())-$B753)</f>
        <v/>
      </c>
      <c r="Y753" s="11" t="str">
        <f aca="true">IF(OR($C753="",$M753&lt;&gt;"Abierta",$G753=""),"",MAX($G753-TODAY(),0))</f>
        <v/>
      </c>
      <c r="Z753" s="12" t="str">
        <f aca="false">IF($C753="","",N($K753)*N($H753)*N($I753)*IF($U753="Débito",-1,1))</f>
        <v/>
      </c>
      <c r="AA753" s="13" t="str">
        <f aca="false">IF($C753="","",IF(AND($U753="Débito",$F753&lt;&gt;""),$F753,$E753))</f>
        <v/>
      </c>
      <c r="AB753" s="13" t="str">
        <f aca="false">IF(OR($C753="",$T753="Mixta",$AA753=""),"",IF($V753="Subyacente",IF($J753="","",$J753-$K753),IF($T753="Put",$AA753-$K753,$AA753+$K753)))</f>
        <v/>
      </c>
      <c r="AC753" s="14" t="str">
        <f aca="false">IF(OR($C753="",$T753="Mixta",$J753="",$AA753=""),"",IF($T753="Put",($J753-$AA753)/$J753,($AA753-$J753)/$J753))</f>
        <v/>
      </c>
      <c r="AD753" s="12" t="str">
        <f aca="false">IF($C753="","",IF($Q753&lt;&gt;"",$Q753,IF($V753="Strike",N($E753)*$H753*$I753,IF($V753="Subyacente",IF($J753="","",$J753*$H753*$I753),IF($V753="Ancho",IF($F753="","",ABS($E753-$F753)*$H753*$I753-$K753*$H753*$I753),IF($V753="Prima",$K753*$H753*$I753,""))))))</f>
        <v/>
      </c>
      <c r="AE753" s="12" t="str">
        <f aca="false">IF(OR($C753="",$M753="Abierta",$M753=""),"",(N($K753)-IF(OR($M753="Cerrada",$M753="Rolada"),N($O753),0))*$H753*$I753*IF($U753="Débito",-1,1)-N($L753)-N($P753))</f>
        <v/>
      </c>
      <c r="AF753" s="14" t="str">
        <f aca="false">IF(OR($AE753="",$AD753=""),"",IF($AD753&lt;=0,"",$AE753/$AD753))</f>
        <v/>
      </c>
      <c r="AG753" s="14" t="str">
        <f aca="false">IF($AF753="","",$AF753*365/MAX(N($X753),1))</f>
        <v/>
      </c>
      <c r="AH753" s="14" t="str">
        <f aca="false">IF(OR($C753="",$U753&lt;&gt;"Crédito",$AD753=""),"",IF($AD753&lt;=0,"",($Z753-N($L753))/$AD753))</f>
        <v/>
      </c>
      <c r="AI753" s="14" t="str">
        <f aca="false">IF(OR($AH753="",$W753=""),"",$AH753*365/MAX($W753,1))</f>
        <v/>
      </c>
      <c r="AJ753" s="14" t="str">
        <f aca="false">IF(OR($AE753="",$U753&lt;&gt;"Crédito",N($K753)=0),"",(N($K753)-IF(OR($M753="Cerrada",$M753="Rolada"),N($O753),0))/$K753)</f>
        <v/>
      </c>
      <c r="AK753" s="15" t="str">
        <f aca="false">IF(OR($C753="",$N753=""),"",DATE(YEAR($N753),MONTH($N753),1))</f>
        <v/>
      </c>
      <c r="AL753" s="11" t="str">
        <f aca="false">IF($C753="","",IF($M753="Abierta",0,1))</f>
        <v/>
      </c>
      <c r="AM753" s="16" t="str">
        <f aca="false">IF(OR($AE753="",$AD753=""),"",$AD753*MAX(N($X753),1))</f>
        <v/>
      </c>
      <c r="AN753" s="10" t="str">
        <f aca="false">IF($C753="","",IF(OR($B753="",$D753="",$H753="",$K753="",$M753=""),"Faltan datos obligatorios",IF($T753="","Estrategia no reconocida",IF(AND($M753&lt;&gt;"Abierta",$N753=""),"Falta fecha cierre",IF(AND(OR($M753="Cerrada",$M753="Rolada"),$O753=""),"Falta prima cierre",IF(AND($N753&lt;&gt;"",$N753&lt;$B753),"Cierre anterior a apertura",IF(AND($M753="Asignada",$R753=""),"Asignada: falta ID lote acciones",IF(AND($R753&lt;&gt;"",ISNA(MATCH($R753,Acciones!$A$2:$A$201,0))),"El ID lote no existe en Acciones",IF($AD753="","Revisa capital en riesgo","OK")))))))))</f>
        <v/>
      </c>
    </row>
    <row r="754" customFormat="false" ht="15" hidden="false" customHeight="true" outlineLevel="0" collapsed="false">
      <c r="A754" s="5"/>
      <c r="B754" s="6"/>
      <c r="C754" s="7"/>
      <c r="D754" s="7"/>
      <c r="E754" s="8"/>
      <c r="F754" s="8"/>
      <c r="G754" s="6"/>
      <c r="H754" s="5"/>
      <c r="I754" s="5" t="n">
        <v>100</v>
      </c>
      <c r="J754" s="8"/>
      <c r="K754" s="8"/>
      <c r="L754" s="9"/>
      <c r="M754" s="7"/>
      <c r="N754" s="6"/>
      <c r="O754" s="8"/>
      <c r="P754" s="9"/>
      <c r="Q754" s="9"/>
      <c r="R754" s="7"/>
      <c r="S754" s="7"/>
      <c r="T754" s="10" t="str">
        <f aca="false">IF($C754="","",IFERROR(INDEX(Listas!$B$2:$B$20,MATCH($D754,Listas!$A$2:$A$20,0)),""))</f>
        <v/>
      </c>
      <c r="U754" s="10" t="str">
        <f aca="false">IF($C754="","",IFERROR(INDEX(Listas!$C$2:$C$20,MATCH($D754,Listas!$A$2:$A$20,0)),""))</f>
        <v/>
      </c>
      <c r="V754" s="10" t="str">
        <f aca="false">IF($C754="","",IFERROR(INDEX(Listas!$D$2:$D$20,MATCH($D754,Listas!$A$2:$A$20,0)),""))</f>
        <v/>
      </c>
      <c r="W754" s="11" t="str">
        <f aca="false">IF(OR($C754="",$B754="",$G754=""),"",$G754-$B754)</f>
        <v/>
      </c>
      <c r="X754" s="11" t="str">
        <f aca="true">IF(OR($C754="",$B754=""),"",IF($N754&lt;&gt;"",$N754,TODAY())-$B754)</f>
        <v/>
      </c>
      <c r="Y754" s="11" t="str">
        <f aca="true">IF(OR($C754="",$M754&lt;&gt;"Abierta",$G754=""),"",MAX($G754-TODAY(),0))</f>
        <v/>
      </c>
      <c r="Z754" s="12" t="str">
        <f aca="false">IF($C754="","",N($K754)*N($H754)*N($I754)*IF($U754="Débito",-1,1))</f>
        <v/>
      </c>
      <c r="AA754" s="13" t="str">
        <f aca="false">IF($C754="","",IF(AND($U754="Débito",$F754&lt;&gt;""),$F754,$E754))</f>
        <v/>
      </c>
      <c r="AB754" s="13" t="str">
        <f aca="false">IF(OR($C754="",$T754="Mixta",$AA754=""),"",IF($V754="Subyacente",IF($J754="","",$J754-$K754),IF($T754="Put",$AA754-$K754,$AA754+$K754)))</f>
        <v/>
      </c>
      <c r="AC754" s="14" t="str">
        <f aca="false">IF(OR($C754="",$T754="Mixta",$J754="",$AA754=""),"",IF($T754="Put",($J754-$AA754)/$J754,($AA754-$J754)/$J754))</f>
        <v/>
      </c>
      <c r="AD754" s="12" t="str">
        <f aca="false">IF($C754="","",IF($Q754&lt;&gt;"",$Q754,IF($V754="Strike",N($E754)*$H754*$I754,IF($V754="Subyacente",IF($J754="","",$J754*$H754*$I754),IF($V754="Ancho",IF($F754="","",ABS($E754-$F754)*$H754*$I754-$K754*$H754*$I754),IF($V754="Prima",$K754*$H754*$I754,""))))))</f>
        <v/>
      </c>
      <c r="AE754" s="12" t="str">
        <f aca="false">IF(OR($C754="",$M754="Abierta",$M754=""),"",(N($K754)-IF(OR($M754="Cerrada",$M754="Rolada"),N($O754),0))*$H754*$I754*IF($U754="Débito",-1,1)-N($L754)-N($P754))</f>
        <v/>
      </c>
      <c r="AF754" s="14" t="str">
        <f aca="false">IF(OR($AE754="",$AD754=""),"",IF($AD754&lt;=0,"",$AE754/$AD754))</f>
        <v/>
      </c>
      <c r="AG754" s="14" t="str">
        <f aca="false">IF($AF754="","",$AF754*365/MAX(N($X754),1))</f>
        <v/>
      </c>
      <c r="AH754" s="14" t="str">
        <f aca="false">IF(OR($C754="",$U754&lt;&gt;"Crédito",$AD754=""),"",IF($AD754&lt;=0,"",($Z754-N($L754))/$AD754))</f>
        <v/>
      </c>
      <c r="AI754" s="14" t="str">
        <f aca="false">IF(OR($AH754="",$W754=""),"",$AH754*365/MAX($W754,1))</f>
        <v/>
      </c>
      <c r="AJ754" s="14" t="str">
        <f aca="false">IF(OR($AE754="",$U754&lt;&gt;"Crédito",N($K754)=0),"",(N($K754)-IF(OR($M754="Cerrada",$M754="Rolada"),N($O754),0))/$K754)</f>
        <v/>
      </c>
      <c r="AK754" s="15" t="str">
        <f aca="false">IF(OR($C754="",$N754=""),"",DATE(YEAR($N754),MONTH($N754),1))</f>
        <v/>
      </c>
      <c r="AL754" s="11" t="str">
        <f aca="false">IF($C754="","",IF($M754="Abierta",0,1))</f>
        <v/>
      </c>
      <c r="AM754" s="16" t="str">
        <f aca="false">IF(OR($AE754="",$AD754=""),"",$AD754*MAX(N($X754),1))</f>
        <v/>
      </c>
      <c r="AN754" s="10" t="str">
        <f aca="false">IF($C754="","",IF(OR($B754="",$D754="",$H754="",$K754="",$M754=""),"Faltan datos obligatorios",IF($T754="","Estrategia no reconocida",IF(AND($M754&lt;&gt;"Abierta",$N754=""),"Falta fecha cierre",IF(AND(OR($M754="Cerrada",$M754="Rolada"),$O754=""),"Falta prima cierre",IF(AND($N754&lt;&gt;"",$N754&lt;$B754),"Cierre anterior a apertura",IF(AND($M754="Asignada",$R754=""),"Asignada: falta ID lote acciones",IF(AND($R754&lt;&gt;"",ISNA(MATCH($R754,Acciones!$A$2:$A$201,0))),"El ID lote no existe en Acciones",IF($AD754="","Revisa capital en riesgo","OK")))))))))</f>
        <v/>
      </c>
    </row>
    <row r="755" customFormat="false" ht="15" hidden="false" customHeight="true" outlineLevel="0" collapsed="false">
      <c r="A755" s="5"/>
      <c r="B755" s="6"/>
      <c r="C755" s="7"/>
      <c r="D755" s="7"/>
      <c r="E755" s="8"/>
      <c r="F755" s="8"/>
      <c r="G755" s="6"/>
      <c r="H755" s="5"/>
      <c r="I755" s="5" t="n">
        <v>100</v>
      </c>
      <c r="J755" s="8"/>
      <c r="K755" s="8"/>
      <c r="L755" s="9"/>
      <c r="M755" s="7"/>
      <c r="N755" s="6"/>
      <c r="O755" s="8"/>
      <c r="P755" s="9"/>
      <c r="Q755" s="9"/>
      <c r="R755" s="7"/>
      <c r="S755" s="7"/>
      <c r="T755" s="10" t="str">
        <f aca="false">IF($C755="","",IFERROR(INDEX(Listas!$B$2:$B$20,MATCH($D755,Listas!$A$2:$A$20,0)),""))</f>
        <v/>
      </c>
      <c r="U755" s="10" t="str">
        <f aca="false">IF($C755="","",IFERROR(INDEX(Listas!$C$2:$C$20,MATCH($D755,Listas!$A$2:$A$20,0)),""))</f>
        <v/>
      </c>
      <c r="V755" s="10" t="str">
        <f aca="false">IF($C755="","",IFERROR(INDEX(Listas!$D$2:$D$20,MATCH($D755,Listas!$A$2:$A$20,0)),""))</f>
        <v/>
      </c>
      <c r="W755" s="11" t="str">
        <f aca="false">IF(OR($C755="",$B755="",$G755=""),"",$G755-$B755)</f>
        <v/>
      </c>
      <c r="X755" s="11" t="str">
        <f aca="true">IF(OR($C755="",$B755=""),"",IF($N755&lt;&gt;"",$N755,TODAY())-$B755)</f>
        <v/>
      </c>
      <c r="Y755" s="11" t="str">
        <f aca="true">IF(OR($C755="",$M755&lt;&gt;"Abierta",$G755=""),"",MAX($G755-TODAY(),0))</f>
        <v/>
      </c>
      <c r="Z755" s="12" t="str">
        <f aca="false">IF($C755="","",N($K755)*N($H755)*N($I755)*IF($U755="Débito",-1,1))</f>
        <v/>
      </c>
      <c r="AA755" s="13" t="str">
        <f aca="false">IF($C755="","",IF(AND($U755="Débito",$F755&lt;&gt;""),$F755,$E755))</f>
        <v/>
      </c>
      <c r="AB755" s="13" t="str">
        <f aca="false">IF(OR($C755="",$T755="Mixta",$AA755=""),"",IF($V755="Subyacente",IF($J755="","",$J755-$K755),IF($T755="Put",$AA755-$K755,$AA755+$K755)))</f>
        <v/>
      </c>
      <c r="AC755" s="14" t="str">
        <f aca="false">IF(OR($C755="",$T755="Mixta",$J755="",$AA755=""),"",IF($T755="Put",($J755-$AA755)/$J755,($AA755-$J755)/$J755))</f>
        <v/>
      </c>
      <c r="AD755" s="12" t="str">
        <f aca="false">IF($C755="","",IF($Q755&lt;&gt;"",$Q755,IF($V755="Strike",N($E755)*$H755*$I755,IF($V755="Subyacente",IF($J755="","",$J755*$H755*$I755),IF($V755="Ancho",IF($F755="","",ABS($E755-$F755)*$H755*$I755-$K755*$H755*$I755),IF($V755="Prima",$K755*$H755*$I755,""))))))</f>
        <v/>
      </c>
      <c r="AE755" s="12" t="str">
        <f aca="false">IF(OR($C755="",$M755="Abierta",$M755=""),"",(N($K755)-IF(OR($M755="Cerrada",$M755="Rolada"),N($O755),0))*$H755*$I755*IF($U755="Débito",-1,1)-N($L755)-N($P755))</f>
        <v/>
      </c>
      <c r="AF755" s="14" t="str">
        <f aca="false">IF(OR($AE755="",$AD755=""),"",IF($AD755&lt;=0,"",$AE755/$AD755))</f>
        <v/>
      </c>
      <c r="AG755" s="14" t="str">
        <f aca="false">IF($AF755="","",$AF755*365/MAX(N($X755),1))</f>
        <v/>
      </c>
      <c r="AH755" s="14" t="str">
        <f aca="false">IF(OR($C755="",$U755&lt;&gt;"Crédito",$AD755=""),"",IF($AD755&lt;=0,"",($Z755-N($L755))/$AD755))</f>
        <v/>
      </c>
      <c r="AI755" s="14" t="str">
        <f aca="false">IF(OR($AH755="",$W755=""),"",$AH755*365/MAX($W755,1))</f>
        <v/>
      </c>
      <c r="AJ755" s="14" t="str">
        <f aca="false">IF(OR($AE755="",$U755&lt;&gt;"Crédito",N($K755)=0),"",(N($K755)-IF(OR($M755="Cerrada",$M755="Rolada"),N($O755),0))/$K755)</f>
        <v/>
      </c>
      <c r="AK755" s="15" t="str">
        <f aca="false">IF(OR($C755="",$N755=""),"",DATE(YEAR($N755),MONTH($N755),1))</f>
        <v/>
      </c>
      <c r="AL755" s="11" t="str">
        <f aca="false">IF($C755="","",IF($M755="Abierta",0,1))</f>
        <v/>
      </c>
      <c r="AM755" s="16" t="str">
        <f aca="false">IF(OR($AE755="",$AD755=""),"",$AD755*MAX(N($X755),1))</f>
        <v/>
      </c>
      <c r="AN755" s="10" t="str">
        <f aca="false">IF($C755="","",IF(OR($B755="",$D755="",$H755="",$K755="",$M755=""),"Faltan datos obligatorios",IF($T755="","Estrategia no reconocida",IF(AND($M755&lt;&gt;"Abierta",$N755=""),"Falta fecha cierre",IF(AND(OR($M755="Cerrada",$M755="Rolada"),$O755=""),"Falta prima cierre",IF(AND($N755&lt;&gt;"",$N755&lt;$B755),"Cierre anterior a apertura",IF(AND($M755="Asignada",$R755=""),"Asignada: falta ID lote acciones",IF(AND($R755&lt;&gt;"",ISNA(MATCH($R755,Acciones!$A$2:$A$201,0))),"El ID lote no existe en Acciones",IF($AD755="","Revisa capital en riesgo","OK")))))))))</f>
        <v/>
      </c>
    </row>
    <row r="756" customFormat="false" ht="15" hidden="false" customHeight="true" outlineLevel="0" collapsed="false">
      <c r="A756" s="5"/>
      <c r="B756" s="6"/>
      <c r="C756" s="7"/>
      <c r="D756" s="7"/>
      <c r="E756" s="8"/>
      <c r="F756" s="8"/>
      <c r="G756" s="6"/>
      <c r="H756" s="5"/>
      <c r="I756" s="5" t="n">
        <v>100</v>
      </c>
      <c r="J756" s="8"/>
      <c r="K756" s="8"/>
      <c r="L756" s="9"/>
      <c r="M756" s="7"/>
      <c r="N756" s="6"/>
      <c r="O756" s="8"/>
      <c r="P756" s="9"/>
      <c r="Q756" s="9"/>
      <c r="R756" s="7"/>
      <c r="S756" s="7"/>
      <c r="T756" s="10" t="str">
        <f aca="false">IF($C756="","",IFERROR(INDEX(Listas!$B$2:$B$20,MATCH($D756,Listas!$A$2:$A$20,0)),""))</f>
        <v/>
      </c>
      <c r="U756" s="10" t="str">
        <f aca="false">IF($C756="","",IFERROR(INDEX(Listas!$C$2:$C$20,MATCH($D756,Listas!$A$2:$A$20,0)),""))</f>
        <v/>
      </c>
      <c r="V756" s="10" t="str">
        <f aca="false">IF($C756="","",IFERROR(INDEX(Listas!$D$2:$D$20,MATCH($D756,Listas!$A$2:$A$20,0)),""))</f>
        <v/>
      </c>
      <c r="W756" s="11" t="str">
        <f aca="false">IF(OR($C756="",$B756="",$G756=""),"",$G756-$B756)</f>
        <v/>
      </c>
      <c r="X756" s="11" t="str">
        <f aca="true">IF(OR($C756="",$B756=""),"",IF($N756&lt;&gt;"",$N756,TODAY())-$B756)</f>
        <v/>
      </c>
      <c r="Y756" s="11" t="str">
        <f aca="true">IF(OR($C756="",$M756&lt;&gt;"Abierta",$G756=""),"",MAX($G756-TODAY(),0))</f>
        <v/>
      </c>
      <c r="Z756" s="12" t="str">
        <f aca="false">IF($C756="","",N($K756)*N($H756)*N($I756)*IF($U756="Débito",-1,1))</f>
        <v/>
      </c>
      <c r="AA756" s="13" t="str">
        <f aca="false">IF($C756="","",IF(AND($U756="Débito",$F756&lt;&gt;""),$F756,$E756))</f>
        <v/>
      </c>
      <c r="AB756" s="13" t="str">
        <f aca="false">IF(OR($C756="",$T756="Mixta",$AA756=""),"",IF($V756="Subyacente",IF($J756="","",$J756-$K756),IF($T756="Put",$AA756-$K756,$AA756+$K756)))</f>
        <v/>
      </c>
      <c r="AC756" s="14" t="str">
        <f aca="false">IF(OR($C756="",$T756="Mixta",$J756="",$AA756=""),"",IF($T756="Put",($J756-$AA756)/$J756,($AA756-$J756)/$J756))</f>
        <v/>
      </c>
      <c r="AD756" s="12" t="str">
        <f aca="false">IF($C756="","",IF($Q756&lt;&gt;"",$Q756,IF($V756="Strike",N($E756)*$H756*$I756,IF($V756="Subyacente",IF($J756="","",$J756*$H756*$I756),IF($V756="Ancho",IF($F756="","",ABS($E756-$F756)*$H756*$I756-$K756*$H756*$I756),IF($V756="Prima",$K756*$H756*$I756,""))))))</f>
        <v/>
      </c>
      <c r="AE756" s="12" t="str">
        <f aca="false">IF(OR($C756="",$M756="Abierta",$M756=""),"",(N($K756)-IF(OR($M756="Cerrada",$M756="Rolada"),N($O756),0))*$H756*$I756*IF($U756="Débito",-1,1)-N($L756)-N($P756))</f>
        <v/>
      </c>
      <c r="AF756" s="14" t="str">
        <f aca="false">IF(OR($AE756="",$AD756=""),"",IF($AD756&lt;=0,"",$AE756/$AD756))</f>
        <v/>
      </c>
      <c r="AG756" s="14" t="str">
        <f aca="false">IF($AF756="","",$AF756*365/MAX(N($X756),1))</f>
        <v/>
      </c>
      <c r="AH756" s="14" t="str">
        <f aca="false">IF(OR($C756="",$U756&lt;&gt;"Crédito",$AD756=""),"",IF($AD756&lt;=0,"",($Z756-N($L756))/$AD756))</f>
        <v/>
      </c>
      <c r="AI756" s="14" t="str">
        <f aca="false">IF(OR($AH756="",$W756=""),"",$AH756*365/MAX($W756,1))</f>
        <v/>
      </c>
      <c r="AJ756" s="14" t="str">
        <f aca="false">IF(OR($AE756="",$U756&lt;&gt;"Crédito",N($K756)=0),"",(N($K756)-IF(OR($M756="Cerrada",$M756="Rolada"),N($O756),0))/$K756)</f>
        <v/>
      </c>
      <c r="AK756" s="15" t="str">
        <f aca="false">IF(OR($C756="",$N756=""),"",DATE(YEAR($N756),MONTH($N756),1))</f>
        <v/>
      </c>
      <c r="AL756" s="11" t="str">
        <f aca="false">IF($C756="","",IF($M756="Abierta",0,1))</f>
        <v/>
      </c>
      <c r="AM756" s="16" t="str">
        <f aca="false">IF(OR($AE756="",$AD756=""),"",$AD756*MAX(N($X756),1))</f>
        <v/>
      </c>
      <c r="AN756" s="10" t="str">
        <f aca="false">IF($C756="","",IF(OR($B756="",$D756="",$H756="",$K756="",$M756=""),"Faltan datos obligatorios",IF($T756="","Estrategia no reconocida",IF(AND($M756&lt;&gt;"Abierta",$N756=""),"Falta fecha cierre",IF(AND(OR($M756="Cerrada",$M756="Rolada"),$O756=""),"Falta prima cierre",IF(AND($N756&lt;&gt;"",$N756&lt;$B756),"Cierre anterior a apertura",IF(AND($M756="Asignada",$R756=""),"Asignada: falta ID lote acciones",IF(AND($R756&lt;&gt;"",ISNA(MATCH($R756,Acciones!$A$2:$A$201,0))),"El ID lote no existe en Acciones",IF($AD756="","Revisa capital en riesgo","OK")))))))))</f>
        <v/>
      </c>
    </row>
    <row r="757" customFormat="false" ht="15" hidden="false" customHeight="true" outlineLevel="0" collapsed="false">
      <c r="A757" s="5"/>
      <c r="B757" s="6"/>
      <c r="C757" s="7"/>
      <c r="D757" s="7"/>
      <c r="E757" s="8"/>
      <c r="F757" s="8"/>
      <c r="G757" s="6"/>
      <c r="H757" s="5"/>
      <c r="I757" s="5" t="n">
        <v>100</v>
      </c>
      <c r="J757" s="8"/>
      <c r="K757" s="8"/>
      <c r="L757" s="9"/>
      <c r="M757" s="7"/>
      <c r="N757" s="6"/>
      <c r="O757" s="8"/>
      <c r="P757" s="9"/>
      <c r="Q757" s="9"/>
      <c r="R757" s="7"/>
      <c r="S757" s="7"/>
      <c r="T757" s="10" t="str">
        <f aca="false">IF($C757="","",IFERROR(INDEX(Listas!$B$2:$B$20,MATCH($D757,Listas!$A$2:$A$20,0)),""))</f>
        <v/>
      </c>
      <c r="U757" s="10" t="str">
        <f aca="false">IF($C757="","",IFERROR(INDEX(Listas!$C$2:$C$20,MATCH($D757,Listas!$A$2:$A$20,0)),""))</f>
        <v/>
      </c>
      <c r="V757" s="10" t="str">
        <f aca="false">IF($C757="","",IFERROR(INDEX(Listas!$D$2:$D$20,MATCH($D757,Listas!$A$2:$A$20,0)),""))</f>
        <v/>
      </c>
      <c r="W757" s="11" t="str">
        <f aca="false">IF(OR($C757="",$B757="",$G757=""),"",$G757-$B757)</f>
        <v/>
      </c>
      <c r="X757" s="11" t="str">
        <f aca="true">IF(OR($C757="",$B757=""),"",IF($N757&lt;&gt;"",$N757,TODAY())-$B757)</f>
        <v/>
      </c>
      <c r="Y757" s="11" t="str">
        <f aca="true">IF(OR($C757="",$M757&lt;&gt;"Abierta",$G757=""),"",MAX($G757-TODAY(),0))</f>
        <v/>
      </c>
      <c r="Z757" s="12" t="str">
        <f aca="false">IF($C757="","",N($K757)*N($H757)*N($I757)*IF($U757="Débito",-1,1))</f>
        <v/>
      </c>
      <c r="AA757" s="13" t="str">
        <f aca="false">IF($C757="","",IF(AND($U757="Débito",$F757&lt;&gt;""),$F757,$E757))</f>
        <v/>
      </c>
      <c r="AB757" s="13" t="str">
        <f aca="false">IF(OR($C757="",$T757="Mixta",$AA757=""),"",IF($V757="Subyacente",IF($J757="","",$J757-$K757),IF($T757="Put",$AA757-$K757,$AA757+$K757)))</f>
        <v/>
      </c>
      <c r="AC757" s="14" t="str">
        <f aca="false">IF(OR($C757="",$T757="Mixta",$J757="",$AA757=""),"",IF($T757="Put",($J757-$AA757)/$J757,($AA757-$J757)/$J757))</f>
        <v/>
      </c>
      <c r="AD757" s="12" t="str">
        <f aca="false">IF($C757="","",IF($Q757&lt;&gt;"",$Q757,IF($V757="Strike",N($E757)*$H757*$I757,IF($V757="Subyacente",IF($J757="","",$J757*$H757*$I757),IF($V757="Ancho",IF($F757="","",ABS($E757-$F757)*$H757*$I757-$K757*$H757*$I757),IF($V757="Prima",$K757*$H757*$I757,""))))))</f>
        <v/>
      </c>
      <c r="AE757" s="12" t="str">
        <f aca="false">IF(OR($C757="",$M757="Abierta",$M757=""),"",(N($K757)-IF(OR($M757="Cerrada",$M757="Rolada"),N($O757),0))*$H757*$I757*IF($U757="Débito",-1,1)-N($L757)-N($P757))</f>
        <v/>
      </c>
      <c r="AF757" s="14" t="str">
        <f aca="false">IF(OR($AE757="",$AD757=""),"",IF($AD757&lt;=0,"",$AE757/$AD757))</f>
        <v/>
      </c>
      <c r="AG757" s="14" t="str">
        <f aca="false">IF($AF757="","",$AF757*365/MAX(N($X757),1))</f>
        <v/>
      </c>
      <c r="AH757" s="14" t="str">
        <f aca="false">IF(OR($C757="",$U757&lt;&gt;"Crédito",$AD757=""),"",IF($AD757&lt;=0,"",($Z757-N($L757))/$AD757))</f>
        <v/>
      </c>
      <c r="AI757" s="14" t="str">
        <f aca="false">IF(OR($AH757="",$W757=""),"",$AH757*365/MAX($W757,1))</f>
        <v/>
      </c>
      <c r="AJ757" s="14" t="str">
        <f aca="false">IF(OR($AE757="",$U757&lt;&gt;"Crédito",N($K757)=0),"",(N($K757)-IF(OR($M757="Cerrada",$M757="Rolada"),N($O757),0))/$K757)</f>
        <v/>
      </c>
      <c r="AK757" s="15" t="str">
        <f aca="false">IF(OR($C757="",$N757=""),"",DATE(YEAR($N757),MONTH($N757),1))</f>
        <v/>
      </c>
      <c r="AL757" s="11" t="str">
        <f aca="false">IF($C757="","",IF($M757="Abierta",0,1))</f>
        <v/>
      </c>
      <c r="AM757" s="16" t="str">
        <f aca="false">IF(OR($AE757="",$AD757=""),"",$AD757*MAX(N($X757),1))</f>
        <v/>
      </c>
      <c r="AN757" s="10" t="str">
        <f aca="false">IF($C757="","",IF(OR($B757="",$D757="",$H757="",$K757="",$M757=""),"Faltan datos obligatorios",IF($T757="","Estrategia no reconocida",IF(AND($M757&lt;&gt;"Abierta",$N757=""),"Falta fecha cierre",IF(AND(OR($M757="Cerrada",$M757="Rolada"),$O757=""),"Falta prima cierre",IF(AND($N757&lt;&gt;"",$N757&lt;$B757),"Cierre anterior a apertura",IF(AND($M757="Asignada",$R757=""),"Asignada: falta ID lote acciones",IF(AND($R757&lt;&gt;"",ISNA(MATCH($R757,Acciones!$A$2:$A$201,0))),"El ID lote no existe en Acciones",IF($AD757="","Revisa capital en riesgo","OK")))))))))</f>
        <v/>
      </c>
    </row>
    <row r="758" customFormat="false" ht="15" hidden="false" customHeight="true" outlineLevel="0" collapsed="false">
      <c r="A758" s="5"/>
      <c r="B758" s="6"/>
      <c r="C758" s="7"/>
      <c r="D758" s="7"/>
      <c r="E758" s="8"/>
      <c r="F758" s="8"/>
      <c r="G758" s="6"/>
      <c r="H758" s="5"/>
      <c r="I758" s="5" t="n">
        <v>100</v>
      </c>
      <c r="J758" s="8"/>
      <c r="K758" s="8"/>
      <c r="L758" s="9"/>
      <c r="M758" s="7"/>
      <c r="N758" s="6"/>
      <c r="O758" s="8"/>
      <c r="P758" s="9"/>
      <c r="Q758" s="9"/>
      <c r="R758" s="7"/>
      <c r="S758" s="7"/>
      <c r="T758" s="10" t="str">
        <f aca="false">IF($C758="","",IFERROR(INDEX(Listas!$B$2:$B$20,MATCH($D758,Listas!$A$2:$A$20,0)),""))</f>
        <v/>
      </c>
      <c r="U758" s="10" t="str">
        <f aca="false">IF($C758="","",IFERROR(INDEX(Listas!$C$2:$C$20,MATCH($D758,Listas!$A$2:$A$20,0)),""))</f>
        <v/>
      </c>
      <c r="V758" s="10" t="str">
        <f aca="false">IF($C758="","",IFERROR(INDEX(Listas!$D$2:$D$20,MATCH($D758,Listas!$A$2:$A$20,0)),""))</f>
        <v/>
      </c>
      <c r="W758" s="11" t="str">
        <f aca="false">IF(OR($C758="",$B758="",$G758=""),"",$G758-$B758)</f>
        <v/>
      </c>
      <c r="X758" s="11" t="str">
        <f aca="true">IF(OR($C758="",$B758=""),"",IF($N758&lt;&gt;"",$N758,TODAY())-$B758)</f>
        <v/>
      </c>
      <c r="Y758" s="11" t="str">
        <f aca="true">IF(OR($C758="",$M758&lt;&gt;"Abierta",$G758=""),"",MAX($G758-TODAY(),0))</f>
        <v/>
      </c>
      <c r="Z758" s="12" t="str">
        <f aca="false">IF($C758="","",N($K758)*N($H758)*N($I758)*IF($U758="Débito",-1,1))</f>
        <v/>
      </c>
      <c r="AA758" s="13" t="str">
        <f aca="false">IF($C758="","",IF(AND($U758="Débito",$F758&lt;&gt;""),$F758,$E758))</f>
        <v/>
      </c>
      <c r="AB758" s="13" t="str">
        <f aca="false">IF(OR($C758="",$T758="Mixta",$AA758=""),"",IF($V758="Subyacente",IF($J758="","",$J758-$K758),IF($T758="Put",$AA758-$K758,$AA758+$K758)))</f>
        <v/>
      </c>
      <c r="AC758" s="14" t="str">
        <f aca="false">IF(OR($C758="",$T758="Mixta",$J758="",$AA758=""),"",IF($T758="Put",($J758-$AA758)/$J758,($AA758-$J758)/$J758))</f>
        <v/>
      </c>
      <c r="AD758" s="12" t="str">
        <f aca="false">IF($C758="","",IF($Q758&lt;&gt;"",$Q758,IF($V758="Strike",N($E758)*$H758*$I758,IF($V758="Subyacente",IF($J758="","",$J758*$H758*$I758),IF($V758="Ancho",IF($F758="","",ABS($E758-$F758)*$H758*$I758-$K758*$H758*$I758),IF($V758="Prima",$K758*$H758*$I758,""))))))</f>
        <v/>
      </c>
      <c r="AE758" s="12" t="str">
        <f aca="false">IF(OR($C758="",$M758="Abierta",$M758=""),"",(N($K758)-IF(OR($M758="Cerrada",$M758="Rolada"),N($O758),0))*$H758*$I758*IF($U758="Débito",-1,1)-N($L758)-N($P758))</f>
        <v/>
      </c>
      <c r="AF758" s="14" t="str">
        <f aca="false">IF(OR($AE758="",$AD758=""),"",IF($AD758&lt;=0,"",$AE758/$AD758))</f>
        <v/>
      </c>
      <c r="AG758" s="14" t="str">
        <f aca="false">IF($AF758="","",$AF758*365/MAX(N($X758),1))</f>
        <v/>
      </c>
      <c r="AH758" s="14" t="str">
        <f aca="false">IF(OR($C758="",$U758&lt;&gt;"Crédito",$AD758=""),"",IF($AD758&lt;=0,"",($Z758-N($L758))/$AD758))</f>
        <v/>
      </c>
      <c r="AI758" s="14" t="str">
        <f aca="false">IF(OR($AH758="",$W758=""),"",$AH758*365/MAX($W758,1))</f>
        <v/>
      </c>
      <c r="AJ758" s="14" t="str">
        <f aca="false">IF(OR($AE758="",$U758&lt;&gt;"Crédito",N($K758)=0),"",(N($K758)-IF(OR($M758="Cerrada",$M758="Rolada"),N($O758),0))/$K758)</f>
        <v/>
      </c>
      <c r="AK758" s="15" t="str">
        <f aca="false">IF(OR($C758="",$N758=""),"",DATE(YEAR($N758),MONTH($N758),1))</f>
        <v/>
      </c>
      <c r="AL758" s="11" t="str">
        <f aca="false">IF($C758="","",IF($M758="Abierta",0,1))</f>
        <v/>
      </c>
      <c r="AM758" s="16" t="str">
        <f aca="false">IF(OR($AE758="",$AD758=""),"",$AD758*MAX(N($X758),1))</f>
        <v/>
      </c>
      <c r="AN758" s="10" t="str">
        <f aca="false">IF($C758="","",IF(OR($B758="",$D758="",$H758="",$K758="",$M758=""),"Faltan datos obligatorios",IF($T758="","Estrategia no reconocida",IF(AND($M758&lt;&gt;"Abierta",$N758=""),"Falta fecha cierre",IF(AND(OR($M758="Cerrada",$M758="Rolada"),$O758=""),"Falta prima cierre",IF(AND($N758&lt;&gt;"",$N758&lt;$B758),"Cierre anterior a apertura",IF(AND($M758="Asignada",$R758=""),"Asignada: falta ID lote acciones",IF(AND($R758&lt;&gt;"",ISNA(MATCH($R758,Acciones!$A$2:$A$201,0))),"El ID lote no existe en Acciones",IF($AD758="","Revisa capital en riesgo","OK")))))))))</f>
        <v/>
      </c>
    </row>
    <row r="759" customFormat="false" ht="15" hidden="false" customHeight="true" outlineLevel="0" collapsed="false">
      <c r="A759" s="5"/>
      <c r="B759" s="6"/>
      <c r="C759" s="7"/>
      <c r="D759" s="7"/>
      <c r="E759" s="8"/>
      <c r="F759" s="8"/>
      <c r="G759" s="6"/>
      <c r="H759" s="5"/>
      <c r="I759" s="5" t="n">
        <v>100</v>
      </c>
      <c r="J759" s="8"/>
      <c r="K759" s="8"/>
      <c r="L759" s="9"/>
      <c r="M759" s="7"/>
      <c r="N759" s="6"/>
      <c r="O759" s="8"/>
      <c r="P759" s="9"/>
      <c r="Q759" s="9"/>
      <c r="R759" s="7"/>
      <c r="S759" s="7"/>
      <c r="T759" s="10" t="str">
        <f aca="false">IF($C759="","",IFERROR(INDEX(Listas!$B$2:$B$20,MATCH($D759,Listas!$A$2:$A$20,0)),""))</f>
        <v/>
      </c>
      <c r="U759" s="10" t="str">
        <f aca="false">IF($C759="","",IFERROR(INDEX(Listas!$C$2:$C$20,MATCH($D759,Listas!$A$2:$A$20,0)),""))</f>
        <v/>
      </c>
      <c r="V759" s="10" t="str">
        <f aca="false">IF($C759="","",IFERROR(INDEX(Listas!$D$2:$D$20,MATCH($D759,Listas!$A$2:$A$20,0)),""))</f>
        <v/>
      </c>
      <c r="W759" s="11" t="str">
        <f aca="false">IF(OR($C759="",$B759="",$G759=""),"",$G759-$B759)</f>
        <v/>
      </c>
      <c r="X759" s="11" t="str">
        <f aca="true">IF(OR($C759="",$B759=""),"",IF($N759&lt;&gt;"",$N759,TODAY())-$B759)</f>
        <v/>
      </c>
      <c r="Y759" s="11" t="str">
        <f aca="true">IF(OR($C759="",$M759&lt;&gt;"Abierta",$G759=""),"",MAX($G759-TODAY(),0))</f>
        <v/>
      </c>
      <c r="Z759" s="12" t="str">
        <f aca="false">IF($C759="","",N($K759)*N($H759)*N($I759)*IF($U759="Débito",-1,1))</f>
        <v/>
      </c>
      <c r="AA759" s="13" t="str">
        <f aca="false">IF($C759="","",IF(AND($U759="Débito",$F759&lt;&gt;""),$F759,$E759))</f>
        <v/>
      </c>
      <c r="AB759" s="13" t="str">
        <f aca="false">IF(OR($C759="",$T759="Mixta",$AA759=""),"",IF($V759="Subyacente",IF($J759="","",$J759-$K759),IF($T759="Put",$AA759-$K759,$AA759+$K759)))</f>
        <v/>
      </c>
      <c r="AC759" s="14" t="str">
        <f aca="false">IF(OR($C759="",$T759="Mixta",$J759="",$AA759=""),"",IF($T759="Put",($J759-$AA759)/$J759,($AA759-$J759)/$J759))</f>
        <v/>
      </c>
      <c r="AD759" s="12" t="str">
        <f aca="false">IF($C759="","",IF($Q759&lt;&gt;"",$Q759,IF($V759="Strike",N($E759)*$H759*$I759,IF($V759="Subyacente",IF($J759="","",$J759*$H759*$I759),IF($V759="Ancho",IF($F759="","",ABS($E759-$F759)*$H759*$I759-$K759*$H759*$I759),IF($V759="Prima",$K759*$H759*$I759,""))))))</f>
        <v/>
      </c>
      <c r="AE759" s="12" t="str">
        <f aca="false">IF(OR($C759="",$M759="Abierta",$M759=""),"",(N($K759)-IF(OR($M759="Cerrada",$M759="Rolada"),N($O759),0))*$H759*$I759*IF($U759="Débito",-1,1)-N($L759)-N($P759))</f>
        <v/>
      </c>
      <c r="AF759" s="14" t="str">
        <f aca="false">IF(OR($AE759="",$AD759=""),"",IF($AD759&lt;=0,"",$AE759/$AD759))</f>
        <v/>
      </c>
      <c r="AG759" s="14" t="str">
        <f aca="false">IF($AF759="","",$AF759*365/MAX(N($X759),1))</f>
        <v/>
      </c>
      <c r="AH759" s="14" t="str">
        <f aca="false">IF(OR($C759="",$U759&lt;&gt;"Crédito",$AD759=""),"",IF($AD759&lt;=0,"",($Z759-N($L759))/$AD759))</f>
        <v/>
      </c>
      <c r="AI759" s="14" t="str">
        <f aca="false">IF(OR($AH759="",$W759=""),"",$AH759*365/MAX($W759,1))</f>
        <v/>
      </c>
      <c r="AJ759" s="14" t="str">
        <f aca="false">IF(OR($AE759="",$U759&lt;&gt;"Crédito",N($K759)=0),"",(N($K759)-IF(OR($M759="Cerrada",$M759="Rolada"),N($O759),0))/$K759)</f>
        <v/>
      </c>
      <c r="AK759" s="15" t="str">
        <f aca="false">IF(OR($C759="",$N759=""),"",DATE(YEAR($N759),MONTH($N759),1))</f>
        <v/>
      </c>
      <c r="AL759" s="11" t="str">
        <f aca="false">IF($C759="","",IF($M759="Abierta",0,1))</f>
        <v/>
      </c>
      <c r="AM759" s="16" t="str">
        <f aca="false">IF(OR($AE759="",$AD759=""),"",$AD759*MAX(N($X759),1))</f>
        <v/>
      </c>
      <c r="AN759" s="10" t="str">
        <f aca="false">IF($C759="","",IF(OR($B759="",$D759="",$H759="",$K759="",$M759=""),"Faltan datos obligatorios",IF($T759="","Estrategia no reconocida",IF(AND($M759&lt;&gt;"Abierta",$N759=""),"Falta fecha cierre",IF(AND(OR($M759="Cerrada",$M759="Rolada"),$O759=""),"Falta prima cierre",IF(AND($N759&lt;&gt;"",$N759&lt;$B759),"Cierre anterior a apertura",IF(AND($M759="Asignada",$R759=""),"Asignada: falta ID lote acciones",IF(AND($R759&lt;&gt;"",ISNA(MATCH($R759,Acciones!$A$2:$A$201,0))),"El ID lote no existe en Acciones",IF($AD759="","Revisa capital en riesgo","OK")))))))))</f>
        <v/>
      </c>
    </row>
    <row r="760" customFormat="false" ht="15" hidden="false" customHeight="true" outlineLevel="0" collapsed="false">
      <c r="A760" s="5"/>
      <c r="B760" s="6"/>
      <c r="C760" s="7"/>
      <c r="D760" s="7"/>
      <c r="E760" s="8"/>
      <c r="F760" s="8"/>
      <c r="G760" s="6"/>
      <c r="H760" s="5"/>
      <c r="I760" s="5" t="n">
        <v>100</v>
      </c>
      <c r="J760" s="8"/>
      <c r="K760" s="8"/>
      <c r="L760" s="9"/>
      <c r="M760" s="7"/>
      <c r="N760" s="6"/>
      <c r="O760" s="8"/>
      <c r="P760" s="9"/>
      <c r="Q760" s="9"/>
      <c r="R760" s="7"/>
      <c r="S760" s="7"/>
      <c r="T760" s="10" t="str">
        <f aca="false">IF($C760="","",IFERROR(INDEX(Listas!$B$2:$B$20,MATCH($D760,Listas!$A$2:$A$20,0)),""))</f>
        <v/>
      </c>
      <c r="U760" s="10" t="str">
        <f aca="false">IF($C760="","",IFERROR(INDEX(Listas!$C$2:$C$20,MATCH($D760,Listas!$A$2:$A$20,0)),""))</f>
        <v/>
      </c>
      <c r="V760" s="10" t="str">
        <f aca="false">IF($C760="","",IFERROR(INDEX(Listas!$D$2:$D$20,MATCH($D760,Listas!$A$2:$A$20,0)),""))</f>
        <v/>
      </c>
      <c r="W760" s="11" t="str">
        <f aca="false">IF(OR($C760="",$B760="",$G760=""),"",$G760-$B760)</f>
        <v/>
      </c>
      <c r="X760" s="11" t="str">
        <f aca="true">IF(OR($C760="",$B760=""),"",IF($N760&lt;&gt;"",$N760,TODAY())-$B760)</f>
        <v/>
      </c>
      <c r="Y760" s="11" t="str">
        <f aca="true">IF(OR($C760="",$M760&lt;&gt;"Abierta",$G760=""),"",MAX($G760-TODAY(),0))</f>
        <v/>
      </c>
      <c r="Z760" s="12" t="str">
        <f aca="false">IF($C760="","",N($K760)*N($H760)*N($I760)*IF($U760="Débito",-1,1))</f>
        <v/>
      </c>
      <c r="AA760" s="13" t="str">
        <f aca="false">IF($C760="","",IF(AND($U760="Débito",$F760&lt;&gt;""),$F760,$E760))</f>
        <v/>
      </c>
      <c r="AB760" s="13" t="str">
        <f aca="false">IF(OR($C760="",$T760="Mixta",$AA760=""),"",IF($V760="Subyacente",IF($J760="","",$J760-$K760),IF($T760="Put",$AA760-$K760,$AA760+$K760)))</f>
        <v/>
      </c>
      <c r="AC760" s="14" t="str">
        <f aca="false">IF(OR($C760="",$T760="Mixta",$J760="",$AA760=""),"",IF($T760="Put",($J760-$AA760)/$J760,($AA760-$J760)/$J760))</f>
        <v/>
      </c>
      <c r="AD760" s="12" t="str">
        <f aca="false">IF($C760="","",IF($Q760&lt;&gt;"",$Q760,IF($V760="Strike",N($E760)*$H760*$I760,IF($V760="Subyacente",IF($J760="","",$J760*$H760*$I760),IF($V760="Ancho",IF($F760="","",ABS($E760-$F760)*$H760*$I760-$K760*$H760*$I760),IF($V760="Prima",$K760*$H760*$I760,""))))))</f>
        <v/>
      </c>
      <c r="AE760" s="12" t="str">
        <f aca="false">IF(OR($C760="",$M760="Abierta",$M760=""),"",(N($K760)-IF(OR($M760="Cerrada",$M760="Rolada"),N($O760),0))*$H760*$I760*IF($U760="Débito",-1,1)-N($L760)-N($P760))</f>
        <v/>
      </c>
      <c r="AF760" s="14" t="str">
        <f aca="false">IF(OR($AE760="",$AD760=""),"",IF($AD760&lt;=0,"",$AE760/$AD760))</f>
        <v/>
      </c>
      <c r="AG760" s="14" t="str">
        <f aca="false">IF($AF760="","",$AF760*365/MAX(N($X760),1))</f>
        <v/>
      </c>
      <c r="AH760" s="14" t="str">
        <f aca="false">IF(OR($C760="",$U760&lt;&gt;"Crédito",$AD760=""),"",IF($AD760&lt;=0,"",($Z760-N($L760))/$AD760))</f>
        <v/>
      </c>
      <c r="AI760" s="14" t="str">
        <f aca="false">IF(OR($AH760="",$W760=""),"",$AH760*365/MAX($W760,1))</f>
        <v/>
      </c>
      <c r="AJ760" s="14" t="str">
        <f aca="false">IF(OR($AE760="",$U760&lt;&gt;"Crédito",N($K760)=0),"",(N($K760)-IF(OR($M760="Cerrada",$M760="Rolada"),N($O760),0))/$K760)</f>
        <v/>
      </c>
      <c r="AK760" s="15" t="str">
        <f aca="false">IF(OR($C760="",$N760=""),"",DATE(YEAR($N760),MONTH($N760),1))</f>
        <v/>
      </c>
      <c r="AL760" s="11" t="str">
        <f aca="false">IF($C760="","",IF($M760="Abierta",0,1))</f>
        <v/>
      </c>
      <c r="AM760" s="16" t="str">
        <f aca="false">IF(OR($AE760="",$AD760=""),"",$AD760*MAX(N($X760),1))</f>
        <v/>
      </c>
      <c r="AN760" s="10" t="str">
        <f aca="false">IF($C760="","",IF(OR($B760="",$D760="",$H760="",$K760="",$M760=""),"Faltan datos obligatorios",IF($T760="","Estrategia no reconocida",IF(AND($M760&lt;&gt;"Abierta",$N760=""),"Falta fecha cierre",IF(AND(OR($M760="Cerrada",$M760="Rolada"),$O760=""),"Falta prima cierre",IF(AND($N760&lt;&gt;"",$N760&lt;$B760),"Cierre anterior a apertura",IF(AND($M760="Asignada",$R760=""),"Asignada: falta ID lote acciones",IF(AND($R760&lt;&gt;"",ISNA(MATCH($R760,Acciones!$A$2:$A$201,0))),"El ID lote no existe en Acciones",IF($AD760="","Revisa capital en riesgo","OK")))))))))</f>
        <v/>
      </c>
    </row>
    <row r="761" customFormat="false" ht="15" hidden="false" customHeight="true" outlineLevel="0" collapsed="false">
      <c r="A761" s="5"/>
      <c r="B761" s="6"/>
      <c r="C761" s="7"/>
      <c r="D761" s="7"/>
      <c r="E761" s="8"/>
      <c r="F761" s="8"/>
      <c r="G761" s="6"/>
      <c r="H761" s="5"/>
      <c r="I761" s="5" t="n">
        <v>100</v>
      </c>
      <c r="J761" s="8"/>
      <c r="K761" s="8"/>
      <c r="L761" s="9"/>
      <c r="M761" s="7"/>
      <c r="N761" s="6"/>
      <c r="O761" s="8"/>
      <c r="P761" s="9"/>
      <c r="Q761" s="9"/>
      <c r="R761" s="7"/>
      <c r="S761" s="7"/>
      <c r="T761" s="10" t="str">
        <f aca="false">IF($C761="","",IFERROR(INDEX(Listas!$B$2:$B$20,MATCH($D761,Listas!$A$2:$A$20,0)),""))</f>
        <v/>
      </c>
      <c r="U761" s="10" t="str">
        <f aca="false">IF($C761="","",IFERROR(INDEX(Listas!$C$2:$C$20,MATCH($D761,Listas!$A$2:$A$20,0)),""))</f>
        <v/>
      </c>
      <c r="V761" s="10" t="str">
        <f aca="false">IF($C761="","",IFERROR(INDEX(Listas!$D$2:$D$20,MATCH($D761,Listas!$A$2:$A$20,0)),""))</f>
        <v/>
      </c>
      <c r="W761" s="11" t="str">
        <f aca="false">IF(OR($C761="",$B761="",$G761=""),"",$G761-$B761)</f>
        <v/>
      </c>
      <c r="X761" s="11" t="str">
        <f aca="true">IF(OR($C761="",$B761=""),"",IF($N761&lt;&gt;"",$N761,TODAY())-$B761)</f>
        <v/>
      </c>
      <c r="Y761" s="11" t="str">
        <f aca="true">IF(OR($C761="",$M761&lt;&gt;"Abierta",$G761=""),"",MAX($G761-TODAY(),0))</f>
        <v/>
      </c>
      <c r="Z761" s="12" t="str">
        <f aca="false">IF($C761="","",N($K761)*N($H761)*N($I761)*IF($U761="Débito",-1,1))</f>
        <v/>
      </c>
      <c r="AA761" s="13" t="str">
        <f aca="false">IF($C761="","",IF(AND($U761="Débito",$F761&lt;&gt;""),$F761,$E761))</f>
        <v/>
      </c>
      <c r="AB761" s="13" t="str">
        <f aca="false">IF(OR($C761="",$T761="Mixta",$AA761=""),"",IF($V761="Subyacente",IF($J761="","",$J761-$K761),IF($T761="Put",$AA761-$K761,$AA761+$K761)))</f>
        <v/>
      </c>
      <c r="AC761" s="14" t="str">
        <f aca="false">IF(OR($C761="",$T761="Mixta",$J761="",$AA761=""),"",IF($T761="Put",($J761-$AA761)/$J761,($AA761-$J761)/$J761))</f>
        <v/>
      </c>
      <c r="AD761" s="12" t="str">
        <f aca="false">IF($C761="","",IF($Q761&lt;&gt;"",$Q761,IF($V761="Strike",N($E761)*$H761*$I761,IF($V761="Subyacente",IF($J761="","",$J761*$H761*$I761),IF($V761="Ancho",IF($F761="","",ABS($E761-$F761)*$H761*$I761-$K761*$H761*$I761),IF($V761="Prima",$K761*$H761*$I761,""))))))</f>
        <v/>
      </c>
      <c r="AE761" s="12" t="str">
        <f aca="false">IF(OR($C761="",$M761="Abierta",$M761=""),"",(N($K761)-IF(OR($M761="Cerrada",$M761="Rolada"),N($O761),0))*$H761*$I761*IF($U761="Débito",-1,1)-N($L761)-N($P761))</f>
        <v/>
      </c>
      <c r="AF761" s="14" t="str">
        <f aca="false">IF(OR($AE761="",$AD761=""),"",IF($AD761&lt;=0,"",$AE761/$AD761))</f>
        <v/>
      </c>
      <c r="AG761" s="14" t="str">
        <f aca="false">IF($AF761="","",$AF761*365/MAX(N($X761),1))</f>
        <v/>
      </c>
      <c r="AH761" s="14" t="str">
        <f aca="false">IF(OR($C761="",$U761&lt;&gt;"Crédito",$AD761=""),"",IF($AD761&lt;=0,"",($Z761-N($L761))/$AD761))</f>
        <v/>
      </c>
      <c r="AI761" s="14" t="str">
        <f aca="false">IF(OR($AH761="",$W761=""),"",$AH761*365/MAX($W761,1))</f>
        <v/>
      </c>
      <c r="AJ761" s="14" t="str">
        <f aca="false">IF(OR($AE761="",$U761&lt;&gt;"Crédito",N($K761)=0),"",(N($K761)-IF(OR($M761="Cerrada",$M761="Rolada"),N($O761),0))/$K761)</f>
        <v/>
      </c>
      <c r="AK761" s="15" t="str">
        <f aca="false">IF(OR($C761="",$N761=""),"",DATE(YEAR($N761),MONTH($N761),1))</f>
        <v/>
      </c>
      <c r="AL761" s="11" t="str">
        <f aca="false">IF($C761="","",IF($M761="Abierta",0,1))</f>
        <v/>
      </c>
      <c r="AM761" s="16" t="str">
        <f aca="false">IF(OR($AE761="",$AD761=""),"",$AD761*MAX(N($X761),1))</f>
        <v/>
      </c>
      <c r="AN761" s="10" t="str">
        <f aca="false">IF($C761="","",IF(OR($B761="",$D761="",$H761="",$K761="",$M761=""),"Faltan datos obligatorios",IF($T761="","Estrategia no reconocida",IF(AND($M761&lt;&gt;"Abierta",$N761=""),"Falta fecha cierre",IF(AND(OR($M761="Cerrada",$M761="Rolada"),$O761=""),"Falta prima cierre",IF(AND($N761&lt;&gt;"",$N761&lt;$B761),"Cierre anterior a apertura",IF(AND($M761="Asignada",$R761=""),"Asignada: falta ID lote acciones",IF(AND($R761&lt;&gt;"",ISNA(MATCH($R761,Acciones!$A$2:$A$201,0))),"El ID lote no existe en Acciones",IF($AD761="","Revisa capital en riesgo","OK")))))))))</f>
        <v/>
      </c>
    </row>
    <row r="762" customFormat="false" ht="15" hidden="false" customHeight="true" outlineLevel="0" collapsed="false">
      <c r="A762" s="5"/>
      <c r="B762" s="6"/>
      <c r="C762" s="7"/>
      <c r="D762" s="7"/>
      <c r="E762" s="8"/>
      <c r="F762" s="8"/>
      <c r="G762" s="6"/>
      <c r="H762" s="5"/>
      <c r="I762" s="5" t="n">
        <v>100</v>
      </c>
      <c r="J762" s="8"/>
      <c r="K762" s="8"/>
      <c r="L762" s="9"/>
      <c r="M762" s="7"/>
      <c r="N762" s="6"/>
      <c r="O762" s="8"/>
      <c r="P762" s="9"/>
      <c r="Q762" s="9"/>
      <c r="R762" s="7"/>
      <c r="S762" s="7"/>
      <c r="T762" s="10" t="str">
        <f aca="false">IF($C762="","",IFERROR(INDEX(Listas!$B$2:$B$20,MATCH($D762,Listas!$A$2:$A$20,0)),""))</f>
        <v/>
      </c>
      <c r="U762" s="10" t="str">
        <f aca="false">IF($C762="","",IFERROR(INDEX(Listas!$C$2:$C$20,MATCH($D762,Listas!$A$2:$A$20,0)),""))</f>
        <v/>
      </c>
      <c r="V762" s="10" t="str">
        <f aca="false">IF($C762="","",IFERROR(INDEX(Listas!$D$2:$D$20,MATCH($D762,Listas!$A$2:$A$20,0)),""))</f>
        <v/>
      </c>
      <c r="W762" s="11" t="str">
        <f aca="false">IF(OR($C762="",$B762="",$G762=""),"",$G762-$B762)</f>
        <v/>
      </c>
      <c r="X762" s="11" t="str">
        <f aca="true">IF(OR($C762="",$B762=""),"",IF($N762&lt;&gt;"",$N762,TODAY())-$B762)</f>
        <v/>
      </c>
      <c r="Y762" s="11" t="str">
        <f aca="true">IF(OR($C762="",$M762&lt;&gt;"Abierta",$G762=""),"",MAX($G762-TODAY(),0))</f>
        <v/>
      </c>
      <c r="Z762" s="12" t="str">
        <f aca="false">IF($C762="","",N($K762)*N($H762)*N($I762)*IF($U762="Débito",-1,1))</f>
        <v/>
      </c>
      <c r="AA762" s="13" t="str">
        <f aca="false">IF($C762="","",IF(AND($U762="Débito",$F762&lt;&gt;""),$F762,$E762))</f>
        <v/>
      </c>
      <c r="AB762" s="13" t="str">
        <f aca="false">IF(OR($C762="",$T762="Mixta",$AA762=""),"",IF($V762="Subyacente",IF($J762="","",$J762-$K762),IF($T762="Put",$AA762-$K762,$AA762+$K762)))</f>
        <v/>
      </c>
      <c r="AC762" s="14" t="str">
        <f aca="false">IF(OR($C762="",$T762="Mixta",$J762="",$AA762=""),"",IF($T762="Put",($J762-$AA762)/$J762,($AA762-$J762)/$J762))</f>
        <v/>
      </c>
      <c r="AD762" s="12" t="str">
        <f aca="false">IF($C762="","",IF($Q762&lt;&gt;"",$Q762,IF($V762="Strike",N($E762)*$H762*$I762,IF($V762="Subyacente",IF($J762="","",$J762*$H762*$I762),IF($V762="Ancho",IF($F762="","",ABS($E762-$F762)*$H762*$I762-$K762*$H762*$I762),IF($V762="Prima",$K762*$H762*$I762,""))))))</f>
        <v/>
      </c>
      <c r="AE762" s="12" t="str">
        <f aca="false">IF(OR($C762="",$M762="Abierta",$M762=""),"",(N($K762)-IF(OR($M762="Cerrada",$M762="Rolada"),N($O762),0))*$H762*$I762*IF($U762="Débito",-1,1)-N($L762)-N($P762))</f>
        <v/>
      </c>
      <c r="AF762" s="14" t="str">
        <f aca="false">IF(OR($AE762="",$AD762=""),"",IF($AD762&lt;=0,"",$AE762/$AD762))</f>
        <v/>
      </c>
      <c r="AG762" s="14" t="str">
        <f aca="false">IF($AF762="","",$AF762*365/MAX(N($X762),1))</f>
        <v/>
      </c>
      <c r="AH762" s="14" t="str">
        <f aca="false">IF(OR($C762="",$U762&lt;&gt;"Crédito",$AD762=""),"",IF($AD762&lt;=0,"",($Z762-N($L762))/$AD762))</f>
        <v/>
      </c>
      <c r="AI762" s="14" t="str">
        <f aca="false">IF(OR($AH762="",$W762=""),"",$AH762*365/MAX($W762,1))</f>
        <v/>
      </c>
      <c r="AJ762" s="14" t="str">
        <f aca="false">IF(OR($AE762="",$U762&lt;&gt;"Crédito",N($K762)=0),"",(N($K762)-IF(OR($M762="Cerrada",$M762="Rolada"),N($O762),0))/$K762)</f>
        <v/>
      </c>
      <c r="AK762" s="15" t="str">
        <f aca="false">IF(OR($C762="",$N762=""),"",DATE(YEAR($N762),MONTH($N762),1))</f>
        <v/>
      </c>
      <c r="AL762" s="11" t="str">
        <f aca="false">IF($C762="","",IF($M762="Abierta",0,1))</f>
        <v/>
      </c>
      <c r="AM762" s="16" t="str">
        <f aca="false">IF(OR($AE762="",$AD762=""),"",$AD762*MAX(N($X762),1))</f>
        <v/>
      </c>
      <c r="AN762" s="10" t="str">
        <f aca="false">IF($C762="","",IF(OR($B762="",$D762="",$H762="",$K762="",$M762=""),"Faltan datos obligatorios",IF($T762="","Estrategia no reconocida",IF(AND($M762&lt;&gt;"Abierta",$N762=""),"Falta fecha cierre",IF(AND(OR($M762="Cerrada",$M762="Rolada"),$O762=""),"Falta prima cierre",IF(AND($N762&lt;&gt;"",$N762&lt;$B762),"Cierre anterior a apertura",IF(AND($M762="Asignada",$R762=""),"Asignada: falta ID lote acciones",IF(AND($R762&lt;&gt;"",ISNA(MATCH($R762,Acciones!$A$2:$A$201,0))),"El ID lote no existe en Acciones",IF($AD762="","Revisa capital en riesgo","OK")))))))))</f>
        <v/>
      </c>
    </row>
    <row r="763" customFormat="false" ht="15" hidden="false" customHeight="true" outlineLevel="0" collapsed="false">
      <c r="A763" s="5"/>
      <c r="B763" s="6"/>
      <c r="C763" s="7"/>
      <c r="D763" s="7"/>
      <c r="E763" s="8"/>
      <c r="F763" s="8"/>
      <c r="G763" s="6"/>
      <c r="H763" s="5"/>
      <c r="I763" s="5" t="n">
        <v>100</v>
      </c>
      <c r="J763" s="8"/>
      <c r="K763" s="8"/>
      <c r="L763" s="9"/>
      <c r="M763" s="7"/>
      <c r="N763" s="6"/>
      <c r="O763" s="8"/>
      <c r="P763" s="9"/>
      <c r="Q763" s="9"/>
      <c r="R763" s="7"/>
      <c r="S763" s="7"/>
      <c r="T763" s="10" t="str">
        <f aca="false">IF($C763="","",IFERROR(INDEX(Listas!$B$2:$B$20,MATCH($D763,Listas!$A$2:$A$20,0)),""))</f>
        <v/>
      </c>
      <c r="U763" s="10" t="str">
        <f aca="false">IF($C763="","",IFERROR(INDEX(Listas!$C$2:$C$20,MATCH($D763,Listas!$A$2:$A$20,0)),""))</f>
        <v/>
      </c>
      <c r="V763" s="10" t="str">
        <f aca="false">IF($C763="","",IFERROR(INDEX(Listas!$D$2:$D$20,MATCH($D763,Listas!$A$2:$A$20,0)),""))</f>
        <v/>
      </c>
      <c r="W763" s="11" t="str">
        <f aca="false">IF(OR($C763="",$B763="",$G763=""),"",$G763-$B763)</f>
        <v/>
      </c>
      <c r="X763" s="11" t="str">
        <f aca="true">IF(OR($C763="",$B763=""),"",IF($N763&lt;&gt;"",$N763,TODAY())-$B763)</f>
        <v/>
      </c>
      <c r="Y763" s="11" t="str">
        <f aca="true">IF(OR($C763="",$M763&lt;&gt;"Abierta",$G763=""),"",MAX($G763-TODAY(),0))</f>
        <v/>
      </c>
      <c r="Z763" s="12" t="str">
        <f aca="false">IF($C763="","",N($K763)*N($H763)*N($I763)*IF($U763="Débito",-1,1))</f>
        <v/>
      </c>
      <c r="AA763" s="13" t="str">
        <f aca="false">IF($C763="","",IF(AND($U763="Débito",$F763&lt;&gt;""),$F763,$E763))</f>
        <v/>
      </c>
      <c r="AB763" s="13" t="str">
        <f aca="false">IF(OR($C763="",$T763="Mixta",$AA763=""),"",IF($V763="Subyacente",IF($J763="","",$J763-$K763),IF($T763="Put",$AA763-$K763,$AA763+$K763)))</f>
        <v/>
      </c>
      <c r="AC763" s="14" t="str">
        <f aca="false">IF(OR($C763="",$T763="Mixta",$J763="",$AA763=""),"",IF($T763="Put",($J763-$AA763)/$J763,($AA763-$J763)/$J763))</f>
        <v/>
      </c>
      <c r="AD763" s="12" t="str">
        <f aca="false">IF($C763="","",IF($Q763&lt;&gt;"",$Q763,IF($V763="Strike",N($E763)*$H763*$I763,IF($V763="Subyacente",IF($J763="","",$J763*$H763*$I763),IF($V763="Ancho",IF($F763="","",ABS($E763-$F763)*$H763*$I763-$K763*$H763*$I763),IF($V763="Prima",$K763*$H763*$I763,""))))))</f>
        <v/>
      </c>
      <c r="AE763" s="12" t="str">
        <f aca="false">IF(OR($C763="",$M763="Abierta",$M763=""),"",(N($K763)-IF(OR($M763="Cerrada",$M763="Rolada"),N($O763),0))*$H763*$I763*IF($U763="Débito",-1,1)-N($L763)-N($P763))</f>
        <v/>
      </c>
      <c r="AF763" s="14" t="str">
        <f aca="false">IF(OR($AE763="",$AD763=""),"",IF($AD763&lt;=0,"",$AE763/$AD763))</f>
        <v/>
      </c>
      <c r="AG763" s="14" t="str">
        <f aca="false">IF($AF763="","",$AF763*365/MAX(N($X763),1))</f>
        <v/>
      </c>
      <c r="AH763" s="14" t="str">
        <f aca="false">IF(OR($C763="",$U763&lt;&gt;"Crédito",$AD763=""),"",IF($AD763&lt;=0,"",($Z763-N($L763))/$AD763))</f>
        <v/>
      </c>
      <c r="AI763" s="14" t="str">
        <f aca="false">IF(OR($AH763="",$W763=""),"",$AH763*365/MAX($W763,1))</f>
        <v/>
      </c>
      <c r="AJ763" s="14" t="str">
        <f aca="false">IF(OR($AE763="",$U763&lt;&gt;"Crédito",N($K763)=0),"",(N($K763)-IF(OR($M763="Cerrada",$M763="Rolada"),N($O763),0))/$K763)</f>
        <v/>
      </c>
      <c r="AK763" s="15" t="str">
        <f aca="false">IF(OR($C763="",$N763=""),"",DATE(YEAR($N763),MONTH($N763),1))</f>
        <v/>
      </c>
      <c r="AL763" s="11" t="str">
        <f aca="false">IF($C763="","",IF($M763="Abierta",0,1))</f>
        <v/>
      </c>
      <c r="AM763" s="16" t="str">
        <f aca="false">IF(OR($AE763="",$AD763=""),"",$AD763*MAX(N($X763),1))</f>
        <v/>
      </c>
      <c r="AN763" s="10" t="str">
        <f aca="false">IF($C763="","",IF(OR($B763="",$D763="",$H763="",$K763="",$M763=""),"Faltan datos obligatorios",IF($T763="","Estrategia no reconocida",IF(AND($M763&lt;&gt;"Abierta",$N763=""),"Falta fecha cierre",IF(AND(OR($M763="Cerrada",$M763="Rolada"),$O763=""),"Falta prima cierre",IF(AND($N763&lt;&gt;"",$N763&lt;$B763),"Cierre anterior a apertura",IF(AND($M763="Asignada",$R763=""),"Asignada: falta ID lote acciones",IF(AND($R763&lt;&gt;"",ISNA(MATCH($R763,Acciones!$A$2:$A$201,0))),"El ID lote no existe en Acciones",IF($AD763="","Revisa capital en riesgo","OK")))))))))</f>
        <v/>
      </c>
    </row>
    <row r="764" customFormat="false" ht="15" hidden="false" customHeight="true" outlineLevel="0" collapsed="false">
      <c r="A764" s="5"/>
      <c r="B764" s="6"/>
      <c r="C764" s="7"/>
      <c r="D764" s="7"/>
      <c r="E764" s="8"/>
      <c r="F764" s="8"/>
      <c r="G764" s="6"/>
      <c r="H764" s="5"/>
      <c r="I764" s="5" t="n">
        <v>100</v>
      </c>
      <c r="J764" s="8"/>
      <c r="K764" s="8"/>
      <c r="L764" s="9"/>
      <c r="M764" s="7"/>
      <c r="N764" s="6"/>
      <c r="O764" s="8"/>
      <c r="P764" s="9"/>
      <c r="Q764" s="9"/>
      <c r="R764" s="7"/>
      <c r="S764" s="7"/>
      <c r="T764" s="10" t="str">
        <f aca="false">IF($C764="","",IFERROR(INDEX(Listas!$B$2:$B$20,MATCH($D764,Listas!$A$2:$A$20,0)),""))</f>
        <v/>
      </c>
      <c r="U764" s="10" t="str">
        <f aca="false">IF($C764="","",IFERROR(INDEX(Listas!$C$2:$C$20,MATCH($D764,Listas!$A$2:$A$20,0)),""))</f>
        <v/>
      </c>
      <c r="V764" s="10" t="str">
        <f aca="false">IF($C764="","",IFERROR(INDEX(Listas!$D$2:$D$20,MATCH($D764,Listas!$A$2:$A$20,0)),""))</f>
        <v/>
      </c>
      <c r="W764" s="11" t="str">
        <f aca="false">IF(OR($C764="",$B764="",$G764=""),"",$G764-$B764)</f>
        <v/>
      </c>
      <c r="X764" s="11" t="str">
        <f aca="true">IF(OR($C764="",$B764=""),"",IF($N764&lt;&gt;"",$N764,TODAY())-$B764)</f>
        <v/>
      </c>
      <c r="Y764" s="11" t="str">
        <f aca="true">IF(OR($C764="",$M764&lt;&gt;"Abierta",$G764=""),"",MAX($G764-TODAY(),0))</f>
        <v/>
      </c>
      <c r="Z764" s="12" t="str">
        <f aca="false">IF($C764="","",N($K764)*N($H764)*N($I764)*IF($U764="Débito",-1,1))</f>
        <v/>
      </c>
      <c r="AA764" s="13" t="str">
        <f aca="false">IF($C764="","",IF(AND($U764="Débito",$F764&lt;&gt;""),$F764,$E764))</f>
        <v/>
      </c>
      <c r="AB764" s="13" t="str">
        <f aca="false">IF(OR($C764="",$T764="Mixta",$AA764=""),"",IF($V764="Subyacente",IF($J764="","",$J764-$K764),IF($T764="Put",$AA764-$K764,$AA764+$K764)))</f>
        <v/>
      </c>
      <c r="AC764" s="14" t="str">
        <f aca="false">IF(OR($C764="",$T764="Mixta",$J764="",$AA764=""),"",IF($T764="Put",($J764-$AA764)/$J764,($AA764-$J764)/$J764))</f>
        <v/>
      </c>
      <c r="AD764" s="12" t="str">
        <f aca="false">IF($C764="","",IF($Q764&lt;&gt;"",$Q764,IF($V764="Strike",N($E764)*$H764*$I764,IF($V764="Subyacente",IF($J764="","",$J764*$H764*$I764),IF($V764="Ancho",IF($F764="","",ABS($E764-$F764)*$H764*$I764-$K764*$H764*$I764),IF($V764="Prima",$K764*$H764*$I764,""))))))</f>
        <v/>
      </c>
      <c r="AE764" s="12" t="str">
        <f aca="false">IF(OR($C764="",$M764="Abierta",$M764=""),"",(N($K764)-IF(OR($M764="Cerrada",$M764="Rolada"),N($O764),0))*$H764*$I764*IF($U764="Débito",-1,1)-N($L764)-N($P764))</f>
        <v/>
      </c>
      <c r="AF764" s="14" t="str">
        <f aca="false">IF(OR($AE764="",$AD764=""),"",IF($AD764&lt;=0,"",$AE764/$AD764))</f>
        <v/>
      </c>
      <c r="AG764" s="14" t="str">
        <f aca="false">IF($AF764="","",$AF764*365/MAX(N($X764),1))</f>
        <v/>
      </c>
      <c r="AH764" s="14" t="str">
        <f aca="false">IF(OR($C764="",$U764&lt;&gt;"Crédito",$AD764=""),"",IF($AD764&lt;=0,"",($Z764-N($L764))/$AD764))</f>
        <v/>
      </c>
      <c r="AI764" s="14" t="str">
        <f aca="false">IF(OR($AH764="",$W764=""),"",$AH764*365/MAX($W764,1))</f>
        <v/>
      </c>
      <c r="AJ764" s="14" t="str">
        <f aca="false">IF(OR($AE764="",$U764&lt;&gt;"Crédito",N($K764)=0),"",(N($K764)-IF(OR($M764="Cerrada",$M764="Rolada"),N($O764),0))/$K764)</f>
        <v/>
      </c>
      <c r="AK764" s="15" t="str">
        <f aca="false">IF(OR($C764="",$N764=""),"",DATE(YEAR($N764),MONTH($N764),1))</f>
        <v/>
      </c>
      <c r="AL764" s="11" t="str">
        <f aca="false">IF($C764="","",IF($M764="Abierta",0,1))</f>
        <v/>
      </c>
      <c r="AM764" s="16" t="str">
        <f aca="false">IF(OR($AE764="",$AD764=""),"",$AD764*MAX(N($X764),1))</f>
        <v/>
      </c>
      <c r="AN764" s="10" t="str">
        <f aca="false">IF($C764="","",IF(OR($B764="",$D764="",$H764="",$K764="",$M764=""),"Faltan datos obligatorios",IF($T764="","Estrategia no reconocida",IF(AND($M764&lt;&gt;"Abierta",$N764=""),"Falta fecha cierre",IF(AND(OR($M764="Cerrada",$M764="Rolada"),$O764=""),"Falta prima cierre",IF(AND($N764&lt;&gt;"",$N764&lt;$B764),"Cierre anterior a apertura",IF(AND($M764="Asignada",$R764=""),"Asignada: falta ID lote acciones",IF(AND($R764&lt;&gt;"",ISNA(MATCH($R764,Acciones!$A$2:$A$201,0))),"El ID lote no existe en Acciones",IF($AD764="","Revisa capital en riesgo","OK")))))))))</f>
        <v/>
      </c>
    </row>
    <row r="765" customFormat="false" ht="15" hidden="false" customHeight="true" outlineLevel="0" collapsed="false">
      <c r="A765" s="5"/>
      <c r="B765" s="6"/>
      <c r="C765" s="7"/>
      <c r="D765" s="7"/>
      <c r="E765" s="8"/>
      <c r="F765" s="8"/>
      <c r="G765" s="6"/>
      <c r="H765" s="5"/>
      <c r="I765" s="5" t="n">
        <v>100</v>
      </c>
      <c r="J765" s="8"/>
      <c r="K765" s="8"/>
      <c r="L765" s="9"/>
      <c r="M765" s="7"/>
      <c r="N765" s="6"/>
      <c r="O765" s="8"/>
      <c r="P765" s="9"/>
      <c r="Q765" s="9"/>
      <c r="R765" s="7"/>
      <c r="S765" s="7"/>
      <c r="T765" s="10" t="str">
        <f aca="false">IF($C765="","",IFERROR(INDEX(Listas!$B$2:$B$20,MATCH($D765,Listas!$A$2:$A$20,0)),""))</f>
        <v/>
      </c>
      <c r="U765" s="10" t="str">
        <f aca="false">IF($C765="","",IFERROR(INDEX(Listas!$C$2:$C$20,MATCH($D765,Listas!$A$2:$A$20,0)),""))</f>
        <v/>
      </c>
      <c r="V765" s="10" t="str">
        <f aca="false">IF($C765="","",IFERROR(INDEX(Listas!$D$2:$D$20,MATCH($D765,Listas!$A$2:$A$20,0)),""))</f>
        <v/>
      </c>
      <c r="W765" s="11" t="str">
        <f aca="false">IF(OR($C765="",$B765="",$G765=""),"",$G765-$B765)</f>
        <v/>
      </c>
      <c r="X765" s="11" t="str">
        <f aca="true">IF(OR($C765="",$B765=""),"",IF($N765&lt;&gt;"",$N765,TODAY())-$B765)</f>
        <v/>
      </c>
      <c r="Y765" s="11" t="str">
        <f aca="true">IF(OR($C765="",$M765&lt;&gt;"Abierta",$G765=""),"",MAX($G765-TODAY(),0))</f>
        <v/>
      </c>
      <c r="Z765" s="12" t="str">
        <f aca="false">IF($C765="","",N($K765)*N($H765)*N($I765)*IF($U765="Débito",-1,1))</f>
        <v/>
      </c>
      <c r="AA765" s="13" t="str">
        <f aca="false">IF($C765="","",IF(AND($U765="Débito",$F765&lt;&gt;""),$F765,$E765))</f>
        <v/>
      </c>
      <c r="AB765" s="13" t="str">
        <f aca="false">IF(OR($C765="",$T765="Mixta",$AA765=""),"",IF($V765="Subyacente",IF($J765="","",$J765-$K765),IF($T765="Put",$AA765-$K765,$AA765+$K765)))</f>
        <v/>
      </c>
      <c r="AC765" s="14" t="str">
        <f aca="false">IF(OR($C765="",$T765="Mixta",$J765="",$AA765=""),"",IF($T765="Put",($J765-$AA765)/$J765,($AA765-$J765)/$J765))</f>
        <v/>
      </c>
      <c r="AD765" s="12" t="str">
        <f aca="false">IF($C765="","",IF($Q765&lt;&gt;"",$Q765,IF($V765="Strike",N($E765)*$H765*$I765,IF($V765="Subyacente",IF($J765="","",$J765*$H765*$I765),IF($V765="Ancho",IF($F765="","",ABS($E765-$F765)*$H765*$I765-$K765*$H765*$I765),IF($V765="Prima",$K765*$H765*$I765,""))))))</f>
        <v/>
      </c>
      <c r="AE765" s="12" t="str">
        <f aca="false">IF(OR($C765="",$M765="Abierta",$M765=""),"",(N($K765)-IF(OR($M765="Cerrada",$M765="Rolada"),N($O765),0))*$H765*$I765*IF($U765="Débito",-1,1)-N($L765)-N($P765))</f>
        <v/>
      </c>
      <c r="AF765" s="14" t="str">
        <f aca="false">IF(OR($AE765="",$AD765=""),"",IF($AD765&lt;=0,"",$AE765/$AD765))</f>
        <v/>
      </c>
      <c r="AG765" s="14" t="str">
        <f aca="false">IF($AF765="","",$AF765*365/MAX(N($X765),1))</f>
        <v/>
      </c>
      <c r="AH765" s="14" t="str">
        <f aca="false">IF(OR($C765="",$U765&lt;&gt;"Crédito",$AD765=""),"",IF($AD765&lt;=0,"",($Z765-N($L765))/$AD765))</f>
        <v/>
      </c>
      <c r="AI765" s="14" t="str">
        <f aca="false">IF(OR($AH765="",$W765=""),"",$AH765*365/MAX($W765,1))</f>
        <v/>
      </c>
      <c r="AJ765" s="14" t="str">
        <f aca="false">IF(OR($AE765="",$U765&lt;&gt;"Crédito",N($K765)=0),"",(N($K765)-IF(OR($M765="Cerrada",$M765="Rolada"),N($O765),0))/$K765)</f>
        <v/>
      </c>
      <c r="AK765" s="15" t="str">
        <f aca="false">IF(OR($C765="",$N765=""),"",DATE(YEAR($N765),MONTH($N765),1))</f>
        <v/>
      </c>
      <c r="AL765" s="11" t="str">
        <f aca="false">IF($C765="","",IF($M765="Abierta",0,1))</f>
        <v/>
      </c>
      <c r="AM765" s="16" t="str">
        <f aca="false">IF(OR($AE765="",$AD765=""),"",$AD765*MAX(N($X765),1))</f>
        <v/>
      </c>
      <c r="AN765" s="10" t="str">
        <f aca="false">IF($C765="","",IF(OR($B765="",$D765="",$H765="",$K765="",$M765=""),"Faltan datos obligatorios",IF($T765="","Estrategia no reconocida",IF(AND($M765&lt;&gt;"Abierta",$N765=""),"Falta fecha cierre",IF(AND(OR($M765="Cerrada",$M765="Rolada"),$O765=""),"Falta prima cierre",IF(AND($N765&lt;&gt;"",$N765&lt;$B765),"Cierre anterior a apertura",IF(AND($M765="Asignada",$R765=""),"Asignada: falta ID lote acciones",IF(AND($R765&lt;&gt;"",ISNA(MATCH($R765,Acciones!$A$2:$A$201,0))),"El ID lote no existe en Acciones",IF($AD765="","Revisa capital en riesgo","OK")))))))))</f>
        <v/>
      </c>
    </row>
    <row r="766" customFormat="false" ht="15" hidden="false" customHeight="true" outlineLevel="0" collapsed="false">
      <c r="A766" s="5"/>
      <c r="B766" s="6"/>
      <c r="C766" s="7"/>
      <c r="D766" s="7"/>
      <c r="E766" s="8"/>
      <c r="F766" s="8"/>
      <c r="G766" s="6"/>
      <c r="H766" s="5"/>
      <c r="I766" s="5" t="n">
        <v>100</v>
      </c>
      <c r="J766" s="8"/>
      <c r="K766" s="8"/>
      <c r="L766" s="9"/>
      <c r="M766" s="7"/>
      <c r="N766" s="6"/>
      <c r="O766" s="8"/>
      <c r="P766" s="9"/>
      <c r="Q766" s="9"/>
      <c r="R766" s="7"/>
      <c r="S766" s="7"/>
      <c r="T766" s="10" t="str">
        <f aca="false">IF($C766="","",IFERROR(INDEX(Listas!$B$2:$B$20,MATCH($D766,Listas!$A$2:$A$20,0)),""))</f>
        <v/>
      </c>
      <c r="U766" s="10" t="str">
        <f aca="false">IF($C766="","",IFERROR(INDEX(Listas!$C$2:$C$20,MATCH($D766,Listas!$A$2:$A$20,0)),""))</f>
        <v/>
      </c>
      <c r="V766" s="10" t="str">
        <f aca="false">IF($C766="","",IFERROR(INDEX(Listas!$D$2:$D$20,MATCH($D766,Listas!$A$2:$A$20,0)),""))</f>
        <v/>
      </c>
      <c r="W766" s="11" t="str">
        <f aca="false">IF(OR($C766="",$B766="",$G766=""),"",$G766-$B766)</f>
        <v/>
      </c>
      <c r="X766" s="11" t="str">
        <f aca="true">IF(OR($C766="",$B766=""),"",IF($N766&lt;&gt;"",$N766,TODAY())-$B766)</f>
        <v/>
      </c>
      <c r="Y766" s="11" t="str">
        <f aca="true">IF(OR($C766="",$M766&lt;&gt;"Abierta",$G766=""),"",MAX($G766-TODAY(),0))</f>
        <v/>
      </c>
      <c r="Z766" s="12" t="str">
        <f aca="false">IF($C766="","",N($K766)*N($H766)*N($I766)*IF($U766="Débito",-1,1))</f>
        <v/>
      </c>
      <c r="AA766" s="13" t="str">
        <f aca="false">IF($C766="","",IF(AND($U766="Débito",$F766&lt;&gt;""),$F766,$E766))</f>
        <v/>
      </c>
      <c r="AB766" s="13" t="str">
        <f aca="false">IF(OR($C766="",$T766="Mixta",$AA766=""),"",IF($V766="Subyacente",IF($J766="","",$J766-$K766),IF($T766="Put",$AA766-$K766,$AA766+$K766)))</f>
        <v/>
      </c>
      <c r="AC766" s="14" t="str">
        <f aca="false">IF(OR($C766="",$T766="Mixta",$J766="",$AA766=""),"",IF($T766="Put",($J766-$AA766)/$J766,($AA766-$J766)/$J766))</f>
        <v/>
      </c>
      <c r="AD766" s="12" t="str">
        <f aca="false">IF($C766="","",IF($Q766&lt;&gt;"",$Q766,IF($V766="Strike",N($E766)*$H766*$I766,IF($V766="Subyacente",IF($J766="","",$J766*$H766*$I766),IF($V766="Ancho",IF($F766="","",ABS($E766-$F766)*$H766*$I766-$K766*$H766*$I766),IF($V766="Prima",$K766*$H766*$I766,""))))))</f>
        <v/>
      </c>
      <c r="AE766" s="12" t="str">
        <f aca="false">IF(OR($C766="",$M766="Abierta",$M766=""),"",(N($K766)-IF(OR($M766="Cerrada",$M766="Rolada"),N($O766),0))*$H766*$I766*IF($U766="Débito",-1,1)-N($L766)-N($P766))</f>
        <v/>
      </c>
      <c r="AF766" s="14" t="str">
        <f aca="false">IF(OR($AE766="",$AD766=""),"",IF($AD766&lt;=0,"",$AE766/$AD766))</f>
        <v/>
      </c>
      <c r="AG766" s="14" t="str">
        <f aca="false">IF($AF766="","",$AF766*365/MAX(N($X766),1))</f>
        <v/>
      </c>
      <c r="AH766" s="14" t="str">
        <f aca="false">IF(OR($C766="",$U766&lt;&gt;"Crédito",$AD766=""),"",IF($AD766&lt;=0,"",($Z766-N($L766))/$AD766))</f>
        <v/>
      </c>
      <c r="AI766" s="14" t="str">
        <f aca="false">IF(OR($AH766="",$W766=""),"",$AH766*365/MAX($W766,1))</f>
        <v/>
      </c>
      <c r="AJ766" s="14" t="str">
        <f aca="false">IF(OR($AE766="",$U766&lt;&gt;"Crédito",N($K766)=0),"",(N($K766)-IF(OR($M766="Cerrada",$M766="Rolada"),N($O766),0))/$K766)</f>
        <v/>
      </c>
      <c r="AK766" s="15" t="str">
        <f aca="false">IF(OR($C766="",$N766=""),"",DATE(YEAR($N766),MONTH($N766),1))</f>
        <v/>
      </c>
      <c r="AL766" s="11" t="str">
        <f aca="false">IF($C766="","",IF($M766="Abierta",0,1))</f>
        <v/>
      </c>
      <c r="AM766" s="16" t="str">
        <f aca="false">IF(OR($AE766="",$AD766=""),"",$AD766*MAX(N($X766),1))</f>
        <v/>
      </c>
      <c r="AN766" s="10" t="str">
        <f aca="false">IF($C766="","",IF(OR($B766="",$D766="",$H766="",$K766="",$M766=""),"Faltan datos obligatorios",IF($T766="","Estrategia no reconocida",IF(AND($M766&lt;&gt;"Abierta",$N766=""),"Falta fecha cierre",IF(AND(OR($M766="Cerrada",$M766="Rolada"),$O766=""),"Falta prima cierre",IF(AND($N766&lt;&gt;"",$N766&lt;$B766),"Cierre anterior a apertura",IF(AND($M766="Asignada",$R766=""),"Asignada: falta ID lote acciones",IF(AND($R766&lt;&gt;"",ISNA(MATCH($R766,Acciones!$A$2:$A$201,0))),"El ID lote no existe en Acciones",IF($AD766="","Revisa capital en riesgo","OK")))))))))</f>
        <v/>
      </c>
    </row>
    <row r="767" customFormat="false" ht="15" hidden="false" customHeight="true" outlineLevel="0" collapsed="false">
      <c r="A767" s="5"/>
      <c r="B767" s="6"/>
      <c r="C767" s="7"/>
      <c r="D767" s="7"/>
      <c r="E767" s="8"/>
      <c r="F767" s="8"/>
      <c r="G767" s="6"/>
      <c r="H767" s="5"/>
      <c r="I767" s="5" t="n">
        <v>100</v>
      </c>
      <c r="J767" s="8"/>
      <c r="K767" s="8"/>
      <c r="L767" s="9"/>
      <c r="M767" s="7"/>
      <c r="N767" s="6"/>
      <c r="O767" s="8"/>
      <c r="P767" s="9"/>
      <c r="Q767" s="9"/>
      <c r="R767" s="7"/>
      <c r="S767" s="7"/>
      <c r="T767" s="10" t="str">
        <f aca="false">IF($C767="","",IFERROR(INDEX(Listas!$B$2:$B$20,MATCH($D767,Listas!$A$2:$A$20,0)),""))</f>
        <v/>
      </c>
      <c r="U767" s="10" t="str">
        <f aca="false">IF($C767="","",IFERROR(INDEX(Listas!$C$2:$C$20,MATCH($D767,Listas!$A$2:$A$20,0)),""))</f>
        <v/>
      </c>
      <c r="V767" s="10" t="str">
        <f aca="false">IF($C767="","",IFERROR(INDEX(Listas!$D$2:$D$20,MATCH($D767,Listas!$A$2:$A$20,0)),""))</f>
        <v/>
      </c>
      <c r="W767" s="11" t="str">
        <f aca="false">IF(OR($C767="",$B767="",$G767=""),"",$G767-$B767)</f>
        <v/>
      </c>
      <c r="X767" s="11" t="str">
        <f aca="true">IF(OR($C767="",$B767=""),"",IF($N767&lt;&gt;"",$N767,TODAY())-$B767)</f>
        <v/>
      </c>
      <c r="Y767" s="11" t="str">
        <f aca="true">IF(OR($C767="",$M767&lt;&gt;"Abierta",$G767=""),"",MAX($G767-TODAY(),0))</f>
        <v/>
      </c>
      <c r="Z767" s="12" t="str">
        <f aca="false">IF($C767="","",N($K767)*N($H767)*N($I767)*IF($U767="Débito",-1,1))</f>
        <v/>
      </c>
      <c r="AA767" s="13" t="str">
        <f aca="false">IF($C767="","",IF(AND($U767="Débito",$F767&lt;&gt;""),$F767,$E767))</f>
        <v/>
      </c>
      <c r="AB767" s="13" t="str">
        <f aca="false">IF(OR($C767="",$T767="Mixta",$AA767=""),"",IF($V767="Subyacente",IF($J767="","",$J767-$K767),IF($T767="Put",$AA767-$K767,$AA767+$K767)))</f>
        <v/>
      </c>
      <c r="AC767" s="14" t="str">
        <f aca="false">IF(OR($C767="",$T767="Mixta",$J767="",$AA767=""),"",IF($T767="Put",($J767-$AA767)/$J767,($AA767-$J767)/$J767))</f>
        <v/>
      </c>
      <c r="AD767" s="12" t="str">
        <f aca="false">IF($C767="","",IF($Q767&lt;&gt;"",$Q767,IF($V767="Strike",N($E767)*$H767*$I767,IF($V767="Subyacente",IF($J767="","",$J767*$H767*$I767),IF($V767="Ancho",IF($F767="","",ABS($E767-$F767)*$H767*$I767-$K767*$H767*$I767),IF($V767="Prima",$K767*$H767*$I767,""))))))</f>
        <v/>
      </c>
      <c r="AE767" s="12" t="str">
        <f aca="false">IF(OR($C767="",$M767="Abierta",$M767=""),"",(N($K767)-IF(OR($M767="Cerrada",$M767="Rolada"),N($O767),0))*$H767*$I767*IF($U767="Débito",-1,1)-N($L767)-N($P767))</f>
        <v/>
      </c>
      <c r="AF767" s="14" t="str">
        <f aca="false">IF(OR($AE767="",$AD767=""),"",IF($AD767&lt;=0,"",$AE767/$AD767))</f>
        <v/>
      </c>
      <c r="AG767" s="14" t="str">
        <f aca="false">IF($AF767="","",$AF767*365/MAX(N($X767),1))</f>
        <v/>
      </c>
      <c r="AH767" s="14" t="str">
        <f aca="false">IF(OR($C767="",$U767&lt;&gt;"Crédito",$AD767=""),"",IF($AD767&lt;=0,"",($Z767-N($L767))/$AD767))</f>
        <v/>
      </c>
      <c r="AI767" s="14" t="str">
        <f aca="false">IF(OR($AH767="",$W767=""),"",$AH767*365/MAX($W767,1))</f>
        <v/>
      </c>
      <c r="AJ767" s="14" t="str">
        <f aca="false">IF(OR($AE767="",$U767&lt;&gt;"Crédito",N($K767)=0),"",(N($K767)-IF(OR($M767="Cerrada",$M767="Rolada"),N($O767),0))/$K767)</f>
        <v/>
      </c>
      <c r="AK767" s="15" t="str">
        <f aca="false">IF(OR($C767="",$N767=""),"",DATE(YEAR($N767),MONTH($N767),1))</f>
        <v/>
      </c>
      <c r="AL767" s="11" t="str">
        <f aca="false">IF($C767="","",IF($M767="Abierta",0,1))</f>
        <v/>
      </c>
      <c r="AM767" s="16" t="str">
        <f aca="false">IF(OR($AE767="",$AD767=""),"",$AD767*MAX(N($X767),1))</f>
        <v/>
      </c>
      <c r="AN767" s="10" t="str">
        <f aca="false">IF($C767="","",IF(OR($B767="",$D767="",$H767="",$K767="",$M767=""),"Faltan datos obligatorios",IF($T767="","Estrategia no reconocida",IF(AND($M767&lt;&gt;"Abierta",$N767=""),"Falta fecha cierre",IF(AND(OR($M767="Cerrada",$M767="Rolada"),$O767=""),"Falta prima cierre",IF(AND($N767&lt;&gt;"",$N767&lt;$B767),"Cierre anterior a apertura",IF(AND($M767="Asignada",$R767=""),"Asignada: falta ID lote acciones",IF(AND($R767&lt;&gt;"",ISNA(MATCH($R767,Acciones!$A$2:$A$201,0))),"El ID lote no existe en Acciones",IF($AD767="","Revisa capital en riesgo","OK")))))))))</f>
        <v/>
      </c>
    </row>
    <row r="768" customFormat="false" ht="15" hidden="false" customHeight="true" outlineLevel="0" collapsed="false">
      <c r="A768" s="5"/>
      <c r="B768" s="6"/>
      <c r="C768" s="7"/>
      <c r="D768" s="7"/>
      <c r="E768" s="8"/>
      <c r="F768" s="8"/>
      <c r="G768" s="6"/>
      <c r="H768" s="5"/>
      <c r="I768" s="5" t="n">
        <v>100</v>
      </c>
      <c r="J768" s="8"/>
      <c r="K768" s="8"/>
      <c r="L768" s="9"/>
      <c r="M768" s="7"/>
      <c r="N768" s="6"/>
      <c r="O768" s="8"/>
      <c r="P768" s="9"/>
      <c r="Q768" s="9"/>
      <c r="R768" s="7"/>
      <c r="S768" s="7"/>
      <c r="T768" s="10" t="str">
        <f aca="false">IF($C768="","",IFERROR(INDEX(Listas!$B$2:$B$20,MATCH($D768,Listas!$A$2:$A$20,0)),""))</f>
        <v/>
      </c>
      <c r="U768" s="10" t="str">
        <f aca="false">IF($C768="","",IFERROR(INDEX(Listas!$C$2:$C$20,MATCH($D768,Listas!$A$2:$A$20,0)),""))</f>
        <v/>
      </c>
      <c r="V768" s="10" t="str">
        <f aca="false">IF($C768="","",IFERROR(INDEX(Listas!$D$2:$D$20,MATCH($D768,Listas!$A$2:$A$20,0)),""))</f>
        <v/>
      </c>
      <c r="W768" s="11" t="str">
        <f aca="false">IF(OR($C768="",$B768="",$G768=""),"",$G768-$B768)</f>
        <v/>
      </c>
      <c r="X768" s="11" t="str">
        <f aca="true">IF(OR($C768="",$B768=""),"",IF($N768&lt;&gt;"",$N768,TODAY())-$B768)</f>
        <v/>
      </c>
      <c r="Y768" s="11" t="str">
        <f aca="true">IF(OR($C768="",$M768&lt;&gt;"Abierta",$G768=""),"",MAX($G768-TODAY(),0))</f>
        <v/>
      </c>
      <c r="Z768" s="12" t="str">
        <f aca="false">IF($C768="","",N($K768)*N($H768)*N($I768)*IF($U768="Débito",-1,1))</f>
        <v/>
      </c>
      <c r="AA768" s="13" t="str">
        <f aca="false">IF($C768="","",IF(AND($U768="Débito",$F768&lt;&gt;""),$F768,$E768))</f>
        <v/>
      </c>
      <c r="AB768" s="13" t="str">
        <f aca="false">IF(OR($C768="",$T768="Mixta",$AA768=""),"",IF($V768="Subyacente",IF($J768="","",$J768-$K768),IF($T768="Put",$AA768-$K768,$AA768+$K768)))</f>
        <v/>
      </c>
      <c r="AC768" s="14" t="str">
        <f aca="false">IF(OR($C768="",$T768="Mixta",$J768="",$AA768=""),"",IF($T768="Put",($J768-$AA768)/$J768,($AA768-$J768)/$J768))</f>
        <v/>
      </c>
      <c r="AD768" s="12" t="str">
        <f aca="false">IF($C768="","",IF($Q768&lt;&gt;"",$Q768,IF($V768="Strike",N($E768)*$H768*$I768,IF($V768="Subyacente",IF($J768="","",$J768*$H768*$I768),IF($V768="Ancho",IF($F768="","",ABS($E768-$F768)*$H768*$I768-$K768*$H768*$I768),IF($V768="Prima",$K768*$H768*$I768,""))))))</f>
        <v/>
      </c>
      <c r="AE768" s="12" t="str">
        <f aca="false">IF(OR($C768="",$M768="Abierta",$M768=""),"",(N($K768)-IF(OR($M768="Cerrada",$M768="Rolada"),N($O768),0))*$H768*$I768*IF($U768="Débito",-1,1)-N($L768)-N($P768))</f>
        <v/>
      </c>
      <c r="AF768" s="14" t="str">
        <f aca="false">IF(OR($AE768="",$AD768=""),"",IF($AD768&lt;=0,"",$AE768/$AD768))</f>
        <v/>
      </c>
      <c r="AG768" s="14" t="str">
        <f aca="false">IF($AF768="","",$AF768*365/MAX(N($X768),1))</f>
        <v/>
      </c>
      <c r="AH768" s="14" t="str">
        <f aca="false">IF(OR($C768="",$U768&lt;&gt;"Crédito",$AD768=""),"",IF($AD768&lt;=0,"",($Z768-N($L768))/$AD768))</f>
        <v/>
      </c>
      <c r="AI768" s="14" t="str">
        <f aca="false">IF(OR($AH768="",$W768=""),"",$AH768*365/MAX($W768,1))</f>
        <v/>
      </c>
      <c r="AJ768" s="14" t="str">
        <f aca="false">IF(OR($AE768="",$U768&lt;&gt;"Crédito",N($K768)=0),"",(N($K768)-IF(OR($M768="Cerrada",$M768="Rolada"),N($O768),0))/$K768)</f>
        <v/>
      </c>
      <c r="AK768" s="15" t="str">
        <f aca="false">IF(OR($C768="",$N768=""),"",DATE(YEAR($N768),MONTH($N768),1))</f>
        <v/>
      </c>
      <c r="AL768" s="11" t="str">
        <f aca="false">IF($C768="","",IF($M768="Abierta",0,1))</f>
        <v/>
      </c>
      <c r="AM768" s="16" t="str">
        <f aca="false">IF(OR($AE768="",$AD768=""),"",$AD768*MAX(N($X768),1))</f>
        <v/>
      </c>
      <c r="AN768" s="10" t="str">
        <f aca="false">IF($C768="","",IF(OR($B768="",$D768="",$H768="",$K768="",$M768=""),"Faltan datos obligatorios",IF($T768="","Estrategia no reconocida",IF(AND($M768&lt;&gt;"Abierta",$N768=""),"Falta fecha cierre",IF(AND(OR($M768="Cerrada",$M768="Rolada"),$O768=""),"Falta prima cierre",IF(AND($N768&lt;&gt;"",$N768&lt;$B768),"Cierre anterior a apertura",IF(AND($M768="Asignada",$R768=""),"Asignada: falta ID lote acciones",IF(AND($R768&lt;&gt;"",ISNA(MATCH($R768,Acciones!$A$2:$A$201,0))),"El ID lote no existe en Acciones",IF($AD768="","Revisa capital en riesgo","OK")))))))))</f>
        <v/>
      </c>
    </row>
    <row r="769" customFormat="false" ht="15" hidden="false" customHeight="true" outlineLevel="0" collapsed="false">
      <c r="A769" s="5"/>
      <c r="B769" s="6"/>
      <c r="C769" s="7"/>
      <c r="D769" s="7"/>
      <c r="E769" s="8"/>
      <c r="F769" s="8"/>
      <c r="G769" s="6"/>
      <c r="H769" s="5"/>
      <c r="I769" s="5" t="n">
        <v>100</v>
      </c>
      <c r="J769" s="8"/>
      <c r="K769" s="8"/>
      <c r="L769" s="9"/>
      <c r="M769" s="7"/>
      <c r="N769" s="6"/>
      <c r="O769" s="8"/>
      <c r="P769" s="9"/>
      <c r="Q769" s="9"/>
      <c r="R769" s="7"/>
      <c r="S769" s="7"/>
      <c r="T769" s="10" t="str">
        <f aca="false">IF($C769="","",IFERROR(INDEX(Listas!$B$2:$B$20,MATCH($D769,Listas!$A$2:$A$20,0)),""))</f>
        <v/>
      </c>
      <c r="U769" s="10" t="str">
        <f aca="false">IF($C769="","",IFERROR(INDEX(Listas!$C$2:$C$20,MATCH($D769,Listas!$A$2:$A$20,0)),""))</f>
        <v/>
      </c>
      <c r="V769" s="10" t="str">
        <f aca="false">IF($C769="","",IFERROR(INDEX(Listas!$D$2:$D$20,MATCH($D769,Listas!$A$2:$A$20,0)),""))</f>
        <v/>
      </c>
      <c r="W769" s="11" t="str">
        <f aca="false">IF(OR($C769="",$B769="",$G769=""),"",$G769-$B769)</f>
        <v/>
      </c>
      <c r="X769" s="11" t="str">
        <f aca="true">IF(OR($C769="",$B769=""),"",IF($N769&lt;&gt;"",$N769,TODAY())-$B769)</f>
        <v/>
      </c>
      <c r="Y769" s="11" t="str">
        <f aca="true">IF(OR($C769="",$M769&lt;&gt;"Abierta",$G769=""),"",MAX($G769-TODAY(),0))</f>
        <v/>
      </c>
      <c r="Z769" s="12" t="str">
        <f aca="false">IF($C769="","",N($K769)*N($H769)*N($I769)*IF($U769="Débito",-1,1))</f>
        <v/>
      </c>
      <c r="AA769" s="13" t="str">
        <f aca="false">IF($C769="","",IF(AND($U769="Débito",$F769&lt;&gt;""),$F769,$E769))</f>
        <v/>
      </c>
      <c r="AB769" s="13" t="str">
        <f aca="false">IF(OR($C769="",$T769="Mixta",$AA769=""),"",IF($V769="Subyacente",IF($J769="","",$J769-$K769),IF($T769="Put",$AA769-$K769,$AA769+$K769)))</f>
        <v/>
      </c>
      <c r="AC769" s="14" t="str">
        <f aca="false">IF(OR($C769="",$T769="Mixta",$J769="",$AA769=""),"",IF($T769="Put",($J769-$AA769)/$J769,($AA769-$J769)/$J769))</f>
        <v/>
      </c>
      <c r="AD769" s="12" t="str">
        <f aca="false">IF($C769="","",IF($Q769&lt;&gt;"",$Q769,IF($V769="Strike",N($E769)*$H769*$I769,IF($V769="Subyacente",IF($J769="","",$J769*$H769*$I769),IF($V769="Ancho",IF($F769="","",ABS($E769-$F769)*$H769*$I769-$K769*$H769*$I769),IF($V769="Prima",$K769*$H769*$I769,""))))))</f>
        <v/>
      </c>
      <c r="AE769" s="12" t="str">
        <f aca="false">IF(OR($C769="",$M769="Abierta",$M769=""),"",(N($K769)-IF(OR($M769="Cerrada",$M769="Rolada"),N($O769),0))*$H769*$I769*IF($U769="Débito",-1,1)-N($L769)-N($P769))</f>
        <v/>
      </c>
      <c r="AF769" s="14" t="str">
        <f aca="false">IF(OR($AE769="",$AD769=""),"",IF($AD769&lt;=0,"",$AE769/$AD769))</f>
        <v/>
      </c>
      <c r="AG769" s="14" t="str">
        <f aca="false">IF($AF769="","",$AF769*365/MAX(N($X769),1))</f>
        <v/>
      </c>
      <c r="AH769" s="14" t="str">
        <f aca="false">IF(OR($C769="",$U769&lt;&gt;"Crédito",$AD769=""),"",IF($AD769&lt;=0,"",($Z769-N($L769))/$AD769))</f>
        <v/>
      </c>
      <c r="AI769" s="14" t="str">
        <f aca="false">IF(OR($AH769="",$W769=""),"",$AH769*365/MAX($W769,1))</f>
        <v/>
      </c>
      <c r="AJ769" s="14" t="str">
        <f aca="false">IF(OR($AE769="",$U769&lt;&gt;"Crédito",N($K769)=0),"",(N($K769)-IF(OR($M769="Cerrada",$M769="Rolada"),N($O769),0))/$K769)</f>
        <v/>
      </c>
      <c r="AK769" s="15" t="str">
        <f aca="false">IF(OR($C769="",$N769=""),"",DATE(YEAR($N769),MONTH($N769),1))</f>
        <v/>
      </c>
      <c r="AL769" s="11" t="str">
        <f aca="false">IF($C769="","",IF($M769="Abierta",0,1))</f>
        <v/>
      </c>
      <c r="AM769" s="16" t="str">
        <f aca="false">IF(OR($AE769="",$AD769=""),"",$AD769*MAX(N($X769),1))</f>
        <v/>
      </c>
      <c r="AN769" s="10" t="str">
        <f aca="false">IF($C769="","",IF(OR($B769="",$D769="",$H769="",$K769="",$M769=""),"Faltan datos obligatorios",IF($T769="","Estrategia no reconocida",IF(AND($M769&lt;&gt;"Abierta",$N769=""),"Falta fecha cierre",IF(AND(OR($M769="Cerrada",$M769="Rolada"),$O769=""),"Falta prima cierre",IF(AND($N769&lt;&gt;"",$N769&lt;$B769),"Cierre anterior a apertura",IF(AND($M769="Asignada",$R769=""),"Asignada: falta ID lote acciones",IF(AND($R769&lt;&gt;"",ISNA(MATCH($R769,Acciones!$A$2:$A$201,0))),"El ID lote no existe en Acciones",IF($AD769="","Revisa capital en riesgo","OK")))))))))</f>
        <v/>
      </c>
    </row>
    <row r="770" customFormat="false" ht="15" hidden="false" customHeight="true" outlineLevel="0" collapsed="false">
      <c r="A770" s="5"/>
      <c r="B770" s="6"/>
      <c r="C770" s="7"/>
      <c r="D770" s="7"/>
      <c r="E770" s="8"/>
      <c r="F770" s="8"/>
      <c r="G770" s="6"/>
      <c r="H770" s="5"/>
      <c r="I770" s="5" t="n">
        <v>100</v>
      </c>
      <c r="J770" s="8"/>
      <c r="K770" s="8"/>
      <c r="L770" s="9"/>
      <c r="M770" s="7"/>
      <c r="N770" s="6"/>
      <c r="O770" s="8"/>
      <c r="P770" s="9"/>
      <c r="Q770" s="9"/>
      <c r="R770" s="7"/>
      <c r="S770" s="7"/>
      <c r="T770" s="10" t="str">
        <f aca="false">IF($C770="","",IFERROR(INDEX(Listas!$B$2:$B$20,MATCH($D770,Listas!$A$2:$A$20,0)),""))</f>
        <v/>
      </c>
      <c r="U770" s="10" t="str">
        <f aca="false">IF($C770="","",IFERROR(INDEX(Listas!$C$2:$C$20,MATCH($D770,Listas!$A$2:$A$20,0)),""))</f>
        <v/>
      </c>
      <c r="V770" s="10" t="str">
        <f aca="false">IF($C770="","",IFERROR(INDEX(Listas!$D$2:$D$20,MATCH($D770,Listas!$A$2:$A$20,0)),""))</f>
        <v/>
      </c>
      <c r="W770" s="11" t="str">
        <f aca="false">IF(OR($C770="",$B770="",$G770=""),"",$G770-$B770)</f>
        <v/>
      </c>
      <c r="X770" s="11" t="str">
        <f aca="true">IF(OR($C770="",$B770=""),"",IF($N770&lt;&gt;"",$N770,TODAY())-$B770)</f>
        <v/>
      </c>
      <c r="Y770" s="11" t="str">
        <f aca="true">IF(OR($C770="",$M770&lt;&gt;"Abierta",$G770=""),"",MAX($G770-TODAY(),0))</f>
        <v/>
      </c>
      <c r="Z770" s="12" t="str">
        <f aca="false">IF($C770="","",N($K770)*N($H770)*N($I770)*IF($U770="Débito",-1,1))</f>
        <v/>
      </c>
      <c r="AA770" s="13" t="str">
        <f aca="false">IF($C770="","",IF(AND($U770="Débito",$F770&lt;&gt;""),$F770,$E770))</f>
        <v/>
      </c>
      <c r="AB770" s="13" t="str">
        <f aca="false">IF(OR($C770="",$T770="Mixta",$AA770=""),"",IF($V770="Subyacente",IF($J770="","",$J770-$K770),IF($T770="Put",$AA770-$K770,$AA770+$K770)))</f>
        <v/>
      </c>
      <c r="AC770" s="14" t="str">
        <f aca="false">IF(OR($C770="",$T770="Mixta",$J770="",$AA770=""),"",IF($T770="Put",($J770-$AA770)/$J770,($AA770-$J770)/$J770))</f>
        <v/>
      </c>
      <c r="AD770" s="12" t="str">
        <f aca="false">IF($C770="","",IF($Q770&lt;&gt;"",$Q770,IF($V770="Strike",N($E770)*$H770*$I770,IF($V770="Subyacente",IF($J770="","",$J770*$H770*$I770),IF($V770="Ancho",IF($F770="","",ABS($E770-$F770)*$H770*$I770-$K770*$H770*$I770),IF($V770="Prima",$K770*$H770*$I770,""))))))</f>
        <v/>
      </c>
      <c r="AE770" s="12" t="str">
        <f aca="false">IF(OR($C770="",$M770="Abierta",$M770=""),"",(N($K770)-IF(OR($M770="Cerrada",$M770="Rolada"),N($O770),0))*$H770*$I770*IF($U770="Débito",-1,1)-N($L770)-N($P770))</f>
        <v/>
      </c>
      <c r="AF770" s="14" t="str">
        <f aca="false">IF(OR($AE770="",$AD770=""),"",IF($AD770&lt;=0,"",$AE770/$AD770))</f>
        <v/>
      </c>
      <c r="AG770" s="14" t="str">
        <f aca="false">IF($AF770="","",$AF770*365/MAX(N($X770),1))</f>
        <v/>
      </c>
      <c r="AH770" s="14" t="str">
        <f aca="false">IF(OR($C770="",$U770&lt;&gt;"Crédito",$AD770=""),"",IF($AD770&lt;=0,"",($Z770-N($L770))/$AD770))</f>
        <v/>
      </c>
      <c r="AI770" s="14" t="str">
        <f aca="false">IF(OR($AH770="",$W770=""),"",$AH770*365/MAX($W770,1))</f>
        <v/>
      </c>
      <c r="AJ770" s="14" t="str">
        <f aca="false">IF(OR($AE770="",$U770&lt;&gt;"Crédito",N($K770)=0),"",(N($K770)-IF(OR($M770="Cerrada",$M770="Rolada"),N($O770),0))/$K770)</f>
        <v/>
      </c>
      <c r="AK770" s="15" t="str">
        <f aca="false">IF(OR($C770="",$N770=""),"",DATE(YEAR($N770),MONTH($N770),1))</f>
        <v/>
      </c>
      <c r="AL770" s="11" t="str">
        <f aca="false">IF($C770="","",IF($M770="Abierta",0,1))</f>
        <v/>
      </c>
      <c r="AM770" s="16" t="str">
        <f aca="false">IF(OR($AE770="",$AD770=""),"",$AD770*MAX(N($X770),1))</f>
        <v/>
      </c>
      <c r="AN770" s="10" t="str">
        <f aca="false">IF($C770="","",IF(OR($B770="",$D770="",$H770="",$K770="",$M770=""),"Faltan datos obligatorios",IF($T770="","Estrategia no reconocida",IF(AND($M770&lt;&gt;"Abierta",$N770=""),"Falta fecha cierre",IF(AND(OR($M770="Cerrada",$M770="Rolada"),$O770=""),"Falta prima cierre",IF(AND($N770&lt;&gt;"",$N770&lt;$B770),"Cierre anterior a apertura",IF(AND($M770="Asignada",$R770=""),"Asignada: falta ID lote acciones",IF(AND($R770&lt;&gt;"",ISNA(MATCH($R770,Acciones!$A$2:$A$201,0))),"El ID lote no existe en Acciones",IF($AD770="","Revisa capital en riesgo","OK")))))))))</f>
        <v/>
      </c>
    </row>
    <row r="771" customFormat="false" ht="15" hidden="false" customHeight="true" outlineLevel="0" collapsed="false">
      <c r="A771" s="5"/>
      <c r="B771" s="6"/>
      <c r="C771" s="7"/>
      <c r="D771" s="7"/>
      <c r="E771" s="8"/>
      <c r="F771" s="8"/>
      <c r="G771" s="6"/>
      <c r="H771" s="5"/>
      <c r="I771" s="5" t="n">
        <v>100</v>
      </c>
      <c r="J771" s="8"/>
      <c r="K771" s="8"/>
      <c r="L771" s="9"/>
      <c r="M771" s="7"/>
      <c r="N771" s="6"/>
      <c r="O771" s="8"/>
      <c r="P771" s="9"/>
      <c r="Q771" s="9"/>
      <c r="R771" s="7"/>
      <c r="S771" s="7"/>
      <c r="T771" s="10" t="str">
        <f aca="false">IF($C771="","",IFERROR(INDEX(Listas!$B$2:$B$20,MATCH($D771,Listas!$A$2:$A$20,0)),""))</f>
        <v/>
      </c>
      <c r="U771" s="10" t="str">
        <f aca="false">IF($C771="","",IFERROR(INDEX(Listas!$C$2:$C$20,MATCH($D771,Listas!$A$2:$A$20,0)),""))</f>
        <v/>
      </c>
      <c r="V771" s="10" t="str">
        <f aca="false">IF($C771="","",IFERROR(INDEX(Listas!$D$2:$D$20,MATCH($D771,Listas!$A$2:$A$20,0)),""))</f>
        <v/>
      </c>
      <c r="W771" s="11" t="str">
        <f aca="false">IF(OR($C771="",$B771="",$G771=""),"",$G771-$B771)</f>
        <v/>
      </c>
      <c r="X771" s="11" t="str">
        <f aca="true">IF(OR($C771="",$B771=""),"",IF($N771&lt;&gt;"",$N771,TODAY())-$B771)</f>
        <v/>
      </c>
      <c r="Y771" s="11" t="str">
        <f aca="true">IF(OR($C771="",$M771&lt;&gt;"Abierta",$G771=""),"",MAX($G771-TODAY(),0))</f>
        <v/>
      </c>
      <c r="Z771" s="12" t="str">
        <f aca="false">IF($C771="","",N($K771)*N($H771)*N($I771)*IF($U771="Débito",-1,1))</f>
        <v/>
      </c>
      <c r="AA771" s="13" t="str">
        <f aca="false">IF($C771="","",IF(AND($U771="Débito",$F771&lt;&gt;""),$F771,$E771))</f>
        <v/>
      </c>
      <c r="AB771" s="13" t="str">
        <f aca="false">IF(OR($C771="",$T771="Mixta",$AA771=""),"",IF($V771="Subyacente",IF($J771="","",$J771-$K771),IF($T771="Put",$AA771-$K771,$AA771+$K771)))</f>
        <v/>
      </c>
      <c r="AC771" s="14" t="str">
        <f aca="false">IF(OR($C771="",$T771="Mixta",$J771="",$AA771=""),"",IF($T771="Put",($J771-$AA771)/$J771,($AA771-$J771)/$J771))</f>
        <v/>
      </c>
      <c r="AD771" s="12" t="str">
        <f aca="false">IF($C771="","",IF($Q771&lt;&gt;"",$Q771,IF($V771="Strike",N($E771)*$H771*$I771,IF($V771="Subyacente",IF($J771="","",$J771*$H771*$I771),IF($V771="Ancho",IF($F771="","",ABS($E771-$F771)*$H771*$I771-$K771*$H771*$I771),IF($V771="Prima",$K771*$H771*$I771,""))))))</f>
        <v/>
      </c>
      <c r="AE771" s="12" t="str">
        <f aca="false">IF(OR($C771="",$M771="Abierta",$M771=""),"",(N($K771)-IF(OR($M771="Cerrada",$M771="Rolada"),N($O771),0))*$H771*$I771*IF($U771="Débito",-1,1)-N($L771)-N($P771))</f>
        <v/>
      </c>
      <c r="AF771" s="14" t="str">
        <f aca="false">IF(OR($AE771="",$AD771=""),"",IF($AD771&lt;=0,"",$AE771/$AD771))</f>
        <v/>
      </c>
      <c r="AG771" s="14" t="str">
        <f aca="false">IF($AF771="","",$AF771*365/MAX(N($X771),1))</f>
        <v/>
      </c>
      <c r="AH771" s="14" t="str">
        <f aca="false">IF(OR($C771="",$U771&lt;&gt;"Crédito",$AD771=""),"",IF($AD771&lt;=0,"",($Z771-N($L771))/$AD771))</f>
        <v/>
      </c>
      <c r="AI771" s="14" t="str">
        <f aca="false">IF(OR($AH771="",$W771=""),"",$AH771*365/MAX($W771,1))</f>
        <v/>
      </c>
      <c r="AJ771" s="14" t="str">
        <f aca="false">IF(OR($AE771="",$U771&lt;&gt;"Crédito",N($K771)=0),"",(N($K771)-IF(OR($M771="Cerrada",$M771="Rolada"),N($O771),0))/$K771)</f>
        <v/>
      </c>
      <c r="AK771" s="15" t="str">
        <f aca="false">IF(OR($C771="",$N771=""),"",DATE(YEAR($N771),MONTH($N771),1))</f>
        <v/>
      </c>
      <c r="AL771" s="11" t="str">
        <f aca="false">IF($C771="","",IF($M771="Abierta",0,1))</f>
        <v/>
      </c>
      <c r="AM771" s="16" t="str">
        <f aca="false">IF(OR($AE771="",$AD771=""),"",$AD771*MAX(N($X771),1))</f>
        <v/>
      </c>
      <c r="AN771" s="10" t="str">
        <f aca="false">IF($C771="","",IF(OR($B771="",$D771="",$H771="",$K771="",$M771=""),"Faltan datos obligatorios",IF($T771="","Estrategia no reconocida",IF(AND($M771&lt;&gt;"Abierta",$N771=""),"Falta fecha cierre",IF(AND(OR($M771="Cerrada",$M771="Rolada"),$O771=""),"Falta prima cierre",IF(AND($N771&lt;&gt;"",$N771&lt;$B771),"Cierre anterior a apertura",IF(AND($M771="Asignada",$R771=""),"Asignada: falta ID lote acciones",IF(AND($R771&lt;&gt;"",ISNA(MATCH($R771,Acciones!$A$2:$A$201,0))),"El ID lote no existe en Acciones",IF($AD771="","Revisa capital en riesgo","OK")))))))))</f>
        <v/>
      </c>
    </row>
    <row r="772" customFormat="false" ht="15" hidden="false" customHeight="true" outlineLevel="0" collapsed="false">
      <c r="A772" s="5"/>
      <c r="B772" s="6"/>
      <c r="C772" s="7"/>
      <c r="D772" s="7"/>
      <c r="E772" s="8"/>
      <c r="F772" s="8"/>
      <c r="G772" s="6"/>
      <c r="H772" s="5"/>
      <c r="I772" s="5" t="n">
        <v>100</v>
      </c>
      <c r="J772" s="8"/>
      <c r="K772" s="8"/>
      <c r="L772" s="9"/>
      <c r="M772" s="7"/>
      <c r="N772" s="6"/>
      <c r="O772" s="8"/>
      <c r="P772" s="9"/>
      <c r="Q772" s="9"/>
      <c r="R772" s="7"/>
      <c r="S772" s="7"/>
      <c r="T772" s="10" t="str">
        <f aca="false">IF($C772="","",IFERROR(INDEX(Listas!$B$2:$B$20,MATCH($D772,Listas!$A$2:$A$20,0)),""))</f>
        <v/>
      </c>
      <c r="U772" s="10" t="str">
        <f aca="false">IF($C772="","",IFERROR(INDEX(Listas!$C$2:$C$20,MATCH($D772,Listas!$A$2:$A$20,0)),""))</f>
        <v/>
      </c>
      <c r="V772" s="10" t="str">
        <f aca="false">IF($C772="","",IFERROR(INDEX(Listas!$D$2:$D$20,MATCH($D772,Listas!$A$2:$A$20,0)),""))</f>
        <v/>
      </c>
      <c r="W772" s="11" t="str">
        <f aca="false">IF(OR($C772="",$B772="",$G772=""),"",$G772-$B772)</f>
        <v/>
      </c>
      <c r="X772" s="11" t="str">
        <f aca="true">IF(OR($C772="",$B772=""),"",IF($N772&lt;&gt;"",$N772,TODAY())-$B772)</f>
        <v/>
      </c>
      <c r="Y772" s="11" t="str">
        <f aca="true">IF(OR($C772="",$M772&lt;&gt;"Abierta",$G772=""),"",MAX($G772-TODAY(),0))</f>
        <v/>
      </c>
      <c r="Z772" s="12" t="str">
        <f aca="false">IF($C772="","",N($K772)*N($H772)*N($I772)*IF($U772="Débito",-1,1))</f>
        <v/>
      </c>
      <c r="AA772" s="13" t="str">
        <f aca="false">IF($C772="","",IF(AND($U772="Débito",$F772&lt;&gt;""),$F772,$E772))</f>
        <v/>
      </c>
      <c r="AB772" s="13" t="str">
        <f aca="false">IF(OR($C772="",$T772="Mixta",$AA772=""),"",IF($V772="Subyacente",IF($J772="","",$J772-$K772),IF($T772="Put",$AA772-$K772,$AA772+$K772)))</f>
        <v/>
      </c>
      <c r="AC772" s="14" t="str">
        <f aca="false">IF(OR($C772="",$T772="Mixta",$J772="",$AA772=""),"",IF($T772="Put",($J772-$AA772)/$J772,($AA772-$J772)/$J772))</f>
        <v/>
      </c>
      <c r="AD772" s="12" t="str">
        <f aca="false">IF($C772="","",IF($Q772&lt;&gt;"",$Q772,IF($V772="Strike",N($E772)*$H772*$I772,IF($V772="Subyacente",IF($J772="","",$J772*$H772*$I772),IF($V772="Ancho",IF($F772="","",ABS($E772-$F772)*$H772*$I772-$K772*$H772*$I772),IF($V772="Prima",$K772*$H772*$I772,""))))))</f>
        <v/>
      </c>
      <c r="AE772" s="12" t="str">
        <f aca="false">IF(OR($C772="",$M772="Abierta",$M772=""),"",(N($K772)-IF(OR($M772="Cerrada",$M772="Rolada"),N($O772),0))*$H772*$I772*IF($U772="Débito",-1,1)-N($L772)-N($P772))</f>
        <v/>
      </c>
      <c r="AF772" s="14" t="str">
        <f aca="false">IF(OR($AE772="",$AD772=""),"",IF($AD772&lt;=0,"",$AE772/$AD772))</f>
        <v/>
      </c>
      <c r="AG772" s="14" t="str">
        <f aca="false">IF($AF772="","",$AF772*365/MAX(N($X772),1))</f>
        <v/>
      </c>
      <c r="AH772" s="14" t="str">
        <f aca="false">IF(OR($C772="",$U772&lt;&gt;"Crédito",$AD772=""),"",IF($AD772&lt;=0,"",($Z772-N($L772))/$AD772))</f>
        <v/>
      </c>
      <c r="AI772" s="14" t="str">
        <f aca="false">IF(OR($AH772="",$W772=""),"",$AH772*365/MAX($W772,1))</f>
        <v/>
      </c>
      <c r="AJ772" s="14" t="str">
        <f aca="false">IF(OR($AE772="",$U772&lt;&gt;"Crédito",N($K772)=0),"",(N($K772)-IF(OR($M772="Cerrada",$M772="Rolada"),N($O772),0))/$K772)</f>
        <v/>
      </c>
      <c r="AK772" s="15" t="str">
        <f aca="false">IF(OR($C772="",$N772=""),"",DATE(YEAR($N772),MONTH($N772),1))</f>
        <v/>
      </c>
      <c r="AL772" s="11" t="str">
        <f aca="false">IF($C772="","",IF($M772="Abierta",0,1))</f>
        <v/>
      </c>
      <c r="AM772" s="16" t="str">
        <f aca="false">IF(OR($AE772="",$AD772=""),"",$AD772*MAX(N($X772),1))</f>
        <v/>
      </c>
      <c r="AN772" s="10" t="str">
        <f aca="false">IF($C772="","",IF(OR($B772="",$D772="",$H772="",$K772="",$M772=""),"Faltan datos obligatorios",IF($T772="","Estrategia no reconocida",IF(AND($M772&lt;&gt;"Abierta",$N772=""),"Falta fecha cierre",IF(AND(OR($M772="Cerrada",$M772="Rolada"),$O772=""),"Falta prima cierre",IF(AND($N772&lt;&gt;"",$N772&lt;$B772),"Cierre anterior a apertura",IF(AND($M772="Asignada",$R772=""),"Asignada: falta ID lote acciones",IF(AND($R772&lt;&gt;"",ISNA(MATCH($R772,Acciones!$A$2:$A$201,0))),"El ID lote no existe en Acciones",IF($AD772="","Revisa capital en riesgo","OK")))))))))</f>
        <v/>
      </c>
    </row>
    <row r="773" customFormat="false" ht="15" hidden="false" customHeight="true" outlineLevel="0" collapsed="false">
      <c r="A773" s="5"/>
      <c r="B773" s="6"/>
      <c r="C773" s="7"/>
      <c r="D773" s="7"/>
      <c r="E773" s="8"/>
      <c r="F773" s="8"/>
      <c r="G773" s="6"/>
      <c r="H773" s="5"/>
      <c r="I773" s="5" t="n">
        <v>100</v>
      </c>
      <c r="J773" s="8"/>
      <c r="K773" s="8"/>
      <c r="L773" s="9"/>
      <c r="M773" s="7"/>
      <c r="N773" s="6"/>
      <c r="O773" s="8"/>
      <c r="P773" s="9"/>
      <c r="Q773" s="9"/>
      <c r="R773" s="7"/>
      <c r="S773" s="7"/>
      <c r="T773" s="10" t="str">
        <f aca="false">IF($C773="","",IFERROR(INDEX(Listas!$B$2:$B$20,MATCH($D773,Listas!$A$2:$A$20,0)),""))</f>
        <v/>
      </c>
      <c r="U773" s="10" t="str">
        <f aca="false">IF($C773="","",IFERROR(INDEX(Listas!$C$2:$C$20,MATCH($D773,Listas!$A$2:$A$20,0)),""))</f>
        <v/>
      </c>
      <c r="V773" s="10" t="str">
        <f aca="false">IF($C773="","",IFERROR(INDEX(Listas!$D$2:$D$20,MATCH($D773,Listas!$A$2:$A$20,0)),""))</f>
        <v/>
      </c>
      <c r="W773" s="11" t="str">
        <f aca="false">IF(OR($C773="",$B773="",$G773=""),"",$G773-$B773)</f>
        <v/>
      </c>
      <c r="X773" s="11" t="str">
        <f aca="true">IF(OR($C773="",$B773=""),"",IF($N773&lt;&gt;"",$N773,TODAY())-$B773)</f>
        <v/>
      </c>
      <c r="Y773" s="11" t="str">
        <f aca="true">IF(OR($C773="",$M773&lt;&gt;"Abierta",$G773=""),"",MAX($G773-TODAY(),0))</f>
        <v/>
      </c>
      <c r="Z773" s="12" t="str">
        <f aca="false">IF($C773="","",N($K773)*N($H773)*N($I773)*IF($U773="Débito",-1,1))</f>
        <v/>
      </c>
      <c r="AA773" s="13" t="str">
        <f aca="false">IF($C773="","",IF(AND($U773="Débito",$F773&lt;&gt;""),$F773,$E773))</f>
        <v/>
      </c>
      <c r="AB773" s="13" t="str">
        <f aca="false">IF(OR($C773="",$T773="Mixta",$AA773=""),"",IF($V773="Subyacente",IF($J773="","",$J773-$K773),IF($T773="Put",$AA773-$K773,$AA773+$K773)))</f>
        <v/>
      </c>
      <c r="AC773" s="14" t="str">
        <f aca="false">IF(OR($C773="",$T773="Mixta",$J773="",$AA773=""),"",IF($T773="Put",($J773-$AA773)/$J773,($AA773-$J773)/$J773))</f>
        <v/>
      </c>
      <c r="AD773" s="12" t="str">
        <f aca="false">IF($C773="","",IF($Q773&lt;&gt;"",$Q773,IF($V773="Strike",N($E773)*$H773*$I773,IF($V773="Subyacente",IF($J773="","",$J773*$H773*$I773),IF($V773="Ancho",IF($F773="","",ABS($E773-$F773)*$H773*$I773-$K773*$H773*$I773),IF($V773="Prima",$K773*$H773*$I773,""))))))</f>
        <v/>
      </c>
      <c r="AE773" s="12" t="str">
        <f aca="false">IF(OR($C773="",$M773="Abierta",$M773=""),"",(N($K773)-IF(OR($M773="Cerrada",$M773="Rolada"),N($O773),0))*$H773*$I773*IF($U773="Débito",-1,1)-N($L773)-N($P773))</f>
        <v/>
      </c>
      <c r="AF773" s="14" t="str">
        <f aca="false">IF(OR($AE773="",$AD773=""),"",IF($AD773&lt;=0,"",$AE773/$AD773))</f>
        <v/>
      </c>
      <c r="AG773" s="14" t="str">
        <f aca="false">IF($AF773="","",$AF773*365/MAX(N($X773),1))</f>
        <v/>
      </c>
      <c r="AH773" s="14" t="str">
        <f aca="false">IF(OR($C773="",$U773&lt;&gt;"Crédito",$AD773=""),"",IF($AD773&lt;=0,"",($Z773-N($L773))/$AD773))</f>
        <v/>
      </c>
      <c r="AI773" s="14" t="str">
        <f aca="false">IF(OR($AH773="",$W773=""),"",$AH773*365/MAX($W773,1))</f>
        <v/>
      </c>
      <c r="AJ773" s="14" t="str">
        <f aca="false">IF(OR($AE773="",$U773&lt;&gt;"Crédito",N($K773)=0),"",(N($K773)-IF(OR($M773="Cerrada",$M773="Rolada"),N($O773),0))/$K773)</f>
        <v/>
      </c>
      <c r="AK773" s="15" t="str">
        <f aca="false">IF(OR($C773="",$N773=""),"",DATE(YEAR($N773),MONTH($N773),1))</f>
        <v/>
      </c>
      <c r="AL773" s="11" t="str">
        <f aca="false">IF($C773="","",IF($M773="Abierta",0,1))</f>
        <v/>
      </c>
      <c r="AM773" s="16" t="str">
        <f aca="false">IF(OR($AE773="",$AD773=""),"",$AD773*MAX(N($X773),1))</f>
        <v/>
      </c>
      <c r="AN773" s="10" t="str">
        <f aca="false">IF($C773="","",IF(OR($B773="",$D773="",$H773="",$K773="",$M773=""),"Faltan datos obligatorios",IF($T773="","Estrategia no reconocida",IF(AND($M773&lt;&gt;"Abierta",$N773=""),"Falta fecha cierre",IF(AND(OR($M773="Cerrada",$M773="Rolada"),$O773=""),"Falta prima cierre",IF(AND($N773&lt;&gt;"",$N773&lt;$B773),"Cierre anterior a apertura",IF(AND($M773="Asignada",$R773=""),"Asignada: falta ID lote acciones",IF(AND($R773&lt;&gt;"",ISNA(MATCH($R773,Acciones!$A$2:$A$201,0))),"El ID lote no existe en Acciones",IF($AD773="","Revisa capital en riesgo","OK")))))))))</f>
        <v/>
      </c>
    </row>
    <row r="774" customFormat="false" ht="15" hidden="false" customHeight="true" outlineLevel="0" collapsed="false">
      <c r="A774" s="5"/>
      <c r="B774" s="6"/>
      <c r="C774" s="7"/>
      <c r="D774" s="7"/>
      <c r="E774" s="8"/>
      <c r="F774" s="8"/>
      <c r="G774" s="6"/>
      <c r="H774" s="5"/>
      <c r="I774" s="5" t="n">
        <v>100</v>
      </c>
      <c r="J774" s="8"/>
      <c r="K774" s="8"/>
      <c r="L774" s="9"/>
      <c r="M774" s="7"/>
      <c r="N774" s="6"/>
      <c r="O774" s="8"/>
      <c r="P774" s="9"/>
      <c r="Q774" s="9"/>
      <c r="R774" s="7"/>
      <c r="S774" s="7"/>
      <c r="T774" s="10" t="str">
        <f aca="false">IF($C774="","",IFERROR(INDEX(Listas!$B$2:$B$20,MATCH($D774,Listas!$A$2:$A$20,0)),""))</f>
        <v/>
      </c>
      <c r="U774" s="10" t="str">
        <f aca="false">IF($C774="","",IFERROR(INDEX(Listas!$C$2:$C$20,MATCH($D774,Listas!$A$2:$A$20,0)),""))</f>
        <v/>
      </c>
      <c r="V774" s="10" t="str">
        <f aca="false">IF($C774="","",IFERROR(INDEX(Listas!$D$2:$D$20,MATCH($D774,Listas!$A$2:$A$20,0)),""))</f>
        <v/>
      </c>
      <c r="W774" s="11" t="str">
        <f aca="false">IF(OR($C774="",$B774="",$G774=""),"",$G774-$B774)</f>
        <v/>
      </c>
      <c r="X774" s="11" t="str">
        <f aca="true">IF(OR($C774="",$B774=""),"",IF($N774&lt;&gt;"",$N774,TODAY())-$B774)</f>
        <v/>
      </c>
      <c r="Y774" s="11" t="str">
        <f aca="true">IF(OR($C774="",$M774&lt;&gt;"Abierta",$G774=""),"",MAX($G774-TODAY(),0))</f>
        <v/>
      </c>
      <c r="Z774" s="12" t="str">
        <f aca="false">IF($C774="","",N($K774)*N($H774)*N($I774)*IF($U774="Débito",-1,1))</f>
        <v/>
      </c>
      <c r="AA774" s="13" t="str">
        <f aca="false">IF($C774="","",IF(AND($U774="Débito",$F774&lt;&gt;""),$F774,$E774))</f>
        <v/>
      </c>
      <c r="AB774" s="13" t="str">
        <f aca="false">IF(OR($C774="",$T774="Mixta",$AA774=""),"",IF($V774="Subyacente",IF($J774="","",$J774-$K774),IF($T774="Put",$AA774-$K774,$AA774+$K774)))</f>
        <v/>
      </c>
      <c r="AC774" s="14" t="str">
        <f aca="false">IF(OR($C774="",$T774="Mixta",$J774="",$AA774=""),"",IF($T774="Put",($J774-$AA774)/$J774,($AA774-$J774)/$J774))</f>
        <v/>
      </c>
      <c r="AD774" s="12" t="str">
        <f aca="false">IF($C774="","",IF($Q774&lt;&gt;"",$Q774,IF($V774="Strike",N($E774)*$H774*$I774,IF($V774="Subyacente",IF($J774="","",$J774*$H774*$I774),IF($V774="Ancho",IF($F774="","",ABS($E774-$F774)*$H774*$I774-$K774*$H774*$I774),IF($V774="Prima",$K774*$H774*$I774,""))))))</f>
        <v/>
      </c>
      <c r="AE774" s="12" t="str">
        <f aca="false">IF(OR($C774="",$M774="Abierta",$M774=""),"",(N($K774)-IF(OR($M774="Cerrada",$M774="Rolada"),N($O774),0))*$H774*$I774*IF($U774="Débito",-1,1)-N($L774)-N($P774))</f>
        <v/>
      </c>
      <c r="AF774" s="14" t="str">
        <f aca="false">IF(OR($AE774="",$AD774=""),"",IF($AD774&lt;=0,"",$AE774/$AD774))</f>
        <v/>
      </c>
      <c r="AG774" s="14" t="str">
        <f aca="false">IF($AF774="","",$AF774*365/MAX(N($X774),1))</f>
        <v/>
      </c>
      <c r="AH774" s="14" t="str">
        <f aca="false">IF(OR($C774="",$U774&lt;&gt;"Crédito",$AD774=""),"",IF($AD774&lt;=0,"",($Z774-N($L774))/$AD774))</f>
        <v/>
      </c>
      <c r="AI774" s="14" t="str">
        <f aca="false">IF(OR($AH774="",$W774=""),"",$AH774*365/MAX($W774,1))</f>
        <v/>
      </c>
      <c r="AJ774" s="14" t="str">
        <f aca="false">IF(OR($AE774="",$U774&lt;&gt;"Crédito",N($K774)=0),"",(N($K774)-IF(OR($M774="Cerrada",$M774="Rolada"),N($O774),0))/$K774)</f>
        <v/>
      </c>
      <c r="AK774" s="15" t="str">
        <f aca="false">IF(OR($C774="",$N774=""),"",DATE(YEAR($N774),MONTH($N774),1))</f>
        <v/>
      </c>
      <c r="AL774" s="11" t="str">
        <f aca="false">IF($C774="","",IF($M774="Abierta",0,1))</f>
        <v/>
      </c>
      <c r="AM774" s="16" t="str">
        <f aca="false">IF(OR($AE774="",$AD774=""),"",$AD774*MAX(N($X774),1))</f>
        <v/>
      </c>
      <c r="AN774" s="10" t="str">
        <f aca="false">IF($C774="","",IF(OR($B774="",$D774="",$H774="",$K774="",$M774=""),"Faltan datos obligatorios",IF($T774="","Estrategia no reconocida",IF(AND($M774&lt;&gt;"Abierta",$N774=""),"Falta fecha cierre",IF(AND(OR($M774="Cerrada",$M774="Rolada"),$O774=""),"Falta prima cierre",IF(AND($N774&lt;&gt;"",$N774&lt;$B774),"Cierre anterior a apertura",IF(AND($M774="Asignada",$R774=""),"Asignada: falta ID lote acciones",IF(AND($R774&lt;&gt;"",ISNA(MATCH($R774,Acciones!$A$2:$A$201,0))),"El ID lote no existe en Acciones",IF($AD774="","Revisa capital en riesgo","OK")))))))))</f>
        <v/>
      </c>
    </row>
    <row r="775" customFormat="false" ht="15" hidden="false" customHeight="true" outlineLevel="0" collapsed="false">
      <c r="A775" s="5"/>
      <c r="B775" s="6"/>
      <c r="C775" s="7"/>
      <c r="D775" s="7"/>
      <c r="E775" s="8"/>
      <c r="F775" s="8"/>
      <c r="G775" s="6"/>
      <c r="H775" s="5"/>
      <c r="I775" s="5" t="n">
        <v>100</v>
      </c>
      <c r="J775" s="8"/>
      <c r="K775" s="8"/>
      <c r="L775" s="9"/>
      <c r="M775" s="7"/>
      <c r="N775" s="6"/>
      <c r="O775" s="8"/>
      <c r="P775" s="9"/>
      <c r="Q775" s="9"/>
      <c r="R775" s="7"/>
      <c r="S775" s="7"/>
      <c r="T775" s="10" t="str">
        <f aca="false">IF($C775="","",IFERROR(INDEX(Listas!$B$2:$B$20,MATCH($D775,Listas!$A$2:$A$20,0)),""))</f>
        <v/>
      </c>
      <c r="U775" s="10" t="str">
        <f aca="false">IF($C775="","",IFERROR(INDEX(Listas!$C$2:$C$20,MATCH($D775,Listas!$A$2:$A$20,0)),""))</f>
        <v/>
      </c>
      <c r="V775" s="10" t="str">
        <f aca="false">IF($C775="","",IFERROR(INDEX(Listas!$D$2:$D$20,MATCH($D775,Listas!$A$2:$A$20,0)),""))</f>
        <v/>
      </c>
      <c r="W775" s="11" t="str">
        <f aca="false">IF(OR($C775="",$B775="",$G775=""),"",$G775-$B775)</f>
        <v/>
      </c>
      <c r="X775" s="11" t="str">
        <f aca="true">IF(OR($C775="",$B775=""),"",IF($N775&lt;&gt;"",$N775,TODAY())-$B775)</f>
        <v/>
      </c>
      <c r="Y775" s="11" t="str">
        <f aca="true">IF(OR($C775="",$M775&lt;&gt;"Abierta",$G775=""),"",MAX($G775-TODAY(),0))</f>
        <v/>
      </c>
      <c r="Z775" s="12" t="str">
        <f aca="false">IF($C775="","",N($K775)*N($H775)*N($I775)*IF($U775="Débito",-1,1))</f>
        <v/>
      </c>
      <c r="AA775" s="13" t="str">
        <f aca="false">IF($C775="","",IF(AND($U775="Débito",$F775&lt;&gt;""),$F775,$E775))</f>
        <v/>
      </c>
      <c r="AB775" s="13" t="str">
        <f aca="false">IF(OR($C775="",$T775="Mixta",$AA775=""),"",IF($V775="Subyacente",IF($J775="","",$J775-$K775),IF($T775="Put",$AA775-$K775,$AA775+$K775)))</f>
        <v/>
      </c>
      <c r="AC775" s="14" t="str">
        <f aca="false">IF(OR($C775="",$T775="Mixta",$J775="",$AA775=""),"",IF($T775="Put",($J775-$AA775)/$J775,($AA775-$J775)/$J775))</f>
        <v/>
      </c>
      <c r="AD775" s="12" t="str">
        <f aca="false">IF($C775="","",IF($Q775&lt;&gt;"",$Q775,IF($V775="Strike",N($E775)*$H775*$I775,IF($V775="Subyacente",IF($J775="","",$J775*$H775*$I775),IF($V775="Ancho",IF($F775="","",ABS($E775-$F775)*$H775*$I775-$K775*$H775*$I775),IF($V775="Prima",$K775*$H775*$I775,""))))))</f>
        <v/>
      </c>
      <c r="AE775" s="12" t="str">
        <f aca="false">IF(OR($C775="",$M775="Abierta",$M775=""),"",(N($K775)-IF(OR($M775="Cerrada",$M775="Rolada"),N($O775),0))*$H775*$I775*IF($U775="Débito",-1,1)-N($L775)-N($P775))</f>
        <v/>
      </c>
      <c r="AF775" s="14" t="str">
        <f aca="false">IF(OR($AE775="",$AD775=""),"",IF($AD775&lt;=0,"",$AE775/$AD775))</f>
        <v/>
      </c>
      <c r="AG775" s="14" t="str">
        <f aca="false">IF($AF775="","",$AF775*365/MAX(N($X775),1))</f>
        <v/>
      </c>
      <c r="AH775" s="14" t="str">
        <f aca="false">IF(OR($C775="",$U775&lt;&gt;"Crédito",$AD775=""),"",IF($AD775&lt;=0,"",($Z775-N($L775))/$AD775))</f>
        <v/>
      </c>
      <c r="AI775" s="14" t="str">
        <f aca="false">IF(OR($AH775="",$W775=""),"",$AH775*365/MAX($W775,1))</f>
        <v/>
      </c>
      <c r="AJ775" s="14" t="str">
        <f aca="false">IF(OR($AE775="",$U775&lt;&gt;"Crédito",N($K775)=0),"",(N($K775)-IF(OR($M775="Cerrada",$M775="Rolada"),N($O775),0))/$K775)</f>
        <v/>
      </c>
      <c r="AK775" s="15" t="str">
        <f aca="false">IF(OR($C775="",$N775=""),"",DATE(YEAR($N775),MONTH($N775),1))</f>
        <v/>
      </c>
      <c r="AL775" s="11" t="str">
        <f aca="false">IF($C775="","",IF($M775="Abierta",0,1))</f>
        <v/>
      </c>
      <c r="AM775" s="16" t="str">
        <f aca="false">IF(OR($AE775="",$AD775=""),"",$AD775*MAX(N($X775),1))</f>
        <v/>
      </c>
      <c r="AN775" s="10" t="str">
        <f aca="false">IF($C775="","",IF(OR($B775="",$D775="",$H775="",$K775="",$M775=""),"Faltan datos obligatorios",IF($T775="","Estrategia no reconocida",IF(AND($M775&lt;&gt;"Abierta",$N775=""),"Falta fecha cierre",IF(AND(OR($M775="Cerrada",$M775="Rolada"),$O775=""),"Falta prima cierre",IF(AND($N775&lt;&gt;"",$N775&lt;$B775),"Cierre anterior a apertura",IF(AND($M775="Asignada",$R775=""),"Asignada: falta ID lote acciones",IF(AND($R775&lt;&gt;"",ISNA(MATCH($R775,Acciones!$A$2:$A$201,0))),"El ID lote no existe en Acciones",IF($AD775="","Revisa capital en riesgo","OK")))))))))</f>
        <v/>
      </c>
    </row>
    <row r="776" customFormat="false" ht="15" hidden="false" customHeight="true" outlineLevel="0" collapsed="false">
      <c r="A776" s="5"/>
      <c r="B776" s="6"/>
      <c r="C776" s="7"/>
      <c r="D776" s="7"/>
      <c r="E776" s="8"/>
      <c r="F776" s="8"/>
      <c r="G776" s="6"/>
      <c r="H776" s="5"/>
      <c r="I776" s="5" t="n">
        <v>100</v>
      </c>
      <c r="J776" s="8"/>
      <c r="K776" s="8"/>
      <c r="L776" s="9"/>
      <c r="M776" s="7"/>
      <c r="N776" s="6"/>
      <c r="O776" s="8"/>
      <c r="P776" s="9"/>
      <c r="Q776" s="9"/>
      <c r="R776" s="7"/>
      <c r="S776" s="7"/>
      <c r="T776" s="10" t="str">
        <f aca="false">IF($C776="","",IFERROR(INDEX(Listas!$B$2:$B$20,MATCH($D776,Listas!$A$2:$A$20,0)),""))</f>
        <v/>
      </c>
      <c r="U776" s="10" t="str">
        <f aca="false">IF($C776="","",IFERROR(INDEX(Listas!$C$2:$C$20,MATCH($D776,Listas!$A$2:$A$20,0)),""))</f>
        <v/>
      </c>
      <c r="V776" s="10" t="str">
        <f aca="false">IF($C776="","",IFERROR(INDEX(Listas!$D$2:$D$20,MATCH($D776,Listas!$A$2:$A$20,0)),""))</f>
        <v/>
      </c>
      <c r="W776" s="11" t="str">
        <f aca="false">IF(OR($C776="",$B776="",$G776=""),"",$G776-$B776)</f>
        <v/>
      </c>
      <c r="X776" s="11" t="str">
        <f aca="true">IF(OR($C776="",$B776=""),"",IF($N776&lt;&gt;"",$N776,TODAY())-$B776)</f>
        <v/>
      </c>
      <c r="Y776" s="11" t="str">
        <f aca="true">IF(OR($C776="",$M776&lt;&gt;"Abierta",$G776=""),"",MAX($G776-TODAY(),0))</f>
        <v/>
      </c>
      <c r="Z776" s="12" t="str">
        <f aca="false">IF($C776="","",N($K776)*N($H776)*N($I776)*IF($U776="Débito",-1,1))</f>
        <v/>
      </c>
      <c r="AA776" s="13" t="str">
        <f aca="false">IF($C776="","",IF(AND($U776="Débito",$F776&lt;&gt;""),$F776,$E776))</f>
        <v/>
      </c>
      <c r="AB776" s="13" t="str">
        <f aca="false">IF(OR($C776="",$T776="Mixta",$AA776=""),"",IF($V776="Subyacente",IF($J776="","",$J776-$K776),IF($T776="Put",$AA776-$K776,$AA776+$K776)))</f>
        <v/>
      </c>
      <c r="AC776" s="14" t="str">
        <f aca="false">IF(OR($C776="",$T776="Mixta",$J776="",$AA776=""),"",IF($T776="Put",($J776-$AA776)/$J776,($AA776-$J776)/$J776))</f>
        <v/>
      </c>
      <c r="AD776" s="12" t="str">
        <f aca="false">IF($C776="","",IF($Q776&lt;&gt;"",$Q776,IF($V776="Strike",N($E776)*$H776*$I776,IF($V776="Subyacente",IF($J776="","",$J776*$H776*$I776),IF($V776="Ancho",IF($F776="","",ABS($E776-$F776)*$H776*$I776-$K776*$H776*$I776),IF($V776="Prima",$K776*$H776*$I776,""))))))</f>
        <v/>
      </c>
      <c r="AE776" s="12" t="str">
        <f aca="false">IF(OR($C776="",$M776="Abierta",$M776=""),"",(N($K776)-IF(OR($M776="Cerrada",$M776="Rolada"),N($O776),0))*$H776*$I776*IF($U776="Débito",-1,1)-N($L776)-N($P776))</f>
        <v/>
      </c>
      <c r="AF776" s="14" t="str">
        <f aca="false">IF(OR($AE776="",$AD776=""),"",IF($AD776&lt;=0,"",$AE776/$AD776))</f>
        <v/>
      </c>
      <c r="AG776" s="14" t="str">
        <f aca="false">IF($AF776="","",$AF776*365/MAX(N($X776),1))</f>
        <v/>
      </c>
      <c r="AH776" s="14" t="str">
        <f aca="false">IF(OR($C776="",$U776&lt;&gt;"Crédito",$AD776=""),"",IF($AD776&lt;=0,"",($Z776-N($L776))/$AD776))</f>
        <v/>
      </c>
      <c r="AI776" s="14" t="str">
        <f aca="false">IF(OR($AH776="",$W776=""),"",$AH776*365/MAX($W776,1))</f>
        <v/>
      </c>
      <c r="AJ776" s="14" t="str">
        <f aca="false">IF(OR($AE776="",$U776&lt;&gt;"Crédito",N($K776)=0),"",(N($K776)-IF(OR($M776="Cerrada",$M776="Rolada"),N($O776),0))/$K776)</f>
        <v/>
      </c>
      <c r="AK776" s="15" t="str">
        <f aca="false">IF(OR($C776="",$N776=""),"",DATE(YEAR($N776),MONTH($N776),1))</f>
        <v/>
      </c>
      <c r="AL776" s="11" t="str">
        <f aca="false">IF($C776="","",IF($M776="Abierta",0,1))</f>
        <v/>
      </c>
      <c r="AM776" s="16" t="str">
        <f aca="false">IF(OR($AE776="",$AD776=""),"",$AD776*MAX(N($X776),1))</f>
        <v/>
      </c>
      <c r="AN776" s="10" t="str">
        <f aca="false">IF($C776="","",IF(OR($B776="",$D776="",$H776="",$K776="",$M776=""),"Faltan datos obligatorios",IF($T776="","Estrategia no reconocida",IF(AND($M776&lt;&gt;"Abierta",$N776=""),"Falta fecha cierre",IF(AND(OR($M776="Cerrada",$M776="Rolada"),$O776=""),"Falta prima cierre",IF(AND($N776&lt;&gt;"",$N776&lt;$B776),"Cierre anterior a apertura",IF(AND($M776="Asignada",$R776=""),"Asignada: falta ID lote acciones",IF(AND($R776&lt;&gt;"",ISNA(MATCH($R776,Acciones!$A$2:$A$201,0))),"El ID lote no existe en Acciones",IF($AD776="","Revisa capital en riesgo","OK")))))))))</f>
        <v/>
      </c>
    </row>
    <row r="777" customFormat="false" ht="15" hidden="false" customHeight="true" outlineLevel="0" collapsed="false">
      <c r="A777" s="5"/>
      <c r="B777" s="6"/>
      <c r="C777" s="7"/>
      <c r="D777" s="7"/>
      <c r="E777" s="8"/>
      <c r="F777" s="8"/>
      <c r="G777" s="6"/>
      <c r="H777" s="5"/>
      <c r="I777" s="5" t="n">
        <v>100</v>
      </c>
      <c r="J777" s="8"/>
      <c r="K777" s="8"/>
      <c r="L777" s="9"/>
      <c r="M777" s="7"/>
      <c r="N777" s="6"/>
      <c r="O777" s="8"/>
      <c r="P777" s="9"/>
      <c r="Q777" s="9"/>
      <c r="R777" s="7"/>
      <c r="S777" s="7"/>
      <c r="T777" s="10" t="str">
        <f aca="false">IF($C777="","",IFERROR(INDEX(Listas!$B$2:$B$20,MATCH($D777,Listas!$A$2:$A$20,0)),""))</f>
        <v/>
      </c>
      <c r="U777" s="10" t="str">
        <f aca="false">IF($C777="","",IFERROR(INDEX(Listas!$C$2:$C$20,MATCH($D777,Listas!$A$2:$A$20,0)),""))</f>
        <v/>
      </c>
      <c r="V777" s="10" t="str">
        <f aca="false">IF($C777="","",IFERROR(INDEX(Listas!$D$2:$D$20,MATCH($D777,Listas!$A$2:$A$20,0)),""))</f>
        <v/>
      </c>
      <c r="W777" s="11" t="str">
        <f aca="false">IF(OR($C777="",$B777="",$G777=""),"",$G777-$B777)</f>
        <v/>
      </c>
      <c r="X777" s="11" t="str">
        <f aca="true">IF(OR($C777="",$B777=""),"",IF($N777&lt;&gt;"",$N777,TODAY())-$B777)</f>
        <v/>
      </c>
      <c r="Y777" s="11" t="str">
        <f aca="true">IF(OR($C777="",$M777&lt;&gt;"Abierta",$G777=""),"",MAX($G777-TODAY(),0))</f>
        <v/>
      </c>
      <c r="Z777" s="12" t="str">
        <f aca="false">IF($C777="","",N($K777)*N($H777)*N($I777)*IF($U777="Débito",-1,1))</f>
        <v/>
      </c>
      <c r="AA777" s="13" t="str">
        <f aca="false">IF($C777="","",IF(AND($U777="Débito",$F777&lt;&gt;""),$F777,$E777))</f>
        <v/>
      </c>
      <c r="AB777" s="13" t="str">
        <f aca="false">IF(OR($C777="",$T777="Mixta",$AA777=""),"",IF($V777="Subyacente",IF($J777="","",$J777-$K777),IF($T777="Put",$AA777-$K777,$AA777+$K777)))</f>
        <v/>
      </c>
      <c r="AC777" s="14" t="str">
        <f aca="false">IF(OR($C777="",$T777="Mixta",$J777="",$AA777=""),"",IF($T777="Put",($J777-$AA777)/$J777,($AA777-$J777)/$J777))</f>
        <v/>
      </c>
      <c r="AD777" s="12" t="str">
        <f aca="false">IF($C777="","",IF($Q777&lt;&gt;"",$Q777,IF($V777="Strike",N($E777)*$H777*$I777,IF($V777="Subyacente",IF($J777="","",$J777*$H777*$I777),IF($V777="Ancho",IF($F777="","",ABS($E777-$F777)*$H777*$I777-$K777*$H777*$I777),IF($V777="Prima",$K777*$H777*$I777,""))))))</f>
        <v/>
      </c>
      <c r="AE777" s="12" t="str">
        <f aca="false">IF(OR($C777="",$M777="Abierta",$M777=""),"",(N($K777)-IF(OR($M777="Cerrada",$M777="Rolada"),N($O777),0))*$H777*$I777*IF($U777="Débito",-1,1)-N($L777)-N($P777))</f>
        <v/>
      </c>
      <c r="AF777" s="14" t="str">
        <f aca="false">IF(OR($AE777="",$AD777=""),"",IF($AD777&lt;=0,"",$AE777/$AD777))</f>
        <v/>
      </c>
      <c r="AG777" s="14" t="str">
        <f aca="false">IF($AF777="","",$AF777*365/MAX(N($X777),1))</f>
        <v/>
      </c>
      <c r="AH777" s="14" t="str">
        <f aca="false">IF(OR($C777="",$U777&lt;&gt;"Crédito",$AD777=""),"",IF($AD777&lt;=0,"",($Z777-N($L777))/$AD777))</f>
        <v/>
      </c>
      <c r="AI777" s="14" t="str">
        <f aca="false">IF(OR($AH777="",$W777=""),"",$AH777*365/MAX($W777,1))</f>
        <v/>
      </c>
      <c r="AJ777" s="14" t="str">
        <f aca="false">IF(OR($AE777="",$U777&lt;&gt;"Crédito",N($K777)=0),"",(N($K777)-IF(OR($M777="Cerrada",$M777="Rolada"),N($O777),0))/$K777)</f>
        <v/>
      </c>
      <c r="AK777" s="15" t="str">
        <f aca="false">IF(OR($C777="",$N777=""),"",DATE(YEAR($N777),MONTH($N777),1))</f>
        <v/>
      </c>
      <c r="AL777" s="11" t="str">
        <f aca="false">IF($C777="","",IF($M777="Abierta",0,1))</f>
        <v/>
      </c>
      <c r="AM777" s="16" t="str">
        <f aca="false">IF(OR($AE777="",$AD777=""),"",$AD777*MAX(N($X777),1))</f>
        <v/>
      </c>
      <c r="AN777" s="10" t="str">
        <f aca="false">IF($C777="","",IF(OR($B777="",$D777="",$H777="",$K777="",$M777=""),"Faltan datos obligatorios",IF($T777="","Estrategia no reconocida",IF(AND($M777&lt;&gt;"Abierta",$N777=""),"Falta fecha cierre",IF(AND(OR($M777="Cerrada",$M777="Rolada"),$O777=""),"Falta prima cierre",IF(AND($N777&lt;&gt;"",$N777&lt;$B777),"Cierre anterior a apertura",IF(AND($M777="Asignada",$R777=""),"Asignada: falta ID lote acciones",IF(AND($R777&lt;&gt;"",ISNA(MATCH($R777,Acciones!$A$2:$A$201,0))),"El ID lote no existe en Acciones",IF($AD777="","Revisa capital en riesgo","OK")))))))))</f>
        <v/>
      </c>
    </row>
    <row r="778" customFormat="false" ht="15" hidden="false" customHeight="true" outlineLevel="0" collapsed="false">
      <c r="A778" s="5"/>
      <c r="B778" s="6"/>
      <c r="C778" s="7"/>
      <c r="D778" s="7"/>
      <c r="E778" s="8"/>
      <c r="F778" s="8"/>
      <c r="G778" s="6"/>
      <c r="H778" s="5"/>
      <c r="I778" s="5" t="n">
        <v>100</v>
      </c>
      <c r="J778" s="8"/>
      <c r="K778" s="8"/>
      <c r="L778" s="9"/>
      <c r="M778" s="7"/>
      <c r="N778" s="6"/>
      <c r="O778" s="8"/>
      <c r="P778" s="9"/>
      <c r="Q778" s="9"/>
      <c r="R778" s="7"/>
      <c r="S778" s="7"/>
      <c r="T778" s="10" t="str">
        <f aca="false">IF($C778="","",IFERROR(INDEX(Listas!$B$2:$B$20,MATCH($D778,Listas!$A$2:$A$20,0)),""))</f>
        <v/>
      </c>
      <c r="U778" s="10" t="str">
        <f aca="false">IF($C778="","",IFERROR(INDEX(Listas!$C$2:$C$20,MATCH($D778,Listas!$A$2:$A$20,0)),""))</f>
        <v/>
      </c>
      <c r="V778" s="10" t="str">
        <f aca="false">IF($C778="","",IFERROR(INDEX(Listas!$D$2:$D$20,MATCH($D778,Listas!$A$2:$A$20,0)),""))</f>
        <v/>
      </c>
      <c r="W778" s="11" t="str">
        <f aca="false">IF(OR($C778="",$B778="",$G778=""),"",$G778-$B778)</f>
        <v/>
      </c>
      <c r="X778" s="11" t="str">
        <f aca="true">IF(OR($C778="",$B778=""),"",IF($N778&lt;&gt;"",$N778,TODAY())-$B778)</f>
        <v/>
      </c>
      <c r="Y778" s="11" t="str">
        <f aca="true">IF(OR($C778="",$M778&lt;&gt;"Abierta",$G778=""),"",MAX($G778-TODAY(),0))</f>
        <v/>
      </c>
      <c r="Z778" s="12" t="str">
        <f aca="false">IF($C778="","",N($K778)*N($H778)*N($I778)*IF($U778="Débito",-1,1))</f>
        <v/>
      </c>
      <c r="AA778" s="13" t="str">
        <f aca="false">IF($C778="","",IF(AND($U778="Débito",$F778&lt;&gt;""),$F778,$E778))</f>
        <v/>
      </c>
      <c r="AB778" s="13" t="str">
        <f aca="false">IF(OR($C778="",$T778="Mixta",$AA778=""),"",IF($V778="Subyacente",IF($J778="","",$J778-$K778),IF($T778="Put",$AA778-$K778,$AA778+$K778)))</f>
        <v/>
      </c>
      <c r="AC778" s="14" t="str">
        <f aca="false">IF(OR($C778="",$T778="Mixta",$J778="",$AA778=""),"",IF($T778="Put",($J778-$AA778)/$J778,($AA778-$J778)/$J778))</f>
        <v/>
      </c>
      <c r="AD778" s="12" t="str">
        <f aca="false">IF($C778="","",IF($Q778&lt;&gt;"",$Q778,IF($V778="Strike",N($E778)*$H778*$I778,IF($V778="Subyacente",IF($J778="","",$J778*$H778*$I778),IF($V778="Ancho",IF($F778="","",ABS($E778-$F778)*$H778*$I778-$K778*$H778*$I778),IF($V778="Prima",$K778*$H778*$I778,""))))))</f>
        <v/>
      </c>
      <c r="AE778" s="12" t="str">
        <f aca="false">IF(OR($C778="",$M778="Abierta",$M778=""),"",(N($K778)-IF(OR($M778="Cerrada",$M778="Rolada"),N($O778),0))*$H778*$I778*IF($U778="Débito",-1,1)-N($L778)-N($P778))</f>
        <v/>
      </c>
      <c r="AF778" s="14" t="str">
        <f aca="false">IF(OR($AE778="",$AD778=""),"",IF($AD778&lt;=0,"",$AE778/$AD778))</f>
        <v/>
      </c>
      <c r="AG778" s="14" t="str">
        <f aca="false">IF($AF778="","",$AF778*365/MAX(N($X778),1))</f>
        <v/>
      </c>
      <c r="AH778" s="14" t="str">
        <f aca="false">IF(OR($C778="",$U778&lt;&gt;"Crédito",$AD778=""),"",IF($AD778&lt;=0,"",($Z778-N($L778))/$AD778))</f>
        <v/>
      </c>
      <c r="AI778" s="14" t="str">
        <f aca="false">IF(OR($AH778="",$W778=""),"",$AH778*365/MAX($W778,1))</f>
        <v/>
      </c>
      <c r="AJ778" s="14" t="str">
        <f aca="false">IF(OR($AE778="",$U778&lt;&gt;"Crédito",N($K778)=0),"",(N($K778)-IF(OR($M778="Cerrada",$M778="Rolada"),N($O778),0))/$K778)</f>
        <v/>
      </c>
      <c r="AK778" s="15" t="str">
        <f aca="false">IF(OR($C778="",$N778=""),"",DATE(YEAR($N778),MONTH($N778),1))</f>
        <v/>
      </c>
      <c r="AL778" s="11" t="str">
        <f aca="false">IF($C778="","",IF($M778="Abierta",0,1))</f>
        <v/>
      </c>
      <c r="AM778" s="16" t="str">
        <f aca="false">IF(OR($AE778="",$AD778=""),"",$AD778*MAX(N($X778),1))</f>
        <v/>
      </c>
      <c r="AN778" s="10" t="str">
        <f aca="false">IF($C778="","",IF(OR($B778="",$D778="",$H778="",$K778="",$M778=""),"Faltan datos obligatorios",IF($T778="","Estrategia no reconocida",IF(AND($M778&lt;&gt;"Abierta",$N778=""),"Falta fecha cierre",IF(AND(OR($M778="Cerrada",$M778="Rolada"),$O778=""),"Falta prima cierre",IF(AND($N778&lt;&gt;"",$N778&lt;$B778),"Cierre anterior a apertura",IF(AND($M778="Asignada",$R778=""),"Asignada: falta ID lote acciones",IF(AND($R778&lt;&gt;"",ISNA(MATCH($R778,Acciones!$A$2:$A$201,0))),"El ID lote no existe en Acciones",IF($AD778="","Revisa capital en riesgo","OK")))))))))</f>
        <v/>
      </c>
    </row>
    <row r="779" customFormat="false" ht="15" hidden="false" customHeight="true" outlineLevel="0" collapsed="false">
      <c r="A779" s="5"/>
      <c r="B779" s="6"/>
      <c r="C779" s="7"/>
      <c r="D779" s="7"/>
      <c r="E779" s="8"/>
      <c r="F779" s="8"/>
      <c r="G779" s="6"/>
      <c r="H779" s="5"/>
      <c r="I779" s="5" t="n">
        <v>100</v>
      </c>
      <c r="J779" s="8"/>
      <c r="K779" s="8"/>
      <c r="L779" s="9"/>
      <c r="M779" s="7"/>
      <c r="N779" s="6"/>
      <c r="O779" s="8"/>
      <c r="P779" s="9"/>
      <c r="Q779" s="9"/>
      <c r="R779" s="7"/>
      <c r="S779" s="7"/>
      <c r="T779" s="10" t="str">
        <f aca="false">IF($C779="","",IFERROR(INDEX(Listas!$B$2:$B$20,MATCH($D779,Listas!$A$2:$A$20,0)),""))</f>
        <v/>
      </c>
      <c r="U779" s="10" t="str">
        <f aca="false">IF($C779="","",IFERROR(INDEX(Listas!$C$2:$C$20,MATCH($D779,Listas!$A$2:$A$20,0)),""))</f>
        <v/>
      </c>
      <c r="V779" s="10" t="str">
        <f aca="false">IF($C779="","",IFERROR(INDEX(Listas!$D$2:$D$20,MATCH($D779,Listas!$A$2:$A$20,0)),""))</f>
        <v/>
      </c>
      <c r="W779" s="11" t="str">
        <f aca="false">IF(OR($C779="",$B779="",$G779=""),"",$G779-$B779)</f>
        <v/>
      </c>
      <c r="X779" s="11" t="str">
        <f aca="true">IF(OR($C779="",$B779=""),"",IF($N779&lt;&gt;"",$N779,TODAY())-$B779)</f>
        <v/>
      </c>
      <c r="Y779" s="11" t="str">
        <f aca="true">IF(OR($C779="",$M779&lt;&gt;"Abierta",$G779=""),"",MAX($G779-TODAY(),0))</f>
        <v/>
      </c>
      <c r="Z779" s="12" t="str">
        <f aca="false">IF($C779="","",N($K779)*N($H779)*N($I779)*IF($U779="Débito",-1,1))</f>
        <v/>
      </c>
      <c r="AA779" s="13" t="str">
        <f aca="false">IF($C779="","",IF(AND($U779="Débito",$F779&lt;&gt;""),$F779,$E779))</f>
        <v/>
      </c>
      <c r="AB779" s="13" t="str">
        <f aca="false">IF(OR($C779="",$T779="Mixta",$AA779=""),"",IF($V779="Subyacente",IF($J779="","",$J779-$K779),IF($T779="Put",$AA779-$K779,$AA779+$K779)))</f>
        <v/>
      </c>
      <c r="AC779" s="14" t="str">
        <f aca="false">IF(OR($C779="",$T779="Mixta",$J779="",$AA779=""),"",IF($T779="Put",($J779-$AA779)/$J779,($AA779-$J779)/$J779))</f>
        <v/>
      </c>
      <c r="AD779" s="12" t="str">
        <f aca="false">IF($C779="","",IF($Q779&lt;&gt;"",$Q779,IF($V779="Strike",N($E779)*$H779*$I779,IF($V779="Subyacente",IF($J779="","",$J779*$H779*$I779),IF($V779="Ancho",IF($F779="","",ABS($E779-$F779)*$H779*$I779-$K779*$H779*$I779),IF($V779="Prima",$K779*$H779*$I779,""))))))</f>
        <v/>
      </c>
      <c r="AE779" s="12" t="str">
        <f aca="false">IF(OR($C779="",$M779="Abierta",$M779=""),"",(N($K779)-IF(OR($M779="Cerrada",$M779="Rolada"),N($O779),0))*$H779*$I779*IF($U779="Débito",-1,1)-N($L779)-N($P779))</f>
        <v/>
      </c>
      <c r="AF779" s="14" t="str">
        <f aca="false">IF(OR($AE779="",$AD779=""),"",IF($AD779&lt;=0,"",$AE779/$AD779))</f>
        <v/>
      </c>
      <c r="AG779" s="14" t="str">
        <f aca="false">IF($AF779="","",$AF779*365/MAX(N($X779),1))</f>
        <v/>
      </c>
      <c r="AH779" s="14" t="str">
        <f aca="false">IF(OR($C779="",$U779&lt;&gt;"Crédito",$AD779=""),"",IF($AD779&lt;=0,"",($Z779-N($L779))/$AD779))</f>
        <v/>
      </c>
      <c r="AI779" s="14" t="str">
        <f aca="false">IF(OR($AH779="",$W779=""),"",$AH779*365/MAX($W779,1))</f>
        <v/>
      </c>
      <c r="AJ779" s="14" t="str">
        <f aca="false">IF(OR($AE779="",$U779&lt;&gt;"Crédito",N($K779)=0),"",(N($K779)-IF(OR($M779="Cerrada",$M779="Rolada"),N($O779),0))/$K779)</f>
        <v/>
      </c>
      <c r="AK779" s="15" t="str">
        <f aca="false">IF(OR($C779="",$N779=""),"",DATE(YEAR($N779),MONTH($N779),1))</f>
        <v/>
      </c>
      <c r="AL779" s="11" t="str">
        <f aca="false">IF($C779="","",IF($M779="Abierta",0,1))</f>
        <v/>
      </c>
      <c r="AM779" s="16" t="str">
        <f aca="false">IF(OR($AE779="",$AD779=""),"",$AD779*MAX(N($X779),1))</f>
        <v/>
      </c>
      <c r="AN779" s="10" t="str">
        <f aca="false">IF($C779="","",IF(OR($B779="",$D779="",$H779="",$K779="",$M779=""),"Faltan datos obligatorios",IF($T779="","Estrategia no reconocida",IF(AND($M779&lt;&gt;"Abierta",$N779=""),"Falta fecha cierre",IF(AND(OR($M779="Cerrada",$M779="Rolada"),$O779=""),"Falta prima cierre",IF(AND($N779&lt;&gt;"",$N779&lt;$B779),"Cierre anterior a apertura",IF(AND($M779="Asignada",$R779=""),"Asignada: falta ID lote acciones",IF(AND($R779&lt;&gt;"",ISNA(MATCH($R779,Acciones!$A$2:$A$201,0))),"El ID lote no existe en Acciones",IF($AD779="","Revisa capital en riesgo","OK")))))))))</f>
        <v/>
      </c>
    </row>
    <row r="780" customFormat="false" ht="15" hidden="false" customHeight="true" outlineLevel="0" collapsed="false">
      <c r="A780" s="5"/>
      <c r="B780" s="6"/>
      <c r="C780" s="7"/>
      <c r="D780" s="7"/>
      <c r="E780" s="8"/>
      <c r="F780" s="8"/>
      <c r="G780" s="6"/>
      <c r="H780" s="5"/>
      <c r="I780" s="5" t="n">
        <v>100</v>
      </c>
      <c r="J780" s="8"/>
      <c r="K780" s="8"/>
      <c r="L780" s="9"/>
      <c r="M780" s="7"/>
      <c r="N780" s="6"/>
      <c r="O780" s="8"/>
      <c r="P780" s="9"/>
      <c r="Q780" s="9"/>
      <c r="R780" s="7"/>
      <c r="S780" s="7"/>
      <c r="T780" s="10" t="str">
        <f aca="false">IF($C780="","",IFERROR(INDEX(Listas!$B$2:$B$20,MATCH($D780,Listas!$A$2:$A$20,0)),""))</f>
        <v/>
      </c>
      <c r="U780" s="10" t="str">
        <f aca="false">IF($C780="","",IFERROR(INDEX(Listas!$C$2:$C$20,MATCH($D780,Listas!$A$2:$A$20,0)),""))</f>
        <v/>
      </c>
      <c r="V780" s="10" t="str">
        <f aca="false">IF($C780="","",IFERROR(INDEX(Listas!$D$2:$D$20,MATCH($D780,Listas!$A$2:$A$20,0)),""))</f>
        <v/>
      </c>
      <c r="W780" s="11" t="str">
        <f aca="false">IF(OR($C780="",$B780="",$G780=""),"",$G780-$B780)</f>
        <v/>
      </c>
      <c r="X780" s="11" t="str">
        <f aca="true">IF(OR($C780="",$B780=""),"",IF($N780&lt;&gt;"",$N780,TODAY())-$B780)</f>
        <v/>
      </c>
      <c r="Y780" s="11" t="str">
        <f aca="true">IF(OR($C780="",$M780&lt;&gt;"Abierta",$G780=""),"",MAX($G780-TODAY(),0))</f>
        <v/>
      </c>
      <c r="Z780" s="12" t="str">
        <f aca="false">IF($C780="","",N($K780)*N($H780)*N($I780)*IF($U780="Débito",-1,1))</f>
        <v/>
      </c>
      <c r="AA780" s="13" t="str">
        <f aca="false">IF($C780="","",IF(AND($U780="Débito",$F780&lt;&gt;""),$F780,$E780))</f>
        <v/>
      </c>
      <c r="AB780" s="13" t="str">
        <f aca="false">IF(OR($C780="",$T780="Mixta",$AA780=""),"",IF($V780="Subyacente",IF($J780="","",$J780-$K780),IF($T780="Put",$AA780-$K780,$AA780+$K780)))</f>
        <v/>
      </c>
      <c r="AC780" s="14" t="str">
        <f aca="false">IF(OR($C780="",$T780="Mixta",$J780="",$AA780=""),"",IF($T780="Put",($J780-$AA780)/$J780,($AA780-$J780)/$J780))</f>
        <v/>
      </c>
      <c r="AD780" s="12" t="str">
        <f aca="false">IF($C780="","",IF($Q780&lt;&gt;"",$Q780,IF($V780="Strike",N($E780)*$H780*$I780,IF($V780="Subyacente",IF($J780="","",$J780*$H780*$I780),IF($V780="Ancho",IF($F780="","",ABS($E780-$F780)*$H780*$I780-$K780*$H780*$I780),IF($V780="Prima",$K780*$H780*$I780,""))))))</f>
        <v/>
      </c>
      <c r="AE780" s="12" t="str">
        <f aca="false">IF(OR($C780="",$M780="Abierta",$M780=""),"",(N($K780)-IF(OR($M780="Cerrada",$M780="Rolada"),N($O780),0))*$H780*$I780*IF($U780="Débito",-1,1)-N($L780)-N($P780))</f>
        <v/>
      </c>
      <c r="AF780" s="14" t="str">
        <f aca="false">IF(OR($AE780="",$AD780=""),"",IF($AD780&lt;=0,"",$AE780/$AD780))</f>
        <v/>
      </c>
      <c r="AG780" s="14" t="str">
        <f aca="false">IF($AF780="","",$AF780*365/MAX(N($X780),1))</f>
        <v/>
      </c>
      <c r="AH780" s="14" t="str">
        <f aca="false">IF(OR($C780="",$U780&lt;&gt;"Crédito",$AD780=""),"",IF($AD780&lt;=0,"",($Z780-N($L780))/$AD780))</f>
        <v/>
      </c>
      <c r="AI780" s="14" t="str">
        <f aca="false">IF(OR($AH780="",$W780=""),"",$AH780*365/MAX($W780,1))</f>
        <v/>
      </c>
      <c r="AJ780" s="14" t="str">
        <f aca="false">IF(OR($AE780="",$U780&lt;&gt;"Crédito",N($K780)=0),"",(N($K780)-IF(OR($M780="Cerrada",$M780="Rolada"),N($O780),0))/$K780)</f>
        <v/>
      </c>
      <c r="AK780" s="15" t="str">
        <f aca="false">IF(OR($C780="",$N780=""),"",DATE(YEAR($N780),MONTH($N780),1))</f>
        <v/>
      </c>
      <c r="AL780" s="11" t="str">
        <f aca="false">IF($C780="","",IF($M780="Abierta",0,1))</f>
        <v/>
      </c>
      <c r="AM780" s="16" t="str">
        <f aca="false">IF(OR($AE780="",$AD780=""),"",$AD780*MAX(N($X780),1))</f>
        <v/>
      </c>
      <c r="AN780" s="10" t="str">
        <f aca="false">IF($C780="","",IF(OR($B780="",$D780="",$H780="",$K780="",$M780=""),"Faltan datos obligatorios",IF($T780="","Estrategia no reconocida",IF(AND($M780&lt;&gt;"Abierta",$N780=""),"Falta fecha cierre",IF(AND(OR($M780="Cerrada",$M780="Rolada"),$O780=""),"Falta prima cierre",IF(AND($N780&lt;&gt;"",$N780&lt;$B780),"Cierre anterior a apertura",IF(AND($M780="Asignada",$R780=""),"Asignada: falta ID lote acciones",IF(AND($R780&lt;&gt;"",ISNA(MATCH($R780,Acciones!$A$2:$A$201,0))),"El ID lote no existe en Acciones",IF($AD780="","Revisa capital en riesgo","OK")))))))))</f>
        <v/>
      </c>
    </row>
    <row r="781" customFormat="false" ht="15" hidden="false" customHeight="true" outlineLevel="0" collapsed="false">
      <c r="A781" s="5"/>
      <c r="B781" s="6"/>
      <c r="C781" s="7"/>
      <c r="D781" s="7"/>
      <c r="E781" s="8"/>
      <c r="F781" s="8"/>
      <c r="G781" s="6"/>
      <c r="H781" s="5"/>
      <c r="I781" s="5" t="n">
        <v>100</v>
      </c>
      <c r="J781" s="8"/>
      <c r="K781" s="8"/>
      <c r="L781" s="9"/>
      <c r="M781" s="7"/>
      <c r="N781" s="6"/>
      <c r="O781" s="8"/>
      <c r="P781" s="9"/>
      <c r="Q781" s="9"/>
      <c r="R781" s="7"/>
      <c r="S781" s="7"/>
      <c r="T781" s="10" t="str">
        <f aca="false">IF($C781="","",IFERROR(INDEX(Listas!$B$2:$B$20,MATCH($D781,Listas!$A$2:$A$20,0)),""))</f>
        <v/>
      </c>
      <c r="U781" s="10" t="str">
        <f aca="false">IF($C781="","",IFERROR(INDEX(Listas!$C$2:$C$20,MATCH($D781,Listas!$A$2:$A$20,0)),""))</f>
        <v/>
      </c>
      <c r="V781" s="10" t="str">
        <f aca="false">IF($C781="","",IFERROR(INDEX(Listas!$D$2:$D$20,MATCH($D781,Listas!$A$2:$A$20,0)),""))</f>
        <v/>
      </c>
      <c r="W781" s="11" t="str">
        <f aca="false">IF(OR($C781="",$B781="",$G781=""),"",$G781-$B781)</f>
        <v/>
      </c>
      <c r="X781" s="11" t="str">
        <f aca="true">IF(OR($C781="",$B781=""),"",IF($N781&lt;&gt;"",$N781,TODAY())-$B781)</f>
        <v/>
      </c>
      <c r="Y781" s="11" t="str">
        <f aca="true">IF(OR($C781="",$M781&lt;&gt;"Abierta",$G781=""),"",MAX($G781-TODAY(),0))</f>
        <v/>
      </c>
      <c r="Z781" s="12" t="str">
        <f aca="false">IF($C781="","",N($K781)*N($H781)*N($I781)*IF($U781="Débito",-1,1))</f>
        <v/>
      </c>
      <c r="AA781" s="13" t="str">
        <f aca="false">IF($C781="","",IF(AND($U781="Débito",$F781&lt;&gt;""),$F781,$E781))</f>
        <v/>
      </c>
      <c r="AB781" s="13" t="str">
        <f aca="false">IF(OR($C781="",$T781="Mixta",$AA781=""),"",IF($V781="Subyacente",IF($J781="","",$J781-$K781),IF($T781="Put",$AA781-$K781,$AA781+$K781)))</f>
        <v/>
      </c>
      <c r="AC781" s="14" t="str">
        <f aca="false">IF(OR($C781="",$T781="Mixta",$J781="",$AA781=""),"",IF($T781="Put",($J781-$AA781)/$J781,($AA781-$J781)/$J781))</f>
        <v/>
      </c>
      <c r="AD781" s="12" t="str">
        <f aca="false">IF($C781="","",IF($Q781&lt;&gt;"",$Q781,IF($V781="Strike",N($E781)*$H781*$I781,IF($V781="Subyacente",IF($J781="","",$J781*$H781*$I781),IF($V781="Ancho",IF($F781="","",ABS($E781-$F781)*$H781*$I781-$K781*$H781*$I781),IF($V781="Prima",$K781*$H781*$I781,""))))))</f>
        <v/>
      </c>
      <c r="AE781" s="12" t="str">
        <f aca="false">IF(OR($C781="",$M781="Abierta",$M781=""),"",(N($K781)-IF(OR($M781="Cerrada",$M781="Rolada"),N($O781),0))*$H781*$I781*IF($U781="Débito",-1,1)-N($L781)-N($P781))</f>
        <v/>
      </c>
      <c r="AF781" s="14" t="str">
        <f aca="false">IF(OR($AE781="",$AD781=""),"",IF($AD781&lt;=0,"",$AE781/$AD781))</f>
        <v/>
      </c>
      <c r="AG781" s="14" t="str">
        <f aca="false">IF($AF781="","",$AF781*365/MAX(N($X781),1))</f>
        <v/>
      </c>
      <c r="AH781" s="14" t="str">
        <f aca="false">IF(OR($C781="",$U781&lt;&gt;"Crédito",$AD781=""),"",IF($AD781&lt;=0,"",($Z781-N($L781))/$AD781))</f>
        <v/>
      </c>
      <c r="AI781" s="14" t="str">
        <f aca="false">IF(OR($AH781="",$W781=""),"",$AH781*365/MAX($W781,1))</f>
        <v/>
      </c>
      <c r="AJ781" s="14" t="str">
        <f aca="false">IF(OR($AE781="",$U781&lt;&gt;"Crédito",N($K781)=0),"",(N($K781)-IF(OR($M781="Cerrada",$M781="Rolada"),N($O781),0))/$K781)</f>
        <v/>
      </c>
      <c r="AK781" s="15" t="str">
        <f aca="false">IF(OR($C781="",$N781=""),"",DATE(YEAR($N781),MONTH($N781),1))</f>
        <v/>
      </c>
      <c r="AL781" s="11" t="str">
        <f aca="false">IF($C781="","",IF($M781="Abierta",0,1))</f>
        <v/>
      </c>
      <c r="AM781" s="16" t="str">
        <f aca="false">IF(OR($AE781="",$AD781=""),"",$AD781*MAX(N($X781),1))</f>
        <v/>
      </c>
      <c r="AN781" s="10" t="str">
        <f aca="false">IF($C781="","",IF(OR($B781="",$D781="",$H781="",$K781="",$M781=""),"Faltan datos obligatorios",IF($T781="","Estrategia no reconocida",IF(AND($M781&lt;&gt;"Abierta",$N781=""),"Falta fecha cierre",IF(AND(OR($M781="Cerrada",$M781="Rolada"),$O781=""),"Falta prima cierre",IF(AND($N781&lt;&gt;"",$N781&lt;$B781),"Cierre anterior a apertura",IF(AND($M781="Asignada",$R781=""),"Asignada: falta ID lote acciones",IF(AND($R781&lt;&gt;"",ISNA(MATCH($R781,Acciones!$A$2:$A$201,0))),"El ID lote no existe en Acciones",IF($AD781="","Revisa capital en riesgo","OK")))))))))</f>
        <v/>
      </c>
    </row>
    <row r="782" customFormat="false" ht="15" hidden="false" customHeight="true" outlineLevel="0" collapsed="false">
      <c r="A782" s="5"/>
      <c r="B782" s="6"/>
      <c r="C782" s="7"/>
      <c r="D782" s="7"/>
      <c r="E782" s="8"/>
      <c r="F782" s="8"/>
      <c r="G782" s="6"/>
      <c r="H782" s="5"/>
      <c r="I782" s="5" t="n">
        <v>100</v>
      </c>
      <c r="J782" s="8"/>
      <c r="K782" s="8"/>
      <c r="L782" s="9"/>
      <c r="M782" s="7"/>
      <c r="N782" s="6"/>
      <c r="O782" s="8"/>
      <c r="P782" s="9"/>
      <c r="Q782" s="9"/>
      <c r="R782" s="7"/>
      <c r="S782" s="7"/>
      <c r="T782" s="10" t="str">
        <f aca="false">IF($C782="","",IFERROR(INDEX(Listas!$B$2:$B$20,MATCH($D782,Listas!$A$2:$A$20,0)),""))</f>
        <v/>
      </c>
      <c r="U782" s="10" t="str">
        <f aca="false">IF($C782="","",IFERROR(INDEX(Listas!$C$2:$C$20,MATCH($D782,Listas!$A$2:$A$20,0)),""))</f>
        <v/>
      </c>
      <c r="V782" s="10" t="str">
        <f aca="false">IF($C782="","",IFERROR(INDEX(Listas!$D$2:$D$20,MATCH($D782,Listas!$A$2:$A$20,0)),""))</f>
        <v/>
      </c>
      <c r="W782" s="11" t="str">
        <f aca="false">IF(OR($C782="",$B782="",$G782=""),"",$G782-$B782)</f>
        <v/>
      </c>
      <c r="X782" s="11" t="str">
        <f aca="true">IF(OR($C782="",$B782=""),"",IF($N782&lt;&gt;"",$N782,TODAY())-$B782)</f>
        <v/>
      </c>
      <c r="Y782" s="11" t="str">
        <f aca="true">IF(OR($C782="",$M782&lt;&gt;"Abierta",$G782=""),"",MAX($G782-TODAY(),0))</f>
        <v/>
      </c>
      <c r="Z782" s="12" t="str">
        <f aca="false">IF($C782="","",N($K782)*N($H782)*N($I782)*IF($U782="Débito",-1,1))</f>
        <v/>
      </c>
      <c r="AA782" s="13" t="str">
        <f aca="false">IF($C782="","",IF(AND($U782="Débito",$F782&lt;&gt;""),$F782,$E782))</f>
        <v/>
      </c>
      <c r="AB782" s="13" t="str">
        <f aca="false">IF(OR($C782="",$T782="Mixta",$AA782=""),"",IF($V782="Subyacente",IF($J782="","",$J782-$K782),IF($T782="Put",$AA782-$K782,$AA782+$K782)))</f>
        <v/>
      </c>
      <c r="AC782" s="14" t="str">
        <f aca="false">IF(OR($C782="",$T782="Mixta",$J782="",$AA782=""),"",IF($T782="Put",($J782-$AA782)/$J782,($AA782-$J782)/$J782))</f>
        <v/>
      </c>
      <c r="AD782" s="12" t="str">
        <f aca="false">IF($C782="","",IF($Q782&lt;&gt;"",$Q782,IF($V782="Strike",N($E782)*$H782*$I782,IF($V782="Subyacente",IF($J782="","",$J782*$H782*$I782),IF($V782="Ancho",IF($F782="","",ABS($E782-$F782)*$H782*$I782-$K782*$H782*$I782),IF($V782="Prima",$K782*$H782*$I782,""))))))</f>
        <v/>
      </c>
      <c r="AE782" s="12" t="str">
        <f aca="false">IF(OR($C782="",$M782="Abierta",$M782=""),"",(N($K782)-IF(OR($M782="Cerrada",$M782="Rolada"),N($O782),0))*$H782*$I782*IF($U782="Débito",-1,1)-N($L782)-N($P782))</f>
        <v/>
      </c>
      <c r="AF782" s="14" t="str">
        <f aca="false">IF(OR($AE782="",$AD782=""),"",IF($AD782&lt;=0,"",$AE782/$AD782))</f>
        <v/>
      </c>
      <c r="AG782" s="14" t="str">
        <f aca="false">IF($AF782="","",$AF782*365/MAX(N($X782),1))</f>
        <v/>
      </c>
      <c r="AH782" s="14" t="str">
        <f aca="false">IF(OR($C782="",$U782&lt;&gt;"Crédito",$AD782=""),"",IF($AD782&lt;=0,"",($Z782-N($L782))/$AD782))</f>
        <v/>
      </c>
      <c r="AI782" s="14" t="str">
        <f aca="false">IF(OR($AH782="",$W782=""),"",$AH782*365/MAX($W782,1))</f>
        <v/>
      </c>
      <c r="AJ782" s="14" t="str">
        <f aca="false">IF(OR($AE782="",$U782&lt;&gt;"Crédito",N($K782)=0),"",(N($K782)-IF(OR($M782="Cerrada",$M782="Rolada"),N($O782),0))/$K782)</f>
        <v/>
      </c>
      <c r="AK782" s="15" t="str">
        <f aca="false">IF(OR($C782="",$N782=""),"",DATE(YEAR($N782),MONTH($N782),1))</f>
        <v/>
      </c>
      <c r="AL782" s="11" t="str">
        <f aca="false">IF($C782="","",IF($M782="Abierta",0,1))</f>
        <v/>
      </c>
      <c r="AM782" s="16" t="str">
        <f aca="false">IF(OR($AE782="",$AD782=""),"",$AD782*MAX(N($X782),1))</f>
        <v/>
      </c>
      <c r="AN782" s="10" t="str">
        <f aca="false">IF($C782="","",IF(OR($B782="",$D782="",$H782="",$K782="",$M782=""),"Faltan datos obligatorios",IF($T782="","Estrategia no reconocida",IF(AND($M782&lt;&gt;"Abierta",$N782=""),"Falta fecha cierre",IF(AND(OR($M782="Cerrada",$M782="Rolada"),$O782=""),"Falta prima cierre",IF(AND($N782&lt;&gt;"",$N782&lt;$B782),"Cierre anterior a apertura",IF(AND($M782="Asignada",$R782=""),"Asignada: falta ID lote acciones",IF(AND($R782&lt;&gt;"",ISNA(MATCH($R782,Acciones!$A$2:$A$201,0))),"El ID lote no existe en Acciones",IF($AD782="","Revisa capital en riesgo","OK")))))))))</f>
        <v/>
      </c>
    </row>
    <row r="783" customFormat="false" ht="15" hidden="false" customHeight="true" outlineLevel="0" collapsed="false">
      <c r="A783" s="5"/>
      <c r="B783" s="6"/>
      <c r="C783" s="7"/>
      <c r="D783" s="7"/>
      <c r="E783" s="8"/>
      <c r="F783" s="8"/>
      <c r="G783" s="6"/>
      <c r="H783" s="5"/>
      <c r="I783" s="5" t="n">
        <v>100</v>
      </c>
      <c r="J783" s="8"/>
      <c r="K783" s="8"/>
      <c r="L783" s="9"/>
      <c r="M783" s="7"/>
      <c r="N783" s="6"/>
      <c r="O783" s="8"/>
      <c r="P783" s="9"/>
      <c r="Q783" s="9"/>
      <c r="R783" s="7"/>
      <c r="S783" s="7"/>
      <c r="T783" s="10" t="str">
        <f aca="false">IF($C783="","",IFERROR(INDEX(Listas!$B$2:$B$20,MATCH($D783,Listas!$A$2:$A$20,0)),""))</f>
        <v/>
      </c>
      <c r="U783" s="10" t="str">
        <f aca="false">IF($C783="","",IFERROR(INDEX(Listas!$C$2:$C$20,MATCH($D783,Listas!$A$2:$A$20,0)),""))</f>
        <v/>
      </c>
      <c r="V783" s="10" t="str">
        <f aca="false">IF($C783="","",IFERROR(INDEX(Listas!$D$2:$D$20,MATCH($D783,Listas!$A$2:$A$20,0)),""))</f>
        <v/>
      </c>
      <c r="W783" s="11" t="str">
        <f aca="false">IF(OR($C783="",$B783="",$G783=""),"",$G783-$B783)</f>
        <v/>
      </c>
      <c r="X783" s="11" t="str">
        <f aca="true">IF(OR($C783="",$B783=""),"",IF($N783&lt;&gt;"",$N783,TODAY())-$B783)</f>
        <v/>
      </c>
      <c r="Y783" s="11" t="str">
        <f aca="true">IF(OR($C783="",$M783&lt;&gt;"Abierta",$G783=""),"",MAX($G783-TODAY(),0))</f>
        <v/>
      </c>
      <c r="Z783" s="12" t="str">
        <f aca="false">IF($C783="","",N($K783)*N($H783)*N($I783)*IF($U783="Débito",-1,1))</f>
        <v/>
      </c>
      <c r="AA783" s="13" t="str">
        <f aca="false">IF($C783="","",IF(AND($U783="Débito",$F783&lt;&gt;""),$F783,$E783))</f>
        <v/>
      </c>
      <c r="AB783" s="13" t="str">
        <f aca="false">IF(OR($C783="",$T783="Mixta",$AA783=""),"",IF($V783="Subyacente",IF($J783="","",$J783-$K783),IF($T783="Put",$AA783-$K783,$AA783+$K783)))</f>
        <v/>
      </c>
      <c r="AC783" s="14" t="str">
        <f aca="false">IF(OR($C783="",$T783="Mixta",$J783="",$AA783=""),"",IF($T783="Put",($J783-$AA783)/$J783,($AA783-$J783)/$J783))</f>
        <v/>
      </c>
      <c r="AD783" s="12" t="str">
        <f aca="false">IF($C783="","",IF($Q783&lt;&gt;"",$Q783,IF($V783="Strike",N($E783)*$H783*$I783,IF($V783="Subyacente",IF($J783="","",$J783*$H783*$I783),IF($V783="Ancho",IF($F783="","",ABS($E783-$F783)*$H783*$I783-$K783*$H783*$I783),IF($V783="Prima",$K783*$H783*$I783,""))))))</f>
        <v/>
      </c>
      <c r="AE783" s="12" t="str">
        <f aca="false">IF(OR($C783="",$M783="Abierta",$M783=""),"",(N($K783)-IF(OR($M783="Cerrada",$M783="Rolada"),N($O783),0))*$H783*$I783*IF($U783="Débito",-1,1)-N($L783)-N($P783))</f>
        <v/>
      </c>
      <c r="AF783" s="14" t="str">
        <f aca="false">IF(OR($AE783="",$AD783=""),"",IF($AD783&lt;=0,"",$AE783/$AD783))</f>
        <v/>
      </c>
      <c r="AG783" s="14" t="str">
        <f aca="false">IF($AF783="","",$AF783*365/MAX(N($X783),1))</f>
        <v/>
      </c>
      <c r="AH783" s="14" t="str">
        <f aca="false">IF(OR($C783="",$U783&lt;&gt;"Crédito",$AD783=""),"",IF($AD783&lt;=0,"",($Z783-N($L783))/$AD783))</f>
        <v/>
      </c>
      <c r="AI783" s="14" t="str">
        <f aca="false">IF(OR($AH783="",$W783=""),"",$AH783*365/MAX($W783,1))</f>
        <v/>
      </c>
      <c r="AJ783" s="14" t="str">
        <f aca="false">IF(OR($AE783="",$U783&lt;&gt;"Crédito",N($K783)=0),"",(N($K783)-IF(OR($M783="Cerrada",$M783="Rolada"),N($O783),0))/$K783)</f>
        <v/>
      </c>
      <c r="AK783" s="15" t="str">
        <f aca="false">IF(OR($C783="",$N783=""),"",DATE(YEAR($N783),MONTH($N783),1))</f>
        <v/>
      </c>
      <c r="AL783" s="11" t="str">
        <f aca="false">IF($C783="","",IF($M783="Abierta",0,1))</f>
        <v/>
      </c>
      <c r="AM783" s="16" t="str">
        <f aca="false">IF(OR($AE783="",$AD783=""),"",$AD783*MAX(N($X783),1))</f>
        <v/>
      </c>
      <c r="AN783" s="10" t="str">
        <f aca="false">IF($C783="","",IF(OR($B783="",$D783="",$H783="",$K783="",$M783=""),"Faltan datos obligatorios",IF($T783="","Estrategia no reconocida",IF(AND($M783&lt;&gt;"Abierta",$N783=""),"Falta fecha cierre",IF(AND(OR($M783="Cerrada",$M783="Rolada"),$O783=""),"Falta prima cierre",IF(AND($N783&lt;&gt;"",$N783&lt;$B783),"Cierre anterior a apertura",IF(AND($M783="Asignada",$R783=""),"Asignada: falta ID lote acciones",IF(AND($R783&lt;&gt;"",ISNA(MATCH($R783,Acciones!$A$2:$A$201,0))),"El ID lote no existe en Acciones",IF($AD783="","Revisa capital en riesgo","OK")))))))))</f>
        <v/>
      </c>
    </row>
    <row r="784" customFormat="false" ht="15" hidden="false" customHeight="true" outlineLevel="0" collapsed="false">
      <c r="A784" s="5"/>
      <c r="B784" s="6"/>
      <c r="C784" s="7"/>
      <c r="D784" s="7"/>
      <c r="E784" s="8"/>
      <c r="F784" s="8"/>
      <c r="G784" s="6"/>
      <c r="H784" s="5"/>
      <c r="I784" s="5" t="n">
        <v>100</v>
      </c>
      <c r="J784" s="8"/>
      <c r="K784" s="8"/>
      <c r="L784" s="9"/>
      <c r="M784" s="7"/>
      <c r="N784" s="6"/>
      <c r="O784" s="8"/>
      <c r="P784" s="9"/>
      <c r="Q784" s="9"/>
      <c r="R784" s="7"/>
      <c r="S784" s="7"/>
      <c r="T784" s="10" t="str">
        <f aca="false">IF($C784="","",IFERROR(INDEX(Listas!$B$2:$B$20,MATCH($D784,Listas!$A$2:$A$20,0)),""))</f>
        <v/>
      </c>
      <c r="U784" s="10" t="str">
        <f aca="false">IF($C784="","",IFERROR(INDEX(Listas!$C$2:$C$20,MATCH($D784,Listas!$A$2:$A$20,0)),""))</f>
        <v/>
      </c>
      <c r="V784" s="10" t="str">
        <f aca="false">IF($C784="","",IFERROR(INDEX(Listas!$D$2:$D$20,MATCH($D784,Listas!$A$2:$A$20,0)),""))</f>
        <v/>
      </c>
      <c r="W784" s="11" t="str">
        <f aca="false">IF(OR($C784="",$B784="",$G784=""),"",$G784-$B784)</f>
        <v/>
      </c>
      <c r="X784" s="11" t="str">
        <f aca="true">IF(OR($C784="",$B784=""),"",IF($N784&lt;&gt;"",$N784,TODAY())-$B784)</f>
        <v/>
      </c>
      <c r="Y784" s="11" t="str">
        <f aca="true">IF(OR($C784="",$M784&lt;&gt;"Abierta",$G784=""),"",MAX($G784-TODAY(),0))</f>
        <v/>
      </c>
      <c r="Z784" s="12" t="str">
        <f aca="false">IF($C784="","",N($K784)*N($H784)*N($I784)*IF($U784="Débito",-1,1))</f>
        <v/>
      </c>
      <c r="AA784" s="13" t="str">
        <f aca="false">IF($C784="","",IF(AND($U784="Débito",$F784&lt;&gt;""),$F784,$E784))</f>
        <v/>
      </c>
      <c r="AB784" s="13" t="str">
        <f aca="false">IF(OR($C784="",$T784="Mixta",$AA784=""),"",IF($V784="Subyacente",IF($J784="","",$J784-$K784),IF($T784="Put",$AA784-$K784,$AA784+$K784)))</f>
        <v/>
      </c>
      <c r="AC784" s="14" t="str">
        <f aca="false">IF(OR($C784="",$T784="Mixta",$J784="",$AA784=""),"",IF($T784="Put",($J784-$AA784)/$J784,($AA784-$J784)/$J784))</f>
        <v/>
      </c>
      <c r="AD784" s="12" t="str">
        <f aca="false">IF($C784="","",IF($Q784&lt;&gt;"",$Q784,IF($V784="Strike",N($E784)*$H784*$I784,IF($V784="Subyacente",IF($J784="","",$J784*$H784*$I784),IF($V784="Ancho",IF($F784="","",ABS($E784-$F784)*$H784*$I784-$K784*$H784*$I784),IF($V784="Prima",$K784*$H784*$I784,""))))))</f>
        <v/>
      </c>
      <c r="AE784" s="12" t="str">
        <f aca="false">IF(OR($C784="",$M784="Abierta",$M784=""),"",(N($K784)-IF(OR($M784="Cerrada",$M784="Rolada"),N($O784),0))*$H784*$I784*IF($U784="Débito",-1,1)-N($L784)-N($P784))</f>
        <v/>
      </c>
      <c r="AF784" s="14" t="str">
        <f aca="false">IF(OR($AE784="",$AD784=""),"",IF($AD784&lt;=0,"",$AE784/$AD784))</f>
        <v/>
      </c>
      <c r="AG784" s="14" t="str">
        <f aca="false">IF($AF784="","",$AF784*365/MAX(N($X784),1))</f>
        <v/>
      </c>
      <c r="AH784" s="14" t="str">
        <f aca="false">IF(OR($C784="",$U784&lt;&gt;"Crédito",$AD784=""),"",IF($AD784&lt;=0,"",($Z784-N($L784))/$AD784))</f>
        <v/>
      </c>
      <c r="AI784" s="14" t="str">
        <f aca="false">IF(OR($AH784="",$W784=""),"",$AH784*365/MAX($W784,1))</f>
        <v/>
      </c>
      <c r="AJ784" s="14" t="str">
        <f aca="false">IF(OR($AE784="",$U784&lt;&gt;"Crédito",N($K784)=0),"",(N($K784)-IF(OR($M784="Cerrada",$M784="Rolada"),N($O784),0))/$K784)</f>
        <v/>
      </c>
      <c r="AK784" s="15" t="str">
        <f aca="false">IF(OR($C784="",$N784=""),"",DATE(YEAR($N784),MONTH($N784),1))</f>
        <v/>
      </c>
      <c r="AL784" s="11" t="str">
        <f aca="false">IF($C784="","",IF($M784="Abierta",0,1))</f>
        <v/>
      </c>
      <c r="AM784" s="16" t="str">
        <f aca="false">IF(OR($AE784="",$AD784=""),"",$AD784*MAX(N($X784),1))</f>
        <v/>
      </c>
      <c r="AN784" s="10" t="str">
        <f aca="false">IF($C784="","",IF(OR($B784="",$D784="",$H784="",$K784="",$M784=""),"Faltan datos obligatorios",IF($T784="","Estrategia no reconocida",IF(AND($M784&lt;&gt;"Abierta",$N784=""),"Falta fecha cierre",IF(AND(OR($M784="Cerrada",$M784="Rolada"),$O784=""),"Falta prima cierre",IF(AND($N784&lt;&gt;"",$N784&lt;$B784),"Cierre anterior a apertura",IF(AND($M784="Asignada",$R784=""),"Asignada: falta ID lote acciones",IF(AND($R784&lt;&gt;"",ISNA(MATCH($R784,Acciones!$A$2:$A$201,0))),"El ID lote no existe en Acciones",IF($AD784="","Revisa capital en riesgo","OK")))))))))</f>
        <v/>
      </c>
    </row>
    <row r="785" customFormat="false" ht="15" hidden="false" customHeight="true" outlineLevel="0" collapsed="false">
      <c r="A785" s="5"/>
      <c r="B785" s="6"/>
      <c r="C785" s="7"/>
      <c r="D785" s="7"/>
      <c r="E785" s="8"/>
      <c r="F785" s="8"/>
      <c r="G785" s="6"/>
      <c r="H785" s="5"/>
      <c r="I785" s="5" t="n">
        <v>100</v>
      </c>
      <c r="J785" s="8"/>
      <c r="K785" s="8"/>
      <c r="L785" s="9"/>
      <c r="M785" s="7"/>
      <c r="N785" s="6"/>
      <c r="O785" s="8"/>
      <c r="P785" s="9"/>
      <c r="Q785" s="9"/>
      <c r="R785" s="7"/>
      <c r="S785" s="7"/>
      <c r="T785" s="10" t="str">
        <f aca="false">IF($C785="","",IFERROR(INDEX(Listas!$B$2:$B$20,MATCH($D785,Listas!$A$2:$A$20,0)),""))</f>
        <v/>
      </c>
      <c r="U785" s="10" t="str">
        <f aca="false">IF($C785="","",IFERROR(INDEX(Listas!$C$2:$C$20,MATCH($D785,Listas!$A$2:$A$20,0)),""))</f>
        <v/>
      </c>
      <c r="V785" s="10" t="str">
        <f aca="false">IF($C785="","",IFERROR(INDEX(Listas!$D$2:$D$20,MATCH($D785,Listas!$A$2:$A$20,0)),""))</f>
        <v/>
      </c>
      <c r="W785" s="11" t="str">
        <f aca="false">IF(OR($C785="",$B785="",$G785=""),"",$G785-$B785)</f>
        <v/>
      </c>
      <c r="X785" s="11" t="str">
        <f aca="true">IF(OR($C785="",$B785=""),"",IF($N785&lt;&gt;"",$N785,TODAY())-$B785)</f>
        <v/>
      </c>
      <c r="Y785" s="11" t="str">
        <f aca="true">IF(OR($C785="",$M785&lt;&gt;"Abierta",$G785=""),"",MAX($G785-TODAY(),0))</f>
        <v/>
      </c>
      <c r="Z785" s="12" t="str">
        <f aca="false">IF($C785="","",N($K785)*N($H785)*N($I785)*IF($U785="Débito",-1,1))</f>
        <v/>
      </c>
      <c r="AA785" s="13" t="str">
        <f aca="false">IF($C785="","",IF(AND($U785="Débito",$F785&lt;&gt;""),$F785,$E785))</f>
        <v/>
      </c>
      <c r="AB785" s="13" t="str">
        <f aca="false">IF(OR($C785="",$T785="Mixta",$AA785=""),"",IF($V785="Subyacente",IF($J785="","",$J785-$K785),IF($T785="Put",$AA785-$K785,$AA785+$K785)))</f>
        <v/>
      </c>
      <c r="AC785" s="14" t="str">
        <f aca="false">IF(OR($C785="",$T785="Mixta",$J785="",$AA785=""),"",IF($T785="Put",($J785-$AA785)/$J785,($AA785-$J785)/$J785))</f>
        <v/>
      </c>
      <c r="AD785" s="12" t="str">
        <f aca="false">IF($C785="","",IF($Q785&lt;&gt;"",$Q785,IF($V785="Strike",N($E785)*$H785*$I785,IF($V785="Subyacente",IF($J785="","",$J785*$H785*$I785),IF($V785="Ancho",IF($F785="","",ABS($E785-$F785)*$H785*$I785-$K785*$H785*$I785),IF($V785="Prima",$K785*$H785*$I785,""))))))</f>
        <v/>
      </c>
      <c r="AE785" s="12" t="str">
        <f aca="false">IF(OR($C785="",$M785="Abierta",$M785=""),"",(N($K785)-IF(OR($M785="Cerrada",$M785="Rolada"),N($O785),0))*$H785*$I785*IF($U785="Débito",-1,1)-N($L785)-N($P785))</f>
        <v/>
      </c>
      <c r="AF785" s="14" t="str">
        <f aca="false">IF(OR($AE785="",$AD785=""),"",IF($AD785&lt;=0,"",$AE785/$AD785))</f>
        <v/>
      </c>
      <c r="AG785" s="14" t="str">
        <f aca="false">IF($AF785="","",$AF785*365/MAX(N($X785),1))</f>
        <v/>
      </c>
      <c r="AH785" s="14" t="str">
        <f aca="false">IF(OR($C785="",$U785&lt;&gt;"Crédito",$AD785=""),"",IF($AD785&lt;=0,"",($Z785-N($L785))/$AD785))</f>
        <v/>
      </c>
      <c r="AI785" s="14" t="str">
        <f aca="false">IF(OR($AH785="",$W785=""),"",$AH785*365/MAX($W785,1))</f>
        <v/>
      </c>
      <c r="AJ785" s="14" t="str">
        <f aca="false">IF(OR($AE785="",$U785&lt;&gt;"Crédito",N($K785)=0),"",(N($K785)-IF(OR($M785="Cerrada",$M785="Rolada"),N($O785),0))/$K785)</f>
        <v/>
      </c>
      <c r="AK785" s="15" t="str">
        <f aca="false">IF(OR($C785="",$N785=""),"",DATE(YEAR($N785),MONTH($N785),1))</f>
        <v/>
      </c>
      <c r="AL785" s="11" t="str">
        <f aca="false">IF($C785="","",IF($M785="Abierta",0,1))</f>
        <v/>
      </c>
      <c r="AM785" s="16" t="str">
        <f aca="false">IF(OR($AE785="",$AD785=""),"",$AD785*MAX(N($X785),1))</f>
        <v/>
      </c>
      <c r="AN785" s="10" t="str">
        <f aca="false">IF($C785="","",IF(OR($B785="",$D785="",$H785="",$K785="",$M785=""),"Faltan datos obligatorios",IF($T785="","Estrategia no reconocida",IF(AND($M785&lt;&gt;"Abierta",$N785=""),"Falta fecha cierre",IF(AND(OR($M785="Cerrada",$M785="Rolada"),$O785=""),"Falta prima cierre",IF(AND($N785&lt;&gt;"",$N785&lt;$B785),"Cierre anterior a apertura",IF(AND($M785="Asignada",$R785=""),"Asignada: falta ID lote acciones",IF(AND($R785&lt;&gt;"",ISNA(MATCH($R785,Acciones!$A$2:$A$201,0))),"El ID lote no existe en Acciones",IF($AD785="","Revisa capital en riesgo","OK")))))))))</f>
        <v/>
      </c>
    </row>
    <row r="786" customFormat="false" ht="15" hidden="false" customHeight="true" outlineLevel="0" collapsed="false">
      <c r="A786" s="5"/>
      <c r="B786" s="6"/>
      <c r="C786" s="7"/>
      <c r="D786" s="7"/>
      <c r="E786" s="8"/>
      <c r="F786" s="8"/>
      <c r="G786" s="6"/>
      <c r="H786" s="5"/>
      <c r="I786" s="5" t="n">
        <v>100</v>
      </c>
      <c r="J786" s="8"/>
      <c r="K786" s="8"/>
      <c r="L786" s="9"/>
      <c r="M786" s="7"/>
      <c r="N786" s="6"/>
      <c r="O786" s="8"/>
      <c r="P786" s="9"/>
      <c r="Q786" s="9"/>
      <c r="R786" s="7"/>
      <c r="S786" s="7"/>
      <c r="T786" s="10" t="str">
        <f aca="false">IF($C786="","",IFERROR(INDEX(Listas!$B$2:$B$20,MATCH($D786,Listas!$A$2:$A$20,0)),""))</f>
        <v/>
      </c>
      <c r="U786" s="10" t="str">
        <f aca="false">IF($C786="","",IFERROR(INDEX(Listas!$C$2:$C$20,MATCH($D786,Listas!$A$2:$A$20,0)),""))</f>
        <v/>
      </c>
      <c r="V786" s="10" t="str">
        <f aca="false">IF($C786="","",IFERROR(INDEX(Listas!$D$2:$D$20,MATCH($D786,Listas!$A$2:$A$20,0)),""))</f>
        <v/>
      </c>
      <c r="W786" s="11" t="str">
        <f aca="false">IF(OR($C786="",$B786="",$G786=""),"",$G786-$B786)</f>
        <v/>
      </c>
      <c r="X786" s="11" t="str">
        <f aca="true">IF(OR($C786="",$B786=""),"",IF($N786&lt;&gt;"",$N786,TODAY())-$B786)</f>
        <v/>
      </c>
      <c r="Y786" s="11" t="str">
        <f aca="true">IF(OR($C786="",$M786&lt;&gt;"Abierta",$G786=""),"",MAX($G786-TODAY(),0))</f>
        <v/>
      </c>
      <c r="Z786" s="12" t="str">
        <f aca="false">IF($C786="","",N($K786)*N($H786)*N($I786)*IF($U786="Débito",-1,1))</f>
        <v/>
      </c>
      <c r="AA786" s="13" t="str">
        <f aca="false">IF($C786="","",IF(AND($U786="Débito",$F786&lt;&gt;""),$F786,$E786))</f>
        <v/>
      </c>
      <c r="AB786" s="13" t="str">
        <f aca="false">IF(OR($C786="",$T786="Mixta",$AA786=""),"",IF($V786="Subyacente",IF($J786="","",$J786-$K786),IF($T786="Put",$AA786-$K786,$AA786+$K786)))</f>
        <v/>
      </c>
      <c r="AC786" s="14" t="str">
        <f aca="false">IF(OR($C786="",$T786="Mixta",$J786="",$AA786=""),"",IF($T786="Put",($J786-$AA786)/$J786,($AA786-$J786)/$J786))</f>
        <v/>
      </c>
      <c r="AD786" s="12" t="str">
        <f aca="false">IF($C786="","",IF($Q786&lt;&gt;"",$Q786,IF($V786="Strike",N($E786)*$H786*$I786,IF($V786="Subyacente",IF($J786="","",$J786*$H786*$I786),IF($V786="Ancho",IF($F786="","",ABS($E786-$F786)*$H786*$I786-$K786*$H786*$I786),IF($V786="Prima",$K786*$H786*$I786,""))))))</f>
        <v/>
      </c>
      <c r="AE786" s="12" t="str">
        <f aca="false">IF(OR($C786="",$M786="Abierta",$M786=""),"",(N($K786)-IF(OR($M786="Cerrada",$M786="Rolada"),N($O786),0))*$H786*$I786*IF($U786="Débito",-1,1)-N($L786)-N($P786))</f>
        <v/>
      </c>
      <c r="AF786" s="14" t="str">
        <f aca="false">IF(OR($AE786="",$AD786=""),"",IF($AD786&lt;=0,"",$AE786/$AD786))</f>
        <v/>
      </c>
      <c r="AG786" s="14" t="str">
        <f aca="false">IF($AF786="","",$AF786*365/MAX(N($X786),1))</f>
        <v/>
      </c>
      <c r="AH786" s="14" t="str">
        <f aca="false">IF(OR($C786="",$U786&lt;&gt;"Crédito",$AD786=""),"",IF($AD786&lt;=0,"",($Z786-N($L786))/$AD786))</f>
        <v/>
      </c>
      <c r="AI786" s="14" t="str">
        <f aca="false">IF(OR($AH786="",$W786=""),"",$AH786*365/MAX($W786,1))</f>
        <v/>
      </c>
      <c r="AJ786" s="14" t="str">
        <f aca="false">IF(OR($AE786="",$U786&lt;&gt;"Crédito",N($K786)=0),"",(N($K786)-IF(OR($M786="Cerrada",$M786="Rolada"),N($O786),0))/$K786)</f>
        <v/>
      </c>
      <c r="AK786" s="15" t="str">
        <f aca="false">IF(OR($C786="",$N786=""),"",DATE(YEAR($N786),MONTH($N786),1))</f>
        <v/>
      </c>
      <c r="AL786" s="11" t="str">
        <f aca="false">IF($C786="","",IF($M786="Abierta",0,1))</f>
        <v/>
      </c>
      <c r="AM786" s="16" t="str">
        <f aca="false">IF(OR($AE786="",$AD786=""),"",$AD786*MAX(N($X786),1))</f>
        <v/>
      </c>
      <c r="AN786" s="10" t="str">
        <f aca="false">IF($C786="","",IF(OR($B786="",$D786="",$H786="",$K786="",$M786=""),"Faltan datos obligatorios",IF($T786="","Estrategia no reconocida",IF(AND($M786&lt;&gt;"Abierta",$N786=""),"Falta fecha cierre",IF(AND(OR($M786="Cerrada",$M786="Rolada"),$O786=""),"Falta prima cierre",IF(AND($N786&lt;&gt;"",$N786&lt;$B786),"Cierre anterior a apertura",IF(AND($M786="Asignada",$R786=""),"Asignada: falta ID lote acciones",IF(AND($R786&lt;&gt;"",ISNA(MATCH($R786,Acciones!$A$2:$A$201,0))),"El ID lote no existe en Acciones",IF($AD786="","Revisa capital en riesgo","OK")))))))))</f>
        <v/>
      </c>
    </row>
    <row r="787" customFormat="false" ht="15" hidden="false" customHeight="true" outlineLevel="0" collapsed="false">
      <c r="A787" s="5"/>
      <c r="B787" s="6"/>
      <c r="C787" s="7"/>
      <c r="D787" s="7"/>
      <c r="E787" s="8"/>
      <c r="F787" s="8"/>
      <c r="G787" s="6"/>
      <c r="H787" s="5"/>
      <c r="I787" s="5" t="n">
        <v>100</v>
      </c>
      <c r="J787" s="8"/>
      <c r="K787" s="8"/>
      <c r="L787" s="9"/>
      <c r="M787" s="7"/>
      <c r="N787" s="6"/>
      <c r="O787" s="8"/>
      <c r="P787" s="9"/>
      <c r="Q787" s="9"/>
      <c r="R787" s="7"/>
      <c r="S787" s="7"/>
      <c r="T787" s="10" t="str">
        <f aca="false">IF($C787="","",IFERROR(INDEX(Listas!$B$2:$B$20,MATCH($D787,Listas!$A$2:$A$20,0)),""))</f>
        <v/>
      </c>
      <c r="U787" s="10" t="str">
        <f aca="false">IF($C787="","",IFERROR(INDEX(Listas!$C$2:$C$20,MATCH($D787,Listas!$A$2:$A$20,0)),""))</f>
        <v/>
      </c>
      <c r="V787" s="10" t="str">
        <f aca="false">IF($C787="","",IFERROR(INDEX(Listas!$D$2:$D$20,MATCH($D787,Listas!$A$2:$A$20,0)),""))</f>
        <v/>
      </c>
      <c r="W787" s="11" t="str">
        <f aca="false">IF(OR($C787="",$B787="",$G787=""),"",$G787-$B787)</f>
        <v/>
      </c>
      <c r="X787" s="11" t="str">
        <f aca="true">IF(OR($C787="",$B787=""),"",IF($N787&lt;&gt;"",$N787,TODAY())-$B787)</f>
        <v/>
      </c>
      <c r="Y787" s="11" t="str">
        <f aca="true">IF(OR($C787="",$M787&lt;&gt;"Abierta",$G787=""),"",MAX($G787-TODAY(),0))</f>
        <v/>
      </c>
      <c r="Z787" s="12" t="str">
        <f aca="false">IF($C787="","",N($K787)*N($H787)*N($I787)*IF($U787="Débito",-1,1))</f>
        <v/>
      </c>
      <c r="AA787" s="13" t="str">
        <f aca="false">IF($C787="","",IF(AND($U787="Débito",$F787&lt;&gt;""),$F787,$E787))</f>
        <v/>
      </c>
      <c r="AB787" s="13" t="str">
        <f aca="false">IF(OR($C787="",$T787="Mixta",$AA787=""),"",IF($V787="Subyacente",IF($J787="","",$J787-$K787),IF($T787="Put",$AA787-$K787,$AA787+$K787)))</f>
        <v/>
      </c>
      <c r="AC787" s="14" t="str">
        <f aca="false">IF(OR($C787="",$T787="Mixta",$J787="",$AA787=""),"",IF($T787="Put",($J787-$AA787)/$J787,($AA787-$J787)/$J787))</f>
        <v/>
      </c>
      <c r="AD787" s="12" t="str">
        <f aca="false">IF($C787="","",IF($Q787&lt;&gt;"",$Q787,IF($V787="Strike",N($E787)*$H787*$I787,IF($V787="Subyacente",IF($J787="","",$J787*$H787*$I787),IF($V787="Ancho",IF($F787="","",ABS($E787-$F787)*$H787*$I787-$K787*$H787*$I787),IF($V787="Prima",$K787*$H787*$I787,""))))))</f>
        <v/>
      </c>
      <c r="AE787" s="12" t="str">
        <f aca="false">IF(OR($C787="",$M787="Abierta",$M787=""),"",(N($K787)-IF(OR($M787="Cerrada",$M787="Rolada"),N($O787),0))*$H787*$I787*IF($U787="Débito",-1,1)-N($L787)-N($P787))</f>
        <v/>
      </c>
      <c r="AF787" s="14" t="str">
        <f aca="false">IF(OR($AE787="",$AD787=""),"",IF($AD787&lt;=0,"",$AE787/$AD787))</f>
        <v/>
      </c>
      <c r="AG787" s="14" t="str">
        <f aca="false">IF($AF787="","",$AF787*365/MAX(N($X787),1))</f>
        <v/>
      </c>
      <c r="AH787" s="14" t="str">
        <f aca="false">IF(OR($C787="",$U787&lt;&gt;"Crédito",$AD787=""),"",IF($AD787&lt;=0,"",($Z787-N($L787))/$AD787))</f>
        <v/>
      </c>
      <c r="AI787" s="14" t="str">
        <f aca="false">IF(OR($AH787="",$W787=""),"",$AH787*365/MAX($W787,1))</f>
        <v/>
      </c>
      <c r="AJ787" s="14" t="str">
        <f aca="false">IF(OR($AE787="",$U787&lt;&gt;"Crédito",N($K787)=0),"",(N($K787)-IF(OR($M787="Cerrada",$M787="Rolada"),N($O787),0))/$K787)</f>
        <v/>
      </c>
      <c r="AK787" s="15" t="str">
        <f aca="false">IF(OR($C787="",$N787=""),"",DATE(YEAR($N787),MONTH($N787),1))</f>
        <v/>
      </c>
      <c r="AL787" s="11" t="str">
        <f aca="false">IF($C787="","",IF($M787="Abierta",0,1))</f>
        <v/>
      </c>
      <c r="AM787" s="16" t="str">
        <f aca="false">IF(OR($AE787="",$AD787=""),"",$AD787*MAX(N($X787),1))</f>
        <v/>
      </c>
      <c r="AN787" s="10" t="str">
        <f aca="false">IF($C787="","",IF(OR($B787="",$D787="",$H787="",$K787="",$M787=""),"Faltan datos obligatorios",IF($T787="","Estrategia no reconocida",IF(AND($M787&lt;&gt;"Abierta",$N787=""),"Falta fecha cierre",IF(AND(OR($M787="Cerrada",$M787="Rolada"),$O787=""),"Falta prima cierre",IF(AND($N787&lt;&gt;"",$N787&lt;$B787),"Cierre anterior a apertura",IF(AND($M787="Asignada",$R787=""),"Asignada: falta ID lote acciones",IF(AND($R787&lt;&gt;"",ISNA(MATCH($R787,Acciones!$A$2:$A$201,0))),"El ID lote no existe en Acciones",IF($AD787="","Revisa capital en riesgo","OK")))))))))</f>
        <v/>
      </c>
    </row>
    <row r="788" customFormat="false" ht="15" hidden="false" customHeight="true" outlineLevel="0" collapsed="false">
      <c r="A788" s="5"/>
      <c r="B788" s="6"/>
      <c r="C788" s="7"/>
      <c r="D788" s="7"/>
      <c r="E788" s="8"/>
      <c r="F788" s="8"/>
      <c r="G788" s="6"/>
      <c r="H788" s="5"/>
      <c r="I788" s="5" t="n">
        <v>100</v>
      </c>
      <c r="J788" s="8"/>
      <c r="K788" s="8"/>
      <c r="L788" s="9"/>
      <c r="M788" s="7"/>
      <c r="N788" s="6"/>
      <c r="O788" s="8"/>
      <c r="P788" s="9"/>
      <c r="Q788" s="9"/>
      <c r="R788" s="7"/>
      <c r="S788" s="7"/>
      <c r="T788" s="10" t="str">
        <f aca="false">IF($C788="","",IFERROR(INDEX(Listas!$B$2:$B$20,MATCH($D788,Listas!$A$2:$A$20,0)),""))</f>
        <v/>
      </c>
      <c r="U788" s="10" t="str">
        <f aca="false">IF($C788="","",IFERROR(INDEX(Listas!$C$2:$C$20,MATCH($D788,Listas!$A$2:$A$20,0)),""))</f>
        <v/>
      </c>
      <c r="V788" s="10" t="str">
        <f aca="false">IF($C788="","",IFERROR(INDEX(Listas!$D$2:$D$20,MATCH($D788,Listas!$A$2:$A$20,0)),""))</f>
        <v/>
      </c>
      <c r="W788" s="11" t="str">
        <f aca="false">IF(OR($C788="",$B788="",$G788=""),"",$G788-$B788)</f>
        <v/>
      </c>
      <c r="X788" s="11" t="str">
        <f aca="true">IF(OR($C788="",$B788=""),"",IF($N788&lt;&gt;"",$N788,TODAY())-$B788)</f>
        <v/>
      </c>
      <c r="Y788" s="11" t="str">
        <f aca="true">IF(OR($C788="",$M788&lt;&gt;"Abierta",$G788=""),"",MAX($G788-TODAY(),0))</f>
        <v/>
      </c>
      <c r="Z788" s="12" t="str">
        <f aca="false">IF($C788="","",N($K788)*N($H788)*N($I788)*IF($U788="Débito",-1,1))</f>
        <v/>
      </c>
      <c r="AA788" s="13" t="str">
        <f aca="false">IF($C788="","",IF(AND($U788="Débito",$F788&lt;&gt;""),$F788,$E788))</f>
        <v/>
      </c>
      <c r="AB788" s="13" t="str">
        <f aca="false">IF(OR($C788="",$T788="Mixta",$AA788=""),"",IF($V788="Subyacente",IF($J788="","",$J788-$K788),IF($T788="Put",$AA788-$K788,$AA788+$K788)))</f>
        <v/>
      </c>
      <c r="AC788" s="14" t="str">
        <f aca="false">IF(OR($C788="",$T788="Mixta",$J788="",$AA788=""),"",IF($T788="Put",($J788-$AA788)/$J788,($AA788-$J788)/$J788))</f>
        <v/>
      </c>
      <c r="AD788" s="12" t="str">
        <f aca="false">IF($C788="","",IF($Q788&lt;&gt;"",$Q788,IF($V788="Strike",N($E788)*$H788*$I788,IF($V788="Subyacente",IF($J788="","",$J788*$H788*$I788),IF($V788="Ancho",IF($F788="","",ABS($E788-$F788)*$H788*$I788-$K788*$H788*$I788),IF($V788="Prima",$K788*$H788*$I788,""))))))</f>
        <v/>
      </c>
      <c r="AE788" s="12" t="str">
        <f aca="false">IF(OR($C788="",$M788="Abierta",$M788=""),"",(N($K788)-IF(OR($M788="Cerrada",$M788="Rolada"),N($O788),0))*$H788*$I788*IF($U788="Débito",-1,1)-N($L788)-N($P788))</f>
        <v/>
      </c>
      <c r="AF788" s="14" t="str">
        <f aca="false">IF(OR($AE788="",$AD788=""),"",IF($AD788&lt;=0,"",$AE788/$AD788))</f>
        <v/>
      </c>
      <c r="AG788" s="14" t="str">
        <f aca="false">IF($AF788="","",$AF788*365/MAX(N($X788),1))</f>
        <v/>
      </c>
      <c r="AH788" s="14" t="str">
        <f aca="false">IF(OR($C788="",$U788&lt;&gt;"Crédito",$AD788=""),"",IF($AD788&lt;=0,"",($Z788-N($L788))/$AD788))</f>
        <v/>
      </c>
      <c r="AI788" s="14" t="str">
        <f aca="false">IF(OR($AH788="",$W788=""),"",$AH788*365/MAX($W788,1))</f>
        <v/>
      </c>
      <c r="AJ788" s="14" t="str">
        <f aca="false">IF(OR($AE788="",$U788&lt;&gt;"Crédito",N($K788)=0),"",(N($K788)-IF(OR($M788="Cerrada",$M788="Rolada"),N($O788),0))/$K788)</f>
        <v/>
      </c>
      <c r="AK788" s="15" t="str">
        <f aca="false">IF(OR($C788="",$N788=""),"",DATE(YEAR($N788),MONTH($N788),1))</f>
        <v/>
      </c>
      <c r="AL788" s="11" t="str">
        <f aca="false">IF($C788="","",IF($M788="Abierta",0,1))</f>
        <v/>
      </c>
      <c r="AM788" s="16" t="str">
        <f aca="false">IF(OR($AE788="",$AD788=""),"",$AD788*MAX(N($X788),1))</f>
        <v/>
      </c>
      <c r="AN788" s="10" t="str">
        <f aca="false">IF($C788="","",IF(OR($B788="",$D788="",$H788="",$K788="",$M788=""),"Faltan datos obligatorios",IF($T788="","Estrategia no reconocida",IF(AND($M788&lt;&gt;"Abierta",$N788=""),"Falta fecha cierre",IF(AND(OR($M788="Cerrada",$M788="Rolada"),$O788=""),"Falta prima cierre",IF(AND($N788&lt;&gt;"",$N788&lt;$B788),"Cierre anterior a apertura",IF(AND($M788="Asignada",$R788=""),"Asignada: falta ID lote acciones",IF(AND($R788&lt;&gt;"",ISNA(MATCH($R788,Acciones!$A$2:$A$201,0))),"El ID lote no existe en Acciones",IF($AD788="","Revisa capital en riesgo","OK")))))))))</f>
        <v/>
      </c>
    </row>
    <row r="789" customFormat="false" ht="15" hidden="false" customHeight="true" outlineLevel="0" collapsed="false">
      <c r="A789" s="5"/>
      <c r="B789" s="6"/>
      <c r="C789" s="7"/>
      <c r="D789" s="7"/>
      <c r="E789" s="8"/>
      <c r="F789" s="8"/>
      <c r="G789" s="6"/>
      <c r="H789" s="5"/>
      <c r="I789" s="5" t="n">
        <v>100</v>
      </c>
      <c r="J789" s="8"/>
      <c r="K789" s="8"/>
      <c r="L789" s="9"/>
      <c r="M789" s="7"/>
      <c r="N789" s="6"/>
      <c r="O789" s="8"/>
      <c r="P789" s="9"/>
      <c r="Q789" s="9"/>
      <c r="R789" s="7"/>
      <c r="S789" s="7"/>
      <c r="T789" s="10" t="str">
        <f aca="false">IF($C789="","",IFERROR(INDEX(Listas!$B$2:$B$20,MATCH($D789,Listas!$A$2:$A$20,0)),""))</f>
        <v/>
      </c>
      <c r="U789" s="10" t="str">
        <f aca="false">IF($C789="","",IFERROR(INDEX(Listas!$C$2:$C$20,MATCH($D789,Listas!$A$2:$A$20,0)),""))</f>
        <v/>
      </c>
      <c r="V789" s="10" t="str">
        <f aca="false">IF($C789="","",IFERROR(INDEX(Listas!$D$2:$D$20,MATCH($D789,Listas!$A$2:$A$20,0)),""))</f>
        <v/>
      </c>
      <c r="W789" s="11" t="str">
        <f aca="false">IF(OR($C789="",$B789="",$G789=""),"",$G789-$B789)</f>
        <v/>
      </c>
      <c r="X789" s="11" t="str">
        <f aca="true">IF(OR($C789="",$B789=""),"",IF($N789&lt;&gt;"",$N789,TODAY())-$B789)</f>
        <v/>
      </c>
      <c r="Y789" s="11" t="str">
        <f aca="true">IF(OR($C789="",$M789&lt;&gt;"Abierta",$G789=""),"",MAX($G789-TODAY(),0))</f>
        <v/>
      </c>
      <c r="Z789" s="12" t="str">
        <f aca="false">IF($C789="","",N($K789)*N($H789)*N($I789)*IF($U789="Débito",-1,1))</f>
        <v/>
      </c>
      <c r="AA789" s="13" t="str">
        <f aca="false">IF($C789="","",IF(AND($U789="Débito",$F789&lt;&gt;""),$F789,$E789))</f>
        <v/>
      </c>
      <c r="AB789" s="13" t="str">
        <f aca="false">IF(OR($C789="",$T789="Mixta",$AA789=""),"",IF($V789="Subyacente",IF($J789="","",$J789-$K789),IF($T789="Put",$AA789-$K789,$AA789+$K789)))</f>
        <v/>
      </c>
      <c r="AC789" s="14" t="str">
        <f aca="false">IF(OR($C789="",$T789="Mixta",$J789="",$AA789=""),"",IF($T789="Put",($J789-$AA789)/$J789,($AA789-$J789)/$J789))</f>
        <v/>
      </c>
      <c r="AD789" s="12" t="str">
        <f aca="false">IF($C789="","",IF($Q789&lt;&gt;"",$Q789,IF($V789="Strike",N($E789)*$H789*$I789,IF($V789="Subyacente",IF($J789="","",$J789*$H789*$I789),IF($V789="Ancho",IF($F789="","",ABS($E789-$F789)*$H789*$I789-$K789*$H789*$I789),IF($V789="Prima",$K789*$H789*$I789,""))))))</f>
        <v/>
      </c>
      <c r="AE789" s="12" t="str">
        <f aca="false">IF(OR($C789="",$M789="Abierta",$M789=""),"",(N($K789)-IF(OR($M789="Cerrada",$M789="Rolada"),N($O789),0))*$H789*$I789*IF($U789="Débito",-1,1)-N($L789)-N($P789))</f>
        <v/>
      </c>
      <c r="AF789" s="14" t="str">
        <f aca="false">IF(OR($AE789="",$AD789=""),"",IF($AD789&lt;=0,"",$AE789/$AD789))</f>
        <v/>
      </c>
      <c r="AG789" s="14" t="str">
        <f aca="false">IF($AF789="","",$AF789*365/MAX(N($X789),1))</f>
        <v/>
      </c>
      <c r="AH789" s="14" t="str">
        <f aca="false">IF(OR($C789="",$U789&lt;&gt;"Crédito",$AD789=""),"",IF($AD789&lt;=0,"",($Z789-N($L789))/$AD789))</f>
        <v/>
      </c>
      <c r="AI789" s="14" t="str">
        <f aca="false">IF(OR($AH789="",$W789=""),"",$AH789*365/MAX($W789,1))</f>
        <v/>
      </c>
      <c r="AJ789" s="14" t="str">
        <f aca="false">IF(OR($AE789="",$U789&lt;&gt;"Crédito",N($K789)=0),"",(N($K789)-IF(OR($M789="Cerrada",$M789="Rolada"),N($O789),0))/$K789)</f>
        <v/>
      </c>
      <c r="AK789" s="15" t="str">
        <f aca="false">IF(OR($C789="",$N789=""),"",DATE(YEAR($N789),MONTH($N789),1))</f>
        <v/>
      </c>
      <c r="AL789" s="11" t="str">
        <f aca="false">IF($C789="","",IF($M789="Abierta",0,1))</f>
        <v/>
      </c>
      <c r="AM789" s="16" t="str">
        <f aca="false">IF(OR($AE789="",$AD789=""),"",$AD789*MAX(N($X789),1))</f>
        <v/>
      </c>
      <c r="AN789" s="10" t="str">
        <f aca="false">IF($C789="","",IF(OR($B789="",$D789="",$H789="",$K789="",$M789=""),"Faltan datos obligatorios",IF($T789="","Estrategia no reconocida",IF(AND($M789&lt;&gt;"Abierta",$N789=""),"Falta fecha cierre",IF(AND(OR($M789="Cerrada",$M789="Rolada"),$O789=""),"Falta prima cierre",IF(AND($N789&lt;&gt;"",$N789&lt;$B789),"Cierre anterior a apertura",IF(AND($M789="Asignada",$R789=""),"Asignada: falta ID lote acciones",IF(AND($R789&lt;&gt;"",ISNA(MATCH($R789,Acciones!$A$2:$A$201,0))),"El ID lote no existe en Acciones",IF($AD789="","Revisa capital en riesgo","OK")))))))))</f>
        <v/>
      </c>
    </row>
    <row r="790" customFormat="false" ht="15" hidden="false" customHeight="true" outlineLevel="0" collapsed="false">
      <c r="A790" s="5"/>
      <c r="B790" s="6"/>
      <c r="C790" s="7"/>
      <c r="D790" s="7"/>
      <c r="E790" s="8"/>
      <c r="F790" s="8"/>
      <c r="G790" s="6"/>
      <c r="H790" s="5"/>
      <c r="I790" s="5" t="n">
        <v>100</v>
      </c>
      <c r="J790" s="8"/>
      <c r="K790" s="8"/>
      <c r="L790" s="9"/>
      <c r="M790" s="7"/>
      <c r="N790" s="6"/>
      <c r="O790" s="8"/>
      <c r="P790" s="9"/>
      <c r="Q790" s="9"/>
      <c r="R790" s="7"/>
      <c r="S790" s="7"/>
      <c r="T790" s="10" t="str">
        <f aca="false">IF($C790="","",IFERROR(INDEX(Listas!$B$2:$B$20,MATCH($D790,Listas!$A$2:$A$20,0)),""))</f>
        <v/>
      </c>
      <c r="U790" s="10" t="str">
        <f aca="false">IF($C790="","",IFERROR(INDEX(Listas!$C$2:$C$20,MATCH($D790,Listas!$A$2:$A$20,0)),""))</f>
        <v/>
      </c>
      <c r="V790" s="10" t="str">
        <f aca="false">IF($C790="","",IFERROR(INDEX(Listas!$D$2:$D$20,MATCH($D790,Listas!$A$2:$A$20,0)),""))</f>
        <v/>
      </c>
      <c r="W790" s="11" t="str">
        <f aca="false">IF(OR($C790="",$B790="",$G790=""),"",$G790-$B790)</f>
        <v/>
      </c>
      <c r="X790" s="11" t="str">
        <f aca="true">IF(OR($C790="",$B790=""),"",IF($N790&lt;&gt;"",$N790,TODAY())-$B790)</f>
        <v/>
      </c>
      <c r="Y790" s="11" t="str">
        <f aca="true">IF(OR($C790="",$M790&lt;&gt;"Abierta",$G790=""),"",MAX($G790-TODAY(),0))</f>
        <v/>
      </c>
      <c r="Z790" s="12" t="str">
        <f aca="false">IF($C790="","",N($K790)*N($H790)*N($I790)*IF($U790="Débito",-1,1))</f>
        <v/>
      </c>
      <c r="AA790" s="13" t="str">
        <f aca="false">IF($C790="","",IF(AND($U790="Débito",$F790&lt;&gt;""),$F790,$E790))</f>
        <v/>
      </c>
      <c r="AB790" s="13" t="str">
        <f aca="false">IF(OR($C790="",$T790="Mixta",$AA790=""),"",IF($V790="Subyacente",IF($J790="","",$J790-$K790),IF($T790="Put",$AA790-$K790,$AA790+$K790)))</f>
        <v/>
      </c>
      <c r="AC790" s="14" t="str">
        <f aca="false">IF(OR($C790="",$T790="Mixta",$J790="",$AA790=""),"",IF($T790="Put",($J790-$AA790)/$J790,($AA790-$J790)/$J790))</f>
        <v/>
      </c>
      <c r="AD790" s="12" t="str">
        <f aca="false">IF($C790="","",IF($Q790&lt;&gt;"",$Q790,IF($V790="Strike",N($E790)*$H790*$I790,IF($V790="Subyacente",IF($J790="","",$J790*$H790*$I790),IF($V790="Ancho",IF($F790="","",ABS($E790-$F790)*$H790*$I790-$K790*$H790*$I790),IF($V790="Prima",$K790*$H790*$I790,""))))))</f>
        <v/>
      </c>
      <c r="AE790" s="12" t="str">
        <f aca="false">IF(OR($C790="",$M790="Abierta",$M790=""),"",(N($K790)-IF(OR($M790="Cerrada",$M790="Rolada"),N($O790),0))*$H790*$I790*IF($U790="Débito",-1,1)-N($L790)-N($P790))</f>
        <v/>
      </c>
      <c r="AF790" s="14" t="str">
        <f aca="false">IF(OR($AE790="",$AD790=""),"",IF($AD790&lt;=0,"",$AE790/$AD790))</f>
        <v/>
      </c>
      <c r="AG790" s="14" t="str">
        <f aca="false">IF($AF790="","",$AF790*365/MAX(N($X790),1))</f>
        <v/>
      </c>
      <c r="AH790" s="14" t="str">
        <f aca="false">IF(OR($C790="",$U790&lt;&gt;"Crédito",$AD790=""),"",IF($AD790&lt;=0,"",($Z790-N($L790))/$AD790))</f>
        <v/>
      </c>
      <c r="AI790" s="14" t="str">
        <f aca="false">IF(OR($AH790="",$W790=""),"",$AH790*365/MAX($W790,1))</f>
        <v/>
      </c>
      <c r="AJ790" s="14" t="str">
        <f aca="false">IF(OR($AE790="",$U790&lt;&gt;"Crédito",N($K790)=0),"",(N($K790)-IF(OR($M790="Cerrada",$M790="Rolada"),N($O790),0))/$K790)</f>
        <v/>
      </c>
      <c r="AK790" s="15" t="str">
        <f aca="false">IF(OR($C790="",$N790=""),"",DATE(YEAR($N790),MONTH($N790),1))</f>
        <v/>
      </c>
      <c r="AL790" s="11" t="str">
        <f aca="false">IF($C790="","",IF($M790="Abierta",0,1))</f>
        <v/>
      </c>
      <c r="AM790" s="16" t="str">
        <f aca="false">IF(OR($AE790="",$AD790=""),"",$AD790*MAX(N($X790),1))</f>
        <v/>
      </c>
      <c r="AN790" s="10" t="str">
        <f aca="false">IF($C790="","",IF(OR($B790="",$D790="",$H790="",$K790="",$M790=""),"Faltan datos obligatorios",IF($T790="","Estrategia no reconocida",IF(AND($M790&lt;&gt;"Abierta",$N790=""),"Falta fecha cierre",IF(AND(OR($M790="Cerrada",$M790="Rolada"),$O790=""),"Falta prima cierre",IF(AND($N790&lt;&gt;"",$N790&lt;$B790),"Cierre anterior a apertura",IF(AND($M790="Asignada",$R790=""),"Asignada: falta ID lote acciones",IF(AND($R790&lt;&gt;"",ISNA(MATCH($R790,Acciones!$A$2:$A$201,0))),"El ID lote no existe en Acciones",IF($AD790="","Revisa capital en riesgo","OK")))))))))</f>
        <v/>
      </c>
    </row>
    <row r="791" customFormat="false" ht="15" hidden="false" customHeight="true" outlineLevel="0" collapsed="false">
      <c r="A791" s="5"/>
      <c r="B791" s="6"/>
      <c r="C791" s="7"/>
      <c r="D791" s="7"/>
      <c r="E791" s="8"/>
      <c r="F791" s="8"/>
      <c r="G791" s="6"/>
      <c r="H791" s="5"/>
      <c r="I791" s="5" t="n">
        <v>100</v>
      </c>
      <c r="J791" s="8"/>
      <c r="K791" s="8"/>
      <c r="L791" s="9"/>
      <c r="M791" s="7"/>
      <c r="N791" s="6"/>
      <c r="O791" s="8"/>
      <c r="P791" s="9"/>
      <c r="Q791" s="9"/>
      <c r="R791" s="7"/>
      <c r="S791" s="7"/>
      <c r="T791" s="10" t="str">
        <f aca="false">IF($C791="","",IFERROR(INDEX(Listas!$B$2:$B$20,MATCH($D791,Listas!$A$2:$A$20,0)),""))</f>
        <v/>
      </c>
      <c r="U791" s="10" t="str">
        <f aca="false">IF($C791="","",IFERROR(INDEX(Listas!$C$2:$C$20,MATCH($D791,Listas!$A$2:$A$20,0)),""))</f>
        <v/>
      </c>
      <c r="V791" s="10" t="str">
        <f aca="false">IF($C791="","",IFERROR(INDEX(Listas!$D$2:$D$20,MATCH($D791,Listas!$A$2:$A$20,0)),""))</f>
        <v/>
      </c>
      <c r="W791" s="11" t="str">
        <f aca="false">IF(OR($C791="",$B791="",$G791=""),"",$G791-$B791)</f>
        <v/>
      </c>
      <c r="X791" s="11" t="str">
        <f aca="true">IF(OR($C791="",$B791=""),"",IF($N791&lt;&gt;"",$N791,TODAY())-$B791)</f>
        <v/>
      </c>
      <c r="Y791" s="11" t="str">
        <f aca="true">IF(OR($C791="",$M791&lt;&gt;"Abierta",$G791=""),"",MAX($G791-TODAY(),0))</f>
        <v/>
      </c>
      <c r="Z791" s="12" t="str">
        <f aca="false">IF($C791="","",N($K791)*N($H791)*N($I791)*IF($U791="Débito",-1,1))</f>
        <v/>
      </c>
      <c r="AA791" s="13" t="str">
        <f aca="false">IF($C791="","",IF(AND($U791="Débito",$F791&lt;&gt;""),$F791,$E791))</f>
        <v/>
      </c>
      <c r="AB791" s="13" t="str">
        <f aca="false">IF(OR($C791="",$T791="Mixta",$AA791=""),"",IF($V791="Subyacente",IF($J791="","",$J791-$K791),IF($T791="Put",$AA791-$K791,$AA791+$K791)))</f>
        <v/>
      </c>
      <c r="AC791" s="14" t="str">
        <f aca="false">IF(OR($C791="",$T791="Mixta",$J791="",$AA791=""),"",IF($T791="Put",($J791-$AA791)/$J791,($AA791-$J791)/$J791))</f>
        <v/>
      </c>
      <c r="AD791" s="12" t="str">
        <f aca="false">IF($C791="","",IF($Q791&lt;&gt;"",$Q791,IF($V791="Strike",N($E791)*$H791*$I791,IF($V791="Subyacente",IF($J791="","",$J791*$H791*$I791),IF($V791="Ancho",IF($F791="","",ABS($E791-$F791)*$H791*$I791-$K791*$H791*$I791),IF($V791="Prima",$K791*$H791*$I791,""))))))</f>
        <v/>
      </c>
      <c r="AE791" s="12" t="str">
        <f aca="false">IF(OR($C791="",$M791="Abierta",$M791=""),"",(N($K791)-IF(OR($M791="Cerrada",$M791="Rolada"),N($O791),0))*$H791*$I791*IF($U791="Débito",-1,1)-N($L791)-N($P791))</f>
        <v/>
      </c>
      <c r="AF791" s="14" t="str">
        <f aca="false">IF(OR($AE791="",$AD791=""),"",IF($AD791&lt;=0,"",$AE791/$AD791))</f>
        <v/>
      </c>
      <c r="AG791" s="14" t="str">
        <f aca="false">IF($AF791="","",$AF791*365/MAX(N($X791),1))</f>
        <v/>
      </c>
      <c r="AH791" s="14" t="str">
        <f aca="false">IF(OR($C791="",$U791&lt;&gt;"Crédito",$AD791=""),"",IF($AD791&lt;=0,"",($Z791-N($L791))/$AD791))</f>
        <v/>
      </c>
      <c r="AI791" s="14" t="str">
        <f aca="false">IF(OR($AH791="",$W791=""),"",$AH791*365/MAX($W791,1))</f>
        <v/>
      </c>
      <c r="AJ791" s="14" t="str">
        <f aca="false">IF(OR($AE791="",$U791&lt;&gt;"Crédito",N($K791)=0),"",(N($K791)-IF(OR($M791="Cerrada",$M791="Rolada"),N($O791),0))/$K791)</f>
        <v/>
      </c>
      <c r="AK791" s="15" t="str">
        <f aca="false">IF(OR($C791="",$N791=""),"",DATE(YEAR($N791),MONTH($N791),1))</f>
        <v/>
      </c>
      <c r="AL791" s="11" t="str">
        <f aca="false">IF($C791="","",IF($M791="Abierta",0,1))</f>
        <v/>
      </c>
      <c r="AM791" s="16" t="str">
        <f aca="false">IF(OR($AE791="",$AD791=""),"",$AD791*MAX(N($X791),1))</f>
        <v/>
      </c>
      <c r="AN791" s="10" t="str">
        <f aca="false">IF($C791="","",IF(OR($B791="",$D791="",$H791="",$K791="",$M791=""),"Faltan datos obligatorios",IF($T791="","Estrategia no reconocida",IF(AND($M791&lt;&gt;"Abierta",$N791=""),"Falta fecha cierre",IF(AND(OR($M791="Cerrada",$M791="Rolada"),$O791=""),"Falta prima cierre",IF(AND($N791&lt;&gt;"",$N791&lt;$B791),"Cierre anterior a apertura",IF(AND($M791="Asignada",$R791=""),"Asignada: falta ID lote acciones",IF(AND($R791&lt;&gt;"",ISNA(MATCH($R791,Acciones!$A$2:$A$201,0))),"El ID lote no existe en Acciones",IF($AD791="","Revisa capital en riesgo","OK")))))))))</f>
        <v/>
      </c>
    </row>
    <row r="792" customFormat="false" ht="15" hidden="false" customHeight="true" outlineLevel="0" collapsed="false">
      <c r="A792" s="5"/>
      <c r="B792" s="6"/>
      <c r="C792" s="7"/>
      <c r="D792" s="7"/>
      <c r="E792" s="8"/>
      <c r="F792" s="8"/>
      <c r="G792" s="6"/>
      <c r="H792" s="5"/>
      <c r="I792" s="5" t="n">
        <v>100</v>
      </c>
      <c r="J792" s="8"/>
      <c r="K792" s="8"/>
      <c r="L792" s="9"/>
      <c r="M792" s="7"/>
      <c r="N792" s="6"/>
      <c r="O792" s="8"/>
      <c r="P792" s="9"/>
      <c r="Q792" s="9"/>
      <c r="R792" s="7"/>
      <c r="S792" s="7"/>
      <c r="T792" s="10" t="str">
        <f aca="false">IF($C792="","",IFERROR(INDEX(Listas!$B$2:$B$20,MATCH($D792,Listas!$A$2:$A$20,0)),""))</f>
        <v/>
      </c>
      <c r="U792" s="10" t="str">
        <f aca="false">IF($C792="","",IFERROR(INDEX(Listas!$C$2:$C$20,MATCH($D792,Listas!$A$2:$A$20,0)),""))</f>
        <v/>
      </c>
      <c r="V792" s="10" t="str">
        <f aca="false">IF($C792="","",IFERROR(INDEX(Listas!$D$2:$D$20,MATCH($D792,Listas!$A$2:$A$20,0)),""))</f>
        <v/>
      </c>
      <c r="W792" s="11" t="str">
        <f aca="false">IF(OR($C792="",$B792="",$G792=""),"",$G792-$B792)</f>
        <v/>
      </c>
      <c r="X792" s="11" t="str">
        <f aca="true">IF(OR($C792="",$B792=""),"",IF($N792&lt;&gt;"",$N792,TODAY())-$B792)</f>
        <v/>
      </c>
      <c r="Y792" s="11" t="str">
        <f aca="true">IF(OR($C792="",$M792&lt;&gt;"Abierta",$G792=""),"",MAX($G792-TODAY(),0))</f>
        <v/>
      </c>
      <c r="Z792" s="12" t="str">
        <f aca="false">IF($C792="","",N($K792)*N($H792)*N($I792)*IF($U792="Débito",-1,1))</f>
        <v/>
      </c>
      <c r="AA792" s="13" t="str">
        <f aca="false">IF($C792="","",IF(AND($U792="Débito",$F792&lt;&gt;""),$F792,$E792))</f>
        <v/>
      </c>
      <c r="AB792" s="13" t="str">
        <f aca="false">IF(OR($C792="",$T792="Mixta",$AA792=""),"",IF($V792="Subyacente",IF($J792="","",$J792-$K792),IF($T792="Put",$AA792-$K792,$AA792+$K792)))</f>
        <v/>
      </c>
      <c r="AC792" s="14" t="str">
        <f aca="false">IF(OR($C792="",$T792="Mixta",$J792="",$AA792=""),"",IF($T792="Put",($J792-$AA792)/$J792,($AA792-$J792)/$J792))</f>
        <v/>
      </c>
      <c r="AD792" s="12" t="str">
        <f aca="false">IF($C792="","",IF($Q792&lt;&gt;"",$Q792,IF($V792="Strike",N($E792)*$H792*$I792,IF($V792="Subyacente",IF($J792="","",$J792*$H792*$I792),IF($V792="Ancho",IF($F792="","",ABS($E792-$F792)*$H792*$I792-$K792*$H792*$I792),IF($V792="Prima",$K792*$H792*$I792,""))))))</f>
        <v/>
      </c>
      <c r="AE792" s="12" t="str">
        <f aca="false">IF(OR($C792="",$M792="Abierta",$M792=""),"",(N($K792)-IF(OR($M792="Cerrada",$M792="Rolada"),N($O792),0))*$H792*$I792*IF($U792="Débito",-1,1)-N($L792)-N($P792))</f>
        <v/>
      </c>
      <c r="AF792" s="14" t="str">
        <f aca="false">IF(OR($AE792="",$AD792=""),"",IF($AD792&lt;=0,"",$AE792/$AD792))</f>
        <v/>
      </c>
      <c r="AG792" s="14" t="str">
        <f aca="false">IF($AF792="","",$AF792*365/MAX(N($X792),1))</f>
        <v/>
      </c>
      <c r="AH792" s="14" t="str">
        <f aca="false">IF(OR($C792="",$U792&lt;&gt;"Crédito",$AD792=""),"",IF($AD792&lt;=0,"",($Z792-N($L792))/$AD792))</f>
        <v/>
      </c>
      <c r="AI792" s="14" t="str">
        <f aca="false">IF(OR($AH792="",$W792=""),"",$AH792*365/MAX($W792,1))</f>
        <v/>
      </c>
      <c r="AJ792" s="14" t="str">
        <f aca="false">IF(OR($AE792="",$U792&lt;&gt;"Crédito",N($K792)=0),"",(N($K792)-IF(OR($M792="Cerrada",$M792="Rolada"),N($O792),0))/$K792)</f>
        <v/>
      </c>
      <c r="AK792" s="15" t="str">
        <f aca="false">IF(OR($C792="",$N792=""),"",DATE(YEAR($N792),MONTH($N792),1))</f>
        <v/>
      </c>
      <c r="AL792" s="11" t="str">
        <f aca="false">IF($C792="","",IF($M792="Abierta",0,1))</f>
        <v/>
      </c>
      <c r="AM792" s="16" t="str">
        <f aca="false">IF(OR($AE792="",$AD792=""),"",$AD792*MAX(N($X792),1))</f>
        <v/>
      </c>
      <c r="AN792" s="10" t="str">
        <f aca="false">IF($C792="","",IF(OR($B792="",$D792="",$H792="",$K792="",$M792=""),"Faltan datos obligatorios",IF($T792="","Estrategia no reconocida",IF(AND($M792&lt;&gt;"Abierta",$N792=""),"Falta fecha cierre",IF(AND(OR($M792="Cerrada",$M792="Rolada"),$O792=""),"Falta prima cierre",IF(AND($N792&lt;&gt;"",$N792&lt;$B792),"Cierre anterior a apertura",IF(AND($M792="Asignada",$R792=""),"Asignada: falta ID lote acciones",IF(AND($R792&lt;&gt;"",ISNA(MATCH($R792,Acciones!$A$2:$A$201,0))),"El ID lote no existe en Acciones",IF($AD792="","Revisa capital en riesgo","OK")))))))))</f>
        <v/>
      </c>
    </row>
    <row r="793" customFormat="false" ht="15" hidden="false" customHeight="true" outlineLevel="0" collapsed="false">
      <c r="A793" s="5"/>
      <c r="B793" s="6"/>
      <c r="C793" s="7"/>
      <c r="D793" s="7"/>
      <c r="E793" s="8"/>
      <c r="F793" s="8"/>
      <c r="G793" s="6"/>
      <c r="H793" s="5"/>
      <c r="I793" s="5" t="n">
        <v>100</v>
      </c>
      <c r="J793" s="8"/>
      <c r="K793" s="8"/>
      <c r="L793" s="9"/>
      <c r="M793" s="7"/>
      <c r="N793" s="6"/>
      <c r="O793" s="8"/>
      <c r="P793" s="9"/>
      <c r="Q793" s="9"/>
      <c r="R793" s="7"/>
      <c r="S793" s="7"/>
      <c r="T793" s="10" t="str">
        <f aca="false">IF($C793="","",IFERROR(INDEX(Listas!$B$2:$B$20,MATCH($D793,Listas!$A$2:$A$20,0)),""))</f>
        <v/>
      </c>
      <c r="U793" s="10" t="str">
        <f aca="false">IF($C793="","",IFERROR(INDEX(Listas!$C$2:$C$20,MATCH($D793,Listas!$A$2:$A$20,0)),""))</f>
        <v/>
      </c>
      <c r="V793" s="10" t="str">
        <f aca="false">IF($C793="","",IFERROR(INDEX(Listas!$D$2:$D$20,MATCH($D793,Listas!$A$2:$A$20,0)),""))</f>
        <v/>
      </c>
      <c r="W793" s="11" t="str">
        <f aca="false">IF(OR($C793="",$B793="",$G793=""),"",$G793-$B793)</f>
        <v/>
      </c>
      <c r="X793" s="11" t="str">
        <f aca="true">IF(OR($C793="",$B793=""),"",IF($N793&lt;&gt;"",$N793,TODAY())-$B793)</f>
        <v/>
      </c>
      <c r="Y793" s="11" t="str">
        <f aca="true">IF(OR($C793="",$M793&lt;&gt;"Abierta",$G793=""),"",MAX($G793-TODAY(),0))</f>
        <v/>
      </c>
      <c r="Z793" s="12" t="str">
        <f aca="false">IF($C793="","",N($K793)*N($H793)*N($I793)*IF($U793="Débito",-1,1))</f>
        <v/>
      </c>
      <c r="AA793" s="13" t="str">
        <f aca="false">IF($C793="","",IF(AND($U793="Débito",$F793&lt;&gt;""),$F793,$E793))</f>
        <v/>
      </c>
      <c r="AB793" s="13" t="str">
        <f aca="false">IF(OR($C793="",$T793="Mixta",$AA793=""),"",IF($V793="Subyacente",IF($J793="","",$J793-$K793),IF($T793="Put",$AA793-$K793,$AA793+$K793)))</f>
        <v/>
      </c>
      <c r="AC793" s="14" t="str">
        <f aca="false">IF(OR($C793="",$T793="Mixta",$J793="",$AA793=""),"",IF($T793="Put",($J793-$AA793)/$J793,($AA793-$J793)/$J793))</f>
        <v/>
      </c>
      <c r="AD793" s="12" t="str">
        <f aca="false">IF($C793="","",IF($Q793&lt;&gt;"",$Q793,IF($V793="Strike",N($E793)*$H793*$I793,IF($V793="Subyacente",IF($J793="","",$J793*$H793*$I793),IF($V793="Ancho",IF($F793="","",ABS($E793-$F793)*$H793*$I793-$K793*$H793*$I793),IF($V793="Prima",$K793*$H793*$I793,""))))))</f>
        <v/>
      </c>
      <c r="AE793" s="12" t="str">
        <f aca="false">IF(OR($C793="",$M793="Abierta",$M793=""),"",(N($K793)-IF(OR($M793="Cerrada",$M793="Rolada"),N($O793),0))*$H793*$I793*IF($U793="Débito",-1,1)-N($L793)-N($P793))</f>
        <v/>
      </c>
      <c r="AF793" s="14" t="str">
        <f aca="false">IF(OR($AE793="",$AD793=""),"",IF($AD793&lt;=0,"",$AE793/$AD793))</f>
        <v/>
      </c>
      <c r="AG793" s="14" t="str">
        <f aca="false">IF($AF793="","",$AF793*365/MAX(N($X793),1))</f>
        <v/>
      </c>
      <c r="AH793" s="14" t="str">
        <f aca="false">IF(OR($C793="",$U793&lt;&gt;"Crédito",$AD793=""),"",IF($AD793&lt;=0,"",($Z793-N($L793))/$AD793))</f>
        <v/>
      </c>
      <c r="AI793" s="14" t="str">
        <f aca="false">IF(OR($AH793="",$W793=""),"",$AH793*365/MAX($W793,1))</f>
        <v/>
      </c>
      <c r="AJ793" s="14" t="str">
        <f aca="false">IF(OR($AE793="",$U793&lt;&gt;"Crédito",N($K793)=0),"",(N($K793)-IF(OR($M793="Cerrada",$M793="Rolada"),N($O793),0))/$K793)</f>
        <v/>
      </c>
      <c r="AK793" s="15" t="str">
        <f aca="false">IF(OR($C793="",$N793=""),"",DATE(YEAR($N793),MONTH($N793),1))</f>
        <v/>
      </c>
      <c r="AL793" s="11" t="str">
        <f aca="false">IF($C793="","",IF($M793="Abierta",0,1))</f>
        <v/>
      </c>
      <c r="AM793" s="16" t="str">
        <f aca="false">IF(OR($AE793="",$AD793=""),"",$AD793*MAX(N($X793),1))</f>
        <v/>
      </c>
      <c r="AN793" s="10" t="str">
        <f aca="false">IF($C793="","",IF(OR($B793="",$D793="",$H793="",$K793="",$M793=""),"Faltan datos obligatorios",IF($T793="","Estrategia no reconocida",IF(AND($M793&lt;&gt;"Abierta",$N793=""),"Falta fecha cierre",IF(AND(OR($M793="Cerrada",$M793="Rolada"),$O793=""),"Falta prima cierre",IF(AND($N793&lt;&gt;"",$N793&lt;$B793),"Cierre anterior a apertura",IF(AND($M793="Asignada",$R793=""),"Asignada: falta ID lote acciones",IF(AND($R793&lt;&gt;"",ISNA(MATCH($R793,Acciones!$A$2:$A$201,0))),"El ID lote no existe en Acciones",IF($AD793="","Revisa capital en riesgo","OK")))))))))</f>
        <v/>
      </c>
    </row>
    <row r="794" customFormat="false" ht="15" hidden="false" customHeight="true" outlineLevel="0" collapsed="false">
      <c r="A794" s="5"/>
      <c r="B794" s="6"/>
      <c r="C794" s="7"/>
      <c r="D794" s="7"/>
      <c r="E794" s="8"/>
      <c r="F794" s="8"/>
      <c r="G794" s="6"/>
      <c r="H794" s="5"/>
      <c r="I794" s="5" t="n">
        <v>100</v>
      </c>
      <c r="J794" s="8"/>
      <c r="K794" s="8"/>
      <c r="L794" s="9"/>
      <c r="M794" s="7"/>
      <c r="N794" s="6"/>
      <c r="O794" s="8"/>
      <c r="P794" s="9"/>
      <c r="Q794" s="9"/>
      <c r="R794" s="7"/>
      <c r="S794" s="7"/>
      <c r="T794" s="10" t="str">
        <f aca="false">IF($C794="","",IFERROR(INDEX(Listas!$B$2:$B$20,MATCH($D794,Listas!$A$2:$A$20,0)),""))</f>
        <v/>
      </c>
      <c r="U794" s="10" t="str">
        <f aca="false">IF($C794="","",IFERROR(INDEX(Listas!$C$2:$C$20,MATCH($D794,Listas!$A$2:$A$20,0)),""))</f>
        <v/>
      </c>
      <c r="V794" s="10" t="str">
        <f aca="false">IF($C794="","",IFERROR(INDEX(Listas!$D$2:$D$20,MATCH($D794,Listas!$A$2:$A$20,0)),""))</f>
        <v/>
      </c>
      <c r="W794" s="11" t="str">
        <f aca="false">IF(OR($C794="",$B794="",$G794=""),"",$G794-$B794)</f>
        <v/>
      </c>
      <c r="X794" s="11" t="str">
        <f aca="true">IF(OR($C794="",$B794=""),"",IF($N794&lt;&gt;"",$N794,TODAY())-$B794)</f>
        <v/>
      </c>
      <c r="Y794" s="11" t="str">
        <f aca="true">IF(OR($C794="",$M794&lt;&gt;"Abierta",$G794=""),"",MAX($G794-TODAY(),0))</f>
        <v/>
      </c>
      <c r="Z794" s="12" t="str">
        <f aca="false">IF($C794="","",N($K794)*N($H794)*N($I794)*IF($U794="Débito",-1,1))</f>
        <v/>
      </c>
      <c r="AA794" s="13" t="str">
        <f aca="false">IF($C794="","",IF(AND($U794="Débito",$F794&lt;&gt;""),$F794,$E794))</f>
        <v/>
      </c>
      <c r="AB794" s="13" t="str">
        <f aca="false">IF(OR($C794="",$T794="Mixta",$AA794=""),"",IF($V794="Subyacente",IF($J794="","",$J794-$K794),IF($T794="Put",$AA794-$K794,$AA794+$K794)))</f>
        <v/>
      </c>
      <c r="AC794" s="14" t="str">
        <f aca="false">IF(OR($C794="",$T794="Mixta",$J794="",$AA794=""),"",IF($T794="Put",($J794-$AA794)/$J794,($AA794-$J794)/$J794))</f>
        <v/>
      </c>
      <c r="AD794" s="12" t="str">
        <f aca="false">IF($C794="","",IF($Q794&lt;&gt;"",$Q794,IF($V794="Strike",N($E794)*$H794*$I794,IF($V794="Subyacente",IF($J794="","",$J794*$H794*$I794),IF($V794="Ancho",IF($F794="","",ABS($E794-$F794)*$H794*$I794-$K794*$H794*$I794),IF($V794="Prima",$K794*$H794*$I794,""))))))</f>
        <v/>
      </c>
      <c r="AE794" s="12" t="str">
        <f aca="false">IF(OR($C794="",$M794="Abierta",$M794=""),"",(N($K794)-IF(OR($M794="Cerrada",$M794="Rolada"),N($O794),0))*$H794*$I794*IF($U794="Débito",-1,1)-N($L794)-N($P794))</f>
        <v/>
      </c>
      <c r="AF794" s="14" t="str">
        <f aca="false">IF(OR($AE794="",$AD794=""),"",IF($AD794&lt;=0,"",$AE794/$AD794))</f>
        <v/>
      </c>
      <c r="AG794" s="14" t="str">
        <f aca="false">IF($AF794="","",$AF794*365/MAX(N($X794),1))</f>
        <v/>
      </c>
      <c r="AH794" s="14" t="str">
        <f aca="false">IF(OR($C794="",$U794&lt;&gt;"Crédito",$AD794=""),"",IF($AD794&lt;=0,"",($Z794-N($L794))/$AD794))</f>
        <v/>
      </c>
      <c r="AI794" s="14" t="str">
        <f aca="false">IF(OR($AH794="",$W794=""),"",$AH794*365/MAX($W794,1))</f>
        <v/>
      </c>
      <c r="AJ794" s="14" t="str">
        <f aca="false">IF(OR($AE794="",$U794&lt;&gt;"Crédito",N($K794)=0),"",(N($K794)-IF(OR($M794="Cerrada",$M794="Rolada"),N($O794),0))/$K794)</f>
        <v/>
      </c>
      <c r="AK794" s="15" t="str">
        <f aca="false">IF(OR($C794="",$N794=""),"",DATE(YEAR($N794),MONTH($N794),1))</f>
        <v/>
      </c>
      <c r="AL794" s="11" t="str">
        <f aca="false">IF($C794="","",IF($M794="Abierta",0,1))</f>
        <v/>
      </c>
      <c r="AM794" s="16" t="str">
        <f aca="false">IF(OR($AE794="",$AD794=""),"",$AD794*MAX(N($X794),1))</f>
        <v/>
      </c>
      <c r="AN794" s="10" t="str">
        <f aca="false">IF($C794="","",IF(OR($B794="",$D794="",$H794="",$K794="",$M794=""),"Faltan datos obligatorios",IF($T794="","Estrategia no reconocida",IF(AND($M794&lt;&gt;"Abierta",$N794=""),"Falta fecha cierre",IF(AND(OR($M794="Cerrada",$M794="Rolada"),$O794=""),"Falta prima cierre",IF(AND($N794&lt;&gt;"",$N794&lt;$B794),"Cierre anterior a apertura",IF(AND($M794="Asignada",$R794=""),"Asignada: falta ID lote acciones",IF(AND($R794&lt;&gt;"",ISNA(MATCH($R794,Acciones!$A$2:$A$201,0))),"El ID lote no existe en Acciones",IF($AD794="","Revisa capital en riesgo","OK")))))))))</f>
        <v/>
      </c>
    </row>
    <row r="795" customFormat="false" ht="15" hidden="false" customHeight="true" outlineLevel="0" collapsed="false">
      <c r="A795" s="5"/>
      <c r="B795" s="6"/>
      <c r="C795" s="7"/>
      <c r="D795" s="7"/>
      <c r="E795" s="8"/>
      <c r="F795" s="8"/>
      <c r="G795" s="6"/>
      <c r="H795" s="5"/>
      <c r="I795" s="5" t="n">
        <v>100</v>
      </c>
      <c r="J795" s="8"/>
      <c r="K795" s="8"/>
      <c r="L795" s="9"/>
      <c r="M795" s="7"/>
      <c r="N795" s="6"/>
      <c r="O795" s="8"/>
      <c r="P795" s="9"/>
      <c r="Q795" s="9"/>
      <c r="R795" s="7"/>
      <c r="S795" s="7"/>
      <c r="T795" s="10" t="str">
        <f aca="false">IF($C795="","",IFERROR(INDEX(Listas!$B$2:$B$20,MATCH($D795,Listas!$A$2:$A$20,0)),""))</f>
        <v/>
      </c>
      <c r="U795" s="10" t="str">
        <f aca="false">IF($C795="","",IFERROR(INDEX(Listas!$C$2:$C$20,MATCH($D795,Listas!$A$2:$A$20,0)),""))</f>
        <v/>
      </c>
      <c r="V795" s="10" t="str">
        <f aca="false">IF($C795="","",IFERROR(INDEX(Listas!$D$2:$D$20,MATCH($D795,Listas!$A$2:$A$20,0)),""))</f>
        <v/>
      </c>
      <c r="W795" s="11" t="str">
        <f aca="false">IF(OR($C795="",$B795="",$G795=""),"",$G795-$B795)</f>
        <v/>
      </c>
      <c r="X795" s="11" t="str">
        <f aca="true">IF(OR($C795="",$B795=""),"",IF($N795&lt;&gt;"",$N795,TODAY())-$B795)</f>
        <v/>
      </c>
      <c r="Y795" s="11" t="str">
        <f aca="true">IF(OR($C795="",$M795&lt;&gt;"Abierta",$G795=""),"",MAX($G795-TODAY(),0))</f>
        <v/>
      </c>
      <c r="Z795" s="12" t="str">
        <f aca="false">IF($C795="","",N($K795)*N($H795)*N($I795)*IF($U795="Débito",-1,1))</f>
        <v/>
      </c>
      <c r="AA795" s="13" t="str">
        <f aca="false">IF($C795="","",IF(AND($U795="Débito",$F795&lt;&gt;""),$F795,$E795))</f>
        <v/>
      </c>
      <c r="AB795" s="13" t="str">
        <f aca="false">IF(OR($C795="",$T795="Mixta",$AA795=""),"",IF($V795="Subyacente",IF($J795="","",$J795-$K795),IF($T795="Put",$AA795-$K795,$AA795+$K795)))</f>
        <v/>
      </c>
      <c r="AC795" s="14" t="str">
        <f aca="false">IF(OR($C795="",$T795="Mixta",$J795="",$AA795=""),"",IF($T795="Put",($J795-$AA795)/$J795,($AA795-$J795)/$J795))</f>
        <v/>
      </c>
      <c r="AD795" s="12" t="str">
        <f aca="false">IF($C795="","",IF($Q795&lt;&gt;"",$Q795,IF($V795="Strike",N($E795)*$H795*$I795,IF($V795="Subyacente",IF($J795="","",$J795*$H795*$I795),IF($V795="Ancho",IF($F795="","",ABS($E795-$F795)*$H795*$I795-$K795*$H795*$I795),IF($V795="Prima",$K795*$H795*$I795,""))))))</f>
        <v/>
      </c>
      <c r="AE795" s="12" t="str">
        <f aca="false">IF(OR($C795="",$M795="Abierta",$M795=""),"",(N($K795)-IF(OR($M795="Cerrada",$M795="Rolada"),N($O795),0))*$H795*$I795*IF($U795="Débito",-1,1)-N($L795)-N($P795))</f>
        <v/>
      </c>
      <c r="AF795" s="14" t="str">
        <f aca="false">IF(OR($AE795="",$AD795=""),"",IF($AD795&lt;=0,"",$AE795/$AD795))</f>
        <v/>
      </c>
      <c r="AG795" s="14" t="str">
        <f aca="false">IF($AF795="","",$AF795*365/MAX(N($X795),1))</f>
        <v/>
      </c>
      <c r="AH795" s="14" t="str">
        <f aca="false">IF(OR($C795="",$U795&lt;&gt;"Crédito",$AD795=""),"",IF($AD795&lt;=0,"",($Z795-N($L795))/$AD795))</f>
        <v/>
      </c>
      <c r="AI795" s="14" t="str">
        <f aca="false">IF(OR($AH795="",$W795=""),"",$AH795*365/MAX($W795,1))</f>
        <v/>
      </c>
      <c r="AJ795" s="14" t="str">
        <f aca="false">IF(OR($AE795="",$U795&lt;&gt;"Crédito",N($K795)=0),"",(N($K795)-IF(OR($M795="Cerrada",$M795="Rolada"),N($O795),0))/$K795)</f>
        <v/>
      </c>
      <c r="AK795" s="15" t="str">
        <f aca="false">IF(OR($C795="",$N795=""),"",DATE(YEAR($N795),MONTH($N795),1))</f>
        <v/>
      </c>
      <c r="AL795" s="11" t="str">
        <f aca="false">IF($C795="","",IF($M795="Abierta",0,1))</f>
        <v/>
      </c>
      <c r="AM795" s="16" t="str">
        <f aca="false">IF(OR($AE795="",$AD795=""),"",$AD795*MAX(N($X795),1))</f>
        <v/>
      </c>
      <c r="AN795" s="10" t="str">
        <f aca="false">IF($C795="","",IF(OR($B795="",$D795="",$H795="",$K795="",$M795=""),"Faltan datos obligatorios",IF($T795="","Estrategia no reconocida",IF(AND($M795&lt;&gt;"Abierta",$N795=""),"Falta fecha cierre",IF(AND(OR($M795="Cerrada",$M795="Rolada"),$O795=""),"Falta prima cierre",IF(AND($N795&lt;&gt;"",$N795&lt;$B795),"Cierre anterior a apertura",IF(AND($M795="Asignada",$R795=""),"Asignada: falta ID lote acciones",IF(AND($R795&lt;&gt;"",ISNA(MATCH($R795,Acciones!$A$2:$A$201,0))),"El ID lote no existe en Acciones",IF($AD795="","Revisa capital en riesgo","OK")))))))))</f>
        <v/>
      </c>
    </row>
    <row r="796" customFormat="false" ht="15" hidden="false" customHeight="true" outlineLevel="0" collapsed="false">
      <c r="A796" s="5"/>
      <c r="B796" s="6"/>
      <c r="C796" s="7"/>
      <c r="D796" s="7"/>
      <c r="E796" s="8"/>
      <c r="F796" s="8"/>
      <c r="G796" s="6"/>
      <c r="H796" s="5"/>
      <c r="I796" s="5" t="n">
        <v>100</v>
      </c>
      <c r="J796" s="8"/>
      <c r="K796" s="8"/>
      <c r="L796" s="9"/>
      <c r="M796" s="7"/>
      <c r="N796" s="6"/>
      <c r="O796" s="8"/>
      <c r="P796" s="9"/>
      <c r="Q796" s="9"/>
      <c r="R796" s="7"/>
      <c r="S796" s="7"/>
      <c r="T796" s="10" t="str">
        <f aca="false">IF($C796="","",IFERROR(INDEX(Listas!$B$2:$B$20,MATCH($D796,Listas!$A$2:$A$20,0)),""))</f>
        <v/>
      </c>
      <c r="U796" s="10" t="str">
        <f aca="false">IF($C796="","",IFERROR(INDEX(Listas!$C$2:$C$20,MATCH($D796,Listas!$A$2:$A$20,0)),""))</f>
        <v/>
      </c>
      <c r="V796" s="10" t="str">
        <f aca="false">IF($C796="","",IFERROR(INDEX(Listas!$D$2:$D$20,MATCH($D796,Listas!$A$2:$A$20,0)),""))</f>
        <v/>
      </c>
      <c r="W796" s="11" t="str">
        <f aca="false">IF(OR($C796="",$B796="",$G796=""),"",$G796-$B796)</f>
        <v/>
      </c>
      <c r="X796" s="11" t="str">
        <f aca="true">IF(OR($C796="",$B796=""),"",IF($N796&lt;&gt;"",$N796,TODAY())-$B796)</f>
        <v/>
      </c>
      <c r="Y796" s="11" t="str">
        <f aca="true">IF(OR($C796="",$M796&lt;&gt;"Abierta",$G796=""),"",MAX($G796-TODAY(),0))</f>
        <v/>
      </c>
      <c r="Z796" s="12" t="str">
        <f aca="false">IF($C796="","",N($K796)*N($H796)*N($I796)*IF($U796="Débito",-1,1))</f>
        <v/>
      </c>
      <c r="AA796" s="13" t="str">
        <f aca="false">IF($C796="","",IF(AND($U796="Débito",$F796&lt;&gt;""),$F796,$E796))</f>
        <v/>
      </c>
      <c r="AB796" s="13" t="str">
        <f aca="false">IF(OR($C796="",$T796="Mixta",$AA796=""),"",IF($V796="Subyacente",IF($J796="","",$J796-$K796),IF($T796="Put",$AA796-$K796,$AA796+$K796)))</f>
        <v/>
      </c>
      <c r="AC796" s="14" t="str">
        <f aca="false">IF(OR($C796="",$T796="Mixta",$J796="",$AA796=""),"",IF($T796="Put",($J796-$AA796)/$J796,($AA796-$J796)/$J796))</f>
        <v/>
      </c>
      <c r="AD796" s="12" t="str">
        <f aca="false">IF($C796="","",IF($Q796&lt;&gt;"",$Q796,IF($V796="Strike",N($E796)*$H796*$I796,IF($V796="Subyacente",IF($J796="","",$J796*$H796*$I796),IF($V796="Ancho",IF($F796="","",ABS($E796-$F796)*$H796*$I796-$K796*$H796*$I796),IF($V796="Prima",$K796*$H796*$I796,""))))))</f>
        <v/>
      </c>
      <c r="AE796" s="12" t="str">
        <f aca="false">IF(OR($C796="",$M796="Abierta",$M796=""),"",(N($K796)-IF(OR($M796="Cerrada",$M796="Rolada"),N($O796),0))*$H796*$I796*IF($U796="Débito",-1,1)-N($L796)-N($P796))</f>
        <v/>
      </c>
      <c r="AF796" s="14" t="str">
        <f aca="false">IF(OR($AE796="",$AD796=""),"",IF($AD796&lt;=0,"",$AE796/$AD796))</f>
        <v/>
      </c>
      <c r="AG796" s="14" t="str">
        <f aca="false">IF($AF796="","",$AF796*365/MAX(N($X796),1))</f>
        <v/>
      </c>
      <c r="AH796" s="14" t="str">
        <f aca="false">IF(OR($C796="",$U796&lt;&gt;"Crédito",$AD796=""),"",IF($AD796&lt;=0,"",($Z796-N($L796))/$AD796))</f>
        <v/>
      </c>
      <c r="AI796" s="14" t="str">
        <f aca="false">IF(OR($AH796="",$W796=""),"",$AH796*365/MAX($W796,1))</f>
        <v/>
      </c>
      <c r="AJ796" s="14" t="str">
        <f aca="false">IF(OR($AE796="",$U796&lt;&gt;"Crédito",N($K796)=0),"",(N($K796)-IF(OR($M796="Cerrada",$M796="Rolada"),N($O796),0))/$K796)</f>
        <v/>
      </c>
      <c r="AK796" s="15" t="str">
        <f aca="false">IF(OR($C796="",$N796=""),"",DATE(YEAR($N796),MONTH($N796),1))</f>
        <v/>
      </c>
      <c r="AL796" s="11" t="str">
        <f aca="false">IF($C796="","",IF($M796="Abierta",0,1))</f>
        <v/>
      </c>
      <c r="AM796" s="16" t="str">
        <f aca="false">IF(OR($AE796="",$AD796=""),"",$AD796*MAX(N($X796),1))</f>
        <v/>
      </c>
      <c r="AN796" s="10" t="str">
        <f aca="false">IF($C796="","",IF(OR($B796="",$D796="",$H796="",$K796="",$M796=""),"Faltan datos obligatorios",IF($T796="","Estrategia no reconocida",IF(AND($M796&lt;&gt;"Abierta",$N796=""),"Falta fecha cierre",IF(AND(OR($M796="Cerrada",$M796="Rolada"),$O796=""),"Falta prima cierre",IF(AND($N796&lt;&gt;"",$N796&lt;$B796),"Cierre anterior a apertura",IF(AND($M796="Asignada",$R796=""),"Asignada: falta ID lote acciones",IF(AND($R796&lt;&gt;"",ISNA(MATCH($R796,Acciones!$A$2:$A$201,0))),"El ID lote no existe en Acciones",IF($AD796="","Revisa capital en riesgo","OK")))))))))</f>
        <v/>
      </c>
    </row>
    <row r="797" customFormat="false" ht="15" hidden="false" customHeight="true" outlineLevel="0" collapsed="false">
      <c r="A797" s="5"/>
      <c r="B797" s="6"/>
      <c r="C797" s="7"/>
      <c r="D797" s="7"/>
      <c r="E797" s="8"/>
      <c r="F797" s="8"/>
      <c r="G797" s="6"/>
      <c r="H797" s="5"/>
      <c r="I797" s="5" t="n">
        <v>100</v>
      </c>
      <c r="J797" s="8"/>
      <c r="K797" s="8"/>
      <c r="L797" s="9"/>
      <c r="M797" s="7"/>
      <c r="N797" s="6"/>
      <c r="O797" s="8"/>
      <c r="P797" s="9"/>
      <c r="Q797" s="9"/>
      <c r="R797" s="7"/>
      <c r="S797" s="7"/>
      <c r="T797" s="10" t="str">
        <f aca="false">IF($C797="","",IFERROR(INDEX(Listas!$B$2:$B$20,MATCH($D797,Listas!$A$2:$A$20,0)),""))</f>
        <v/>
      </c>
      <c r="U797" s="10" t="str">
        <f aca="false">IF($C797="","",IFERROR(INDEX(Listas!$C$2:$C$20,MATCH($D797,Listas!$A$2:$A$20,0)),""))</f>
        <v/>
      </c>
      <c r="V797" s="10" t="str">
        <f aca="false">IF($C797="","",IFERROR(INDEX(Listas!$D$2:$D$20,MATCH($D797,Listas!$A$2:$A$20,0)),""))</f>
        <v/>
      </c>
      <c r="W797" s="11" t="str">
        <f aca="false">IF(OR($C797="",$B797="",$G797=""),"",$G797-$B797)</f>
        <v/>
      </c>
      <c r="X797" s="11" t="str">
        <f aca="true">IF(OR($C797="",$B797=""),"",IF($N797&lt;&gt;"",$N797,TODAY())-$B797)</f>
        <v/>
      </c>
      <c r="Y797" s="11" t="str">
        <f aca="true">IF(OR($C797="",$M797&lt;&gt;"Abierta",$G797=""),"",MAX($G797-TODAY(),0))</f>
        <v/>
      </c>
      <c r="Z797" s="12" t="str">
        <f aca="false">IF($C797="","",N($K797)*N($H797)*N($I797)*IF($U797="Débito",-1,1))</f>
        <v/>
      </c>
      <c r="AA797" s="13" t="str">
        <f aca="false">IF($C797="","",IF(AND($U797="Débito",$F797&lt;&gt;""),$F797,$E797))</f>
        <v/>
      </c>
      <c r="AB797" s="13" t="str">
        <f aca="false">IF(OR($C797="",$T797="Mixta",$AA797=""),"",IF($V797="Subyacente",IF($J797="","",$J797-$K797),IF($T797="Put",$AA797-$K797,$AA797+$K797)))</f>
        <v/>
      </c>
      <c r="AC797" s="14" t="str">
        <f aca="false">IF(OR($C797="",$T797="Mixta",$J797="",$AA797=""),"",IF($T797="Put",($J797-$AA797)/$J797,($AA797-$J797)/$J797))</f>
        <v/>
      </c>
      <c r="AD797" s="12" t="str">
        <f aca="false">IF($C797="","",IF($Q797&lt;&gt;"",$Q797,IF($V797="Strike",N($E797)*$H797*$I797,IF($V797="Subyacente",IF($J797="","",$J797*$H797*$I797),IF($V797="Ancho",IF($F797="","",ABS($E797-$F797)*$H797*$I797-$K797*$H797*$I797),IF($V797="Prima",$K797*$H797*$I797,""))))))</f>
        <v/>
      </c>
      <c r="AE797" s="12" t="str">
        <f aca="false">IF(OR($C797="",$M797="Abierta",$M797=""),"",(N($K797)-IF(OR($M797="Cerrada",$M797="Rolada"),N($O797),0))*$H797*$I797*IF($U797="Débito",-1,1)-N($L797)-N($P797))</f>
        <v/>
      </c>
      <c r="AF797" s="14" t="str">
        <f aca="false">IF(OR($AE797="",$AD797=""),"",IF($AD797&lt;=0,"",$AE797/$AD797))</f>
        <v/>
      </c>
      <c r="AG797" s="14" t="str">
        <f aca="false">IF($AF797="","",$AF797*365/MAX(N($X797),1))</f>
        <v/>
      </c>
      <c r="AH797" s="14" t="str">
        <f aca="false">IF(OR($C797="",$U797&lt;&gt;"Crédito",$AD797=""),"",IF($AD797&lt;=0,"",($Z797-N($L797))/$AD797))</f>
        <v/>
      </c>
      <c r="AI797" s="14" t="str">
        <f aca="false">IF(OR($AH797="",$W797=""),"",$AH797*365/MAX($W797,1))</f>
        <v/>
      </c>
      <c r="AJ797" s="14" t="str">
        <f aca="false">IF(OR($AE797="",$U797&lt;&gt;"Crédito",N($K797)=0),"",(N($K797)-IF(OR($M797="Cerrada",$M797="Rolada"),N($O797),0))/$K797)</f>
        <v/>
      </c>
      <c r="AK797" s="15" t="str">
        <f aca="false">IF(OR($C797="",$N797=""),"",DATE(YEAR($N797),MONTH($N797),1))</f>
        <v/>
      </c>
      <c r="AL797" s="11" t="str">
        <f aca="false">IF($C797="","",IF($M797="Abierta",0,1))</f>
        <v/>
      </c>
      <c r="AM797" s="16" t="str">
        <f aca="false">IF(OR($AE797="",$AD797=""),"",$AD797*MAX(N($X797),1))</f>
        <v/>
      </c>
      <c r="AN797" s="10" t="str">
        <f aca="false">IF($C797="","",IF(OR($B797="",$D797="",$H797="",$K797="",$M797=""),"Faltan datos obligatorios",IF($T797="","Estrategia no reconocida",IF(AND($M797&lt;&gt;"Abierta",$N797=""),"Falta fecha cierre",IF(AND(OR($M797="Cerrada",$M797="Rolada"),$O797=""),"Falta prima cierre",IF(AND($N797&lt;&gt;"",$N797&lt;$B797),"Cierre anterior a apertura",IF(AND($M797="Asignada",$R797=""),"Asignada: falta ID lote acciones",IF(AND($R797&lt;&gt;"",ISNA(MATCH($R797,Acciones!$A$2:$A$201,0))),"El ID lote no existe en Acciones",IF($AD797="","Revisa capital en riesgo","OK")))))))))</f>
        <v/>
      </c>
    </row>
    <row r="798" customFormat="false" ht="15" hidden="false" customHeight="true" outlineLevel="0" collapsed="false">
      <c r="A798" s="5"/>
      <c r="B798" s="6"/>
      <c r="C798" s="7"/>
      <c r="D798" s="7"/>
      <c r="E798" s="8"/>
      <c r="F798" s="8"/>
      <c r="G798" s="6"/>
      <c r="H798" s="5"/>
      <c r="I798" s="5" t="n">
        <v>100</v>
      </c>
      <c r="J798" s="8"/>
      <c r="K798" s="8"/>
      <c r="L798" s="9"/>
      <c r="M798" s="7"/>
      <c r="N798" s="6"/>
      <c r="O798" s="8"/>
      <c r="P798" s="9"/>
      <c r="Q798" s="9"/>
      <c r="R798" s="7"/>
      <c r="S798" s="7"/>
      <c r="T798" s="10" t="str">
        <f aca="false">IF($C798="","",IFERROR(INDEX(Listas!$B$2:$B$20,MATCH($D798,Listas!$A$2:$A$20,0)),""))</f>
        <v/>
      </c>
      <c r="U798" s="10" t="str">
        <f aca="false">IF($C798="","",IFERROR(INDEX(Listas!$C$2:$C$20,MATCH($D798,Listas!$A$2:$A$20,0)),""))</f>
        <v/>
      </c>
      <c r="V798" s="10" t="str">
        <f aca="false">IF($C798="","",IFERROR(INDEX(Listas!$D$2:$D$20,MATCH($D798,Listas!$A$2:$A$20,0)),""))</f>
        <v/>
      </c>
      <c r="W798" s="11" t="str">
        <f aca="false">IF(OR($C798="",$B798="",$G798=""),"",$G798-$B798)</f>
        <v/>
      </c>
      <c r="X798" s="11" t="str">
        <f aca="true">IF(OR($C798="",$B798=""),"",IF($N798&lt;&gt;"",$N798,TODAY())-$B798)</f>
        <v/>
      </c>
      <c r="Y798" s="11" t="str">
        <f aca="true">IF(OR($C798="",$M798&lt;&gt;"Abierta",$G798=""),"",MAX($G798-TODAY(),0))</f>
        <v/>
      </c>
      <c r="Z798" s="12" t="str">
        <f aca="false">IF($C798="","",N($K798)*N($H798)*N($I798)*IF($U798="Débito",-1,1))</f>
        <v/>
      </c>
      <c r="AA798" s="13" t="str">
        <f aca="false">IF($C798="","",IF(AND($U798="Débito",$F798&lt;&gt;""),$F798,$E798))</f>
        <v/>
      </c>
      <c r="AB798" s="13" t="str">
        <f aca="false">IF(OR($C798="",$T798="Mixta",$AA798=""),"",IF($V798="Subyacente",IF($J798="","",$J798-$K798),IF($T798="Put",$AA798-$K798,$AA798+$K798)))</f>
        <v/>
      </c>
      <c r="AC798" s="14" t="str">
        <f aca="false">IF(OR($C798="",$T798="Mixta",$J798="",$AA798=""),"",IF($T798="Put",($J798-$AA798)/$J798,($AA798-$J798)/$J798))</f>
        <v/>
      </c>
      <c r="AD798" s="12" t="str">
        <f aca="false">IF($C798="","",IF($Q798&lt;&gt;"",$Q798,IF($V798="Strike",N($E798)*$H798*$I798,IF($V798="Subyacente",IF($J798="","",$J798*$H798*$I798),IF($V798="Ancho",IF($F798="","",ABS($E798-$F798)*$H798*$I798-$K798*$H798*$I798),IF($V798="Prima",$K798*$H798*$I798,""))))))</f>
        <v/>
      </c>
      <c r="AE798" s="12" t="str">
        <f aca="false">IF(OR($C798="",$M798="Abierta",$M798=""),"",(N($K798)-IF(OR($M798="Cerrada",$M798="Rolada"),N($O798),0))*$H798*$I798*IF($U798="Débito",-1,1)-N($L798)-N($P798))</f>
        <v/>
      </c>
      <c r="AF798" s="14" t="str">
        <f aca="false">IF(OR($AE798="",$AD798=""),"",IF($AD798&lt;=0,"",$AE798/$AD798))</f>
        <v/>
      </c>
      <c r="AG798" s="14" t="str">
        <f aca="false">IF($AF798="","",$AF798*365/MAX(N($X798),1))</f>
        <v/>
      </c>
      <c r="AH798" s="14" t="str">
        <f aca="false">IF(OR($C798="",$U798&lt;&gt;"Crédito",$AD798=""),"",IF($AD798&lt;=0,"",($Z798-N($L798))/$AD798))</f>
        <v/>
      </c>
      <c r="AI798" s="14" t="str">
        <f aca="false">IF(OR($AH798="",$W798=""),"",$AH798*365/MAX($W798,1))</f>
        <v/>
      </c>
      <c r="AJ798" s="14" t="str">
        <f aca="false">IF(OR($AE798="",$U798&lt;&gt;"Crédito",N($K798)=0),"",(N($K798)-IF(OR($M798="Cerrada",$M798="Rolada"),N($O798),0))/$K798)</f>
        <v/>
      </c>
      <c r="AK798" s="15" t="str">
        <f aca="false">IF(OR($C798="",$N798=""),"",DATE(YEAR($N798),MONTH($N798),1))</f>
        <v/>
      </c>
      <c r="AL798" s="11" t="str">
        <f aca="false">IF($C798="","",IF($M798="Abierta",0,1))</f>
        <v/>
      </c>
      <c r="AM798" s="16" t="str">
        <f aca="false">IF(OR($AE798="",$AD798=""),"",$AD798*MAX(N($X798),1))</f>
        <v/>
      </c>
      <c r="AN798" s="10" t="str">
        <f aca="false">IF($C798="","",IF(OR($B798="",$D798="",$H798="",$K798="",$M798=""),"Faltan datos obligatorios",IF($T798="","Estrategia no reconocida",IF(AND($M798&lt;&gt;"Abierta",$N798=""),"Falta fecha cierre",IF(AND(OR($M798="Cerrada",$M798="Rolada"),$O798=""),"Falta prima cierre",IF(AND($N798&lt;&gt;"",$N798&lt;$B798),"Cierre anterior a apertura",IF(AND($M798="Asignada",$R798=""),"Asignada: falta ID lote acciones",IF(AND($R798&lt;&gt;"",ISNA(MATCH($R798,Acciones!$A$2:$A$201,0))),"El ID lote no existe en Acciones",IF($AD798="","Revisa capital en riesgo","OK")))))))))</f>
        <v/>
      </c>
    </row>
    <row r="799" customFormat="false" ht="15" hidden="false" customHeight="true" outlineLevel="0" collapsed="false">
      <c r="A799" s="5"/>
      <c r="B799" s="6"/>
      <c r="C799" s="7"/>
      <c r="D799" s="7"/>
      <c r="E799" s="8"/>
      <c r="F799" s="8"/>
      <c r="G799" s="6"/>
      <c r="H799" s="5"/>
      <c r="I799" s="5" t="n">
        <v>100</v>
      </c>
      <c r="J799" s="8"/>
      <c r="K799" s="8"/>
      <c r="L799" s="9"/>
      <c r="M799" s="7"/>
      <c r="N799" s="6"/>
      <c r="O799" s="8"/>
      <c r="P799" s="9"/>
      <c r="Q799" s="9"/>
      <c r="R799" s="7"/>
      <c r="S799" s="7"/>
      <c r="T799" s="10" t="str">
        <f aca="false">IF($C799="","",IFERROR(INDEX(Listas!$B$2:$B$20,MATCH($D799,Listas!$A$2:$A$20,0)),""))</f>
        <v/>
      </c>
      <c r="U799" s="10" t="str">
        <f aca="false">IF($C799="","",IFERROR(INDEX(Listas!$C$2:$C$20,MATCH($D799,Listas!$A$2:$A$20,0)),""))</f>
        <v/>
      </c>
      <c r="V799" s="10" t="str">
        <f aca="false">IF($C799="","",IFERROR(INDEX(Listas!$D$2:$D$20,MATCH($D799,Listas!$A$2:$A$20,0)),""))</f>
        <v/>
      </c>
      <c r="W799" s="11" t="str">
        <f aca="false">IF(OR($C799="",$B799="",$G799=""),"",$G799-$B799)</f>
        <v/>
      </c>
      <c r="X799" s="11" t="str">
        <f aca="true">IF(OR($C799="",$B799=""),"",IF($N799&lt;&gt;"",$N799,TODAY())-$B799)</f>
        <v/>
      </c>
      <c r="Y799" s="11" t="str">
        <f aca="true">IF(OR($C799="",$M799&lt;&gt;"Abierta",$G799=""),"",MAX($G799-TODAY(),0))</f>
        <v/>
      </c>
      <c r="Z799" s="12" t="str">
        <f aca="false">IF($C799="","",N($K799)*N($H799)*N($I799)*IF($U799="Débito",-1,1))</f>
        <v/>
      </c>
      <c r="AA799" s="13" t="str">
        <f aca="false">IF($C799="","",IF(AND($U799="Débito",$F799&lt;&gt;""),$F799,$E799))</f>
        <v/>
      </c>
      <c r="AB799" s="13" t="str">
        <f aca="false">IF(OR($C799="",$T799="Mixta",$AA799=""),"",IF($V799="Subyacente",IF($J799="","",$J799-$K799),IF($T799="Put",$AA799-$K799,$AA799+$K799)))</f>
        <v/>
      </c>
      <c r="AC799" s="14" t="str">
        <f aca="false">IF(OR($C799="",$T799="Mixta",$J799="",$AA799=""),"",IF($T799="Put",($J799-$AA799)/$J799,($AA799-$J799)/$J799))</f>
        <v/>
      </c>
      <c r="AD799" s="12" t="str">
        <f aca="false">IF($C799="","",IF($Q799&lt;&gt;"",$Q799,IF($V799="Strike",N($E799)*$H799*$I799,IF($V799="Subyacente",IF($J799="","",$J799*$H799*$I799),IF($V799="Ancho",IF($F799="","",ABS($E799-$F799)*$H799*$I799-$K799*$H799*$I799),IF($V799="Prima",$K799*$H799*$I799,""))))))</f>
        <v/>
      </c>
      <c r="AE799" s="12" t="str">
        <f aca="false">IF(OR($C799="",$M799="Abierta",$M799=""),"",(N($K799)-IF(OR($M799="Cerrada",$M799="Rolada"),N($O799),0))*$H799*$I799*IF($U799="Débito",-1,1)-N($L799)-N($P799))</f>
        <v/>
      </c>
      <c r="AF799" s="14" t="str">
        <f aca="false">IF(OR($AE799="",$AD799=""),"",IF($AD799&lt;=0,"",$AE799/$AD799))</f>
        <v/>
      </c>
      <c r="AG799" s="14" t="str">
        <f aca="false">IF($AF799="","",$AF799*365/MAX(N($X799),1))</f>
        <v/>
      </c>
      <c r="AH799" s="14" t="str">
        <f aca="false">IF(OR($C799="",$U799&lt;&gt;"Crédito",$AD799=""),"",IF($AD799&lt;=0,"",($Z799-N($L799))/$AD799))</f>
        <v/>
      </c>
      <c r="AI799" s="14" t="str">
        <f aca="false">IF(OR($AH799="",$W799=""),"",$AH799*365/MAX($W799,1))</f>
        <v/>
      </c>
      <c r="AJ799" s="14" t="str">
        <f aca="false">IF(OR($AE799="",$U799&lt;&gt;"Crédito",N($K799)=0),"",(N($K799)-IF(OR($M799="Cerrada",$M799="Rolada"),N($O799),0))/$K799)</f>
        <v/>
      </c>
      <c r="AK799" s="15" t="str">
        <f aca="false">IF(OR($C799="",$N799=""),"",DATE(YEAR($N799),MONTH($N799),1))</f>
        <v/>
      </c>
      <c r="AL799" s="11" t="str">
        <f aca="false">IF($C799="","",IF($M799="Abierta",0,1))</f>
        <v/>
      </c>
      <c r="AM799" s="16" t="str">
        <f aca="false">IF(OR($AE799="",$AD799=""),"",$AD799*MAX(N($X799),1))</f>
        <v/>
      </c>
      <c r="AN799" s="10" t="str">
        <f aca="false">IF($C799="","",IF(OR($B799="",$D799="",$H799="",$K799="",$M799=""),"Faltan datos obligatorios",IF($T799="","Estrategia no reconocida",IF(AND($M799&lt;&gt;"Abierta",$N799=""),"Falta fecha cierre",IF(AND(OR($M799="Cerrada",$M799="Rolada"),$O799=""),"Falta prima cierre",IF(AND($N799&lt;&gt;"",$N799&lt;$B799),"Cierre anterior a apertura",IF(AND($M799="Asignada",$R799=""),"Asignada: falta ID lote acciones",IF(AND($R799&lt;&gt;"",ISNA(MATCH($R799,Acciones!$A$2:$A$201,0))),"El ID lote no existe en Acciones",IF($AD799="","Revisa capital en riesgo","OK")))))))))</f>
        <v/>
      </c>
    </row>
    <row r="800" customFormat="false" ht="15" hidden="false" customHeight="true" outlineLevel="0" collapsed="false">
      <c r="A800" s="5"/>
      <c r="B800" s="6"/>
      <c r="C800" s="7"/>
      <c r="D800" s="7"/>
      <c r="E800" s="8"/>
      <c r="F800" s="8"/>
      <c r="G800" s="6"/>
      <c r="H800" s="5"/>
      <c r="I800" s="5" t="n">
        <v>100</v>
      </c>
      <c r="J800" s="8"/>
      <c r="K800" s="8"/>
      <c r="L800" s="9"/>
      <c r="M800" s="7"/>
      <c r="N800" s="6"/>
      <c r="O800" s="8"/>
      <c r="P800" s="9"/>
      <c r="Q800" s="9"/>
      <c r="R800" s="7"/>
      <c r="S800" s="7"/>
      <c r="T800" s="10" t="str">
        <f aca="false">IF($C800="","",IFERROR(INDEX(Listas!$B$2:$B$20,MATCH($D800,Listas!$A$2:$A$20,0)),""))</f>
        <v/>
      </c>
      <c r="U800" s="10" t="str">
        <f aca="false">IF($C800="","",IFERROR(INDEX(Listas!$C$2:$C$20,MATCH($D800,Listas!$A$2:$A$20,0)),""))</f>
        <v/>
      </c>
      <c r="V800" s="10" t="str">
        <f aca="false">IF($C800="","",IFERROR(INDEX(Listas!$D$2:$D$20,MATCH($D800,Listas!$A$2:$A$20,0)),""))</f>
        <v/>
      </c>
      <c r="W800" s="11" t="str">
        <f aca="false">IF(OR($C800="",$B800="",$G800=""),"",$G800-$B800)</f>
        <v/>
      </c>
      <c r="X800" s="11" t="str">
        <f aca="true">IF(OR($C800="",$B800=""),"",IF($N800&lt;&gt;"",$N800,TODAY())-$B800)</f>
        <v/>
      </c>
      <c r="Y800" s="11" t="str">
        <f aca="true">IF(OR($C800="",$M800&lt;&gt;"Abierta",$G800=""),"",MAX($G800-TODAY(),0))</f>
        <v/>
      </c>
      <c r="Z800" s="12" t="str">
        <f aca="false">IF($C800="","",N($K800)*N($H800)*N($I800)*IF($U800="Débito",-1,1))</f>
        <v/>
      </c>
      <c r="AA800" s="13" t="str">
        <f aca="false">IF($C800="","",IF(AND($U800="Débito",$F800&lt;&gt;""),$F800,$E800))</f>
        <v/>
      </c>
      <c r="AB800" s="13" t="str">
        <f aca="false">IF(OR($C800="",$T800="Mixta",$AA800=""),"",IF($V800="Subyacente",IF($J800="","",$J800-$K800),IF($T800="Put",$AA800-$K800,$AA800+$K800)))</f>
        <v/>
      </c>
      <c r="AC800" s="14" t="str">
        <f aca="false">IF(OR($C800="",$T800="Mixta",$J800="",$AA800=""),"",IF($T800="Put",($J800-$AA800)/$J800,($AA800-$J800)/$J800))</f>
        <v/>
      </c>
      <c r="AD800" s="12" t="str">
        <f aca="false">IF($C800="","",IF($Q800&lt;&gt;"",$Q800,IF($V800="Strike",N($E800)*$H800*$I800,IF($V800="Subyacente",IF($J800="","",$J800*$H800*$I800),IF($V800="Ancho",IF($F800="","",ABS($E800-$F800)*$H800*$I800-$K800*$H800*$I800),IF($V800="Prima",$K800*$H800*$I800,""))))))</f>
        <v/>
      </c>
      <c r="AE800" s="12" t="str">
        <f aca="false">IF(OR($C800="",$M800="Abierta",$M800=""),"",(N($K800)-IF(OR($M800="Cerrada",$M800="Rolada"),N($O800),0))*$H800*$I800*IF($U800="Débito",-1,1)-N($L800)-N($P800))</f>
        <v/>
      </c>
      <c r="AF800" s="14" t="str">
        <f aca="false">IF(OR($AE800="",$AD800=""),"",IF($AD800&lt;=0,"",$AE800/$AD800))</f>
        <v/>
      </c>
      <c r="AG800" s="14" t="str">
        <f aca="false">IF($AF800="","",$AF800*365/MAX(N($X800),1))</f>
        <v/>
      </c>
      <c r="AH800" s="14" t="str">
        <f aca="false">IF(OR($C800="",$U800&lt;&gt;"Crédito",$AD800=""),"",IF($AD800&lt;=0,"",($Z800-N($L800))/$AD800))</f>
        <v/>
      </c>
      <c r="AI800" s="14" t="str">
        <f aca="false">IF(OR($AH800="",$W800=""),"",$AH800*365/MAX($W800,1))</f>
        <v/>
      </c>
      <c r="AJ800" s="14" t="str">
        <f aca="false">IF(OR($AE800="",$U800&lt;&gt;"Crédito",N($K800)=0),"",(N($K800)-IF(OR($M800="Cerrada",$M800="Rolada"),N($O800),0))/$K800)</f>
        <v/>
      </c>
      <c r="AK800" s="15" t="str">
        <f aca="false">IF(OR($C800="",$N800=""),"",DATE(YEAR($N800),MONTH($N800),1))</f>
        <v/>
      </c>
      <c r="AL800" s="11" t="str">
        <f aca="false">IF($C800="","",IF($M800="Abierta",0,1))</f>
        <v/>
      </c>
      <c r="AM800" s="16" t="str">
        <f aca="false">IF(OR($AE800="",$AD800=""),"",$AD800*MAX(N($X800),1))</f>
        <v/>
      </c>
      <c r="AN800" s="10" t="str">
        <f aca="false">IF($C800="","",IF(OR($B800="",$D800="",$H800="",$K800="",$M800=""),"Faltan datos obligatorios",IF($T800="","Estrategia no reconocida",IF(AND($M800&lt;&gt;"Abierta",$N800=""),"Falta fecha cierre",IF(AND(OR($M800="Cerrada",$M800="Rolada"),$O800=""),"Falta prima cierre",IF(AND($N800&lt;&gt;"",$N800&lt;$B800),"Cierre anterior a apertura",IF(AND($M800="Asignada",$R800=""),"Asignada: falta ID lote acciones",IF(AND($R800&lt;&gt;"",ISNA(MATCH($R800,Acciones!$A$2:$A$201,0))),"El ID lote no existe en Acciones",IF($AD800="","Revisa capital en riesgo","OK")))))))))</f>
        <v/>
      </c>
    </row>
    <row r="801" customFormat="false" ht="15" hidden="false" customHeight="true" outlineLevel="0" collapsed="false">
      <c r="A801" s="5"/>
      <c r="B801" s="6"/>
      <c r="C801" s="7"/>
      <c r="D801" s="7"/>
      <c r="E801" s="8"/>
      <c r="F801" s="8"/>
      <c r="G801" s="6"/>
      <c r="H801" s="5"/>
      <c r="I801" s="5" t="n">
        <v>100</v>
      </c>
      <c r="J801" s="8"/>
      <c r="K801" s="8"/>
      <c r="L801" s="9"/>
      <c r="M801" s="7"/>
      <c r="N801" s="6"/>
      <c r="O801" s="8"/>
      <c r="P801" s="9"/>
      <c r="Q801" s="9"/>
      <c r="R801" s="7"/>
      <c r="S801" s="7"/>
      <c r="T801" s="10" t="str">
        <f aca="false">IF($C801="","",IFERROR(INDEX(Listas!$B$2:$B$20,MATCH($D801,Listas!$A$2:$A$20,0)),""))</f>
        <v/>
      </c>
      <c r="U801" s="10" t="str">
        <f aca="false">IF($C801="","",IFERROR(INDEX(Listas!$C$2:$C$20,MATCH($D801,Listas!$A$2:$A$20,0)),""))</f>
        <v/>
      </c>
      <c r="V801" s="10" t="str">
        <f aca="false">IF($C801="","",IFERROR(INDEX(Listas!$D$2:$D$20,MATCH($D801,Listas!$A$2:$A$20,0)),""))</f>
        <v/>
      </c>
      <c r="W801" s="11" t="str">
        <f aca="false">IF(OR($C801="",$B801="",$G801=""),"",$G801-$B801)</f>
        <v/>
      </c>
      <c r="X801" s="11" t="str">
        <f aca="true">IF(OR($C801="",$B801=""),"",IF($N801&lt;&gt;"",$N801,TODAY())-$B801)</f>
        <v/>
      </c>
      <c r="Y801" s="11" t="str">
        <f aca="true">IF(OR($C801="",$M801&lt;&gt;"Abierta",$G801=""),"",MAX($G801-TODAY(),0))</f>
        <v/>
      </c>
      <c r="Z801" s="12" t="str">
        <f aca="false">IF($C801="","",N($K801)*N($H801)*N($I801)*IF($U801="Débito",-1,1))</f>
        <v/>
      </c>
      <c r="AA801" s="13" t="str">
        <f aca="false">IF($C801="","",IF(AND($U801="Débito",$F801&lt;&gt;""),$F801,$E801))</f>
        <v/>
      </c>
      <c r="AB801" s="13" t="str">
        <f aca="false">IF(OR($C801="",$T801="Mixta",$AA801=""),"",IF($V801="Subyacente",IF($J801="","",$J801-$K801),IF($T801="Put",$AA801-$K801,$AA801+$K801)))</f>
        <v/>
      </c>
      <c r="AC801" s="14" t="str">
        <f aca="false">IF(OR($C801="",$T801="Mixta",$J801="",$AA801=""),"",IF($T801="Put",($J801-$AA801)/$J801,($AA801-$J801)/$J801))</f>
        <v/>
      </c>
      <c r="AD801" s="12" t="str">
        <f aca="false">IF($C801="","",IF($Q801&lt;&gt;"",$Q801,IF($V801="Strike",N($E801)*$H801*$I801,IF($V801="Subyacente",IF($J801="","",$J801*$H801*$I801),IF($V801="Ancho",IF($F801="","",ABS($E801-$F801)*$H801*$I801-$K801*$H801*$I801),IF($V801="Prima",$K801*$H801*$I801,""))))))</f>
        <v/>
      </c>
      <c r="AE801" s="12" t="str">
        <f aca="false">IF(OR($C801="",$M801="Abierta",$M801=""),"",(N($K801)-IF(OR($M801="Cerrada",$M801="Rolada"),N($O801),0))*$H801*$I801*IF($U801="Débito",-1,1)-N($L801)-N($P801))</f>
        <v/>
      </c>
      <c r="AF801" s="14" t="str">
        <f aca="false">IF(OR($AE801="",$AD801=""),"",IF($AD801&lt;=0,"",$AE801/$AD801))</f>
        <v/>
      </c>
      <c r="AG801" s="14" t="str">
        <f aca="false">IF($AF801="","",$AF801*365/MAX(N($X801),1))</f>
        <v/>
      </c>
      <c r="AH801" s="14" t="str">
        <f aca="false">IF(OR($C801="",$U801&lt;&gt;"Crédito",$AD801=""),"",IF($AD801&lt;=0,"",($Z801-N($L801))/$AD801))</f>
        <v/>
      </c>
      <c r="AI801" s="14" t="str">
        <f aca="false">IF(OR($AH801="",$W801=""),"",$AH801*365/MAX($W801,1))</f>
        <v/>
      </c>
      <c r="AJ801" s="14" t="str">
        <f aca="false">IF(OR($AE801="",$U801&lt;&gt;"Crédito",N($K801)=0),"",(N($K801)-IF(OR($M801="Cerrada",$M801="Rolada"),N($O801),0))/$K801)</f>
        <v/>
      </c>
      <c r="AK801" s="15" t="str">
        <f aca="false">IF(OR($C801="",$N801=""),"",DATE(YEAR($N801),MONTH($N801),1))</f>
        <v/>
      </c>
      <c r="AL801" s="11" t="str">
        <f aca="false">IF($C801="","",IF($M801="Abierta",0,1))</f>
        <v/>
      </c>
      <c r="AM801" s="16" t="str">
        <f aca="false">IF(OR($AE801="",$AD801=""),"",$AD801*MAX(N($X801),1))</f>
        <v/>
      </c>
      <c r="AN801" s="10" t="str">
        <f aca="false">IF($C801="","",IF(OR($B801="",$D801="",$H801="",$K801="",$M801=""),"Faltan datos obligatorios",IF($T801="","Estrategia no reconocida",IF(AND($M801&lt;&gt;"Abierta",$N801=""),"Falta fecha cierre",IF(AND(OR($M801="Cerrada",$M801="Rolada"),$O801=""),"Falta prima cierre",IF(AND($N801&lt;&gt;"",$N801&lt;$B801),"Cierre anterior a apertura",IF(AND($M801="Asignada",$R801=""),"Asignada: falta ID lote acciones",IF(AND($R801&lt;&gt;"",ISNA(MATCH($R801,Acciones!$A$2:$A$201,0))),"El ID lote no existe en Acciones",IF($AD801="","Revisa capital en riesgo","OK")))))))))</f>
        <v/>
      </c>
    </row>
    <row r="802" customFormat="false" ht="15" hidden="false" customHeight="true" outlineLevel="0" collapsed="false">
      <c r="A802" s="5"/>
      <c r="B802" s="6"/>
      <c r="C802" s="7"/>
      <c r="D802" s="7"/>
      <c r="E802" s="8"/>
      <c r="F802" s="8"/>
      <c r="G802" s="6"/>
      <c r="H802" s="5"/>
      <c r="I802" s="5" t="n">
        <v>100</v>
      </c>
      <c r="J802" s="8"/>
      <c r="K802" s="8"/>
      <c r="L802" s="9"/>
      <c r="M802" s="7"/>
      <c r="N802" s="6"/>
      <c r="O802" s="8"/>
      <c r="P802" s="9"/>
      <c r="Q802" s="9"/>
      <c r="R802" s="7"/>
      <c r="S802" s="7"/>
      <c r="T802" s="10" t="str">
        <f aca="false">IF($C802="","",IFERROR(INDEX(Listas!$B$2:$B$20,MATCH($D802,Listas!$A$2:$A$20,0)),""))</f>
        <v/>
      </c>
      <c r="U802" s="10" t="str">
        <f aca="false">IF($C802="","",IFERROR(INDEX(Listas!$C$2:$C$20,MATCH($D802,Listas!$A$2:$A$20,0)),""))</f>
        <v/>
      </c>
      <c r="V802" s="10" t="str">
        <f aca="false">IF($C802="","",IFERROR(INDEX(Listas!$D$2:$D$20,MATCH($D802,Listas!$A$2:$A$20,0)),""))</f>
        <v/>
      </c>
      <c r="W802" s="11" t="str">
        <f aca="false">IF(OR($C802="",$B802="",$G802=""),"",$G802-$B802)</f>
        <v/>
      </c>
      <c r="X802" s="11" t="str">
        <f aca="true">IF(OR($C802="",$B802=""),"",IF($N802&lt;&gt;"",$N802,TODAY())-$B802)</f>
        <v/>
      </c>
      <c r="Y802" s="11" t="str">
        <f aca="true">IF(OR($C802="",$M802&lt;&gt;"Abierta",$G802=""),"",MAX($G802-TODAY(),0))</f>
        <v/>
      </c>
      <c r="Z802" s="12" t="str">
        <f aca="false">IF($C802="","",N($K802)*N($H802)*N($I802)*IF($U802="Débito",-1,1))</f>
        <v/>
      </c>
      <c r="AA802" s="13" t="str">
        <f aca="false">IF($C802="","",IF(AND($U802="Débito",$F802&lt;&gt;""),$F802,$E802))</f>
        <v/>
      </c>
      <c r="AB802" s="13" t="str">
        <f aca="false">IF(OR($C802="",$T802="Mixta",$AA802=""),"",IF($V802="Subyacente",IF($J802="","",$J802-$K802),IF($T802="Put",$AA802-$K802,$AA802+$K802)))</f>
        <v/>
      </c>
      <c r="AC802" s="14" t="str">
        <f aca="false">IF(OR($C802="",$T802="Mixta",$J802="",$AA802=""),"",IF($T802="Put",($J802-$AA802)/$J802,($AA802-$J802)/$J802))</f>
        <v/>
      </c>
      <c r="AD802" s="12" t="str">
        <f aca="false">IF($C802="","",IF($Q802&lt;&gt;"",$Q802,IF($V802="Strike",N($E802)*$H802*$I802,IF($V802="Subyacente",IF($J802="","",$J802*$H802*$I802),IF($V802="Ancho",IF($F802="","",ABS($E802-$F802)*$H802*$I802-$K802*$H802*$I802),IF($V802="Prima",$K802*$H802*$I802,""))))))</f>
        <v/>
      </c>
      <c r="AE802" s="12" t="str">
        <f aca="false">IF(OR($C802="",$M802="Abierta",$M802=""),"",(N($K802)-IF(OR($M802="Cerrada",$M802="Rolada"),N($O802),0))*$H802*$I802*IF($U802="Débito",-1,1)-N($L802)-N($P802))</f>
        <v/>
      </c>
      <c r="AF802" s="14" t="str">
        <f aca="false">IF(OR($AE802="",$AD802=""),"",IF($AD802&lt;=0,"",$AE802/$AD802))</f>
        <v/>
      </c>
      <c r="AG802" s="14" t="str">
        <f aca="false">IF($AF802="","",$AF802*365/MAX(N($X802),1))</f>
        <v/>
      </c>
      <c r="AH802" s="14" t="str">
        <f aca="false">IF(OR($C802="",$U802&lt;&gt;"Crédito",$AD802=""),"",IF($AD802&lt;=0,"",($Z802-N($L802))/$AD802))</f>
        <v/>
      </c>
      <c r="AI802" s="14" t="str">
        <f aca="false">IF(OR($AH802="",$W802=""),"",$AH802*365/MAX($W802,1))</f>
        <v/>
      </c>
      <c r="AJ802" s="14" t="str">
        <f aca="false">IF(OR($AE802="",$U802&lt;&gt;"Crédito",N($K802)=0),"",(N($K802)-IF(OR($M802="Cerrada",$M802="Rolada"),N($O802),0))/$K802)</f>
        <v/>
      </c>
      <c r="AK802" s="15" t="str">
        <f aca="false">IF(OR($C802="",$N802=""),"",DATE(YEAR($N802),MONTH($N802),1))</f>
        <v/>
      </c>
      <c r="AL802" s="11" t="str">
        <f aca="false">IF($C802="","",IF($M802="Abierta",0,1))</f>
        <v/>
      </c>
      <c r="AM802" s="16" t="str">
        <f aca="false">IF(OR($AE802="",$AD802=""),"",$AD802*MAX(N($X802),1))</f>
        <v/>
      </c>
      <c r="AN802" s="10" t="str">
        <f aca="false">IF($C802="","",IF(OR($B802="",$D802="",$H802="",$K802="",$M802=""),"Faltan datos obligatorios",IF($T802="","Estrategia no reconocida",IF(AND($M802&lt;&gt;"Abierta",$N802=""),"Falta fecha cierre",IF(AND(OR($M802="Cerrada",$M802="Rolada"),$O802=""),"Falta prima cierre",IF(AND($N802&lt;&gt;"",$N802&lt;$B802),"Cierre anterior a apertura",IF(AND($M802="Asignada",$R802=""),"Asignada: falta ID lote acciones",IF(AND($R802&lt;&gt;"",ISNA(MATCH($R802,Acciones!$A$2:$A$201,0))),"El ID lote no existe en Acciones",IF($AD802="","Revisa capital en riesgo","OK")))))))))</f>
        <v/>
      </c>
    </row>
    <row r="803" customFormat="false" ht="15" hidden="false" customHeight="true" outlineLevel="0" collapsed="false">
      <c r="A803" s="5"/>
      <c r="B803" s="6"/>
      <c r="C803" s="7"/>
      <c r="D803" s="7"/>
      <c r="E803" s="8"/>
      <c r="F803" s="8"/>
      <c r="G803" s="6"/>
      <c r="H803" s="5"/>
      <c r="I803" s="5" t="n">
        <v>100</v>
      </c>
      <c r="J803" s="8"/>
      <c r="K803" s="8"/>
      <c r="L803" s="9"/>
      <c r="M803" s="7"/>
      <c r="N803" s="6"/>
      <c r="O803" s="8"/>
      <c r="P803" s="9"/>
      <c r="Q803" s="9"/>
      <c r="R803" s="7"/>
      <c r="S803" s="7"/>
      <c r="T803" s="10" t="str">
        <f aca="false">IF($C803="","",IFERROR(INDEX(Listas!$B$2:$B$20,MATCH($D803,Listas!$A$2:$A$20,0)),""))</f>
        <v/>
      </c>
      <c r="U803" s="10" t="str">
        <f aca="false">IF($C803="","",IFERROR(INDEX(Listas!$C$2:$C$20,MATCH($D803,Listas!$A$2:$A$20,0)),""))</f>
        <v/>
      </c>
      <c r="V803" s="10" t="str">
        <f aca="false">IF($C803="","",IFERROR(INDEX(Listas!$D$2:$D$20,MATCH($D803,Listas!$A$2:$A$20,0)),""))</f>
        <v/>
      </c>
      <c r="W803" s="11" t="str">
        <f aca="false">IF(OR($C803="",$B803="",$G803=""),"",$G803-$B803)</f>
        <v/>
      </c>
      <c r="X803" s="11" t="str">
        <f aca="true">IF(OR($C803="",$B803=""),"",IF($N803&lt;&gt;"",$N803,TODAY())-$B803)</f>
        <v/>
      </c>
      <c r="Y803" s="11" t="str">
        <f aca="true">IF(OR($C803="",$M803&lt;&gt;"Abierta",$G803=""),"",MAX($G803-TODAY(),0))</f>
        <v/>
      </c>
      <c r="Z803" s="12" t="str">
        <f aca="false">IF($C803="","",N($K803)*N($H803)*N($I803)*IF($U803="Débito",-1,1))</f>
        <v/>
      </c>
      <c r="AA803" s="13" t="str">
        <f aca="false">IF($C803="","",IF(AND($U803="Débito",$F803&lt;&gt;""),$F803,$E803))</f>
        <v/>
      </c>
      <c r="AB803" s="13" t="str">
        <f aca="false">IF(OR($C803="",$T803="Mixta",$AA803=""),"",IF($V803="Subyacente",IF($J803="","",$J803-$K803),IF($T803="Put",$AA803-$K803,$AA803+$K803)))</f>
        <v/>
      </c>
      <c r="AC803" s="14" t="str">
        <f aca="false">IF(OR($C803="",$T803="Mixta",$J803="",$AA803=""),"",IF($T803="Put",($J803-$AA803)/$J803,($AA803-$J803)/$J803))</f>
        <v/>
      </c>
      <c r="AD803" s="12" t="str">
        <f aca="false">IF($C803="","",IF($Q803&lt;&gt;"",$Q803,IF($V803="Strike",N($E803)*$H803*$I803,IF($V803="Subyacente",IF($J803="","",$J803*$H803*$I803),IF($V803="Ancho",IF($F803="","",ABS($E803-$F803)*$H803*$I803-$K803*$H803*$I803),IF($V803="Prima",$K803*$H803*$I803,""))))))</f>
        <v/>
      </c>
      <c r="AE803" s="12" t="str">
        <f aca="false">IF(OR($C803="",$M803="Abierta",$M803=""),"",(N($K803)-IF(OR($M803="Cerrada",$M803="Rolada"),N($O803),0))*$H803*$I803*IF($U803="Débito",-1,1)-N($L803)-N($P803))</f>
        <v/>
      </c>
      <c r="AF803" s="14" t="str">
        <f aca="false">IF(OR($AE803="",$AD803=""),"",IF($AD803&lt;=0,"",$AE803/$AD803))</f>
        <v/>
      </c>
      <c r="AG803" s="14" t="str">
        <f aca="false">IF($AF803="","",$AF803*365/MAX(N($X803),1))</f>
        <v/>
      </c>
      <c r="AH803" s="14" t="str">
        <f aca="false">IF(OR($C803="",$U803&lt;&gt;"Crédito",$AD803=""),"",IF($AD803&lt;=0,"",($Z803-N($L803))/$AD803))</f>
        <v/>
      </c>
      <c r="AI803" s="14" t="str">
        <f aca="false">IF(OR($AH803="",$W803=""),"",$AH803*365/MAX($W803,1))</f>
        <v/>
      </c>
      <c r="AJ803" s="14" t="str">
        <f aca="false">IF(OR($AE803="",$U803&lt;&gt;"Crédito",N($K803)=0),"",(N($K803)-IF(OR($M803="Cerrada",$M803="Rolada"),N($O803),0))/$K803)</f>
        <v/>
      </c>
      <c r="AK803" s="15" t="str">
        <f aca="false">IF(OR($C803="",$N803=""),"",DATE(YEAR($N803),MONTH($N803),1))</f>
        <v/>
      </c>
      <c r="AL803" s="11" t="str">
        <f aca="false">IF($C803="","",IF($M803="Abierta",0,1))</f>
        <v/>
      </c>
      <c r="AM803" s="16" t="str">
        <f aca="false">IF(OR($AE803="",$AD803=""),"",$AD803*MAX(N($X803),1))</f>
        <v/>
      </c>
      <c r="AN803" s="10" t="str">
        <f aca="false">IF($C803="","",IF(OR($B803="",$D803="",$H803="",$K803="",$M803=""),"Faltan datos obligatorios",IF($T803="","Estrategia no reconocida",IF(AND($M803&lt;&gt;"Abierta",$N803=""),"Falta fecha cierre",IF(AND(OR($M803="Cerrada",$M803="Rolada"),$O803=""),"Falta prima cierre",IF(AND($N803&lt;&gt;"",$N803&lt;$B803),"Cierre anterior a apertura",IF(AND($M803="Asignada",$R803=""),"Asignada: falta ID lote acciones",IF(AND($R803&lt;&gt;"",ISNA(MATCH($R803,Acciones!$A$2:$A$201,0))),"El ID lote no existe en Acciones",IF($AD803="","Revisa capital en riesgo","OK")))))))))</f>
        <v/>
      </c>
    </row>
    <row r="804" customFormat="false" ht="15" hidden="false" customHeight="true" outlineLevel="0" collapsed="false">
      <c r="A804" s="5"/>
      <c r="B804" s="6"/>
      <c r="C804" s="7"/>
      <c r="D804" s="7"/>
      <c r="E804" s="8"/>
      <c r="F804" s="8"/>
      <c r="G804" s="6"/>
      <c r="H804" s="5"/>
      <c r="I804" s="5" t="n">
        <v>100</v>
      </c>
      <c r="J804" s="8"/>
      <c r="K804" s="8"/>
      <c r="L804" s="9"/>
      <c r="M804" s="7"/>
      <c r="N804" s="6"/>
      <c r="O804" s="8"/>
      <c r="P804" s="9"/>
      <c r="Q804" s="9"/>
      <c r="R804" s="7"/>
      <c r="S804" s="7"/>
      <c r="T804" s="10" t="str">
        <f aca="false">IF($C804="","",IFERROR(INDEX(Listas!$B$2:$B$20,MATCH($D804,Listas!$A$2:$A$20,0)),""))</f>
        <v/>
      </c>
      <c r="U804" s="10" t="str">
        <f aca="false">IF($C804="","",IFERROR(INDEX(Listas!$C$2:$C$20,MATCH($D804,Listas!$A$2:$A$20,0)),""))</f>
        <v/>
      </c>
      <c r="V804" s="10" t="str">
        <f aca="false">IF($C804="","",IFERROR(INDEX(Listas!$D$2:$D$20,MATCH($D804,Listas!$A$2:$A$20,0)),""))</f>
        <v/>
      </c>
      <c r="W804" s="11" t="str">
        <f aca="false">IF(OR($C804="",$B804="",$G804=""),"",$G804-$B804)</f>
        <v/>
      </c>
      <c r="X804" s="11" t="str">
        <f aca="true">IF(OR($C804="",$B804=""),"",IF($N804&lt;&gt;"",$N804,TODAY())-$B804)</f>
        <v/>
      </c>
      <c r="Y804" s="11" t="str">
        <f aca="true">IF(OR($C804="",$M804&lt;&gt;"Abierta",$G804=""),"",MAX($G804-TODAY(),0))</f>
        <v/>
      </c>
      <c r="Z804" s="12" t="str">
        <f aca="false">IF($C804="","",N($K804)*N($H804)*N($I804)*IF($U804="Débito",-1,1))</f>
        <v/>
      </c>
      <c r="AA804" s="13" t="str">
        <f aca="false">IF($C804="","",IF(AND($U804="Débito",$F804&lt;&gt;""),$F804,$E804))</f>
        <v/>
      </c>
      <c r="AB804" s="13" t="str">
        <f aca="false">IF(OR($C804="",$T804="Mixta",$AA804=""),"",IF($V804="Subyacente",IF($J804="","",$J804-$K804),IF($T804="Put",$AA804-$K804,$AA804+$K804)))</f>
        <v/>
      </c>
      <c r="AC804" s="14" t="str">
        <f aca="false">IF(OR($C804="",$T804="Mixta",$J804="",$AA804=""),"",IF($T804="Put",($J804-$AA804)/$J804,($AA804-$J804)/$J804))</f>
        <v/>
      </c>
      <c r="AD804" s="12" t="str">
        <f aca="false">IF($C804="","",IF($Q804&lt;&gt;"",$Q804,IF($V804="Strike",N($E804)*$H804*$I804,IF($V804="Subyacente",IF($J804="","",$J804*$H804*$I804),IF($V804="Ancho",IF($F804="","",ABS($E804-$F804)*$H804*$I804-$K804*$H804*$I804),IF($V804="Prima",$K804*$H804*$I804,""))))))</f>
        <v/>
      </c>
      <c r="AE804" s="12" t="str">
        <f aca="false">IF(OR($C804="",$M804="Abierta",$M804=""),"",(N($K804)-IF(OR($M804="Cerrada",$M804="Rolada"),N($O804),0))*$H804*$I804*IF($U804="Débito",-1,1)-N($L804)-N($P804))</f>
        <v/>
      </c>
      <c r="AF804" s="14" t="str">
        <f aca="false">IF(OR($AE804="",$AD804=""),"",IF($AD804&lt;=0,"",$AE804/$AD804))</f>
        <v/>
      </c>
      <c r="AG804" s="14" t="str">
        <f aca="false">IF($AF804="","",$AF804*365/MAX(N($X804),1))</f>
        <v/>
      </c>
      <c r="AH804" s="14" t="str">
        <f aca="false">IF(OR($C804="",$U804&lt;&gt;"Crédito",$AD804=""),"",IF($AD804&lt;=0,"",($Z804-N($L804))/$AD804))</f>
        <v/>
      </c>
      <c r="AI804" s="14" t="str">
        <f aca="false">IF(OR($AH804="",$W804=""),"",$AH804*365/MAX($W804,1))</f>
        <v/>
      </c>
      <c r="AJ804" s="14" t="str">
        <f aca="false">IF(OR($AE804="",$U804&lt;&gt;"Crédito",N($K804)=0),"",(N($K804)-IF(OR($M804="Cerrada",$M804="Rolada"),N($O804),0))/$K804)</f>
        <v/>
      </c>
      <c r="AK804" s="15" t="str">
        <f aca="false">IF(OR($C804="",$N804=""),"",DATE(YEAR($N804),MONTH($N804),1))</f>
        <v/>
      </c>
      <c r="AL804" s="11" t="str">
        <f aca="false">IF($C804="","",IF($M804="Abierta",0,1))</f>
        <v/>
      </c>
      <c r="AM804" s="16" t="str">
        <f aca="false">IF(OR($AE804="",$AD804=""),"",$AD804*MAX(N($X804),1))</f>
        <v/>
      </c>
      <c r="AN804" s="10" t="str">
        <f aca="false">IF($C804="","",IF(OR($B804="",$D804="",$H804="",$K804="",$M804=""),"Faltan datos obligatorios",IF($T804="","Estrategia no reconocida",IF(AND($M804&lt;&gt;"Abierta",$N804=""),"Falta fecha cierre",IF(AND(OR($M804="Cerrada",$M804="Rolada"),$O804=""),"Falta prima cierre",IF(AND($N804&lt;&gt;"",$N804&lt;$B804),"Cierre anterior a apertura",IF(AND($M804="Asignada",$R804=""),"Asignada: falta ID lote acciones",IF(AND($R804&lt;&gt;"",ISNA(MATCH($R804,Acciones!$A$2:$A$201,0))),"El ID lote no existe en Acciones",IF($AD804="","Revisa capital en riesgo","OK")))))))))</f>
        <v/>
      </c>
    </row>
    <row r="805" customFormat="false" ht="15" hidden="false" customHeight="true" outlineLevel="0" collapsed="false">
      <c r="A805" s="5"/>
      <c r="B805" s="6"/>
      <c r="C805" s="7"/>
      <c r="D805" s="7"/>
      <c r="E805" s="8"/>
      <c r="F805" s="8"/>
      <c r="G805" s="6"/>
      <c r="H805" s="5"/>
      <c r="I805" s="5" t="n">
        <v>100</v>
      </c>
      <c r="J805" s="8"/>
      <c r="K805" s="8"/>
      <c r="L805" s="9"/>
      <c r="M805" s="7"/>
      <c r="N805" s="6"/>
      <c r="O805" s="8"/>
      <c r="P805" s="9"/>
      <c r="Q805" s="9"/>
      <c r="R805" s="7"/>
      <c r="S805" s="7"/>
      <c r="T805" s="10" t="str">
        <f aca="false">IF($C805="","",IFERROR(INDEX(Listas!$B$2:$B$20,MATCH($D805,Listas!$A$2:$A$20,0)),""))</f>
        <v/>
      </c>
      <c r="U805" s="10" t="str">
        <f aca="false">IF($C805="","",IFERROR(INDEX(Listas!$C$2:$C$20,MATCH($D805,Listas!$A$2:$A$20,0)),""))</f>
        <v/>
      </c>
      <c r="V805" s="10" t="str">
        <f aca="false">IF($C805="","",IFERROR(INDEX(Listas!$D$2:$D$20,MATCH($D805,Listas!$A$2:$A$20,0)),""))</f>
        <v/>
      </c>
      <c r="W805" s="11" t="str">
        <f aca="false">IF(OR($C805="",$B805="",$G805=""),"",$G805-$B805)</f>
        <v/>
      </c>
      <c r="X805" s="11" t="str">
        <f aca="true">IF(OR($C805="",$B805=""),"",IF($N805&lt;&gt;"",$N805,TODAY())-$B805)</f>
        <v/>
      </c>
      <c r="Y805" s="11" t="str">
        <f aca="true">IF(OR($C805="",$M805&lt;&gt;"Abierta",$G805=""),"",MAX($G805-TODAY(),0))</f>
        <v/>
      </c>
      <c r="Z805" s="12" t="str">
        <f aca="false">IF($C805="","",N($K805)*N($H805)*N($I805)*IF($U805="Débito",-1,1))</f>
        <v/>
      </c>
      <c r="AA805" s="13" t="str">
        <f aca="false">IF($C805="","",IF(AND($U805="Débito",$F805&lt;&gt;""),$F805,$E805))</f>
        <v/>
      </c>
      <c r="AB805" s="13" t="str">
        <f aca="false">IF(OR($C805="",$T805="Mixta",$AA805=""),"",IF($V805="Subyacente",IF($J805="","",$J805-$K805),IF($T805="Put",$AA805-$K805,$AA805+$K805)))</f>
        <v/>
      </c>
      <c r="AC805" s="14" t="str">
        <f aca="false">IF(OR($C805="",$T805="Mixta",$J805="",$AA805=""),"",IF($T805="Put",($J805-$AA805)/$J805,($AA805-$J805)/$J805))</f>
        <v/>
      </c>
      <c r="AD805" s="12" t="str">
        <f aca="false">IF($C805="","",IF($Q805&lt;&gt;"",$Q805,IF($V805="Strike",N($E805)*$H805*$I805,IF($V805="Subyacente",IF($J805="","",$J805*$H805*$I805),IF($V805="Ancho",IF($F805="","",ABS($E805-$F805)*$H805*$I805-$K805*$H805*$I805),IF($V805="Prima",$K805*$H805*$I805,""))))))</f>
        <v/>
      </c>
      <c r="AE805" s="12" t="str">
        <f aca="false">IF(OR($C805="",$M805="Abierta",$M805=""),"",(N($K805)-IF(OR($M805="Cerrada",$M805="Rolada"),N($O805),0))*$H805*$I805*IF($U805="Débito",-1,1)-N($L805)-N($P805))</f>
        <v/>
      </c>
      <c r="AF805" s="14" t="str">
        <f aca="false">IF(OR($AE805="",$AD805=""),"",IF($AD805&lt;=0,"",$AE805/$AD805))</f>
        <v/>
      </c>
      <c r="AG805" s="14" t="str">
        <f aca="false">IF($AF805="","",$AF805*365/MAX(N($X805),1))</f>
        <v/>
      </c>
      <c r="AH805" s="14" t="str">
        <f aca="false">IF(OR($C805="",$U805&lt;&gt;"Crédito",$AD805=""),"",IF($AD805&lt;=0,"",($Z805-N($L805))/$AD805))</f>
        <v/>
      </c>
      <c r="AI805" s="14" t="str">
        <f aca="false">IF(OR($AH805="",$W805=""),"",$AH805*365/MAX($W805,1))</f>
        <v/>
      </c>
      <c r="AJ805" s="14" t="str">
        <f aca="false">IF(OR($AE805="",$U805&lt;&gt;"Crédito",N($K805)=0),"",(N($K805)-IF(OR($M805="Cerrada",$M805="Rolada"),N($O805),0))/$K805)</f>
        <v/>
      </c>
      <c r="AK805" s="15" t="str">
        <f aca="false">IF(OR($C805="",$N805=""),"",DATE(YEAR($N805),MONTH($N805),1))</f>
        <v/>
      </c>
      <c r="AL805" s="11" t="str">
        <f aca="false">IF($C805="","",IF($M805="Abierta",0,1))</f>
        <v/>
      </c>
      <c r="AM805" s="16" t="str">
        <f aca="false">IF(OR($AE805="",$AD805=""),"",$AD805*MAX(N($X805),1))</f>
        <v/>
      </c>
      <c r="AN805" s="10" t="str">
        <f aca="false">IF($C805="","",IF(OR($B805="",$D805="",$H805="",$K805="",$M805=""),"Faltan datos obligatorios",IF($T805="","Estrategia no reconocida",IF(AND($M805&lt;&gt;"Abierta",$N805=""),"Falta fecha cierre",IF(AND(OR($M805="Cerrada",$M805="Rolada"),$O805=""),"Falta prima cierre",IF(AND($N805&lt;&gt;"",$N805&lt;$B805),"Cierre anterior a apertura",IF(AND($M805="Asignada",$R805=""),"Asignada: falta ID lote acciones",IF(AND($R805&lt;&gt;"",ISNA(MATCH($R805,Acciones!$A$2:$A$201,0))),"El ID lote no existe en Acciones",IF($AD805="","Revisa capital en riesgo","OK")))))))))</f>
        <v/>
      </c>
    </row>
    <row r="806" customFormat="false" ht="15" hidden="false" customHeight="true" outlineLevel="0" collapsed="false">
      <c r="A806" s="5"/>
      <c r="B806" s="6"/>
      <c r="C806" s="7"/>
      <c r="D806" s="7"/>
      <c r="E806" s="8"/>
      <c r="F806" s="8"/>
      <c r="G806" s="6"/>
      <c r="H806" s="5"/>
      <c r="I806" s="5" t="n">
        <v>100</v>
      </c>
      <c r="J806" s="8"/>
      <c r="K806" s="8"/>
      <c r="L806" s="9"/>
      <c r="M806" s="7"/>
      <c r="N806" s="6"/>
      <c r="O806" s="8"/>
      <c r="P806" s="9"/>
      <c r="Q806" s="9"/>
      <c r="R806" s="7"/>
      <c r="S806" s="7"/>
      <c r="T806" s="10" t="str">
        <f aca="false">IF($C806="","",IFERROR(INDEX(Listas!$B$2:$B$20,MATCH($D806,Listas!$A$2:$A$20,0)),""))</f>
        <v/>
      </c>
      <c r="U806" s="10" t="str">
        <f aca="false">IF($C806="","",IFERROR(INDEX(Listas!$C$2:$C$20,MATCH($D806,Listas!$A$2:$A$20,0)),""))</f>
        <v/>
      </c>
      <c r="V806" s="10" t="str">
        <f aca="false">IF($C806="","",IFERROR(INDEX(Listas!$D$2:$D$20,MATCH($D806,Listas!$A$2:$A$20,0)),""))</f>
        <v/>
      </c>
      <c r="W806" s="11" t="str">
        <f aca="false">IF(OR($C806="",$B806="",$G806=""),"",$G806-$B806)</f>
        <v/>
      </c>
      <c r="X806" s="11" t="str">
        <f aca="true">IF(OR($C806="",$B806=""),"",IF($N806&lt;&gt;"",$N806,TODAY())-$B806)</f>
        <v/>
      </c>
      <c r="Y806" s="11" t="str">
        <f aca="true">IF(OR($C806="",$M806&lt;&gt;"Abierta",$G806=""),"",MAX($G806-TODAY(),0))</f>
        <v/>
      </c>
      <c r="Z806" s="12" t="str">
        <f aca="false">IF($C806="","",N($K806)*N($H806)*N($I806)*IF($U806="Débito",-1,1))</f>
        <v/>
      </c>
      <c r="AA806" s="13" t="str">
        <f aca="false">IF($C806="","",IF(AND($U806="Débito",$F806&lt;&gt;""),$F806,$E806))</f>
        <v/>
      </c>
      <c r="AB806" s="13" t="str">
        <f aca="false">IF(OR($C806="",$T806="Mixta",$AA806=""),"",IF($V806="Subyacente",IF($J806="","",$J806-$K806),IF($T806="Put",$AA806-$K806,$AA806+$K806)))</f>
        <v/>
      </c>
      <c r="AC806" s="14" t="str">
        <f aca="false">IF(OR($C806="",$T806="Mixta",$J806="",$AA806=""),"",IF($T806="Put",($J806-$AA806)/$J806,($AA806-$J806)/$J806))</f>
        <v/>
      </c>
      <c r="AD806" s="12" t="str">
        <f aca="false">IF($C806="","",IF($Q806&lt;&gt;"",$Q806,IF($V806="Strike",N($E806)*$H806*$I806,IF($V806="Subyacente",IF($J806="","",$J806*$H806*$I806),IF($V806="Ancho",IF($F806="","",ABS($E806-$F806)*$H806*$I806-$K806*$H806*$I806),IF($V806="Prima",$K806*$H806*$I806,""))))))</f>
        <v/>
      </c>
      <c r="AE806" s="12" t="str">
        <f aca="false">IF(OR($C806="",$M806="Abierta",$M806=""),"",(N($K806)-IF(OR($M806="Cerrada",$M806="Rolada"),N($O806),0))*$H806*$I806*IF($U806="Débito",-1,1)-N($L806)-N($P806))</f>
        <v/>
      </c>
      <c r="AF806" s="14" t="str">
        <f aca="false">IF(OR($AE806="",$AD806=""),"",IF($AD806&lt;=0,"",$AE806/$AD806))</f>
        <v/>
      </c>
      <c r="AG806" s="14" t="str">
        <f aca="false">IF($AF806="","",$AF806*365/MAX(N($X806),1))</f>
        <v/>
      </c>
      <c r="AH806" s="14" t="str">
        <f aca="false">IF(OR($C806="",$U806&lt;&gt;"Crédito",$AD806=""),"",IF($AD806&lt;=0,"",($Z806-N($L806))/$AD806))</f>
        <v/>
      </c>
      <c r="AI806" s="14" t="str">
        <f aca="false">IF(OR($AH806="",$W806=""),"",$AH806*365/MAX($W806,1))</f>
        <v/>
      </c>
      <c r="AJ806" s="14" t="str">
        <f aca="false">IF(OR($AE806="",$U806&lt;&gt;"Crédito",N($K806)=0),"",(N($K806)-IF(OR($M806="Cerrada",$M806="Rolada"),N($O806),0))/$K806)</f>
        <v/>
      </c>
      <c r="AK806" s="15" t="str">
        <f aca="false">IF(OR($C806="",$N806=""),"",DATE(YEAR($N806),MONTH($N806),1))</f>
        <v/>
      </c>
      <c r="AL806" s="11" t="str">
        <f aca="false">IF($C806="","",IF($M806="Abierta",0,1))</f>
        <v/>
      </c>
      <c r="AM806" s="16" t="str">
        <f aca="false">IF(OR($AE806="",$AD806=""),"",$AD806*MAX(N($X806),1))</f>
        <v/>
      </c>
      <c r="AN806" s="10" t="str">
        <f aca="false">IF($C806="","",IF(OR($B806="",$D806="",$H806="",$K806="",$M806=""),"Faltan datos obligatorios",IF($T806="","Estrategia no reconocida",IF(AND($M806&lt;&gt;"Abierta",$N806=""),"Falta fecha cierre",IF(AND(OR($M806="Cerrada",$M806="Rolada"),$O806=""),"Falta prima cierre",IF(AND($N806&lt;&gt;"",$N806&lt;$B806),"Cierre anterior a apertura",IF(AND($M806="Asignada",$R806=""),"Asignada: falta ID lote acciones",IF(AND($R806&lt;&gt;"",ISNA(MATCH($R806,Acciones!$A$2:$A$201,0))),"El ID lote no existe en Acciones",IF($AD806="","Revisa capital en riesgo","OK")))))))))</f>
        <v/>
      </c>
    </row>
    <row r="807" customFormat="false" ht="15" hidden="false" customHeight="true" outlineLevel="0" collapsed="false">
      <c r="A807" s="5"/>
      <c r="B807" s="6"/>
      <c r="C807" s="7"/>
      <c r="D807" s="7"/>
      <c r="E807" s="8"/>
      <c r="F807" s="8"/>
      <c r="G807" s="6"/>
      <c r="H807" s="5"/>
      <c r="I807" s="5" t="n">
        <v>100</v>
      </c>
      <c r="J807" s="8"/>
      <c r="K807" s="8"/>
      <c r="L807" s="9"/>
      <c r="M807" s="7"/>
      <c r="N807" s="6"/>
      <c r="O807" s="8"/>
      <c r="P807" s="9"/>
      <c r="Q807" s="9"/>
      <c r="R807" s="7"/>
      <c r="S807" s="7"/>
      <c r="T807" s="10" t="str">
        <f aca="false">IF($C807="","",IFERROR(INDEX(Listas!$B$2:$B$20,MATCH($D807,Listas!$A$2:$A$20,0)),""))</f>
        <v/>
      </c>
      <c r="U807" s="10" t="str">
        <f aca="false">IF($C807="","",IFERROR(INDEX(Listas!$C$2:$C$20,MATCH($D807,Listas!$A$2:$A$20,0)),""))</f>
        <v/>
      </c>
      <c r="V807" s="10" t="str">
        <f aca="false">IF($C807="","",IFERROR(INDEX(Listas!$D$2:$D$20,MATCH($D807,Listas!$A$2:$A$20,0)),""))</f>
        <v/>
      </c>
      <c r="W807" s="11" t="str">
        <f aca="false">IF(OR($C807="",$B807="",$G807=""),"",$G807-$B807)</f>
        <v/>
      </c>
      <c r="X807" s="11" t="str">
        <f aca="true">IF(OR($C807="",$B807=""),"",IF($N807&lt;&gt;"",$N807,TODAY())-$B807)</f>
        <v/>
      </c>
      <c r="Y807" s="11" t="str">
        <f aca="true">IF(OR($C807="",$M807&lt;&gt;"Abierta",$G807=""),"",MAX($G807-TODAY(),0))</f>
        <v/>
      </c>
      <c r="Z807" s="12" t="str">
        <f aca="false">IF($C807="","",N($K807)*N($H807)*N($I807)*IF($U807="Débito",-1,1))</f>
        <v/>
      </c>
      <c r="AA807" s="13" t="str">
        <f aca="false">IF($C807="","",IF(AND($U807="Débito",$F807&lt;&gt;""),$F807,$E807))</f>
        <v/>
      </c>
      <c r="AB807" s="13" t="str">
        <f aca="false">IF(OR($C807="",$T807="Mixta",$AA807=""),"",IF($V807="Subyacente",IF($J807="","",$J807-$K807),IF($T807="Put",$AA807-$K807,$AA807+$K807)))</f>
        <v/>
      </c>
      <c r="AC807" s="14" t="str">
        <f aca="false">IF(OR($C807="",$T807="Mixta",$J807="",$AA807=""),"",IF($T807="Put",($J807-$AA807)/$J807,($AA807-$J807)/$J807))</f>
        <v/>
      </c>
      <c r="AD807" s="12" t="str">
        <f aca="false">IF($C807="","",IF($Q807&lt;&gt;"",$Q807,IF($V807="Strike",N($E807)*$H807*$I807,IF($V807="Subyacente",IF($J807="","",$J807*$H807*$I807),IF($V807="Ancho",IF($F807="","",ABS($E807-$F807)*$H807*$I807-$K807*$H807*$I807),IF($V807="Prima",$K807*$H807*$I807,""))))))</f>
        <v/>
      </c>
      <c r="AE807" s="12" t="str">
        <f aca="false">IF(OR($C807="",$M807="Abierta",$M807=""),"",(N($K807)-IF(OR($M807="Cerrada",$M807="Rolada"),N($O807),0))*$H807*$I807*IF($U807="Débito",-1,1)-N($L807)-N($P807))</f>
        <v/>
      </c>
      <c r="AF807" s="14" t="str">
        <f aca="false">IF(OR($AE807="",$AD807=""),"",IF($AD807&lt;=0,"",$AE807/$AD807))</f>
        <v/>
      </c>
      <c r="AG807" s="14" t="str">
        <f aca="false">IF($AF807="","",$AF807*365/MAX(N($X807),1))</f>
        <v/>
      </c>
      <c r="AH807" s="14" t="str">
        <f aca="false">IF(OR($C807="",$U807&lt;&gt;"Crédito",$AD807=""),"",IF($AD807&lt;=0,"",($Z807-N($L807))/$AD807))</f>
        <v/>
      </c>
      <c r="AI807" s="14" t="str">
        <f aca="false">IF(OR($AH807="",$W807=""),"",$AH807*365/MAX($W807,1))</f>
        <v/>
      </c>
      <c r="AJ807" s="14" t="str">
        <f aca="false">IF(OR($AE807="",$U807&lt;&gt;"Crédito",N($K807)=0),"",(N($K807)-IF(OR($M807="Cerrada",$M807="Rolada"),N($O807),0))/$K807)</f>
        <v/>
      </c>
      <c r="AK807" s="15" t="str">
        <f aca="false">IF(OR($C807="",$N807=""),"",DATE(YEAR($N807),MONTH($N807),1))</f>
        <v/>
      </c>
      <c r="AL807" s="11" t="str">
        <f aca="false">IF($C807="","",IF($M807="Abierta",0,1))</f>
        <v/>
      </c>
      <c r="AM807" s="16" t="str">
        <f aca="false">IF(OR($AE807="",$AD807=""),"",$AD807*MAX(N($X807),1))</f>
        <v/>
      </c>
      <c r="AN807" s="10" t="str">
        <f aca="false">IF($C807="","",IF(OR($B807="",$D807="",$H807="",$K807="",$M807=""),"Faltan datos obligatorios",IF($T807="","Estrategia no reconocida",IF(AND($M807&lt;&gt;"Abierta",$N807=""),"Falta fecha cierre",IF(AND(OR($M807="Cerrada",$M807="Rolada"),$O807=""),"Falta prima cierre",IF(AND($N807&lt;&gt;"",$N807&lt;$B807),"Cierre anterior a apertura",IF(AND($M807="Asignada",$R807=""),"Asignada: falta ID lote acciones",IF(AND($R807&lt;&gt;"",ISNA(MATCH($R807,Acciones!$A$2:$A$201,0))),"El ID lote no existe en Acciones",IF($AD807="","Revisa capital en riesgo","OK")))))))))</f>
        <v/>
      </c>
    </row>
    <row r="808" customFormat="false" ht="15" hidden="false" customHeight="true" outlineLevel="0" collapsed="false">
      <c r="A808" s="5"/>
      <c r="B808" s="6"/>
      <c r="C808" s="7"/>
      <c r="D808" s="7"/>
      <c r="E808" s="8"/>
      <c r="F808" s="8"/>
      <c r="G808" s="6"/>
      <c r="H808" s="5"/>
      <c r="I808" s="5" t="n">
        <v>100</v>
      </c>
      <c r="J808" s="8"/>
      <c r="K808" s="8"/>
      <c r="L808" s="9"/>
      <c r="M808" s="7"/>
      <c r="N808" s="6"/>
      <c r="O808" s="8"/>
      <c r="P808" s="9"/>
      <c r="Q808" s="9"/>
      <c r="R808" s="7"/>
      <c r="S808" s="7"/>
      <c r="T808" s="10" t="str">
        <f aca="false">IF($C808="","",IFERROR(INDEX(Listas!$B$2:$B$20,MATCH($D808,Listas!$A$2:$A$20,0)),""))</f>
        <v/>
      </c>
      <c r="U808" s="10" t="str">
        <f aca="false">IF($C808="","",IFERROR(INDEX(Listas!$C$2:$C$20,MATCH($D808,Listas!$A$2:$A$20,0)),""))</f>
        <v/>
      </c>
      <c r="V808" s="10" t="str">
        <f aca="false">IF($C808="","",IFERROR(INDEX(Listas!$D$2:$D$20,MATCH($D808,Listas!$A$2:$A$20,0)),""))</f>
        <v/>
      </c>
      <c r="W808" s="11" t="str">
        <f aca="false">IF(OR($C808="",$B808="",$G808=""),"",$G808-$B808)</f>
        <v/>
      </c>
      <c r="X808" s="11" t="str">
        <f aca="true">IF(OR($C808="",$B808=""),"",IF($N808&lt;&gt;"",$N808,TODAY())-$B808)</f>
        <v/>
      </c>
      <c r="Y808" s="11" t="str">
        <f aca="true">IF(OR($C808="",$M808&lt;&gt;"Abierta",$G808=""),"",MAX($G808-TODAY(),0))</f>
        <v/>
      </c>
      <c r="Z808" s="12" t="str">
        <f aca="false">IF($C808="","",N($K808)*N($H808)*N($I808)*IF($U808="Débito",-1,1))</f>
        <v/>
      </c>
      <c r="AA808" s="13" t="str">
        <f aca="false">IF($C808="","",IF(AND($U808="Débito",$F808&lt;&gt;""),$F808,$E808))</f>
        <v/>
      </c>
      <c r="AB808" s="13" t="str">
        <f aca="false">IF(OR($C808="",$T808="Mixta",$AA808=""),"",IF($V808="Subyacente",IF($J808="","",$J808-$K808),IF($T808="Put",$AA808-$K808,$AA808+$K808)))</f>
        <v/>
      </c>
      <c r="AC808" s="14" t="str">
        <f aca="false">IF(OR($C808="",$T808="Mixta",$J808="",$AA808=""),"",IF($T808="Put",($J808-$AA808)/$J808,($AA808-$J808)/$J808))</f>
        <v/>
      </c>
      <c r="AD808" s="12" t="str">
        <f aca="false">IF($C808="","",IF($Q808&lt;&gt;"",$Q808,IF($V808="Strike",N($E808)*$H808*$I808,IF($V808="Subyacente",IF($J808="","",$J808*$H808*$I808),IF($V808="Ancho",IF($F808="","",ABS($E808-$F808)*$H808*$I808-$K808*$H808*$I808),IF($V808="Prima",$K808*$H808*$I808,""))))))</f>
        <v/>
      </c>
      <c r="AE808" s="12" t="str">
        <f aca="false">IF(OR($C808="",$M808="Abierta",$M808=""),"",(N($K808)-IF(OR($M808="Cerrada",$M808="Rolada"),N($O808),0))*$H808*$I808*IF($U808="Débito",-1,1)-N($L808)-N($P808))</f>
        <v/>
      </c>
      <c r="AF808" s="14" t="str">
        <f aca="false">IF(OR($AE808="",$AD808=""),"",IF($AD808&lt;=0,"",$AE808/$AD808))</f>
        <v/>
      </c>
      <c r="AG808" s="14" t="str">
        <f aca="false">IF($AF808="","",$AF808*365/MAX(N($X808),1))</f>
        <v/>
      </c>
      <c r="AH808" s="14" t="str">
        <f aca="false">IF(OR($C808="",$U808&lt;&gt;"Crédito",$AD808=""),"",IF($AD808&lt;=0,"",($Z808-N($L808))/$AD808))</f>
        <v/>
      </c>
      <c r="AI808" s="14" t="str">
        <f aca="false">IF(OR($AH808="",$W808=""),"",$AH808*365/MAX($W808,1))</f>
        <v/>
      </c>
      <c r="AJ808" s="14" t="str">
        <f aca="false">IF(OR($AE808="",$U808&lt;&gt;"Crédito",N($K808)=0),"",(N($K808)-IF(OR($M808="Cerrada",$M808="Rolada"),N($O808),0))/$K808)</f>
        <v/>
      </c>
      <c r="AK808" s="15" t="str">
        <f aca="false">IF(OR($C808="",$N808=""),"",DATE(YEAR($N808),MONTH($N808),1))</f>
        <v/>
      </c>
      <c r="AL808" s="11" t="str">
        <f aca="false">IF($C808="","",IF($M808="Abierta",0,1))</f>
        <v/>
      </c>
      <c r="AM808" s="16" t="str">
        <f aca="false">IF(OR($AE808="",$AD808=""),"",$AD808*MAX(N($X808),1))</f>
        <v/>
      </c>
      <c r="AN808" s="10" t="str">
        <f aca="false">IF($C808="","",IF(OR($B808="",$D808="",$H808="",$K808="",$M808=""),"Faltan datos obligatorios",IF($T808="","Estrategia no reconocida",IF(AND($M808&lt;&gt;"Abierta",$N808=""),"Falta fecha cierre",IF(AND(OR($M808="Cerrada",$M808="Rolada"),$O808=""),"Falta prima cierre",IF(AND($N808&lt;&gt;"",$N808&lt;$B808),"Cierre anterior a apertura",IF(AND($M808="Asignada",$R808=""),"Asignada: falta ID lote acciones",IF(AND($R808&lt;&gt;"",ISNA(MATCH($R808,Acciones!$A$2:$A$201,0))),"El ID lote no existe en Acciones",IF($AD808="","Revisa capital en riesgo","OK")))))))))</f>
        <v/>
      </c>
    </row>
    <row r="809" customFormat="false" ht="15" hidden="false" customHeight="true" outlineLevel="0" collapsed="false">
      <c r="A809" s="5"/>
      <c r="B809" s="6"/>
      <c r="C809" s="7"/>
      <c r="D809" s="7"/>
      <c r="E809" s="8"/>
      <c r="F809" s="8"/>
      <c r="G809" s="6"/>
      <c r="H809" s="5"/>
      <c r="I809" s="5" t="n">
        <v>100</v>
      </c>
      <c r="J809" s="8"/>
      <c r="K809" s="8"/>
      <c r="L809" s="9"/>
      <c r="M809" s="7"/>
      <c r="N809" s="6"/>
      <c r="O809" s="8"/>
      <c r="P809" s="9"/>
      <c r="Q809" s="9"/>
      <c r="R809" s="7"/>
      <c r="S809" s="7"/>
      <c r="T809" s="10" t="str">
        <f aca="false">IF($C809="","",IFERROR(INDEX(Listas!$B$2:$B$20,MATCH($D809,Listas!$A$2:$A$20,0)),""))</f>
        <v/>
      </c>
      <c r="U809" s="10" t="str">
        <f aca="false">IF($C809="","",IFERROR(INDEX(Listas!$C$2:$C$20,MATCH($D809,Listas!$A$2:$A$20,0)),""))</f>
        <v/>
      </c>
      <c r="V809" s="10" t="str">
        <f aca="false">IF($C809="","",IFERROR(INDEX(Listas!$D$2:$D$20,MATCH($D809,Listas!$A$2:$A$20,0)),""))</f>
        <v/>
      </c>
      <c r="W809" s="11" t="str">
        <f aca="false">IF(OR($C809="",$B809="",$G809=""),"",$G809-$B809)</f>
        <v/>
      </c>
      <c r="X809" s="11" t="str">
        <f aca="true">IF(OR($C809="",$B809=""),"",IF($N809&lt;&gt;"",$N809,TODAY())-$B809)</f>
        <v/>
      </c>
      <c r="Y809" s="11" t="str">
        <f aca="true">IF(OR($C809="",$M809&lt;&gt;"Abierta",$G809=""),"",MAX($G809-TODAY(),0))</f>
        <v/>
      </c>
      <c r="Z809" s="12" t="str">
        <f aca="false">IF($C809="","",N($K809)*N($H809)*N($I809)*IF($U809="Débito",-1,1))</f>
        <v/>
      </c>
      <c r="AA809" s="13" t="str">
        <f aca="false">IF($C809="","",IF(AND($U809="Débito",$F809&lt;&gt;""),$F809,$E809))</f>
        <v/>
      </c>
      <c r="AB809" s="13" t="str">
        <f aca="false">IF(OR($C809="",$T809="Mixta",$AA809=""),"",IF($V809="Subyacente",IF($J809="","",$J809-$K809),IF($T809="Put",$AA809-$K809,$AA809+$K809)))</f>
        <v/>
      </c>
      <c r="AC809" s="14" t="str">
        <f aca="false">IF(OR($C809="",$T809="Mixta",$J809="",$AA809=""),"",IF($T809="Put",($J809-$AA809)/$J809,($AA809-$J809)/$J809))</f>
        <v/>
      </c>
      <c r="AD809" s="12" t="str">
        <f aca="false">IF($C809="","",IF($Q809&lt;&gt;"",$Q809,IF($V809="Strike",N($E809)*$H809*$I809,IF($V809="Subyacente",IF($J809="","",$J809*$H809*$I809),IF($V809="Ancho",IF($F809="","",ABS($E809-$F809)*$H809*$I809-$K809*$H809*$I809),IF($V809="Prima",$K809*$H809*$I809,""))))))</f>
        <v/>
      </c>
      <c r="AE809" s="12" t="str">
        <f aca="false">IF(OR($C809="",$M809="Abierta",$M809=""),"",(N($K809)-IF(OR($M809="Cerrada",$M809="Rolada"),N($O809),0))*$H809*$I809*IF($U809="Débito",-1,1)-N($L809)-N($P809))</f>
        <v/>
      </c>
      <c r="AF809" s="14" t="str">
        <f aca="false">IF(OR($AE809="",$AD809=""),"",IF($AD809&lt;=0,"",$AE809/$AD809))</f>
        <v/>
      </c>
      <c r="AG809" s="14" t="str">
        <f aca="false">IF($AF809="","",$AF809*365/MAX(N($X809),1))</f>
        <v/>
      </c>
      <c r="AH809" s="14" t="str">
        <f aca="false">IF(OR($C809="",$U809&lt;&gt;"Crédito",$AD809=""),"",IF($AD809&lt;=0,"",($Z809-N($L809))/$AD809))</f>
        <v/>
      </c>
      <c r="AI809" s="14" t="str">
        <f aca="false">IF(OR($AH809="",$W809=""),"",$AH809*365/MAX($W809,1))</f>
        <v/>
      </c>
      <c r="AJ809" s="14" t="str">
        <f aca="false">IF(OR($AE809="",$U809&lt;&gt;"Crédito",N($K809)=0),"",(N($K809)-IF(OR($M809="Cerrada",$M809="Rolada"),N($O809),0))/$K809)</f>
        <v/>
      </c>
      <c r="AK809" s="15" t="str">
        <f aca="false">IF(OR($C809="",$N809=""),"",DATE(YEAR($N809),MONTH($N809),1))</f>
        <v/>
      </c>
      <c r="AL809" s="11" t="str">
        <f aca="false">IF($C809="","",IF($M809="Abierta",0,1))</f>
        <v/>
      </c>
      <c r="AM809" s="16" t="str">
        <f aca="false">IF(OR($AE809="",$AD809=""),"",$AD809*MAX(N($X809),1))</f>
        <v/>
      </c>
      <c r="AN809" s="10" t="str">
        <f aca="false">IF($C809="","",IF(OR($B809="",$D809="",$H809="",$K809="",$M809=""),"Faltan datos obligatorios",IF($T809="","Estrategia no reconocida",IF(AND($M809&lt;&gt;"Abierta",$N809=""),"Falta fecha cierre",IF(AND(OR($M809="Cerrada",$M809="Rolada"),$O809=""),"Falta prima cierre",IF(AND($N809&lt;&gt;"",$N809&lt;$B809),"Cierre anterior a apertura",IF(AND($M809="Asignada",$R809=""),"Asignada: falta ID lote acciones",IF(AND($R809&lt;&gt;"",ISNA(MATCH($R809,Acciones!$A$2:$A$201,0))),"El ID lote no existe en Acciones",IF($AD809="","Revisa capital en riesgo","OK")))))))))</f>
        <v/>
      </c>
    </row>
    <row r="810" customFormat="false" ht="15" hidden="false" customHeight="true" outlineLevel="0" collapsed="false">
      <c r="A810" s="5"/>
      <c r="B810" s="6"/>
      <c r="C810" s="7"/>
      <c r="D810" s="7"/>
      <c r="E810" s="8"/>
      <c r="F810" s="8"/>
      <c r="G810" s="6"/>
      <c r="H810" s="5"/>
      <c r="I810" s="5" t="n">
        <v>100</v>
      </c>
      <c r="J810" s="8"/>
      <c r="K810" s="8"/>
      <c r="L810" s="9"/>
      <c r="M810" s="7"/>
      <c r="N810" s="6"/>
      <c r="O810" s="8"/>
      <c r="P810" s="9"/>
      <c r="Q810" s="9"/>
      <c r="R810" s="7"/>
      <c r="S810" s="7"/>
      <c r="T810" s="10" t="str">
        <f aca="false">IF($C810="","",IFERROR(INDEX(Listas!$B$2:$B$20,MATCH($D810,Listas!$A$2:$A$20,0)),""))</f>
        <v/>
      </c>
      <c r="U810" s="10" t="str">
        <f aca="false">IF($C810="","",IFERROR(INDEX(Listas!$C$2:$C$20,MATCH($D810,Listas!$A$2:$A$20,0)),""))</f>
        <v/>
      </c>
      <c r="V810" s="10" t="str">
        <f aca="false">IF($C810="","",IFERROR(INDEX(Listas!$D$2:$D$20,MATCH($D810,Listas!$A$2:$A$20,0)),""))</f>
        <v/>
      </c>
      <c r="W810" s="11" t="str">
        <f aca="false">IF(OR($C810="",$B810="",$G810=""),"",$G810-$B810)</f>
        <v/>
      </c>
      <c r="X810" s="11" t="str">
        <f aca="true">IF(OR($C810="",$B810=""),"",IF($N810&lt;&gt;"",$N810,TODAY())-$B810)</f>
        <v/>
      </c>
      <c r="Y810" s="11" t="str">
        <f aca="true">IF(OR($C810="",$M810&lt;&gt;"Abierta",$G810=""),"",MAX($G810-TODAY(),0))</f>
        <v/>
      </c>
      <c r="Z810" s="12" t="str">
        <f aca="false">IF($C810="","",N($K810)*N($H810)*N($I810)*IF($U810="Débito",-1,1))</f>
        <v/>
      </c>
      <c r="AA810" s="13" t="str">
        <f aca="false">IF($C810="","",IF(AND($U810="Débito",$F810&lt;&gt;""),$F810,$E810))</f>
        <v/>
      </c>
      <c r="AB810" s="13" t="str">
        <f aca="false">IF(OR($C810="",$T810="Mixta",$AA810=""),"",IF($V810="Subyacente",IF($J810="","",$J810-$K810),IF($T810="Put",$AA810-$K810,$AA810+$K810)))</f>
        <v/>
      </c>
      <c r="AC810" s="14" t="str">
        <f aca="false">IF(OR($C810="",$T810="Mixta",$J810="",$AA810=""),"",IF($T810="Put",($J810-$AA810)/$J810,($AA810-$J810)/$J810))</f>
        <v/>
      </c>
      <c r="AD810" s="12" t="str">
        <f aca="false">IF($C810="","",IF($Q810&lt;&gt;"",$Q810,IF($V810="Strike",N($E810)*$H810*$I810,IF($V810="Subyacente",IF($J810="","",$J810*$H810*$I810),IF($V810="Ancho",IF($F810="","",ABS($E810-$F810)*$H810*$I810-$K810*$H810*$I810),IF($V810="Prima",$K810*$H810*$I810,""))))))</f>
        <v/>
      </c>
      <c r="AE810" s="12" t="str">
        <f aca="false">IF(OR($C810="",$M810="Abierta",$M810=""),"",(N($K810)-IF(OR($M810="Cerrada",$M810="Rolada"),N($O810),0))*$H810*$I810*IF($U810="Débito",-1,1)-N($L810)-N($P810))</f>
        <v/>
      </c>
      <c r="AF810" s="14" t="str">
        <f aca="false">IF(OR($AE810="",$AD810=""),"",IF($AD810&lt;=0,"",$AE810/$AD810))</f>
        <v/>
      </c>
      <c r="AG810" s="14" t="str">
        <f aca="false">IF($AF810="","",$AF810*365/MAX(N($X810),1))</f>
        <v/>
      </c>
      <c r="AH810" s="14" t="str">
        <f aca="false">IF(OR($C810="",$U810&lt;&gt;"Crédito",$AD810=""),"",IF($AD810&lt;=0,"",($Z810-N($L810))/$AD810))</f>
        <v/>
      </c>
      <c r="AI810" s="14" t="str">
        <f aca="false">IF(OR($AH810="",$W810=""),"",$AH810*365/MAX($W810,1))</f>
        <v/>
      </c>
      <c r="AJ810" s="14" t="str">
        <f aca="false">IF(OR($AE810="",$U810&lt;&gt;"Crédito",N($K810)=0),"",(N($K810)-IF(OR($M810="Cerrada",$M810="Rolada"),N($O810),0))/$K810)</f>
        <v/>
      </c>
      <c r="AK810" s="15" t="str">
        <f aca="false">IF(OR($C810="",$N810=""),"",DATE(YEAR($N810),MONTH($N810),1))</f>
        <v/>
      </c>
      <c r="AL810" s="11" t="str">
        <f aca="false">IF($C810="","",IF($M810="Abierta",0,1))</f>
        <v/>
      </c>
      <c r="AM810" s="16" t="str">
        <f aca="false">IF(OR($AE810="",$AD810=""),"",$AD810*MAX(N($X810),1))</f>
        <v/>
      </c>
      <c r="AN810" s="10" t="str">
        <f aca="false">IF($C810="","",IF(OR($B810="",$D810="",$H810="",$K810="",$M810=""),"Faltan datos obligatorios",IF($T810="","Estrategia no reconocida",IF(AND($M810&lt;&gt;"Abierta",$N810=""),"Falta fecha cierre",IF(AND(OR($M810="Cerrada",$M810="Rolada"),$O810=""),"Falta prima cierre",IF(AND($N810&lt;&gt;"",$N810&lt;$B810),"Cierre anterior a apertura",IF(AND($M810="Asignada",$R810=""),"Asignada: falta ID lote acciones",IF(AND($R810&lt;&gt;"",ISNA(MATCH($R810,Acciones!$A$2:$A$201,0))),"El ID lote no existe en Acciones",IF($AD810="","Revisa capital en riesgo","OK")))))))))</f>
        <v/>
      </c>
    </row>
    <row r="811" customFormat="false" ht="15" hidden="false" customHeight="true" outlineLevel="0" collapsed="false">
      <c r="A811" s="5"/>
      <c r="B811" s="6"/>
      <c r="C811" s="7"/>
      <c r="D811" s="7"/>
      <c r="E811" s="8"/>
      <c r="F811" s="8"/>
      <c r="G811" s="6"/>
      <c r="H811" s="5"/>
      <c r="I811" s="5" t="n">
        <v>100</v>
      </c>
      <c r="J811" s="8"/>
      <c r="K811" s="8"/>
      <c r="L811" s="9"/>
      <c r="M811" s="7"/>
      <c r="N811" s="6"/>
      <c r="O811" s="8"/>
      <c r="P811" s="9"/>
      <c r="Q811" s="9"/>
      <c r="R811" s="7"/>
      <c r="S811" s="7"/>
      <c r="T811" s="10" t="str">
        <f aca="false">IF($C811="","",IFERROR(INDEX(Listas!$B$2:$B$20,MATCH($D811,Listas!$A$2:$A$20,0)),""))</f>
        <v/>
      </c>
      <c r="U811" s="10" t="str">
        <f aca="false">IF($C811="","",IFERROR(INDEX(Listas!$C$2:$C$20,MATCH($D811,Listas!$A$2:$A$20,0)),""))</f>
        <v/>
      </c>
      <c r="V811" s="10" t="str">
        <f aca="false">IF($C811="","",IFERROR(INDEX(Listas!$D$2:$D$20,MATCH($D811,Listas!$A$2:$A$20,0)),""))</f>
        <v/>
      </c>
      <c r="W811" s="11" t="str">
        <f aca="false">IF(OR($C811="",$B811="",$G811=""),"",$G811-$B811)</f>
        <v/>
      </c>
      <c r="X811" s="11" t="str">
        <f aca="true">IF(OR($C811="",$B811=""),"",IF($N811&lt;&gt;"",$N811,TODAY())-$B811)</f>
        <v/>
      </c>
      <c r="Y811" s="11" t="str">
        <f aca="true">IF(OR($C811="",$M811&lt;&gt;"Abierta",$G811=""),"",MAX($G811-TODAY(),0))</f>
        <v/>
      </c>
      <c r="Z811" s="12" t="str">
        <f aca="false">IF($C811="","",N($K811)*N($H811)*N($I811)*IF($U811="Débito",-1,1))</f>
        <v/>
      </c>
      <c r="AA811" s="13" t="str">
        <f aca="false">IF($C811="","",IF(AND($U811="Débito",$F811&lt;&gt;""),$F811,$E811))</f>
        <v/>
      </c>
      <c r="AB811" s="13" t="str">
        <f aca="false">IF(OR($C811="",$T811="Mixta",$AA811=""),"",IF($V811="Subyacente",IF($J811="","",$J811-$K811),IF($T811="Put",$AA811-$K811,$AA811+$K811)))</f>
        <v/>
      </c>
      <c r="AC811" s="14" t="str">
        <f aca="false">IF(OR($C811="",$T811="Mixta",$J811="",$AA811=""),"",IF($T811="Put",($J811-$AA811)/$J811,($AA811-$J811)/$J811))</f>
        <v/>
      </c>
      <c r="AD811" s="12" t="str">
        <f aca="false">IF($C811="","",IF($Q811&lt;&gt;"",$Q811,IF($V811="Strike",N($E811)*$H811*$I811,IF($V811="Subyacente",IF($J811="","",$J811*$H811*$I811),IF($V811="Ancho",IF($F811="","",ABS($E811-$F811)*$H811*$I811-$K811*$H811*$I811),IF($V811="Prima",$K811*$H811*$I811,""))))))</f>
        <v/>
      </c>
      <c r="AE811" s="12" t="str">
        <f aca="false">IF(OR($C811="",$M811="Abierta",$M811=""),"",(N($K811)-IF(OR($M811="Cerrada",$M811="Rolada"),N($O811),0))*$H811*$I811*IF($U811="Débito",-1,1)-N($L811)-N($P811))</f>
        <v/>
      </c>
      <c r="AF811" s="14" t="str">
        <f aca="false">IF(OR($AE811="",$AD811=""),"",IF($AD811&lt;=0,"",$AE811/$AD811))</f>
        <v/>
      </c>
      <c r="AG811" s="14" t="str">
        <f aca="false">IF($AF811="","",$AF811*365/MAX(N($X811),1))</f>
        <v/>
      </c>
      <c r="AH811" s="14" t="str">
        <f aca="false">IF(OR($C811="",$U811&lt;&gt;"Crédito",$AD811=""),"",IF($AD811&lt;=0,"",($Z811-N($L811))/$AD811))</f>
        <v/>
      </c>
      <c r="AI811" s="14" t="str">
        <f aca="false">IF(OR($AH811="",$W811=""),"",$AH811*365/MAX($W811,1))</f>
        <v/>
      </c>
      <c r="AJ811" s="14" t="str">
        <f aca="false">IF(OR($AE811="",$U811&lt;&gt;"Crédito",N($K811)=0),"",(N($K811)-IF(OR($M811="Cerrada",$M811="Rolada"),N($O811),0))/$K811)</f>
        <v/>
      </c>
      <c r="AK811" s="15" t="str">
        <f aca="false">IF(OR($C811="",$N811=""),"",DATE(YEAR($N811),MONTH($N811),1))</f>
        <v/>
      </c>
      <c r="AL811" s="11" t="str">
        <f aca="false">IF($C811="","",IF($M811="Abierta",0,1))</f>
        <v/>
      </c>
      <c r="AM811" s="16" t="str">
        <f aca="false">IF(OR($AE811="",$AD811=""),"",$AD811*MAX(N($X811),1))</f>
        <v/>
      </c>
      <c r="AN811" s="10" t="str">
        <f aca="false">IF($C811="","",IF(OR($B811="",$D811="",$H811="",$K811="",$M811=""),"Faltan datos obligatorios",IF($T811="","Estrategia no reconocida",IF(AND($M811&lt;&gt;"Abierta",$N811=""),"Falta fecha cierre",IF(AND(OR($M811="Cerrada",$M811="Rolada"),$O811=""),"Falta prima cierre",IF(AND($N811&lt;&gt;"",$N811&lt;$B811),"Cierre anterior a apertura",IF(AND($M811="Asignada",$R811=""),"Asignada: falta ID lote acciones",IF(AND($R811&lt;&gt;"",ISNA(MATCH($R811,Acciones!$A$2:$A$201,0))),"El ID lote no existe en Acciones",IF($AD811="","Revisa capital en riesgo","OK")))))))))</f>
        <v/>
      </c>
    </row>
    <row r="812" customFormat="false" ht="15" hidden="false" customHeight="true" outlineLevel="0" collapsed="false">
      <c r="A812" s="5"/>
      <c r="B812" s="6"/>
      <c r="C812" s="7"/>
      <c r="D812" s="7"/>
      <c r="E812" s="8"/>
      <c r="F812" s="8"/>
      <c r="G812" s="6"/>
      <c r="H812" s="5"/>
      <c r="I812" s="5" t="n">
        <v>100</v>
      </c>
      <c r="J812" s="8"/>
      <c r="K812" s="8"/>
      <c r="L812" s="9"/>
      <c r="M812" s="7"/>
      <c r="N812" s="6"/>
      <c r="O812" s="8"/>
      <c r="P812" s="9"/>
      <c r="Q812" s="9"/>
      <c r="R812" s="7"/>
      <c r="S812" s="7"/>
      <c r="T812" s="10" t="str">
        <f aca="false">IF($C812="","",IFERROR(INDEX(Listas!$B$2:$B$20,MATCH($D812,Listas!$A$2:$A$20,0)),""))</f>
        <v/>
      </c>
      <c r="U812" s="10" t="str">
        <f aca="false">IF($C812="","",IFERROR(INDEX(Listas!$C$2:$C$20,MATCH($D812,Listas!$A$2:$A$20,0)),""))</f>
        <v/>
      </c>
      <c r="V812" s="10" t="str">
        <f aca="false">IF($C812="","",IFERROR(INDEX(Listas!$D$2:$D$20,MATCH($D812,Listas!$A$2:$A$20,0)),""))</f>
        <v/>
      </c>
      <c r="W812" s="11" t="str">
        <f aca="false">IF(OR($C812="",$B812="",$G812=""),"",$G812-$B812)</f>
        <v/>
      </c>
      <c r="X812" s="11" t="str">
        <f aca="true">IF(OR($C812="",$B812=""),"",IF($N812&lt;&gt;"",$N812,TODAY())-$B812)</f>
        <v/>
      </c>
      <c r="Y812" s="11" t="str">
        <f aca="true">IF(OR($C812="",$M812&lt;&gt;"Abierta",$G812=""),"",MAX($G812-TODAY(),0))</f>
        <v/>
      </c>
      <c r="Z812" s="12" t="str">
        <f aca="false">IF($C812="","",N($K812)*N($H812)*N($I812)*IF($U812="Débito",-1,1))</f>
        <v/>
      </c>
      <c r="AA812" s="13" t="str">
        <f aca="false">IF($C812="","",IF(AND($U812="Débito",$F812&lt;&gt;""),$F812,$E812))</f>
        <v/>
      </c>
      <c r="AB812" s="13" t="str">
        <f aca="false">IF(OR($C812="",$T812="Mixta",$AA812=""),"",IF($V812="Subyacente",IF($J812="","",$J812-$K812),IF($T812="Put",$AA812-$K812,$AA812+$K812)))</f>
        <v/>
      </c>
      <c r="AC812" s="14" t="str">
        <f aca="false">IF(OR($C812="",$T812="Mixta",$J812="",$AA812=""),"",IF($T812="Put",($J812-$AA812)/$J812,($AA812-$J812)/$J812))</f>
        <v/>
      </c>
      <c r="AD812" s="12" t="str">
        <f aca="false">IF($C812="","",IF($Q812&lt;&gt;"",$Q812,IF($V812="Strike",N($E812)*$H812*$I812,IF($V812="Subyacente",IF($J812="","",$J812*$H812*$I812),IF($V812="Ancho",IF($F812="","",ABS($E812-$F812)*$H812*$I812-$K812*$H812*$I812),IF($V812="Prima",$K812*$H812*$I812,""))))))</f>
        <v/>
      </c>
      <c r="AE812" s="12" t="str">
        <f aca="false">IF(OR($C812="",$M812="Abierta",$M812=""),"",(N($K812)-IF(OR($M812="Cerrada",$M812="Rolada"),N($O812),0))*$H812*$I812*IF($U812="Débito",-1,1)-N($L812)-N($P812))</f>
        <v/>
      </c>
      <c r="AF812" s="14" t="str">
        <f aca="false">IF(OR($AE812="",$AD812=""),"",IF($AD812&lt;=0,"",$AE812/$AD812))</f>
        <v/>
      </c>
      <c r="AG812" s="14" t="str">
        <f aca="false">IF($AF812="","",$AF812*365/MAX(N($X812),1))</f>
        <v/>
      </c>
      <c r="AH812" s="14" t="str">
        <f aca="false">IF(OR($C812="",$U812&lt;&gt;"Crédito",$AD812=""),"",IF($AD812&lt;=0,"",($Z812-N($L812))/$AD812))</f>
        <v/>
      </c>
      <c r="AI812" s="14" t="str">
        <f aca="false">IF(OR($AH812="",$W812=""),"",$AH812*365/MAX($W812,1))</f>
        <v/>
      </c>
      <c r="AJ812" s="14" t="str">
        <f aca="false">IF(OR($AE812="",$U812&lt;&gt;"Crédito",N($K812)=0),"",(N($K812)-IF(OR($M812="Cerrada",$M812="Rolada"),N($O812),0))/$K812)</f>
        <v/>
      </c>
      <c r="AK812" s="15" t="str">
        <f aca="false">IF(OR($C812="",$N812=""),"",DATE(YEAR($N812),MONTH($N812),1))</f>
        <v/>
      </c>
      <c r="AL812" s="11" t="str">
        <f aca="false">IF($C812="","",IF($M812="Abierta",0,1))</f>
        <v/>
      </c>
      <c r="AM812" s="16" t="str">
        <f aca="false">IF(OR($AE812="",$AD812=""),"",$AD812*MAX(N($X812),1))</f>
        <v/>
      </c>
      <c r="AN812" s="10" t="str">
        <f aca="false">IF($C812="","",IF(OR($B812="",$D812="",$H812="",$K812="",$M812=""),"Faltan datos obligatorios",IF($T812="","Estrategia no reconocida",IF(AND($M812&lt;&gt;"Abierta",$N812=""),"Falta fecha cierre",IF(AND(OR($M812="Cerrada",$M812="Rolada"),$O812=""),"Falta prima cierre",IF(AND($N812&lt;&gt;"",$N812&lt;$B812),"Cierre anterior a apertura",IF(AND($M812="Asignada",$R812=""),"Asignada: falta ID lote acciones",IF(AND($R812&lt;&gt;"",ISNA(MATCH($R812,Acciones!$A$2:$A$201,0))),"El ID lote no existe en Acciones",IF($AD812="","Revisa capital en riesgo","OK")))))))))</f>
        <v/>
      </c>
    </row>
    <row r="813" customFormat="false" ht="15" hidden="false" customHeight="true" outlineLevel="0" collapsed="false">
      <c r="A813" s="5"/>
      <c r="B813" s="6"/>
      <c r="C813" s="7"/>
      <c r="D813" s="7"/>
      <c r="E813" s="8"/>
      <c r="F813" s="8"/>
      <c r="G813" s="6"/>
      <c r="H813" s="5"/>
      <c r="I813" s="5" t="n">
        <v>100</v>
      </c>
      <c r="J813" s="8"/>
      <c r="K813" s="8"/>
      <c r="L813" s="9"/>
      <c r="M813" s="7"/>
      <c r="N813" s="6"/>
      <c r="O813" s="8"/>
      <c r="P813" s="9"/>
      <c r="Q813" s="9"/>
      <c r="R813" s="7"/>
      <c r="S813" s="7"/>
      <c r="T813" s="10" t="str">
        <f aca="false">IF($C813="","",IFERROR(INDEX(Listas!$B$2:$B$20,MATCH($D813,Listas!$A$2:$A$20,0)),""))</f>
        <v/>
      </c>
      <c r="U813" s="10" t="str">
        <f aca="false">IF($C813="","",IFERROR(INDEX(Listas!$C$2:$C$20,MATCH($D813,Listas!$A$2:$A$20,0)),""))</f>
        <v/>
      </c>
      <c r="V813" s="10" t="str">
        <f aca="false">IF($C813="","",IFERROR(INDEX(Listas!$D$2:$D$20,MATCH($D813,Listas!$A$2:$A$20,0)),""))</f>
        <v/>
      </c>
      <c r="W813" s="11" t="str">
        <f aca="false">IF(OR($C813="",$B813="",$G813=""),"",$G813-$B813)</f>
        <v/>
      </c>
      <c r="X813" s="11" t="str">
        <f aca="true">IF(OR($C813="",$B813=""),"",IF($N813&lt;&gt;"",$N813,TODAY())-$B813)</f>
        <v/>
      </c>
      <c r="Y813" s="11" t="str">
        <f aca="true">IF(OR($C813="",$M813&lt;&gt;"Abierta",$G813=""),"",MAX($G813-TODAY(),0))</f>
        <v/>
      </c>
      <c r="Z813" s="12" t="str">
        <f aca="false">IF($C813="","",N($K813)*N($H813)*N($I813)*IF($U813="Débito",-1,1))</f>
        <v/>
      </c>
      <c r="AA813" s="13" t="str">
        <f aca="false">IF($C813="","",IF(AND($U813="Débito",$F813&lt;&gt;""),$F813,$E813))</f>
        <v/>
      </c>
      <c r="AB813" s="13" t="str">
        <f aca="false">IF(OR($C813="",$T813="Mixta",$AA813=""),"",IF($V813="Subyacente",IF($J813="","",$J813-$K813),IF($T813="Put",$AA813-$K813,$AA813+$K813)))</f>
        <v/>
      </c>
      <c r="AC813" s="14" t="str">
        <f aca="false">IF(OR($C813="",$T813="Mixta",$J813="",$AA813=""),"",IF($T813="Put",($J813-$AA813)/$J813,($AA813-$J813)/$J813))</f>
        <v/>
      </c>
      <c r="AD813" s="12" t="str">
        <f aca="false">IF($C813="","",IF($Q813&lt;&gt;"",$Q813,IF($V813="Strike",N($E813)*$H813*$I813,IF($V813="Subyacente",IF($J813="","",$J813*$H813*$I813),IF($V813="Ancho",IF($F813="","",ABS($E813-$F813)*$H813*$I813-$K813*$H813*$I813),IF($V813="Prima",$K813*$H813*$I813,""))))))</f>
        <v/>
      </c>
      <c r="AE813" s="12" t="str">
        <f aca="false">IF(OR($C813="",$M813="Abierta",$M813=""),"",(N($K813)-IF(OR($M813="Cerrada",$M813="Rolada"),N($O813),0))*$H813*$I813*IF($U813="Débito",-1,1)-N($L813)-N($P813))</f>
        <v/>
      </c>
      <c r="AF813" s="14" t="str">
        <f aca="false">IF(OR($AE813="",$AD813=""),"",IF($AD813&lt;=0,"",$AE813/$AD813))</f>
        <v/>
      </c>
      <c r="AG813" s="14" t="str">
        <f aca="false">IF($AF813="","",$AF813*365/MAX(N($X813),1))</f>
        <v/>
      </c>
      <c r="AH813" s="14" t="str">
        <f aca="false">IF(OR($C813="",$U813&lt;&gt;"Crédito",$AD813=""),"",IF($AD813&lt;=0,"",($Z813-N($L813))/$AD813))</f>
        <v/>
      </c>
      <c r="AI813" s="14" t="str">
        <f aca="false">IF(OR($AH813="",$W813=""),"",$AH813*365/MAX($W813,1))</f>
        <v/>
      </c>
      <c r="AJ813" s="14" t="str">
        <f aca="false">IF(OR($AE813="",$U813&lt;&gt;"Crédito",N($K813)=0),"",(N($K813)-IF(OR($M813="Cerrada",$M813="Rolada"),N($O813),0))/$K813)</f>
        <v/>
      </c>
      <c r="AK813" s="15" t="str">
        <f aca="false">IF(OR($C813="",$N813=""),"",DATE(YEAR($N813),MONTH($N813),1))</f>
        <v/>
      </c>
      <c r="AL813" s="11" t="str">
        <f aca="false">IF($C813="","",IF($M813="Abierta",0,1))</f>
        <v/>
      </c>
      <c r="AM813" s="16" t="str">
        <f aca="false">IF(OR($AE813="",$AD813=""),"",$AD813*MAX(N($X813),1))</f>
        <v/>
      </c>
      <c r="AN813" s="10" t="str">
        <f aca="false">IF($C813="","",IF(OR($B813="",$D813="",$H813="",$K813="",$M813=""),"Faltan datos obligatorios",IF($T813="","Estrategia no reconocida",IF(AND($M813&lt;&gt;"Abierta",$N813=""),"Falta fecha cierre",IF(AND(OR($M813="Cerrada",$M813="Rolada"),$O813=""),"Falta prima cierre",IF(AND($N813&lt;&gt;"",$N813&lt;$B813),"Cierre anterior a apertura",IF(AND($M813="Asignada",$R813=""),"Asignada: falta ID lote acciones",IF(AND($R813&lt;&gt;"",ISNA(MATCH($R813,Acciones!$A$2:$A$201,0))),"El ID lote no existe en Acciones",IF($AD813="","Revisa capital en riesgo","OK")))))))))</f>
        <v/>
      </c>
    </row>
    <row r="814" customFormat="false" ht="15" hidden="false" customHeight="true" outlineLevel="0" collapsed="false">
      <c r="A814" s="5"/>
      <c r="B814" s="6"/>
      <c r="C814" s="7"/>
      <c r="D814" s="7"/>
      <c r="E814" s="8"/>
      <c r="F814" s="8"/>
      <c r="G814" s="6"/>
      <c r="H814" s="5"/>
      <c r="I814" s="5" t="n">
        <v>100</v>
      </c>
      <c r="J814" s="8"/>
      <c r="K814" s="8"/>
      <c r="L814" s="9"/>
      <c r="M814" s="7"/>
      <c r="N814" s="6"/>
      <c r="O814" s="8"/>
      <c r="P814" s="9"/>
      <c r="Q814" s="9"/>
      <c r="R814" s="7"/>
      <c r="S814" s="7"/>
      <c r="T814" s="10" t="str">
        <f aca="false">IF($C814="","",IFERROR(INDEX(Listas!$B$2:$B$20,MATCH($D814,Listas!$A$2:$A$20,0)),""))</f>
        <v/>
      </c>
      <c r="U814" s="10" t="str">
        <f aca="false">IF($C814="","",IFERROR(INDEX(Listas!$C$2:$C$20,MATCH($D814,Listas!$A$2:$A$20,0)),""))</f>
        <v/>
      </c>
      <c r="V814" s="10" t="str">
        <f aca="false">IF($C814="","",IFERROR(INDEX(Listas!$D$2:$D$20,MATCH($D814,Listas!$A$2:$A$20,0)),""))</f>
        <v/>
      </c>
      <c r="W814" s="11" t="str">
        <f aca="false">IF(OR($C814="",$B814="",$G814=""),"",$G814-$B814)</f>
        <v/>
      </c>
      <c r="X814" s="11" t="str">
        <f aca="true">IF(OR($C814="",$B814=""),"",IF($N814&lt;&gt;"",$N814,TODAY())-$B814)</f>
        <v/>
      </c>
      <c r="Y814" s="11" t="str">
        <f aca="true">IF(OR($C814="",$M814&lt;&gt;"Abierta",$G814=""),"",MAX($G814-TODAY(),0))</f>
        <v/>
      </c>
      <c r="Z814" s="12" t="str">
        <f aca="false">IF($C814="","",N($K814)*N($H814)*N($I814)*IF($U814="Débito",-1,1))</f>
        <v/>
      </c>
      <c r="AA814" s="13" t="str">
        <f aca="false">IF($C814="","",IF(AND($U814="Débito",$F814&lt;&gt;""),$F814,$E814))</f>
        <v/>
      </c>
      <c r="AB814" s="13" t="str">
        <f aca="false">IF(OR($C814="",$T814="Mixta",$AA814=""),"",IF($V814="Subyacente",IF($J814="","",$J814-$K814),IF($T814="Put",$AA814-$K814,$AA814+$K814)))</f>
        <v/>
      </c>
      <c r="AC814" s="14" t="str">
        <f aca="false">IF(OR($C814="",$T814="Mixta",$J814="",$AA814=""),"",IF($T814="Put",($J814-$AA814)/$J814,($AA814-$J814)/$J814))</f>
        <v/>
      </c>
      <c r="AD814" s="12" t="str">
        <f aca="false">IF($C814="","",IF($Q814&lt;&gt;"",$Q814,IF($V814="Strike",N($E814)*$H814*$I814,IF($V814="Subyacente",IF($J814="","",$J814*$H814*$I814),IF($V814="Ancho",IF($F814="","",ABS($E814-$F814)*$H814*$I814-$K814*$H814*$I814),IF($V814="Prima",$K814*$H814*$I814,""))))))</f>
        <v/>
      </c>
      <c r="AE814" s="12" t="str">
        <f aca="false">IF(OR($C814="",$M814="Abierta",$M814=""),"",(N($K814)-IF(OR($M814="Cerrada",$M814="Rolada"),N($O814),0))*$H814*$I814*IF($U814="Débito",-1,1)-N($L814)-N($P814))</f>
        <v/>
      </c>
      <c r="AF814" s="14" t="str">
        <f aca="false">IF(OR($AE814="",$AD814=""),"",IF($AD814&lt;=0,"",$AE814/$AD814))</f>
        <v/>
      </c>
      <c r="AG814" s="14" t="str">
        <f aca="false">IF($AF814="","",$AF814*365/MAX(N($X814),1))</f>
        <v/>
      </c>
      <c r="AH814" s="14" t="str">
        <f aca="false">IF(OR($C814="",$U814&lt;&gt;"Crédito",$AD814=""),"",IF($AD814&lt;=0,"",($Z814-N($L814))/$AD814))</f>
        <v/>
      </c>
      <c r="AI814" s="14" t="str">
        <f aca="false">IF(OR($AH814="",$W814=""),"",$AH814*365/MAX($W814,1))</f>
        <v/>
      </c>
      <c r="AJ814" s="14" t="str">
        <f aca="false">IF(OR($AE814="",$U814&lt;&gt;"Crédito",N($K814)=0),"",(N($K814)-IF(OR($M814="Cerrada",$M814="Rolada"),N($O814),0))/$K814)</f>
        <v/>
      </c>
      <c r="AK814" s="15" t="str">
        <f aca="false">IF(OR($C814="",$N814=""),"",DATE(YEAR($N814),MONTH($N814),1))</f>
        <v/>
      </c>
      <c r="AL814" s="11" t="str">
        <f aca="false">IF($C814="","",IF($M814="Abierta",0,1))</f>
        <v/>
      </c>
      <c r="AM814" s="16" t="str">
        <f aca="false">IF(OR($AE814="",$AD814=""),"",$AD814*MAX(N($X814),1))</f>
        <v/>
      </c>
      <c r="AN814" s="10" t="str">
        <f aca="false">IF($C814="","",IF(OR($B814="",$D814="",$H814="",$K814="",$M814=""),"Faltan datos obligatorios",IF($T814="","Estrategia no reconocida",IF(AND($M814&lt;&gt;"Abierta",$N814=""),"Falta fecha cierre",IF(AND(OR($M814="Cerrada",$M814="Rolada"),$O814=""),"Falta prima cierre",IF(AND($N814&lt;&gt;"",$N814&lt;$B814),"Cierre anterior a apertura",IF(AND($M814="Asignada",$R814=""),"Asignada: falta ID lote acciones",IF(AND($R814&lt;&gt;"",ISNA(MATCH($R814,Acciones!$A$2:$A$201,0))),"El ID lote no existe en Acciones",IF($AD814="","Revisa capital en riesgo","OK")))))))))</f>
        <v/>
      </c>
    </row>
    <row r="815" customFormat="false" ht="15" hidden="false" customHeight="true" outlineLevel="0" collapsed="false">
      <c r="A815" s="5"/>
      <c r="B815" s="6"/>
      <c r="C815" s="7"/>
      <c r="D815" s="7"/>
      <c r="E815" s="8"/>
      <c r="F815" s="8"/>
      <c r="G815" s="6"/>
      <c r="H815" s="5"/>
      <c r="I815" s="5" t="n">
        <v>100</v>
      </c>
      <c r="J815" s="8"/>
      <c r="K815" s="8"/>
      <c r="L815" s="9"/>
      <c r="M815" s="7"/>
      <c r="N815" s="6"/>
      <c r="O815" s="8"/>
      <c r="P815" s="9"/>
      <c r="Q815" s="9"/>
      <c r="R815" s="7"/>
      <c r="S815" s="7"/>
      <c r="T815" s="10" t="str">
        <f aca="false">IF($C815="","",IFERROR(INDEX(Listas!$B$2:$B$20,MATCH($D815,Listas!$A$2:$A$20,0)),""))</f>
        <v/>
      </c>
      <c r="U815" s="10" t="str">
        <f aca="false">IF($C815="","",IFERROR(INDEX(Listas!$C$2:$C$20,MATCH($D815,Listas!$A$2:$A$20,0)),""))</f>
        <v/>
      </c>
      <c r="V815" s="10" t="str">
        <f aca="false">IF($C815="","",IFERROR(INDEX(Listas!$D$2:$D$20,MATCH($D815,Listas!$A$2:$A$20,0)),""))</f>
        <v/>
      </c>
      <c r="W815" s="11" t="str">
        <f aca="false">IF(OR($C815="",$B815="",$G815=""),"",$G815-$B815)</f>
        <v/>
      </c>
      <c r="X815" s="11" t="str">
        <f aca="true">IF(OR($C815="",$B815=""),"",IF($N815&lt;&gt;"",$N815,TODAY())-$B815)</f>
        <v/>
      </c>
      <c r="Y815" s="11" t="str">
        <f aca="true">IF(OR($C815="",$M815&lt;&gt;"Abierta",$G815=""),"",MAX($G815-TODAY(),0))</f>
        <v/>
      </c>
      <c r="Z815" s="12" t="str">
        <f aca="false">IF($C815="","",N($K815)*N($H815)*N($I815)*IF($U815="Débito",-1,1))</f>
        <v/>
      </c>
      <c r="AA815" s="13" t="str">
        <f aca="false">IF($C815="","",IF(AND($U815="Débito",$F815&lt;&gt;""),$F815,$E815))</f>
        <v/>
      </c>
      <c r="AB815" s="13" t="str">
        <f aca="false">IF(OR($C815="",$T815="Mixta",$AA815=""),"",IF($V815="Subyacente",IF($J815="","",$J815-$K815),IF($T815="Put",$AA815-$K815,$AA815+$K815)))</f>
        <v/>
      </c>
      <c r="AC815" s="14" t="str">
        <f aca="false">IF(OR($C815="",$T815="Mixta",$J815="",$AA815=""),"",IF($T815="Put",($J815-$AA815)/$J815,($AA815-$J815)/$J815))</f>
        <v/>
      </c>
      <c r="AD815" s="12" t="str">
        <f aca="false">IF($C815="","",IF($Q815&lt;&gt;"",$Q815,IF($V815="Strike",N($E815)*$H815*$I815,IF($V815="Subyacente",IF($J815="","",$J815*$H815*$I815),IF($V815="Ancho",IF($F815="","",ABS($E815-$F815)*$H815*$I815-$K815*$H815*$I815),IF($V815="Prima",$K815*$H815*$I815,""))))))</f>
        <v/>
      </c>
      <c r="AE815" s="12" t="str">
        <f aca="false">IF(OR($C815="",$M815="Abierta",$M815=""),"",(N($K815)-IF(OR($M815="Cerrada",$M815="Rolada"),N($O815),0))*$H815*$I815*IF($U815="Débito",-1,1)-N($L815)-N($P815))</f>
        <v/>
      </c>
      <c r="AF815" s="14" t="str">
        <f aca="false">IF(OR($AE815="",$AD815=""),"",IF($AD815&lt;=0,"",$AE815/$AD815))</f>
        <v/>
      </c>
      <c r="AG815" s="14" t="str">
        <f aca="false">IF($AF815="","",$AF815*365/MAX(N($X815),1))</f>
        <v/>
      </c>
      <c r="AH815" s="14" t="str">
        <f aca="false">IF(OR($C815="",$U815&lt;&gt;"Crédito",$AD815=""),"",IF($AD815&lt;=0,"",($Z815-N($L815))/$AD815))</f>
        <v/>
      </c>
      <c r="AI815" s="14" t="str">
        <f aca="false">IF(OR($AH815="",$W815=""),"",$AH815*365/MAX($W815,1))</f>
        <v/>
      </c>
      <c r="AJ815" s="14" t="str">
        <f aca="false">IF(OR($AE815="",$U815&lt;&gt;"Crédito",N($K815)=0),"",(N($K815)-IF(OR($M815="Cerrada",$M815="Rolada"),N($O815),0))/$K815)</f>
        <v/>
      </c>
      <c r="AK815" s="15" t="str">
        <f aca="false">IF(OR($C815="",$N815=""),"",DATE(YEAR($N815),MONTH($N815),1))</f>
        <v/>
      </c>
      <c r="AL815" s="11" t="str">
        <f aca="false">IF($C815="","",IF($M815="Abierta",0,1))</f>
        <v/>
      </c>
      <c r="AM815" s="16" t="str">
        <f aca="false">IF(OR($AE815="",$AD815=""),"",$AD815*MAX(N($X815),1))</f>
        <v/>
      </c>
      <c r="AN815" s="10" t="str">
        <f aca="false">IF($C815="","",IF(OR($B815="",$D815="",$H815="",$K815="",$M815=""),"Faltan datos obligatorios",IF($T815="","Estrategia no reconocida",IF(AND($M815&lt;&gt;"Abierta",$N815=""),"Falta fecha cierre",IF(AND(OR($M815="Cerrada",$M815="Rolada"),$O815=""),"Falta prima cierre",IF(AND($N815&lt;&gt;"",$N815&lt;$B815),"Cierre anterior a apertura",IF(AND($M815="Asignada",$R815=""),"Asignada: falta ID lote acciones",IF(AND($R815&lt;&gt;"",ISNA(MATCH($R815,Acciones!$A$2:$A$201,0))),"El ID lote no existe en Acciones",IF($AD815="","Revisa capital en riesgo","OK")))))))))</f>
        <v/>
      </c>
    </row>
    <row r="816" customFormat="false" ht="15" hidden="false" customHeight="true" outlineLevel="0" collapsed="false">
      <c r="A816" s="5"/>
      <c r="B816" s="6"/>
      <c r="C816" s="7"/>
      <c r="D816" s="7"/>
      <c r="E816" s="8"/>
      <c r="F816" s="8"/>
      <c r="G816" s="6"/>
      <c r="H816" s="5"/>
      <c r="I816" s="5" t="n">
        <v>100</v>
      </c>
      <c r="J816" s="8"/>
      <c r="K816" s="8"/>
      <c r="L816" s="9"/>
      <c r="M816" s="7"/>
      <c r="N816" s="6"/>
      <c r="O816" s="8"/>
      <c r="P816" s="9"/>
      <c r="Q816" s="9"/>
      <c r="R816" s="7"/>
      <c r="S816" s="7"/>
      <c r="T816" s="10" t="str">
        <f aca="false">IF($C816="","",IFERROR(INDEX(Listas!$B$2:$B$20,MATCH($D816,Listas!$A$2:$A$20,0)),""))</f>
        <v/>
      </c>
      <c r="U816" s="10" t="str">
        <f aca="false">IF($C816="","",IFERROR(INDEX(Listas!$C$2:$C$20,MATCH($D816,Listas!$A$2:$A$20,0)),""))</f>
        <v/>
      </c>
      <c r="V816" s="10" t="str">
        <f aca="false">IF($C816="","",IFERROR(INDEX(Listas!$D$2:$D$20,MATCH($D816,Listas!$A$2:$A$20,0)),""))</f>
        <v/>
      </c>
      <c r="W816" s="11" t="str">
        <f aca="false">IF(OR($C816="",$B816="",$G816=""),"",$G816-$B816)</f>
        <v/>
      </c>
      <c r="X816" s="11" t="str">
        <f aca="true">IF(OR($C816="",$B816=""),"",IF($N816&lt;&gt;"",$N816,TODAY())-$B816)</f>
        <v/>
      </c>
      <c r="Y816" s="11" t="str">
        <f aca="true">IF(OR($C816="",$M816&lt;&gt;"Abierta",$G816=""),"",MAX($G816-TODAY(),0))</f>
        <v/>
      </c>
      <c r="Z816" s="12" t="str">
        <f aca="false">IF($C816="","",N($K816)*N($H816)*N($I816)*IF($U816="Débito",-1,1))</f>
        <v/>
      </c>
      <c r="AA816" s="13" t="str">
        <f aca="false">IF($C816="","",IF(AND($U816="Débito",$F816&lt;&gt;""),$F816,$E816))</f>
        <v/>
      </c>
      <c r="AB816" s="13" t="str">
        <f aca="false">IF(OR($C816="",$T816="Mixta",$AA816=""),"",IF($V816="Subyacente",IF($J816="","",$J816-$K816),IF($T816="Put",$AA816-$K816,$AA816+$K816)))</f>
        <v/>
      </c>
      <c r="AC816" s="14" t="str">
        <f aca="false">IF(OR($C816="",$T816="Mixta",$J816="",$AA816=""),"",IF($T816="Put",($J816-$AA816)/$J816,($AA816-$J816)/$J816))</f>
        <v/>
      </c>
      <c r="AD816" s="12" t="str">
        <f aca="false">IF($C816="","",IF($Q816&lt;&gt;"",$Q816,IF($V816="Strike",N($E816)*$H816*$I816,IF($V816="Subyacente",IF($J816="","",$J816*$H816*$I816),IF($V816="Ancho",IF($F816="","",ABS($E816-$F816)*$H816*$I816-$K816*$H816*$I816),IF($V816="Prima",$K816*$H816*$I816,""))))))</f>
        <v/>
      </c>
      <c r="AE816" s="12" t="str">
        <f aca="false">IF(OR($C816="",$M816="Abierta",$M816=""),"",(N($K816)-IF(OR($M816="Cerrada",$M816="Rolada"),N($O816),0))*$H816*$I816*IF($U816="Débito",-1,1)-N($L816)-N($P816))</f>
        <v/>
      </c>
      <c r="AF816" s="14" t="str">
        <f aca="false">IF(OR($AE816="",$AD816=""),"",IF($AD816&lt;=0,"",$AE816/$AD816))</f>
        <v/>
      </c>
      <c r="AG816" s="14" t="str">
        <f aca="false">IF($AF816="","",$AF816*365/MAX(N($X816),1))</f>
        <v/>
      </c>
      <c r="AH816" s="14" t="str">
        <f aca="false">IF(OR($C816="",$U816&lt;&gt;"Crédito",$AD816=""),"",IF($AD816&lt;=0,"",($Z816-N($L816))/$AD816))</f>
        <v/>
      </c>
      <c r="AI816" s="14" t="str">
        <f aca="false">IF(OR($AH816="",$W816=""),"",$AH816*365/MAX($W816,1))</f>
        <v/>
      </c>
      <c r="AJ816" s="14" t="str">
        <f aca="false">IF(OR($AE816="",$U816&lt;&gt;"Crédito",N($K816)=0),"",(N($K816)-IF(OR($M816="Cerrada",$M816="Rolada"),N($O816),0))/$K816)</f>
        <v/>
      </c>
      <c r="AK816" s="15" t="str">
        <f aca="false">IF(OR($C816="",$N816=""),"",DATE(YEAR($N816),MONTH($N816),1))</f>
        <v/>
      </c>
      <c r="AL816" s="11" t="str">
        <f aca="false">IF($C816="","",IF($M816="Abierta",0,1))</f>
        <v/>
      </c>
      <c r="AM816" s="16" t="str">
        <f aca="false">IF(OR($AE816="",$AD816=""),"",$AD816*MAX(N($X816),1))</f>
        <v/>
      </c>
      <c r="AN816" s="10" t="str">
        <f aca="false">IF($C816="","",IF(OR($B816="",$D816="",$H816="",$K816="",$M816=""),"Faltan datos obligatorios",IF($T816="","Estrategia no reconocida",IF(AND($M816&lt;&gt;"Abierta",$N816=""),"Falta fecha cierre",IF(AND(OR($M816="Cerrada",$M816="Rolada"),$O816=""),"Falta prima cierre",IF(AND($N816&lt;&gt;"",$N816&lt;$B816),"Cierre anterior a apertura",IF(AND($M816="Asignada",$R816=""),"Asignada: falta ID lote acciones",IF(AND($R816&lt;&gt;"",ISNA(MATCH($R816,Acciones!$A$2:$A$201,0))),"El ID lote no existe en Acciones",IF($AD816="","Revisa capital en riesgo","OK")))))))))</f>
        <v/>
      </c>
    </row>
    <row r="817" customFormat="false" ht="15" hidden="false" customHeight="true" outlineLevel="0" collapsed="false">
      <c r="A817" s="5"/>
      <c r="B817" s="6"/>
      <c r="C817" s="7"/>
      <c r="D817" s="7"/>
      <c r="E817" s="8"/>
      <c r="F817" s="8"/>
      <c r="G817" s="6"/>
      <c r="H817" s="5"/>
      <c r="I817" s="5" t="n">
        <v>100</v>
      </c>
      <c r="J817" s="8"/>
      <c r="K817" s="8"/>
      <c r="L817" s="9"/>
      <c r="M817" s="7"/>
      <c r="N817" s="6"/>
      <c r="O817" s="8"/>
      <c r="P817" s="9"/>
      <c r="Q817" s="9"/>
      <c r="R817" s="7"/>
      <c r="S817" s="7"/>
      <c r="T817" s="10" t="str">
        <f aca="false">IF($C817="","",IFERROR(INDEX(Listas!$B$2:$B$20,MATCH($D817,Listas!$A$2:$A$20,0)),""))</f>
        <v/>
      </c>
      <c r="U817" s="10" t="str">
        <f aca="false">IF($C817="","",IFERROR(INDEX(Listas!$C$2:$C$20,MATCH($D817,Listas!$A$2:$A$20,0)),""))</f>
        <v/>
      </c>
      <c r="V817" s="10" t="str">
        <f aca="false">IF($C817="","",IFERROR(INDEX(Listas!$D$2:$D$20,MATCH($D817,Listas!$A$2:$A$20,0)),""))</f>
        <v/>
      </c>
      <c r="W817" s="11" t="str">
        <f aca="false">IF(OR($C817="",$B817="",$G817=""),"",$G817-$B817)</f>
        <v/>
      </c>
      <c r="X817" s="11" t="str">
        <f aca="true">IF(OR($C817="",$B817=""),"",IF($N817&lt;&gt;"",$N817,TODAY())-$B817)</f>
        <v/>
      </c>
      <c r="Y817" s="11" t="str">
        <f aca="true">IF(OR($C817="",$M817&lt;&gt;"Abierta",$G817=""),"",MAX($G817-TODAY(),0))</f>
        <v/>
      </c>
      <c r="Z817" s="12" t="str">
        <f aca="false">IF($C817="","",N($K817)*N($H817)*N($I817)*IF($U817="Débito",-1,1))</f>
        <v/>
      </c>
      <c r="AA817" s="13" t="str">
        <f aca="false">IF($C817="","",IF(AND($U817="Débito",$F817&lt;&gt;""),$F817,$E817))</f>
        <v/>
      </c>
      <c r="AB817" s="13" t="str">
        <f aca="false">IF(OR($C817="",$T817="Mixta",$AA817=""),"",IF($V817="Subyacente",IF($J817="","",$J817-$K817),IF($T817="Put",$AA817-$K817,$AA817+$K817)))</f>
        <v/>
      </c>
      <c r="AC817" s="14" t="str">
        <f aca="false">IF(OR($C817="",$T817="Mixta",$J817="",$AA817=""),"",IF($T817="Put",($J817-$AA817)/$J817,($AA817-$J817)/$J817))</f>
        <v/>
      </c>
      <c r="AD817" s="12" t="str">
        <f aca="false">IF($C817="","",IF($Q817&lt;&gt;"",$Q817,IF($V817="Strike",N($E817)*$H817*$I817,IF($V817="Subyacente",IF($J817="","",$J817*$H817*$I817),IF($V817="Ancho",IF($F817="","",ABS($E817-$F817)*$H817*$I817-$K817*$H817*$I817),IF($V817="Prima",$K817*$H817*$I817,""))))))</f>
        <v/>
      </c>
      <c r="AE817" s="12" t="str">
        <f aca="false">IF(OR($C817="",$M817="Abierta",$M817=""),"",(N($K817)-IF(OR($M817="Cerrada",$M817="Rolada"),N($O817),0))*$H817*$I817*IF($U817="Débito",-1,1)-N($L817)-N($P817))</f>
        <v/>
      </c>
      <c r="AF817" s="14" t="str">
        <f aca="false">IF(OR($AE817="",$AD817=""),"",IF($AD817&lt;=0,"",$AE817/$AD817))</f>
        <v/>
      </c>
      <c r="AG817" s="14" t="str">
        <f aca="false">IF($AF817="","",$AF817*365/MAX(N($X817),1))</f>
        <v/>
      </c>
      <c r="AH817" s="14" t="str">
        <f aca="false">IF(OR($C817="",$U817&lt;&gt;"Crédito",$AD817=""),"",IF($AD817&lt;=0,"",($Z817-N($L817))/$AD817))</f>
        <v/>
      </c>
      <c r="AI817" s="14" t="str">
        <f aca="false">IF(OR($AH817="",$W817=""),"",$AH817*365/MAX($W817,1))</f>
        <v/>
      </c>
      <c r="AJ817" s="14" t="str">
        <f aca="false">IF(OR($AE817="",$U817&lt;&gt;"Crédito",N($K817)=0),"",(N($K817)-IF(OR($M817="Cerrada",$M817="Rolada"),N($O817),0))/$K817)</f>
        <v/>
      </c>
      <c r="AK817" s="15" t="str">
        <f aca="false">IF(OR($C817="",$N817=""),"",DATE(YEAR($N817),MONTH($N817),1))</f>
        <v/>
      </c>
      <c r="AL817" s="11" t="str">
        <f aca="false">IF($C817="","",IF($M817="Abierta",0,1))</f>
        <v/>
      </c>
      <c r="AM817" s="16" t="str">
        <f aca="false">IF(OR($AE817="",$AD817=""),"",$AD817*MAX(N($X817),1))</f>
        <v/>
      </c>
      <c r="AN817" s="10" t="str">
        <f aca="false">IF($C817="","",IF(OR($B817="",$D817="",$H817="",$K817="",$M817=""),"Faltan datos obligatorios",IF($T817="","Estrategia no reconocida",IF(AND($M817&lt;&gt;"Abierta",$N817=""),"Falta fecha cierre",IF(AND(OR($M817="Cerrada",$M817="Rolada"),$O817=""),"Falta prima cierre",IF(AND($N817&lt;&gt;"",$N817&lt;$B817),"Cierre anterior a apertura",IF(AND($M817="Asignada",$R817=""),"Asignada: falta ID lote acciones",IF(AND($R817&lt;&gt;"",ISNA(MATCH($R817,Acciones!$A$2:$A$201,0))),"El ID lote no existe en Acciones",IF($AD817="","Revisa capital en riesgo","OK")))))))))</f>
        <v/>
      </c>
    </row>
    <row r="818" customFormat="false" ht="15" hidden="false" customHeight="true" outlineLevel="0" collapsed="false">
      <c r="A818" s="5"/>
      <c r="B818" s="6"/>
      <c r="C818" s="7"/>
      <c r="D818" s="7"/>
      <c r="E818" s="8"/>
      <c r="F818" s="8"/>
      <c r="G818" s="6"/>
      <c r="H818" s="5"/>
      <c r="I818" s="5" t="n">
        <v>100</v>
      </c>
      <c r="J818" s="8"/>
      <c r="K818" s="8"/>
      <c r="L818" s="9"/>
      <c r="M818" s="7"/>
      <c r="N818" s="6"/>
      <c r="O818" s="8"/>
      <c r="P818" s="9"/>
      <c r="Q818" s="9"/>
      <c r="R818" s="7"/>
      <c r="S818" s="7"/>
      <c r="T818" s="10" t="str">
        <f aca="false">IF($C818="","",IFERROR(INDEX(Listas!$B$2:$B$20,MATCH($D818,Listas!$A$2:$A$20,0)),""))</f>
        <v/>
      </c>
      <c r="U818" s="10" t="str">
        <f aca="false">IF($C818="","",IFERROR(INDEX(Listas!$C$2:$C$20,MATCH($D818,Listas!$A$2:$A$20,0)),""))</f>
        <v/>
      </c>
      <c r="V818" s="10" t="str">
        <f aca="false">IF($C818="","",IFERROR(INDEX(Listas!$D$2:$D$20,MATCH($D818,Listas!$A$2:$A$20,0)),""))</f>
        <v/>
      </c>
      <c r="W818" s="11" t="str">
        <f aca="false">IF(OR($C818="",$B818="",$G818=""),"",$G818-$B818)</f>
        <v/>
      </c>
      <c r="X818" s="11" t="str">
        <f aca="true">IF(OR($C818="",$B818=""),"",IF($N818&lt;&gt;"",$N818,TODAY())-$B818)</f>
        <v/>
      </c>
      <c r="Y818" s="11" t="str">
        <f aca="true">IF(OR($C818="",$M818&lt;&gt;"Abierta",$G818=""),"",MAX($G818-TODAY(),0))</f>
        <v/>
      </c>
      <c r="Z818" s="12" t="str">
        <f aca="false">IF($C818="","",N($K818)*N($H818)*N($I818)*IF($U818="Débito",-1,1))</f>
        <v/>
      </c>
      <c r="AA818" s="13" t="str">
        <f aca="false">IF($C818="","",IF(AND($U818="Débito",$F818&lt;&gt;""),$F818,$E818))</f>
        <v/>
      </c>
      <c r="AB818" s="13" t="str">
        <f aca="false">IF(OR($C818="",$T818="Mixta",$AA818=""),"",IF($V818="Subyacente",IF($J818="","",$J818-$K818),IF($T818="Put",$AA818-$K818,$AA818+$K818)))</f>
        <v/>
      </c>
      <c r="AC818" s="14" t="str">
        <f aca="false">IF(OR($C818="",$T818="Mixta",$J818="",$AA818=""),"",IF($T818="Put",($J818-$AA818)/$J818,($AA818-$J818)/$J818))</f>
        <v/>
      </c>
      <c r="AD818" s="12" t="str">
        <f aca="false">IF($C818="","",IF($Q818&lt;&gt;"",$Q818,IF($V818="Strike",N($E818)*$H818*$I818,IF($V818="Subyacente",IF($J818="","",$J818*$H818*$I818),IF($V818="Ancho",IF($F818="","",ABS($E818-$F818)*$H818*$I818-$K818*$H818*$I818),IF($V818="Prima",$K818*$H818*$I818,""))))))</f>
        <v/>
      </c>
      <c r="AE818" s="12" t="str">
        <f aca="false">IF(OR($C818="",$M818="Abierta",$M818=""),"",(N($K818)-IF(OR($M818="Cerrada",$M818="Rolada"),N($O818),0))*$H818*$I818*IF($U818="Débito",-1,1)-N($L818)-N($P818))</f>
        <v/>
      </c>
      <c r="AF818" s="14" t="str">
        <f aca="false">IF(OR($AE818="",$AD818=""),"",IF($AD818&lt;=0,"",$AE818/$AD818))</f>
        <v/>
      </c>
      <c r="AG818" s="14" t="str">
        <f aca="false">IF($AF818="","",$AF818*365/MAX(N($X818),1))</f>
        <v/>
      </c>
      <c r="AH818" s="14" t="str">
        <f aca="false">IF(OR($C818="",$U818&lt;&gt;"Crédito",$AD818=""),"",IF($AD818&lt;=0,"",($Z818-N($L818))/$AD818))</f>
        <v/>
      </c>
      <c r="AI818" s="14" t="str">
        <f aca="false">IF(OR($AH818="",$W818=""),"",$AH818*365/MAX($W818,1))</f>
        <v/>
      </c>
      <c r="AJ818" s="14" t="str">
        <f aca="false">IF(OR($AE818="",$U818&lt;&gt;"Crédito",N($K818)=0),"",(N($K818)-IF(OR($M818="Cerrada",$M818="Rolada"),N($O818),0))/$K818)</f>
        <v/>
      </c>
      <c r="AK818" s="15" t="str">
        <f aca="false">IF(OR($C818="",$N818=""),"",DATE(YEAR($N818),MONTH($N818),1))</f>
        <v/>
      </c>
      <c r="AL818" s="11" t="str">
        <f aca="false">IF($C818="","",IF($M818="Abierta",0,1))</f>
        <v/>
      </c>
      <c r="AM818" s="16" t="str">
        <f aca="false">IF(OR($AE818="",$AD818=""),"",$AD818*MAX(N($X818),1))</f>
        <v/>
      </c>
      <c r="AN818" s="10" t="str">
        <f aca="false">IF($C818="","",IF(OR($B818="",$D818="",$H818="",$K818="",$M818=""),"Faltan datos obligatorios",IF($T818="","Estrategia no reconocida",IF(AND($M818&lt;&gt;"Abierta",$N818=""),"Falta fecha cierre",IF(AND(OR($M818="Cerrada",$M818="Rolada"),$O818=""),"Falta prima cierre",IF(AND($N818&lt;&gt;"",$N818&lt;$B818),"Cierre anterior a apertura",IF(AND($M818="Asignada",$R818=""),"Asignada: falta ID lote acciones",IF(AND($R818&lt;&gt;"",ISNA(MATCH($R818,Acciones!$A$2:$A$201,0))),"El ID lote no existe en Acciones",IF($AD818="","Revisa capital en riesgo","OK")))))))))</f>
        <v/>
      </c>
    </row>
    <row r="819" customFormat="false" ht="15" hidden="false" customHeight="true" outlineLevel="0" collapsed="false">
      <c r="A819" s="5"/>
      <c r="B819" s="6"/>
      <c r="C819" s="7"/>
      <c r="D819" s="7"/>
      <c r="E819" s="8"/>
      <c r="F819" s="8"/>
      <c r="G819" s="6"/>
      <c r="H819" s="5"/>
      <c r="I819" s="5" t="n">
        <v>100</v>
      </c>
      <c r="J819" s="8"/>
      <c r="K819" s="8"/>
      <c r="L819" s="9"/>
      <c r="M819" s="7"/>
      <c r="N819" s="6"/>
      <c r="O819" s="8"/>
      <c r="P819" s="9"/>
      <c r="Q819" s="9"/>
      <c r="R819" s="7"/>
      <c r="S819" s="7"/>
      <c r="T819" s="10" t="str">
        <f aca="false">IF($C819="","",IFERROR(INDEX(Listas!$B$2:$B$20,MATCH($D819,Listas!$A$2:$A$20,0)),""))</f>
        <v/>
      </c>
      <c r="U819" s="10" t="str">
        <f aca="false">IF($C819="","",IFERROR(INDEX(Listas!$C$2:$C$20,MATCH($D819,Listas!$A$2:$A$20,0)),""))</f>
        <v/>
      </c>
      <c r="V819" s="10" t="str">
        <f aca="false">IF($C819="","",IFERROR(INDEX(Listas!$D$2:$D$20,MATCH($D819,Listas!$A$2:$A$20,0)),""))</f>
        <v/>
      </c>
      <c r="W819" s="11" t="str">
        <f aca="false">IF(OR($C819="",$B819="",$G819=""),"",$G819-$B819)</f>
        <v/>
      </c>
      <c r="X819" s="11" t="str">
        <f aca="true">IF(OR($C819="",$B819=""),"",IF($N819&lt;&gt;"",$N819,TODAY())-$B819)</f>
        <v/>
      </c>
      <c r="Y819" s="11" t="str">
        <f aca="true">IF(OR($C819="",$M819&lt;&gt;"Abierta",$G819=""),"",MAX($G819-TODAY(),0))</f>
        <v/>
      </c>
      <c r="Z819" s="12" t="str">
        <f aca="false">IF($C819="","",N($K819)*N($H819)*N($I819)*IF($U819="Débito",-1,1))</f>
        <v/>
      </c>
      <c r="AA819" s="13" t="str">
        <f aca="false">IF($C819="","",IF(AND($U819="Débito",$F819&lt;&gt;""),$F819,$E819))</f>
        <v/>
      </c>
      <c r="AB819" s="13" t="str">
        <f aca="false">IF(OR($C819="",$T819="Mixta",$AA819=""),"",IF($V819="Subyacente",IF($J819="","",$J819-$K819),IF($T819="Put",$AA819-$K819,$AA819+$K819)))</f>
        <v/>
      </c>
      <c r="AC819" s="14" t="str">
        <f aca="false">IF(OR($C819="",$T819="Mixta",$J819="",$AA819=""),"",IF($T819="Put",($J819-$AA819)/$J819,($AA819-$J819)/$J819))</f>
        <v/>
      </c>
      <c r="AD819" s="12" t="str">
        <f aca="false">IF($C819="","",IF($Q819&lt;&gt;"",$Q819,IF($V819="Strike",N($E819)*$H819*$I819,IF($V819="Subyacente",IF($J819="","",$J819*$H819*$I819),IF($V819="Ancho",IF($F819="","",ABS($E819-$F819)*$H819*$I819-$K819*$H819*$I819),IF($V819="Prima",$K819*$H819*$I819,""))))))</f>
        <v/>
      </c>
      <c r="AE819" s="12" t="str">
        <f aca="false">IF(OR($C819="",$M819="Abierta",$M819=""),"",(N($K819)-IF(OR($M819="Cerrada",$M819="Rolada"),N($O819),0))*$H819*$I819*IF($U819="Débito",-1,1)-N($L819)-N($P819))</f>
        <v/>
      </c>
      <c r="AF819" s="14" t="str">
        <f aca="false">IF(OR($AE819="",$AD819=""),"",IF($AD819&lt;=0,"",$AE819/$AD819))</f>
        <v/>
      </c>
      <c r="AG819" s="14" t="str">
        <f aca="false">IF($AF819="","",$AF819*365/MAX(N($X819),1))</f>
        <v/>
      </c>
      <c r="AH819" s="14" t="str">
        <f aca="false">IF(OR($C819="",$U819&lt;&gt;"Crédito",$AD819=""),"",IF($AD819&lt;=0,"",($Z819-N($L819))/$AD819))</f>
        <v/>
      </c>
      <c r="AI819" s="14" t="str">
        <f aca="false">IF(OR($AH819="",$W819=""),"",$AH819*365/MAX($W819,1))</f>
        <v/>
      </c>
      <c r="AJ819" s="14" t="str">
        <f aca="false">IF(OR($AE819="",$U819&lt;&gt;"Crédito",N($K819)=0),"",(N($K819)-IF(OR($M819="Cerrada",$M819="Rolada"),N($O819),0))/$K819)</f>
        <v/>
      </c>
      <c r="AK819" s="15" t="str">
        <f aca="false">IF(OR($C819="",$N819=""),"",DATE(YEAR($N819),MONTH($N819),1))</f>
        <v/>
      </c>
      <c r="AL819" s="11" t="str">
        <f aca="false">IF($C819="","",IF($M819="Abierta",0,1))</f>
        <v/>
      </c>
      <c r="AM819" s="16" t="str">
        <f aca="false">IF(OR($AE819="",$AD819=""),"",$AD819*MAX(N($X819),1))</f>
        <v/>
      </c>
      <c r="AN819" s="10" t="str">
        <f aca="false">IF($C819="","",IF(OR($B819="",$D819="",$H819="",$K819="",$M819=""),"Faltan datos obligatorios",IF($T819="","Estrategia no reconocida",IF(AND($M819&lt;&gt;"Abierta",$N819=""),"Falta fecha cierre",IF(AND(OR($M819="Cerrada",$M819="Rolada"),$O819=""),"Falta prima cierre",IF(AND($N819&lt;&gt;"",$N819&lt;$B819),"Cierre anterior a apertura",IF(AND($M819="Asignada",$R819=""),"Asignada: falta ID lote acciones",IF(AND($R819&lt;&gt;"",ISNA(MATCH($R819,Acciones!$A$2:$A$201,0))),"El ID lote no existe en Acciones",IF($AD819="","Revisa capital en riesgo","OK")))))))))</f>
        <v/>
      </c>
    </row>
    <row r="820" customFormat="false" ht="15" hidden="false" customHeight="true" outlineLevel="0" collapsed="false">
      <c r="A820" s="5"/>
      <c r="B820" s="6"/>
      <c r="C820" s="7"/>
      <c r="D820" s="7"/>
      <c r="E820" s="8"/>
      <c r="F820" s="8"/>
      <c r="G820" s="6"/>
      <c r="H820" s="5"/>
      <c r="I820" s="5" t="n">
        <v>100</v>
      </c>
      <c r="J820" s="8"/>
      <c r="K820" s="8"/>
      <c r="L820" s="9"/>
      <c r="M820" s="7"/>
      <c r="N820" s="6"/>
      <c r="O820" s="8"/>
      <c r="P820" s="9"/>
      <c r="Q820" s="9"/>
      <c r="R820" s="7"/>
      <c r="S820" s="7"/>
      <c r="T820" s="10" t="str">
        <f aca="false">IF($C820="","",IFERROR(INDEX(Listas!$B$2:$B$20,MATCH($D820,Listas!$A$2:$A$20,0)),""))</f>
        <v/>
      </c>
      <c r="U820" s="10" t="str">
        <f aca="false">IF($C820="","",IFERROR(INDEX(Listas!$C$2:$C$20,MATCH($D820,Listas!$A$2:$A$20,0)),""))</f>
        <v/>
      </c>
      <c r="V820" s="10" t="str">
        <f aca="false">IF($C820="","",IFERROR(INDEX(Listas!$D$2:$D$20,MATCH($D820,Listas!$A$2:$A$20,0)),""))</f>
        <v/>
      </c>
      <c r="W820" s="11" t="str">
        <f aca="false">IF(OR($C820="",$B820="",$G820=""),"",$G820-$B820)</f>
        <v/>
      </c>
      <c r="X820" s="11" t="str">
        <f aca="true">IF(OR($C820="",$B820=""),"",IF($N820&lt;&gt;"",$N820,TODAY())-$B820)</f>
        <v/>
      </c>
      <c r="Y820" s="11" t="str">
        <f aca="true">IF(OR($C820="",$M820&lt;&gt;"Abierta",$G820=""),"",MAX($G820-TODAY(),0))</f>
        <v/>
      </c>
      <c r="Z820" s="12" t="str">
        <f aca="false">IF($C820="","",N($K820)*N($H820)*N($I820)*IF($U820="Débito",-1,1))</f>
        <v/>
      </c>
      <c r="AA820" s="13" t="str">
        <f aca="false">IF($C820="","",IF(AND($U820="Débito",$F820&lt;&gt;""),$F820,$E820))</f>
        <v/>
      </c>
      <c r="AB820" s="13" t="str">
        <f aca="false">IF(OR($C820="",$T820="Mixta",$AA820=""),"",IF($V820="Subyacente",IF($J820="","",$J820-$K820),IF($T820="Put",$AA820-$K820,$AA820+$K820)))</f>
        <v/>
      </c>
      <c r="AC820" s="14" t="str">
        <f aca="false">IF(OR($C820="",$T820="Mixta",$J820="",$AA820=""),"",IF($T820="Put",($J820-$AA820)/$J820,($AA820-$J820)/$J820))</f>
        <v/>
      </c>
      <c r="AD820" s="12" t="str">
        <f aca="false">IF($C820="","",IF($Q820&lt;&gt;"",$Q820,IF($V820="Strike",N($E820)*$H820*$I820,IF($V820="Subyacente",IF($J820="","",$J820*$H820*$I820),IF($V820="Ancho",IF($F820="","",ABS($E820-$F820)*$H820*$I820-$K820*$H820*$I820),IF($V820="Prima",$K820*$H820*$I820,""))))))</f>
        <v/>
      </c>
      <c r="AE820" s="12" t="str">
        <f aca="false">IF(OR($C820="",$M820="Abierta",$M820=""),"",(N($K820)-IF(OR($M820="Cerrada",$M820="Rolada"),N($O820),0))*$H820*$I820*IF($U820="Débito",-1,1)-N($L820)-N($P820))</f>
        <v/>
      </c>
      <c r="AF820" s="14" t="str">
        <f aca="false">IF(OR($AE820="",$AD820=""),"",IF($AD820&lt;=0,"",$AE820/$AD820))</f>
        <v/>
      </c>
      <c r="AG820" s="14" t="str">
        <f aca="false">IF($AF820="","",$AF820*365/MAX(N($X820),1))</f>
        <v/>
      </c>
      <c r="AH820" s="14" t="str">
        <f aca="false">IF(OR($C820="",$U820&lt;&gt;"Crédito",$AD820=""),"",IF($AD820&lt;=0,"",($Z820-N($L820))/$AD820))</f>
        <v/>
      </c>
      <c r="AI820" s="14" t="str">
        <f aca="false">IF(OR($AH820="",$W820=""),"",$AH820*365/MAX($W820,1))</f>
        <v/>
      </c>
      <c r="AJ820" s="14" t="str">
        <f aca="false">IF(OR($AE820="",$U820&lt;&gt;"Crédito",N($K820)=0),"",(N($K820)-IF(OR($M820="Cerrada",$M820="Rolada"),N($O820),0))/$K820)</f>
        <v/>
      </c>
      <c r="AK820" s="15" t="str">
        <f aca="false">IF(OR($C820="",$N820=""),"",DATE(YEAR($N820),MONTH($N820),1))</f>
        <v/>
      </c>
      <c r="AL820" s="11" t="str">
        <f aca="false">IF($C820="","",IF($M820="Abierta",0,1))</f>
        <v/>
      </c>
      <c r="AM820" s="16" t="str">
        <f aca="false">IF(OR($AE820="",$AD820=""),"",$AD820*MAX(N($X820),1))</f>
        <v/>
      </c>
      <c r="AN820" s="10" t="str">
        <f aca="false">IF($C820="","",IF(OR($B820="",$D820="",$H820="",$K820="",$M820=""),"Faltan datos obligatorios",IF($T820="","Estrategia no reconocida",IF(AND($M820&lt;&gt;"Abierta",$N820=""),"Falta fecha cierre",IF(AND(OR($M820="Cerrada",$M820="Rolada"),$O820=""),"Falta prima cierre",IF(AND($N820&lt;&gt;"",$N820&lt;$B820),"Cierre anterior a apertura",IF(AND($M820="Asignada",$R820=""),"Asignada: falta ID lote acciones",IF(AND($R820&lt;&gt;"",ISNA(MATCH($R820,Acciones!$A$2:$A$201,0))),"El ID lote no existe en Acciones",IF($AD820="","Revisa capital en riesgo","OK")))))))))</f>
        <v/>
      </c>
    </row>
    <row r="821" customFormat="false" ht="15" hidden="false" customHeight="true" outlineLevel="0" collapsed="false">
      <c r="A821" s="5"/>
      <c r="B821" s="6"/>
      <c r="C821" s="7"/>
      <c r="D821" s="7"/>
      <c r="E821" s="8"/>
      <c r="F821" s="8"/>
      <c r="G821" s="6"/>
      <c r="H821" s="5"/>
      <c r="I821" s="5" t="n">
        <v>100</v>
      </c>
      <c r="J821" s="8"/>
      <c r="K821" s="8"/>
      <c r="L821" s="9"/>
      <c r="M821" s="7"/>
      <c r="N821" s="6"/>
      <c r="O821" s="8"/>
      <c r="P821" s="9"/>
      <c r="Q821" s="9"/>
      <c r="R821" s="7"/>
      <c r="S821" s="7"/>
      <c r="T821" s="10" t="str">
        <f aca="false">IF($C821="","",IFERROR(INDEX(Listas!$B$2:$B$20,MATCH($D821,Listas!$A$2:$A$20,0)),""))</f>
        <v/>
      </c>
      <c r="U821" s="10" t="str">
        <f aca="false">IF($C821="","",IFERROR(INDEX(Listas!$C$2:$C$20,MATCH($D821,Listas!$A$2:$A$20,0)),""))</f>
        <v/>
      </c>
      <c r="V821" s="10" t="str">
        <f aca="false">IF($C821="","",IFERROR(INDEX(Listas!$D$2:$D$20,MATCH($D821,Listas!$A$2:$A$20,0)),""))</f>
        <v/>
      </c>
      <c r="W821" s="11" t="str">
        <f aca="false">IF(OR($C821="",$B821="",$G821=""),"",$G821-$B821)</f>
        <v/>
      </c>
      <c r="X821" s="11" t="str">
        <f aca="true">IF(OR($C821="",$B821=""),"",IF($N821&lt;&gt;"",$N821,TODAY())-$B821)</f>
        <v/>
      </c>
      <c r="Y821" s="11" t="str">
        <f aca="true">IF(OR($C821="",$M821&lt;&gt;"Abierta",$G821=""),"",MAX($G821-TODAY(),0))</f>
        <v/>
      </c>
      <c r="Z821" s="12" t="str">
        <f aca="false">IF($C821="","",N($K821)*N($H821)*N($I821)*IF($U821="Débito",-1,1))</f>
        <v/>
      </c>
      <c r="AA821" s="13" t="str">
        <f aca="false">IF($C821="","",IF(AND($U821="Débito",$F821&lt;&gt;""),$F821,$E821))</f>
        <v/>
      </c>
      <c r="AB821" s="13" t="str">
        <f aca="false">IF(OR($C821="",$T821="Mixta",$AA821=""),"",IF($V821="Subyacente",IF($J821="","",$J821-$K821),IF($T821="Put",$AA821-$K821,$AA821+$K821)))</f>
        <v/>
      </c>
      <c r="AC821" s="14" t="str">
        <f aca="false">IF(OR($C821="",$T821="Mixta",$J821="",$AA821=""),"",IF($T821="Put",($J821-$AA821)/$J821,($AA821-$J821)/$J821))</f>
        <v/>
      </c>
      <c r="AD821" s="12" t="str">
        <f aca="false">IF($C821="","",IF($Q821&lt;&gt;"",$Q821,IF($V821="Strike",N($E821)*$H821*$I821,IF($V821="Subyacente",IF($J821="","",$J821*$H821*$I821),IF($V821="Ancho",IF($F821="","",ABS($E821-$F821)*$H821*$I821-$K821*$H821*$I821),IF($V821="Prima",$K821*$H821*$I821,""))))))</f>
        <v/>
      </c>
      <c r="AE821" s="12" t="str">
        <f aca="false">IF(OR($C821="",$M821="Abierta",$M821=""),"",(N($K821)-IF(OR($M821="Cerrada",$M821="Rolada"),N($O821),0))*$H821*$I821*IF($U821="Débito",-1,1)-N($L821)-N($P821))</f>
        <v/>
      </c>
      <c r="AF821" s="14" t="str">
        <f aca="false">IF(OR($AE821="",$AD821=""),"",IF($AD821&lt;=0,"",$AE821/$AD821))</f>
        <v/>
      </c>
      <c r="AG821" s="14" t="str">
        <f aca="false">IF($AF821="","",$AF821*365/MAX(N($X821),1))</f>
        <v/>
      </c>
      <c r="AH821" s="14" t="str">
        <f aca="false">IF(OR($C821="",$U821&lt;&gt;"Crédito",$AD821=""),"",IF($AD821&lt;=0,"",($Z821-N($L821))/$AD821))</f>
        <v/>
      </c>
      <c r="AI821" s="14" t="str">
        <f aca="false">IF(OR($AH821="",$W821=""),"",$AH821*365/MAX($W821,1))</f>
        <v/>
      </c>
      <c r="AJ821" s="14" t="str">
        <f aca="false">IF(OR($AE821="",$U821&lt;&gt;"Crédito",N($K821)=0),"",(N($K821)-IF(OR($M821="Cerrada",$M821="Rolada"),N($O821),0))/$K821)</f>
        <v/>
      </c>
      <c r="AK821" s="15" t="str">
        <f aca="false">IF(OR($C821="",$N821=""),"",DATE(YEAR($N821),MONTH($N821),1))</f>
        <v/>
      </c>
      <c r="AL821" s="11" t="str">
        <f aca="false">IF($C821="","",IF($M821="Abierta",0,1))</f>
        <v/>
      </c>
      <c r="AM821" s="16" t="str">
        <f aca="false">IF(OR($AE821="",$AD821=""),"",$AD821*MAX(N($X821),1))</f>
        <v/>
      </c>
      <c r="AN821" s="10" t="str">
        <f aca="false">IF($C821="","",IF(OR($B821="",$D821="",$H821="",$K821="",$M821=""),"Faltan datos obligatorios",IF($T821="","Estrategia no reconocida",IF(AND($M821&lt;&gt;"Abierta",$N821=""),"Falta fecha cierre",IF(AND(OR($M821="Cerrada",$M821="Rolada"),$O821=""),"Falta prima cierre",IF(AND($N821&lt;&gt;"",$N821&lt;$B821),"Cierre anterior a apertura",IF(AND($M821="Asignada",$R821=""),"Asignada: falta ID lote acciones",IF(AND($R821&lt;&gt;"",ISNA(MATCH($R821,Acciones!$A$2:$A$201,0))),"El ID lote no existe en Acciones",IF($AD821="","Revisa capital en riesgo","OK")))))))))</f>
        <v/>
      </c>
    </row>
    <row r="822" customFormat="false" ht="15" hidden="false" customHeight="true" outlineLevel="0" collapsed="false">
      <c r="A822" s="5"/>
      <c r="B822" s="6"/>
      <c r="C822" s="7"/>
      <c r="D822" s="7"/>
      <c r="E822" s="8"/>
      <c r="F822" s="8"/>
      <c r="G822" s="6"/>
      <c r="H822" s="5"/>
      <c r="I822" s="5" t="n">
        <v>100</v>
      </c>
      <c r="J822" s="8"/>
      <c r="K822" s="8"/>
      <c r="L822" s="9"/>
      <c r="M822" s="7"/>
      <c r="N822" s="6"/>
      <c r="O822" s="8"/>
      <c r="P822" s="9"/>
      <c r="Q822" s="9"/>
      <c r="R822" s="7"/>
      <c r="S822" s="7"/>
      <c r="T822" s="10" t="str">
        <f aca="false">IF($C822="","",IFERROR(INDEX(Listas!$B$2:$B$20,MATCH($D822,Listas!$A$2:$A$20,0)),""))</f>
        <v/>
      </c>
      <c r="U822" s="10" t="str">
        <f aca="false">IF($C822="","",IFERROR(INDEX(Listas!$C$2:$C$20,MATCH($D822,Listas!$A$2:$A$20,0)),""))</f>
        <v/>
      </c>
      <c r="V822" s="10" t="str">
        <f aca="false">IF($C822="","",IFERROR(INDEX(Listas!$D$2:$D$20,MATCH($D822,Listas!$A$2:$A$20,0)),""))</f>
        <v/>
      </c>
      <c r="W822" s="11" t="str">
        <f aca="false">IF(OR($C822="",$B822="",$G822=""),"",$G822-$B822)</f>
        <v/>
      </c>
      <c r="X822" s="11" t="str">
        <f aca="true">IF(OR($C822="",$B822=""),"",IF($N822&lt;&gt;"",$N822,TODAY())-$B822)</f>
        <v/>
      </c>
      <c r="Y822" s="11" t="str">
        <f aca="true">IF(OR($C822="",$M822&lt;&gt;"Abierta",$G822=""),"",MAX($G822-TODAY(),0))</f>
        <v/>
      </c>
      <c r="Z822" s="12" t="str">
        <f aca="false">IF($C822="","",N($K822)*N($H822)*N($I822)*IF($U822="Débito",-1,1))</f>
        <v/>
      </c>
      <c r="AA822" s="13" t="str">
        <f aca="false">IF($C822="","",IF(AND($U822="Débito",$F822&lt;&gt;""),$F822,$E822))</f>
        <v/>
      </c>
      <c r="AB822" s="13" t="str">
        <f aca="false">IF(OR($C822="",$T822="Mixta",$AA822=""),"",IF($V822="Subyacente",IF($J822="","",$J822-$K822),IF($T822="Put",$AA822-$K822,$AA822+$K822)))</f>
        <v/>
      </c>
      <c r="AC822" s="14" t="str">
        <f aca="false">IF(OR($C822="",$T822="Mixta",$J822="",$AA822=""),"",IF($T822="Put",($J822-$AA822)/$J822,($AA822-$J822)/$J822))</f>
        <v/>
      </c>
      <c r="AD822" s="12" t="str">
        <f aca="false">IF($C822="","",IF($Q822&lt;&gt;"",$Q822,IF($V822="Strike",N($E822)*$H822*$I822,IF($V822="Subyacente",IF($J822="","",$J822*$H822*$I822),IF($V822="Ancho",IF($F822="","",ABS($E822-$F822)*$H822*$I822-$K822*$H822*$I822),IF($V822="Prima",$K822*$H822*$I822,""))))))</f>
        <v/>
      </c>
      <c r="AE822" s="12" t="str">
        <f aca="false">IF(OR($C822="",$M822="Abierta",$M822=""),"",(N($K822)-IF(OR($M822="Cerrada",$M822="Rolada"),N($O822),0))*$H822*$I822*IF($U822="Débito",-1,1)-N($L822)-N($P822))</f>
        <v/>
      </c>
      <c r="AF822" s="14" t="str">
        <f aca="false">IF(OR($AE822="",$AD822=""),"",IF($AD822&lt;=0,"",$AE822/$AD822))</f>
        <v/>
      </c>
      <c r="AG822" s="14" t="str">
        <f aca="false">IF($AF822="","",$AF822*365/MAX(N($X822),1))</f>
        <v/>
      </c>
      <c r="AH822" s="14" t="str">
        <f aca="false">IF(OR($C822="",$U822&lt;&gt;"Crédito",$AD822=""),"",IF($AD822&lt;=0,"",($Z822-N($L822))/$AD822))</f>
        <v/>
      </c>
      <c r="AI822" s="14" t="str">
        <f aca="false">IF(OR($AH822="",$W822=""),"",$AH822*365/MAX($W822,1))</f>
        <v/>
      </c>
      <c r="AJ822" s="14" t="str">
        <f aca="false">IF(OR($AE822="",$U822&lt;&gt;"Crédito",N($K822)=0),"",(N($K822)-IF(OR($M822="Cerrada",$M822="Rolada"),N($O822),0))/$K822)</f>
        <v/>
      </c>
      <c r="AK822" s="15" t="str">
        <f aca="false">IF(OR($C822="",$N822=""),"",DATE(YEAR($N822),MONTH($N822),1))</f>
        <v/>
      </c>
      <c r="AL822" s="11" t="str">
        <f aca="false">IF($C822="","",IF($M822="Abierta",0,1))</f>
        <v/>
      </c>
      <c r="AM822" s="16" t="str">
        <f aca="false">IF(OR($AE822="",$AD822=""),"",$AD822*MAX(N($X822),1))</f>
        <v/>
      </c>
      <c r="AN822" s="10" t="str">
        <f aca="false">IF($C822="","",IF(OR($B822="",$D822="",$H822="",$K822="",$M822=""),"Faltan datos obligatorios",IF($T822="","Estrategia no reconocida",IF(AND($M822&lt;&gt;"Abierta",$N822=""),"Falta fecha cierre",IF(AND(OR($M822="Cerrada",$M822="Rolada"),$O822=""),"Falta prima cierre",IF(AND($N822&lt;&gt;"",$N822&lt;$B822),"Cierre anterior a apertura",IF(AND($M822="Asignada",$R822=""),"Asignada: falta ID lote acciones",IF(AND($R822&lt;&gt;"",ISNA(MATCH($R822,Acciones!$A$2:$A$201,0))),"El ID lote no existe en Acciones",IF($AD822="","Revisa capital en riesgo","OK")))))))))</f>
        <v/>
      </c>
    </row>
    <row r="823" customFormat="false" ht="15" hidden="false" customHeight="true" outlineLevel="0" collapsed="false">
      <c r="A823" s="5"/>
      <c r="B823" s="6"/>
      <c r="C823" s="7"/>
      <c r="D823" s="7"/>
      <c r="E823" s="8"/>
      <c r="F823" s="8"/>
      <c r="G823" s="6"/>
      <c r="H823" s="5"/>
      <c r="I823" s="5" t="n">
        <v>100</v>
      </c>
      <c r="J823" s="8"/>
      <c r="K823" s="8"/>
      <c r="L823" s="9"/>
      <c r="M823" s="7"/>
      <c r="N823" s="6"/>
      <c r="O823" s="8"/>
      <c r="P823" s="9"/>
      <c r="Q823" s="9"/>
      <c r="R823" s="7"/>
      <c r="S823" s="7"/>
      <c r="T823" s="10" t="str">
        <f aca="false">IF($C823="","",IFERROR(INDEX(Listas!$B$2:$B$20,MATCH($D823,Listas!$A$2:$A$20,0)),""))</f>
        <v/>
      </c>
      <c r="U823" s="10" t="str">
        <f aca="false">IF($C823="","",IFERROR(INDEX(Listas!$C$2:$C$20,MATCH($D823,Listas!$A$2:$A$20,0)),""))</f>
        <v/>
      </c>
      <c r="V823" s="10" t="str">
        <f aca="false">IF($C823="","",IFERROR(INDEX(Listas!$D$2:$D$20,MATCH($D823,Listas!$A$2:$A$20,0)),""))</f>
        <v/>
      </c>
      <c r="W823" s="11" t="str">
        <f aca="false">IF(OR($C823="",$B823="",$G823=""),"",$G823-$B823)</f>
        <v/>
      </c>
      <c r="X823" s="11" t="str">
        <f aca="true">IF(OR($C823="",$B823=""),"",IF($N823&lt;&gt;"",$N823,TODAY())-$B823)</f>
        <v/>
      </c>
      <c r="Y823" s="11" t="str">
        <f aca="true">IF(OR($C823="",$M823&lt;&gt;"Abierta",$G823=""),"",MAX($G823-TODAY(),0))</f>
        <v/>
      </c>
      <c r="Z823" s="12" t="str">
        <f aca="false">IF($C823="","",N($K823)*N($H823)*N($I823)*IF($U823="Débito",-1,1))</f>
        <v/>
      </c>
      <c r="AA823" s="13" t="str">
        <f aca="false">IF($C823="","",IF(AND($U823="Débito",$F823&lt;&gt;""),$F823,$E823))</f>
        <v/>
      </c>
      <c r="AB823" s="13" t="str">
        <f aca="false">IF(OR($C823="",$T823="Mixta",$AA823=""),"",IF($V823="Subyacente",IF($J823="","",$J823-$K823),IF($T823="Put",$AA823-$K823,$AA823+$K823)))</f>
        <v/>
      </c>
      <c r="AC823" s="14" t="str">
        <f aca="false">IF(OR($C823="",$T823="Mixta",$J823="",$AA823=""),"",IF($T823="Put",($J823-$AA823)/$J823,($AA823-$J823)/$J823))</f>
        <v/>
      </c>
      <c r="AD823" s="12" t="str">
        <f aca="false">IF($C823="","",IF($Q823&lt;&gt;"",$Q823,IF($V823="Strike",N($E823)*$H823*$I823,IF($V823="Subyacente",IF($J823="","",$J823*$H823*$I823),IF($V823="Ancho",IF($F823="","",ABS($E823-$F823)*$H823*$I823-$K823*$H823*$I823),IF($V823="Prima",$K823*$H823*$I823,""))))))</f>
        <v/>
      </c>
      <c r="AE823" s="12" t="str">
        <f aca="false">IF(OR($C823="",$M823="Abierta",$M823=""),"",(N($K823)-IF(OR($M823="Cerrada",$M823="Rolada"),N($O823),0))*$H823*$I823*IF($U823="Débito",-1,1)-N($L823)-N($P823))</f>
        <v/>
      </c>
      <c r="AF823" s="14" t="str">
        <f aca="false">IF(OR($AE823="",$AD823=""),"",IF($AD823&lt;=0,"",$AE823/$AD823))</f>
        <v/>
      </c>
      <c r="AG823" s="14" t="str">
        <f aca="false">IF($AF823="","",$AF823*365/MAX(N($X823),1))</f>
        <v/>
      </c>
      <c r="AH823" s="14" t="str">
        <f aca="false">IF(OR($C823="",$U823&lt;&gt;"Crédito",$AD823=""),"",IF($AD823&lt;=0,"",($Z823-N($L823))/$AD823))</f>
        <v/>
      </c>
      <c r="AI823" s="14" t="str">
        <f aca="false">IF(OR($AH823="",$W823=""),"",$AH823*365/MAX($W823,1))</f>
        <v/>
      </c>
      <c r="AJ823" s="14" t="str">
        <f aca="false">IF(OR($AE823="",$U823&lt;&gt;"Crédito",N($K823)=0),"",(N($K823)-IF(OR($M823="Cerrada",$M823="Rolada"),N($O823),0))/$K823)</f>
        <v/>
      </c>
      <c r="AK823" s="15" t="str">
        <f aca="false">IF(OR($C823="",$N823=""),"",DATE(YEAR($N823),MONTH($N823),1))</f>
        <v/>
      </c>
      <c r="AL823" s="11" t="str">
        <f aca="false">IF($C823="","",IF($M823="Abierta",0,1))</f>
        <v/>
      </c>
      <c r="AM823" s="16" t="str">
        <f aca="false">IF(OR($AE823="",$AD823=""),"",$AD823*MAX(N($X823),1))</f>
        <v/>
      </c>
      <c r="AN823" s="10" t="str">
        <f aca="false">IF($C823="","",IF(OR($B823="",$D823="",$H823="",$K823="",$M823=""),"Faltan datos obligatorios",IF($T823="","Estrategia no reconocida",IF(AND($M823&lt;&gt;"Abierta",$N823=""),"Falta fecha cierre",IF(AND(OR($M823="Cerrada",$M823="Rolada"),$O823=""),"Falta prima cierre",IF(AND($N823&lt;&gt;"",$N823&lt;$B823),"Cierre anterior a apertura",IF(AND($M823="Asignada",$R823=""),"Asignada: falta ID lote acciones",IF(AND($R823&lt;&gt;"",ISNA(MATCH($R823,Acciones!$A$2:$A$201,0))),"El ID lote no existe en Acciones",IF($AD823="","Revisa capital en riesgo","OK")))))))))</f>
        <v/>
      </c>
    </row>
    <row r="824" customFormat="false" ht="15" hidden="false" customHeight="true" outlineLevel="0" collapsed="false">
      <c r="A824" s="5"/>
      <c r="B824" s="6"/>
      <c r="C824" s="7"/>
      <c r="D824" s="7"/>
      <c r="E824" s="8"/>
      <c r="F824" s="8"/>
      <c r="G824" s="6"/>
      <c r="H824" s="5"/>
      <c r="I824" s="5" t="n">
        <v>100</v>
      </c>
      <c r="J824" s="8"/>
      <c r="K824" s="8"/>
      <c r="L824" s="9"/>
      <c r="M824" s="7"/>
      <c r="N824" s="6"/>
      <c r="O824" s="8"/>
      <c r="P824" s="9"/>
      <c r="Q824" s="9"/>
      <c r="R824" s="7"/>
      <c r="S824" s="7"/>
      <c r="T824" s="10" t="str">
        <f aca="false">IF($C824="","",IFERROR(INDEX(Listas!$B$2:$B$20,MATCH($D824,Listas!$A$2:$A$20,0)),""))</f>
        <v/>
      </c>
      <c r="U824" s="10" t="str">
        <f aca="false">IF($C824="","",IFERROR(INDEX(Listas!$C$2:$C$20,MATCH($D824,Listas!$A$2:$A$20,0)),""))</f>
        <v/>
      </c>
      <c r="V824" s="10" t="str">
        <f aca="false">IF($C824="","",IFERROR(INDEX(Listas!$D$2:$D$20,MATCH($D824,Listas!$A$2:$A$20,0)),""))</f>
        <v/>
      </c>
      <c r="W824" s="11" t="str">
        <f aca="false">IF(OR($C824="",$B824="",$G824=""),"",$G824-$B824)</f>
        <v/>
      </c>
      <c r="X824" s="11" t="str">
        <f aca="true">IF(OR($C824="",$B824=""),"",IF($N824&lt;&gt;"",$N824,TODAY())-$B824)</f>
        <v/>
      </c>
      <c r="Y824" s="11" t="str">
        <f aca="true">IF(OR($C824="",$M824&lt;&gt;"Abierta",$G824=""),"",MAX($G824-TODAY(),0))</f>
        <v/>
      </c>
      <c r="Z824" s="12" t="str">
        <f aca="false">IF($C824="","",N($K824)*N($H824)*N($I824)*IF($U824="Débito",-1,1))</f>
        <v/>
      </c>
      <c r="AA824" s="13" t="str">
        <f aca="false">IF($C824="","",IF(AND($U824="Débito",$F824&lt;&gt;""),$F824,$E824))</f>
        <v/>
      </c>
      <c r="AB824" s="13" t="str">
        <f aca="false">IF(OR($C824="",$T824="Mixta",$AA824=""),"",IF($V824="Subyacente",IF($J824="","",$J824-$K824),IF($T824="Put",$AA824-$K824,$AA824+$K824)))</f>
        <v/>
      </c>
      <c r="AC824" s="14" t="str">
        <f aca="false">IF(OR($C824="",$T824="Mixta",$J824="",$AA824=""),"",IF($T824="Put",($J824-$AA824)/$J824,($AA824-$J824)/$J824))</f>
        <v/>
      </c>
      <c r="AD824" s="12" t="str">
        <f aca="false">IF($C824="","",IF($Q824&lt;&gt;"",$Q824,IF($V824="Strike",N($E824)*$H824*$I824,IF($V824="Subyacente",IF($J824="","",$J824*$H824*$I824),IF($V824="Ancho",IF($F824="","",ABS($E824-$F824)*$H824*$I824-$K824*$H824*$I824),IF($V824="Prima",$K824*$H824*$I824,""))))))</f>
        <v/>
      </c>
      <c r="AE824" s="12" t="str">
        <f aca="false">IF(OR($C824="",$M824="Abierta",$M824=""),"",(N($K824)-IF(OR($M824="Cerrada",$M824="Rolada"),N($O824),0))*$H824*$I824*IF($U824="Débito",-1,1)-N($L824)-N($P824))</f>
        <v/>
      </c>
      <c r="AF824" s="14" t="str">
        <f aca="false">IF(OR($AE824="",$AD824=""),"",IF($AD824&lt;=0,"",$AE824/$AD824))</f>
        <v/>
      </c>
      <c r="AG824" s="14" t="str">
        <f aca="false">IF($AF824="","",$AF824*365/MAX(N($X824),1))</f>
        <v/>
      </c>
      <c r="AH824" s="14" t="str">
        <f aca="false">IF(OR($C824="",$U824&lt;&gt;"Crédito",$AD824=""),"",IF($AD824&lt;=0,"",($Z824-N($L824))/$AD824))</f>
        <v/>
      </c>
      <c r="AI824" s="14" t="str">
        <f aca="false">IF(OR($AH824="",$W824=""),"",$AH824*365/MAX($W824,1))</f>
        <v/>
      </c>
      <c r="AJ824" s="14" t="str">
        <f aca="false">IF(OR($AE824="",$U824&lt;&gt;"Crédito",N($K824)=0),"",(N($K824)-IF(OR($M824="Cerrada",$M824="Rolada"),N($O824),0))/$K824)</f>
        <v/>
      </c>
      <c r="AK824" s="15" t="str">
        <f aca="false">IF(OR($C824="",$N824=""),"",DATE(YEAR($N824),MONTH($N824),1))</f>
        <v/>
      </c>
      <c r="AL824" s="11" t="str">
        <f aca="false">IF($C824="","",IF($M824="Abierta",0,1))</f>
        <v/>
      </c>
      <c r="AM824" s="16" t="str">
        <f aca="false">IF(OR($AE824="",$AD824=""),"",$AD824*MAX(N($X824),1))</f>
        <v/>
      </c>
      <c r="AN824" s="10" t="str">
        <f aca="false">IF($C824="","",IF(OR($B824="",$D824="",$H824="",$K824="",$M824=""),"Faltan datos obligatorios",IF($T824="","Estrategia no reconocida",IF(AND($M824&lt;&gt;"Abierta",$N824=""),"Falta fecha cierre",IF(AND(OR($M824="Cerrada",$M824="Rolada"),$O824=""),"Falta prima cierre",IF(AND($N824&lt;&gt;"",$N824&lt;$B824),"Cierre anterior a apertura",IF(AND($M824="Asignada",$R824=""),"Asignada: falta ID lote acciones",IF(AND($R824&lt;&gt;"",ISNA(MATCH($R824,Acciones!$A$2:$A$201,0))),"El ID lote no existe en Acciones",IF($AD824="","Revisa capital en riesgo","OK")))))))))</f>
        <v/>
      </c>
    </row>
    <row r="825" customFormat="false" ht="15" hidden="false" customHeight="true" outlineLevel="0" collapsed="false">
      <c r="A825" s="5"/>
      <c r="B825" s="6"/>
      <c r="C825" s="7"/>
      <c r="D825" s="7"/>
      <c r="E825" s="8"/>
      <c r="F825" s="8"/>
      <c r="G825" s="6"/>
      <c r="H825" s="5"/>
      <c r="I825" s="5" t="n">
        <v>100</v>
      </c>
      <c r="J825" s="8"/>
      <c r="K825" s="8"/>
      <c r="L825" s="9"/>
      <c r="M825" s="7"/>
      <c r="N825" s="6"/>
      <c r="O825" s="8"/>
      <c r="P825" s="9"/>
      <c r="Q825" s="9"/>
      <c r="R825" s="7"/>
      <c r="S825" s="7"/>
      <c r="T825" s="10" t="str">
        <f aca="false">IF($C825="","",IFERROR(INDEX(Listas!$B$2:$B$20,MATCH($D825,Listas!$A$2:$A$20,0)),""))</f>
        <v/>
      </c>
      <c r="U825" s="10" t="str">
        <f aca="false">IF($C825="","",IFERROR(INDEX(Listas!$C$2:$C$20,MATCH($D825,Listas!$A$2:$A$20,0)),""))</f>
        <v/>
      </c>
      <c r="V825" s="10" t="str">
        <f aca="false">IF($C825="","",IFERROR(INDEX(Listas!$D$2:$D$20,MATCH($D825,Listas!$A$2:$A$20,0)),""))</f>
        <v/>
      </c>
      <c r="W825" s="11" t="str">
        <f aca="false">IF(OR($C825="",$B825="",$G825=""),"",$G825-$B825)</f>
        <v/>
      </c>
      <c r="X825" s="11" t="str">
        <f aca="true">IF(OR($C825="",$B825=""),"",IF($N825&lt;&gt;"",$N825,TODAY())-$B825)</f>
        <v/>
      </c>
      <c r="Y825" s="11" t="str">
        <f aca="true">IF(OR($C825="",$M825&lt;&gt;"Abierta",$G825=""),"",MAX($G825-TODAY(),0))</f>
        <v/>
      </c>
      <c r="Z825" s="12" t="str">
        <f aca="false">IF($C825="","",N($K825)*N($H825)*N($I825)*IF($U825="Débito",-1,1))</f>
        <v/>
      </c>
      <c r="AA825" s="13" t="str">
        <f aca="false">IF($C825="","",IF(AND($U825="Débito",$F825&lt;&gt;""),$F825,$E825))</f>
        <v/>
      </c>
      <c r="AB825" s="13" t="str">
        <f aca="false">IF(OR($C825="",$T825="Mixta",$AA825=""),"",IF($V825="Subyacente",IF($J825="","",$J825-$K825),IF($T825="Put",$AA825-$K825,$AA825+$K825)))</f>
        <v/>
      </c>
      <c r="AC825" s="14" t="str">
        <f aca="false">IF(OR($C825="",$T825="Mixta",$J825="",$AA825=""),"",IF($T825="Put",($J825-$AA825)/$J825,($AA825-$J825)/$J825))</f>
        <v/>
      </c>
      <c r="AD825" s="12" t="str">
        <f aca="false">IF($C825="","",IF($Q825&lt;&gt;"",$Q825,IF($V825="Strike",N($E825)*$H825*$I825,IF($V825="Subyacente",IF($J825="","",$J825*$H825*$I825),IF($V825="Ancho",IF($F825="","",ABS($E825-$F825)*$H825*$I825-$K825*$H825*$I825),IF($V825="Prima",$K825*$H825*$I825,""))))))</f>
        <v/>
      </c>
      <c r="AE825" s="12" t="str">
        <f aca="false">IF(OR($C825="",$M825="Abierta",$M825=""),"",(N($K825)-IF(OR($M825="Cerrada",$M825="Rolada"),N($O825),0))*$H825*$I825*IF($U825="Débito",-1,1)-N($L825)-N($P825))</f>
        <v/>
      </c>
      <c r="AF825" s="14" t="str">
        <f aca="false">IF(OR($AE825="",$AD825=""),"",IF($AD825&lt;=0,"",$AE825/$AD825))</f>
        <v/>
      </c>
      <c r="AG825" s="14" t="str">
        <f aca="false">IF($AF825="","",$AF825*365/MAX(N($X825),1))</f>
        <v/>
      </c>
      <c r="AH825" s="14" t="str">
        <f aca="false">IF(OR($C825="",$U825&lt;&gt;"Crédito",$AD825=""),"",IF($AD825&lt;=0,"",($Z825-N($L825))/$AD825))</f>
        <v/>
      </c>
      <c r="AI825" s="14" t="str">
        <f aca="false">IF(OR($AH825="",$W825=""),"",$AH825*365/MAX($W825,1))</f>
        <v/>
      </c>
      <c r="AJ825" s="14" t="str">
        <f aca="false">IF(OR($AE825="",$U825&lt;&gt;"Crédito",N($K825)=0),"",(N($K825)-IF(OR($M825="Cerrada",$M825="Rolada"),N($O825),0))/$K825)</f>
        <v/>
      </c>
      <c r="AK825" s="15" t="str">
        <f aca="false">IF(OR($C825="",$N825=""),"",DATE(YEAR($N825),MONTH($N825),1))</f>
        <v/>
      </c>
      <c r="AL825" s="11" t="str">
        <f aca="false">IF($C825="","",IF($M825="Abierta",0,1))</f>
        <v/>
      </c>
      <c r="AM825" s="16" t="str">
        <f aca="false">IF(OR($AE825="",$AD825=""),"",$AD825*MAX(N($X825),1))</f>
        <v/>
      </c>
      <c r="AN825" s="10" t="str">
        <f aca="false">IF($C825="","",IF(OR($B825="",$D825="",$H825="",$K825="",$M825=""),"Faltan datos obligatorios",IF($T825="","Estrategia no reconocida",IF(AND($M825&lt;&gt;"Abierta",$N825=""),"Falta fecha cierre",IF(AND(OR($M825="Cerrada",$M825="Rolada"),$O825=""),"Falta prima cierre",IF(AND($N825&lt;&gt;"",$N825&lt;$B825),"Cierre anterior a apertura",IF(AND($M825="Asignada",$R825=""),"Asignada: falta ID lote acciones",IF(AND($R825&lt;&gt;"",ISNA(MATCH($R825,Acciones!$A$2:$A$201,0))),"El ID lote no existe en Acciones",IF($AD825="","Revisa capital en riesgo","OK")))))))))</f>
        <v/>
      </c>
    </row>
    <row r="826" customFormat="false" ht="15" hidden="false" customHeight="true" outlineLevel="0" collapsed="false">
      <c r="A826" s="5"/>
      <c r="B826" s="6"/>
      <c r="C826" s="7"/>
      <c r="D826" s="7"/>
      <c r="E826" s="8"/>
      <c r="F826" s="8"/>
      <c r="G826" s="6"/>
      <c r="H826" s="5"/>
      <c r="I826" s="5" t="n">
        <v>100</v>
      </c>
      <c r="J826" s="8"/>
      <c r="K826" s="8"/>
      <c r="L826" s="9"/>
      <c r="M826" s="7"/>
      <c r="N826" s="6"/>
      <c r="O826" s="8"/>
      <c r="P826" s="9"/>
      <c r="Q826" s="9"/>
      <c r="R826" s="7"/>
      <c r="S826" s="7"/>
      <c r="T826" s="10" t="str">
        <f aca="false">IF($C826="","",IFERROR(INDEX(Listas!$B$2:$B$20,MATCH($D826,Listas!$A$2:$A$20,0)),""))</f>
        <v/>
      </c>
      <c r="U826" s="10" t="str">
        <f aca="false">IF($C826="","",IFERROR(INDEX(Listas!$C$2:$C$20,MATCH($D826,Listas!$A$2:$A$20,0)),""))</f>
        <v/>
      </c>
      <c r="V826" s="10" t="str">
        <f aca="false">IF($C826="","",IFERROR(INDEX(Listas!$D$2:$D$20,MATCH($D826,Listas!$A$2:$A$20,0)),""))</f>
        <v/>
      </c>
      <c r="W826" s="11" t="str">
        <f aca="false">IF(OR($C826="",$B826="",$G826=""),"",$G826-$B826)</f>
        <v/>
      </c>
      <c r="X826" s="11" t="str">
        <f aca="true">IF(OR($C826="",$B826=""),"",IF($N826&lt;&gt;"",$N826,TODAY())-$B826)</f>
        <v/>
      </c>
      <c r="Y826" s="11" t="str">
        <f aca="true">IF(OR($C826="",$M826&lt;&gt;"Abierta",$G826=""),"",MAX($G826-TODAY(),0))</f>
        <v/>
      </c>
      <c r="Z826" s="12" t="str">
        <f aca="false">IF($C826="","",N($K826)*N($H826)*N($I826)*IF($U826="Débito",-1,1))</f>
        <v/>
      </c>
      <c r="AA826" s="13" t="str">
        <f aca="false">IF($C826="","",IF(AND($U826="Débito",$F826&lt;&gt;""),$F826,$E826))</f>
        <v/>
      </c>
      <c r="AB826" s="13" t="str">
        <f aca="false">IF(OR($C826="",$T826="Mixta",$AA826=""),"",IF($V826="Subyacente",IF($J826="","",$J826-$K826),IF($T826="Put",$AA826-$K826,$AA826+$K826)))</f>
        <v/>
      </c>
      <c r="AC826" s="14" t="str">
        <f aca="false">IF(OR($C826="",$T826="Mixta",$J826="",$AA826=""),"",IF($T826="Put",($J826-$AA826)/$J826,($AA826-$J826)/$J826))</f>
        <v/>
      </c>
      <c r="AD826" s="12" t="str">
        <f aca="false">IF($C826="","",IF($Q826&lt;&gt;"",$Q826,IF($V826="Strike",N($E826)*$H826*$I826,IF($V826="Subyacente",IF($J826="","",$J826*$H826*$I826),IF($V826="Ancho",IF($F826="","",ABS($E826-$F826)*$H826*$I826-$K826*$H826*$I826),IF($V826="Prima",$K826*$H826*$I826,""))))))</f>
        <v/>
      </c>
      <c r="AE826" s="12" t="str">
        <f aca="false">IF(OR($C826="",$M826="Abierta",$M826=""),"",(N($K826)-IF(OR($M826="Cerrada",$M826="Rolada"),N($O826),0))*$H826*$I826*IF($U826="Débito",-1,1)-N($L826)-N($P826))</f>
        <v/>
      </c>
      <c r="AF826" s="14" t="str">
        <f aca="false">IF(OR($AE826="",$AD826=""),"",IF($AD826&lt;=0,"",$AE826/$AD826))</f>
        <v/>
      </c>
      <c r="AG826" s="14" t="str">
        <f aca="false">IF($AF826="","",$AF826*365/MAX(N($X826),1))</f>
        <v/>
      </c>
      <c r="AH826" s="14" t="str">
        <f aca="false">IF(OR($C826="",$U826&lt;&gt;"Crédito",$AD826=""),"",IF($AD826&lt;=0,"",($Z826-N($L826))/$AD826))</f>
        <v/>
      </c>
      <c r="AI826" s="14" t="str">
        <f aca="false">IF(OR($AH826="",$W826=""),"",$AH826*365/MAX($W826,1))</f>
        <v/>
      </c>
      <c r="AJ826" s="14" t="str">
        <f aca="false">IF(OR($AE826="",$U826&lt;&gt;"Crédito",N($K826)=0),"",(N($K826)-IF(OR($M826="Cerrada",$M826="Rolada"),N($O826),0))/$K826)</f>
        <v/>
      </c>
      <c r="AK826" s="15" t="str">
        <f aca="false">IF(OR($C826="",$N826=""),"",DATE(YEAR($N826),MONTH($N826),1))</f>
        <v/>
      </c>
      <c r="AL826" s="11" t="str">
        <f aca="false">IF($C826="","",IF($M826="Abierta",0,1))</f>
        <v/>
      </c>
      <c r="AM826" s="16" t="str">
        <f aca="false">IF(OR($AE826="",$AD826=""),"",$AD826*MAX(N($X826),1))</f>
        <v/>
      </c>
      <c r="AN826" s="10" t="str">
        <f aca="false">IF($C826="","",IF(OR($B826="",$D826="",$H826="",$K826="",$M826=""),"Faltan datos obligatorios",IF($T826="","Estrategia no reconocida",IF(AND($M826&lt;&gt;"Abierta",$N826=""),"Falta fecha cierre",IF(AND(OR($M826="Cerrada",$M826="Rolada"),$O826=""),"Falta prima cierre",IF(AND($N826&lt;&gt;"",$N826&lt;$B826),"Cierre anterior a apertura",IF(AND($M826="Asignada",$R826=""),"Asignada: falta ID lote acciones",IF(AND($R826&lt;&gt;"",ISNA(MATCH($R826,Acciones!$A$2:$A$201,0))),"El ID lote no existe en Acciones",IF($AD826="","Revisa capital en riesgo","OK")))))))))</f>
        <v/>
      </c>
    </row>
    <row r="827" customFormat="false" ht="15" hidden="false" customHeight="true" outlineLevel="0" collapsed="false">
      <c r="A827" s="5"/>
      <c r="B827" s="6"/>
      <c r="C827" s="7"/>
      <c r="D827" s="7"/>
      <c r="E827" s="8"/>
      <c r="F827" s="8"/>
      <c r="G827" s="6"/>
      <c r="H827" s="5"/>
      <c r="I827" s="5" t="n">
        <v>100</v>
      </c>
      <c r="J827" s="8"/>
      <c r="K827" s="8"/>
      <c r="L827" s="9"/>
      <c r="M827" s="7"/>
      <c r="N827" s="6"/>
      <c r="O827" s="8"/>
      <c r="P827" s="9"/>
      <c r="Q827" s="9"/>
      <c r="R827" s="7"/>
      <c r="S827" s="7"/>
      <c r="T827" s="10" t="str">
        <f aca="false">IF($C827="","",IFERROR(INDEX(Listas!$B$2:$B$20,MATCH($D827,Listas!$A$2:$A$20,0)),""))</f>
        <v/>
      </c>
      <c r="U827" s="10" t="str">
        <f aca="false">IF($C827="","",IFERROR(INDEX(Listas!$C$2:$C$20,MATCH($D827,Listas!$A$2:$A$20,0)),""))</f>
        <v/>
      </c>
      <c r="V827" s="10" t="str">
        <f aca="false">IF($C827="","",IFERROR(INDEX(Listas!$D$2:$D$20,MATCH($D827,Listas!$A$2:$A$20,0)),""))</f>
        <v/>
      </c>
      <c r="W827" s="11" t="str">
        <f aca="false">IF(OR($C827="",$B827="",$G827=""),"",$G827-$B827)</f>
        <v/>
      </c>
      <c r="X827" s="11" t="str">
        <f aca="true">IF(OR($C827="",$B827=""),"",IF($N827&lt;&gt;"",$N827,TODAY())-$B827)</f>
        <v/>
      </c>
      <c r="Y827" s="11" t="str">
        <f aca="true">IF(OR($C827="",$M827&lt;&gt;"Abierta",$G827=""),"",MAX($G827-TODAY(),0))</f>
        <v/>
      </c>
      <c r="Z827" s="12" t="str">
        <f aca="false">IF($C827="","",N($K827)*N($H827)*N($I827)*IF($U827="Débito",-1,1))</f>
        <v/>
      </c>
      <c r="AA827" s="13" t="str">
        <f aca="false">IF($C827="","",IF(AND($U827="Débito",$F827&lt;&gt;""),$F827,$E827))</f>
        <v/>
      </c>
      <c r="AB827" s="13" t="str">
        <f aca="false">IF(OR($C827="",$T827="Mixta",$AA827=""),"",IF($V827="Subyacente",IF($J827="","",$J827-$K827),IF($T827="Put",$AA827-$K827,$AA827+$K827)))</f>
        <v/>
      </c>
      <c r="AC827" s="14" t="str">
        <f aca="false">IF(OR($C827="",$T827="Mixta",$J827="",$AA827=""),"",IF($T827="Put",($J827-$AA827)/$J827,($AA827-$J827)/$J827))</f>
        <v/>
      </c>
      <c r="AD827" s="12" t="str">
        <f aca="false">IF($C827="","",IF($Q827&lt;&gt;"",$Q827,IF($V827="Strike",N($E827)*$H827*$I827,IF($V827="Subyacente",IF($J827="","",$J827*$H827*$I827),IF($V827="Ancho",IF($F827="","",ABS($E827-$F827)*$H827*$I827-$K827*$H827*$I827),IF($V827="Prima",$K827*$H827*$I827,""))))))</f>
        <v/>
      </c>
      <c r="AE827" s="12" t="str">
        <f aca="false">IF(OR($C827="",$M827="Abierta",$M827=""),"",(N($K827)-IF(OR($M827="Cerrada",$M827="Rolada"),N($O827),0))*$H827*$I827*IF($U827="Débito",-1,1)-N($L827)-N($P827))</f>
        <v/>
      </c>
      <c r="AF827" s="14" t="str">
        <f aca="false">IF(OR($AE827="",$AD827=""),"",IF($AD827&lt;=0,"",$AE827/$AD827))</f>
        <v/>
      </c>
      <c r="AG827" s="14" t="str">
        <f aca="false">IF($AF827="","",$AF827*365/MAX(N($X827),1))</f>
        <v/>
      </c>
      <c r="AH827" s="14" t="str">
        <f aca="false">IF(OR($C827="",$U827&lt;&gt;"Crédito",$AD827=""),"",IF($AD827&lt;=0,"",($Z827-N($L827))/$AD827))</f>
        <v/>
      </c>
      <c r="AI827" s="14" t="str">
        <f aca="false">IF(OR($AH827="",$W827=""),"",$AH827*365/MAX($W827,1))</f>
        <v/>
      </c>
      <c r="AJ827" s="14" t="str">
        <f aca="false">IF(OR($AE827="",$U827&lt;&gt;"Crédito",N($K827)=0),"",(N($K827)-IF(OR($M827="Cerrada",$M827="Rolada"),N($O827),0))/$K827)</f>
        <v/>
      </c>
      <c r="AK827" s="15" t="str">
        <f aca="false">IF(OR($C827="",$N827=""),"",DATE(YEAR($N827),MONTH($N827),1))</f>
        <v/>
      </c>
      <c r="AL827" s="11" t="str">
        <f aca="false">IF($C827="","",IF($M827="Abierta",0,1))</f>
        <v/>
      </c>
      <c r="AM827" s="16" t="str">
        <f aca="false">IF(OR($AE827="",$AD827=""),"",$AD827*MAX(N($X827),1))</f>
        <v/>
      </c>
      <c r="AN827" s="10" t="str">
        <f aca="false">IF($C827="","",IF(OR($B827="",$D827="",$H827="",$K827="",$M827=""),"Faltan datos obligatorios",IF($T827="","Estrategia no reconocida",IF(AND($M827&lt;&gt;"Abierta",$N827=""),"Falta fecha cierre",IF(AND(OR($M827="Cerrada",$M827="Rolada"),$O827=""),"Falta prima cierre",IF(AND($N827&lt;&gt;"",$N827&lt;$B827),"Cierre anterior a apertura",IF(AND($M827="Asignada",$R827=""),"Asignada: falta ID lote acciones",IF(AND($R827&lt;&gt;"",ISNA(MATCH($R827,Acciones!$A$2:$A$201,0))),"El ID lote no existe en Acciones",IF($AD827="","Revisa capital en riesgo","OK")))))))))</f>
        <v/>
      </c>
    </row>
    <row r="828" customFormat="false" ht="15" hidden="false" customHeight="true" outlineLevel="0" collapsed="false">
      <c r="A828" s="5"/>
      <c r="B828" s="6"/>
      <c r="C828" s="7"/>
      <c r="D828" s="7"/>
      <c r="E828" s="8"/>
      <c r="F828" s="8"/>
      <c r="G828" s="6"/>
      <c r="H828" s="5"/>
      <c r="I828" s="5" t="n">
        <v>100</v>
      </c>
      <c r="J828" s="8"/>
      <c r="K828" s="8"/>
      <c r="L828" s="9"/>
      <c r="M828" s="7"/>
      <c r="N828" s="6"/>
      <c r="O828" s="8"/>
      <c r="P828" s="9"/>
      <c r="Q828" s="9"/>
      <c r="R828" s="7"/>
      <c r="S828" s="7"/>
      <c r="T828" s="10" t="str">
        <f aca="false">IF($C828="","",IFERROR(INDEX(Listas!$B$2:$B$20,MATCH($D828,Listas!$A$2:$A$20,0)),""))</f>
        <v/>
      </c>
      <c r="U828" s="10" t="str">
        <f aca="false">IF($C828="","",IFERROR(INDEX(Listas!$C$2:$C$20,MATCH($D828,Listas!$A$2:$A$20,0)),""))</f>
        <v/>
      </c>
      <c r="V828" s="10" t="str">
        <f aca="false">IF($C828="","",IFERROR(INDEX(Listas!$D$2:$D$20,MATCH($D828,Listas!$A$2:$A$20,0)),""))</f>
        <v/>
      </c>
      <c r="W828" s="11" t="str">
        <f aca="false">IF(OR($C828="",$B828="",$G828=""),"",$G828-$B828)</f>
        <v/>
      </c>
      <c r="X828" s="11" t="str">
        <f aca="true">IF(OR($C828="",$B828=""),"",IF($N828&lt;&gt;"",$N828,TODAY())-$B828)</f>
        <v/>
      </c>
      <c r="Y828" s="11" t="str">
        <f aca="true">IF(OR($C828="",$M828&lt;&gt;"Abierta",$G828=""),"",MAX($G828-TODAY(),0))</f>
        <v/>
      </c>
      <c r="Z828" s="12" t="str">
        <f aca="false">IF($C828="","",N($K828)*N($H828)*N($I828)*IF($U828="Débito",-1,1))</f>
        <v/>
      </c>
      <c r="AA828" s="13" t="str">
        <f aca="false">IF($C828="","",IF(AND($U828="Débito",$F828&lt;&gt;""),$F828,$E828))</f>
        <v/>
      </c>
      <c r="AB828" s="13" t="str">
        <f aca="false">IF(OR($C828="",$T828="Mixta",$AA828=""),"",IF($V828="Subyacente",IF($J828="","",$J828-$K828),IF($T828="Put",$AA828-$K828,$AA828+$K828)))</f>
        <v/>
      </c>
      <c r="AC828" s="14" t="str">
        <f aca="false">IF(OR($C828="",$T828="Mixta",$J828="",$AA828=""),"",IF($T828="Put",($J828-$AA828)/$J828,($AA828-$J828)/$J828))</f>
        <v/>
      </c>
      <c r="AD828" s="12" t="str">
        <f aca="false">IF($C828="","",IF($Q828&lt;&gt;"",$Q828,IF($V828="Strike",N($E828)*$H828*$I828,IF($V828="Subyacente",IF($J828="","",$J828*$H828*$I828),IF($V828="Ancho",IF($F828="","",ABS($E828-$F828)*$H828*$I828-$K828*$H828*$I828),IF($V828="Prima",$K828*$H828*$I828,""))))))</f>
        <v/>
      </c>
      <c r="AE828" s="12" t="str">
        <f aca="false">IF(OR($C828="",$M828="Abierta",$M828=""),"",(N($K828)-IF(OR($M828="Cerrada",$M828="Rolada"),N($O828),0))*$H828*$I828*IF($U828="Débito",-1,1)-N($L828)-N($P828))</f>
        <v/>
      </c>
      <c r="AF828" s="14" t="str">
        <f aca="false">IF(OR($AE828="",$AD828=""),"",IF($AD828&lt;=0,"",$AE828/$AD828))</f>
        <v/>
      </c>
      <c r="AG828" s="14" t="str">
        <f aca="false">IF($AF828="","",$AF828*365/MAX(N($X828),1))</f>
        <v/>
      </c>
      <c r="AH828" s="14" t="str">
        <f aca="false">IF(OR($C828="",$U828&lt;&gt;"Crédito",$AD828=""),"",IF($AD828&lt;=0,"",($Z828-N($L828))/$AD828))</f>
        <v/>
      </c>
      <c r="AI828" s="14" t="str">
        <f aca="false">IF(OR($AH828="",$W828=""),"",$AH828*365/MAX($W828,1))</f>
        <v/>
      </c>
      <c r="AJ828" s="14" t="str">
        <f aca="false">IF(OR($AE828="",$U828&lt;&gt;"Crédito",N($K828)=0),"",(N($K828)-IF(OR($M828="Cerrada",$M828="Rolada"),N($O828),0))/$K828)</f>
        <v/>
      </c>
      <c r="AK828" s="15" t="str">
        <f aca="false">IF(OR($C828="",$N828=""),"",DATE(YEAR($N828),MONTH($N828),1))</f>
        <v/>
      </c>
      <c r="AL828" s="11" t="str">
        <f aca="false">IF($C828="","",IF($M828="Abierta",0,1))</f>
        <v/>
      </c>
      <c r="AM828" s="16" t="str">
        <f aca="false">IF(OR($AE828="",$AD828=""),"",$AD828*MAX(N($X828),1))</f>
        <v/>
      </c>
      <c r="AN828" s="10" t="str">
        <f aca="false">IF($C828="","",IF(OR($B828="",$D828="",$H828="",$K828="",$M828=""),"Faltan datos obligatorios",IF($T828="","Estrategia no reconocida",IF(AND($M828&lt;&gt;"Abierta",$N828=""),"Falta fecha cierre",IF(AND(OR($M828="Cerrada",$M828="Rolada"),$O828=""),"Falta prima cierre",IF(AND($N828&lt;&gt;"",$N828&lt;$B828),"Cierre anterior a apertura",IF(AND($M828="Asignada",$R828=""),"Asignada: falta ID lote acciones",IF(AND($R828&lt;&gt;"",ISNA(MATCH($R828,Acciones!$A$2:$A$201,0))),"El ID lote no existe en Acciones",IF($AD828="","Revisa capital en riesgo","OK")))))))))</f>
        <v/>
      </c>
    </row>
    <row r="829" customFormat="false" ht="15" hidden="false" customHeight="true" outlineLevel="0" collapsed="false">
      <c r="A829" s="5"/>
      <c r="B829" s="6"/>
      <c r="C829" s="7"/>
      <c r="D829" s="7"/>
      <c r="E829" s="8"/>
      <c r="F829" s="8"/>
      <c r="G829" s="6"/>
      <c r="H829" s="5"/>
      <c r="I829" s="5" t="n">
        <v>100</v>
      </c>
      <c r="J829" s="8"/>
      <c r="K829" s="8"/>
      <c r="L829" s="9"/>
      <c r="M829" s="7"/>
      <c r="N829" s="6"/>
      <c r="O829" s="8"/>
      <c r="P829" s="9"/>
      <c r="Q829" s="9"/>
      <c r="R829" s="7"/>
      <c r="S829" s="7"/>
      <c r="T829" s="10" t="str">
        <f aca="false">IF($C829="","",IFERROR(INDEX(Listas!$B$2:$B$20,MATCH($D829,Listas!$A$2:$A$20,0)),""))</f>
        <v/>
      </c>
      <c r="U829" s="10" t="str">
        <f aca="false">IF($C829="","",IFERROR(INDEX(Listas!$C$2:$C$20,MATCH($D829,Listas!$A$2:$A$20,0)),""))</f>
        <v/>
      </c>
      <c r="V829" s="10" t="str">
        <f aca="false">IF($C829="","",IFERROR(INDEX(Listas!$D$2:$D$20,MATCH($D829,Listas!$A$2:$A$20,0)),""))</f>
        <v/>
      </c>
      <c r="W829" s="11" t="str">
        <f aca="false">IF(OR($C829="",$B829="",$G829=""),"",$G829-$B829)</f>
        <v/>
      </c>
      <c r="X829" s="11" t="str">
        <f aca="true">IF(OR($C829="",$B829=""),"",IF($N829&lt;&gt;"",$N829,TODAY())-$B829)</f>
        <v/>
      </c>
      <c r="Y829" s="11" t="str">
        <f aca="true">IF(OR($C829="",$M829&lt;&gt;"Abierta",$G829=""),"",MAX($G829-TODAY(),0))</f>
        <v/>
      </c>
      <c r="Z829" s="12" t="str">
        <f aca="false">IF($C829="","",N($K829)*N($H829)*N($I829)*IF($U829="Débito",-1,1))</f>
        <v/>
      </c>
      <c r="AA829" s="13" t="str">
        <f aca="false">IF($C829="","",IF(AND($U829="Débito",$F829&lt;&gt;""),$F829,$E829))</f>
        <v/>
      </c>
      <c r="AB829" s="13" t="str">
        <f aca="false">IF(OR($C829="",$T829="Mixta",$AA829=""),"",IF($V829="Subyacente",IF($J829="","",$J829-$K829),IF($T829="Put",$AA829-$K829,$AA829+$K829)))</f>
        <v/>
      </c>
      <c r="AC829" s="14" t="str">
        <f aca="false">IF(OR($C829="",$T829="Mixta",$J829="",$AA829=""),"",IF($T829="Put",($J829-$AA829)/$J829,($AA829-$J829)/$J829))</f>
        <v/>
      </c>
      <c r="AD829" s="12" t="str">
        <f aca="false">IF($C829="","",IF($Q829&lt;&gt;"",$Q829,IF($V829="Strike",N($E829)*$H829*$I829,IF($V829="Subyacente",IF($J829="","",$J829*$H829*$I829),IF($V829="Ancho",IF($F829="","",ABS($E829-$F829)*$H829*$I829-$K829*$H829*$I829),IF($V829="Prima",$K829*$H829*$I829,""))))))</f>
        <v/>
      </c>
      <c r="AE829" s="12" t="str">
        <f aca="false">IF(OR($C829="",$M829="Abierta",$M829=""),"",(N($K829)-IF(OR($M829="Cerrada",$M829="Rolada"),N($O829),0))*$H829*$I829*IF($U829="Débito",-1,1)-N($L829)-N($P829))</f>
        <v/>
      </c>
      <c r="AF829" s="14" t="str">
        <f aca="false">IF(OR($AE829="",$AD829=""),"",IF($AD829&lt;=0,"",$AE829/$AD829))</f>
        <v/>
      </c>
      <c r="AG829" s="14" t="str">
        <f aca="false">IF($AF829="","",$AF829*365/MAX(N($X829),1))</f>
        <v/>
      </c>
      <c r="AH829" s="14" t="str">
        <f aca="false">IF(OR($C829="",$U829&lt;&gt;"Crédito",$AD829=""),"",IF($AD829&lt;=0,"",($Z829-N($L829))/$AD829))</f>
        <v/>
      </c>
      <c r="AI829" s="14" t="str">
        <f aca="false">IF(OR($AH829="",$W829=""),"",$AH829*365/MAX($W829,1))</f>
        <v/>
      </c>
      <c r="AJ829" s="14" t="str">
        <f aca="false">IF(OR($AE829="",$U829&lt;&gt;"Crédito",N($K829)=0),"",(N($K829)-IF(OR($M829="Cerrada",$M829="Rolada"),N($O829),0))/$K829)</f>
        <v/>
      </c>
      <c r="AK829" s="15" t="str">
        <f aca="false">IF(OR($C829="",$N829=""),"",DATE(YEAR($N829),MONTH($N829),1))</f>
        <v/>
      </c>
      <c r="AL829" s="11" t="str">
        <f aca="false">IF($C829="","",IF($M829="Abierta",0,1))</f>
        <v/>
      </c>
      <c r="AM829" s="16" t="str">
        <f aca="false">IF(OR($AE829="",$AD829=""),"",$AD829*MAX(N($X829),1))</f>
        <v/>
      </c>
      <c r="AN829" s="10" t="str">
        <f aca="false">IF($C829="","",IF(OR($B829="",$D829="",$H829="",$K829="",$M829=""),"Faltan datos obligatorios",IF($T829="","Estrategia no reconocida",IF(AND($M829&lt;&gt;"Abierta",$N829=""),"Falta fecha cierre",IF(AND(OR($M829="Cerrada",$M829="Rolada"),$O829=""),"Falta prima cierre",IF(AND($N829&lt;&gt;"",$N829&lt;$B829),"Cierre anterior a apertura",IF(AND($M829="Asignada",$R829=""),"Asignada: falta ID lote acciones",IF(AND($R829&lt;&gt;"",ISNA(MATCH($R829,Acciones!$A$2:$A$201,0))),"El ID lote no existe en Acciones",IF($AD829="","Revisa capital en riesgo","OK")))))))))</f>
        <v/>
      </c>
    </row>
    <row r="830" customFormat="false" ht="15" hidden="false" customHeight="true" outlineLevel="0" collapsed="false">
      <c r="A830" s="5"/>
      <c r="B830" s="6"/>
      <c r="C830" s="7"/>
      <c r="D830" s="7"/>
      <c r="E830" s="8"/>
      <c r="F830" s="8"/>
      <c r="G830" s="6"/>
      <c r="H830" s="5"/>
      <c r="I830" s="5" t="n">
        <v>100</v>
      </c>
      <c r="J830" s="8"/>
      <c r="K830" s="8"/>
      <c r="L830" s="9"/>
      <c r="M830" s="7"/>
      <c r="N830" s="6"/>
      <c r="O830" s="8"/>
      <c r="P830" s="9"/>
      <c r="Q830" s="9"/>
      <c r="R830" s="7"/>
      <c r="S830" s="7"/>
      <c r="T830" s="10" t="str">
        <f aca="false">IF($C830="","",IFERROR(INDEX(Listas!$B$2:$B$20,MATCH($D830,Listas!$A$2:$A$20,0)),""))</f>
        <v/>
      </c>
      <c r="U830" s="10" t="str">
        <f aca="false">IF($C830="","",IFERROR(INDEX(Listas!$C$2:$C$20,MATCH($D830,Listas!$A$2:$A$20,0)),""))</f>
        <v/>
      </c>
      <c r="V830" s="10" t="str">
        <f aca="false">IF($C830="","",IFERROR(INDEX(Listas!$D$2:$D$20,MATCH($D830,Listas!$A$2:$A$20,0)),""))</f>
        <v/>
      </c>
      <c r="W830" s="11" t="str">
        <f aca="false">IF(OR($C830="",$B830="",$G830=""),"",$G830-$B830)</f>
        <v/>
      </c>
      <c r="X830" s="11" t="str">
        <f aca="true">IF(OR($C830="",$B830=""),"",IF($N830&lt;&gt;"",$N830,TODAY())-$B830)</f>
        <v/>
      </c>
      <c r="Y830" s="11" t="str">
        <f aca="true">IF(OR($C830="",$M830&lt;&gt;"Abierta",$G830=""),"",MAX($G830-TODAY(),0))</f>
        <v/>
      </c>
      <c r="Z830" s="12" t="str">
        <f aca="false">IF($C830="","",N($K830)*N($H830)*N($I830)*IF($U830="Débito",-1,1))</f>
        <v/>
      </c>
      <c r="AA830" s="13" t="str">
        <f aca="false">IF($C830="","",IF(AND($U830="Débito",$F830&lt;&gt;""),$F830,$E830))</f>
        <v/>
      </c>
      <c r="AB830" s="13" t="str">
        <f aca="false">IF(OR($C830="",$T830="Mixta",$AA830=""),"",IF($V830="Subyacente",IF($J830="","",$J830-$K830),IF($T830="Put",$AA830-$K830,$AA830+$K830)))</f>
        <v/>
      </c>
      <c r="AC830" s="14" t="str">
        <f aca="false">IF(OR($C830="",$T830="Mixta",$J830="",$AA830=""),"",IF($T830="Put",($J830-$AA830)/$J830,($AA830-$J830)/$J830))</f>
        <v/>
      </c>
      <c r="AD830" s="12" t="str">
        <f aca="false">IF($C830="","",IF($Q830&lt;&gt;"",$Q830,IF($V830="Strike",N($E830)*$H830*$I830,IF($V830="Subyacente",IF($J830="","",$J830*$H830*$I830),IF($V830="Ancho",IF($F830="","",ABS($E830-$F830)*$H830*$I830-$K830*$H830*$I830),IF($V830="Prima",$K830*$H830*$I830,""))))))</f>
        <v/>
      </c>
      <c r="AE830" s="12" t="str">
        <f aca="false">IF(OR($C830="",$M830="Abierta",$M830=""),"",(N($K830)-IF(OR($M830="Cerrada",$M830="Rolada"),N($O830),0))*$H830*$I830*IF($U830="Débito",-1,1)-N($L830)-N($P830))</f>
        <v/>
      </c>
      <c r="AF830" s="14" t="str">
        <f aca="false">IF(OR($AE830="",$AD830=""),"",IF($AD830&lt;=0,"",$AE830/$AD830))</f>
        <v/>
      </c>
      <c r="AG830" s="14" t="str">
        <f aca="false">IF($AF830="","",$AF830*365/MAX(N($X830),1))</f>
        <v/>
      </c>
      <c r="AH830" s="14" t="str">
        <f aca="false">IF(OR($C830="",$U830&lt;&gt;"Crédito",$AD830=""),"",IF($AD830&lt;=0,"",($Z830-N($L830))/$AD830))</f>
        <v/>
      </c>
      <c r="AI830" s="14" t="str">
        <f aca="false">IF(OR($AH830="",$W830=""),"",$AH830*365/MAX($W830,1))</f>
        <v/>
      </c>
      <c r="AJ830" s="14" t="str">
        <f aca="false">IF(OR($AE830="",$U830&lt;&gt;"Crédito",N($K830)=0),"",(N($K830)-IF(OR($M830="Cerrada",$M830="Rolada"),N($O830),0))/$K830)</f>
        <v/>
      </c>
      <c r="AK830" s="15" t="str">
        <f aca="false">IF(OR($C830="",$N830=""),"",DATE(YEAR($N830),MONTH($N830),1))</f>
        <v/>
      </c>
      <c r="AL830" s="11" t="str">
        <f aca="false">IF($C830="","",IF($M830="Abierta",0,1))</f>
        <v/>
      </c>
      <c r="AM830" s="16" t="str">
        <f aca="false">IF(OR($AE830="",$AD830=""),"",$AD830*MAX(N($X830),1))</f>
        <v/>
      </c>
      <c r="AN830" s="10" t="str">
        <f aca="false">IF($C830="","",IF(OR($B830="",$D830="",$H830="",$K830="",$M830=""),"Faltan datos obligatorios",IF($T830="","Estrategia no reconocida",IF(AND($M830&lt;&gt;"Abierta",$N830=""),"Falta fecha cierre",IF(AND(OR($M830="Cerrada",$M830="Rolada"),$O830=""),"Falta prima cierre",IF(AND($N830&lt;&gt;"",$N830&lt;$B830),"Cierre anterior a apertura",IF(AND($M830="Asignada",$R830=""),"Asignada: falta ID lote acciones",IF(AND($R830&lt;&gt;"",ISNA(MATCH($R830,Acciones!$A$2:$A$201,0))),"El ID lote no existe en Acciones",IF($AD830="","Revisa capital en riesgo","OK")))))))))</f>
        <v/>
      </c>
    </row>
    <row r="831" customFormat="false" ht="15" hidden="false" customHeight="true" outlineLevel="0" collapsed="false">
      <c r="A831" s="5"/>
      <c r="B831" s="6"/>
      <c r="C831" s="7"/>
      <c r="D831" s="7"/>
      <c r="E831" s="8"/>
      <c r="F831" s="8"/>
      <c r="G831" s="6"/>
      <c r="H831" s="5"/>
      <c r="I831" s="5" t="n">
        <v>100</v>
      </c>
      <c r="J831" s="8"/>
      <c r="K831" s="8"/>
      <c r="L831" s="9"/>
      <c r="M831" s="7"/>
      <c r="N831" s="6"/>
      <c r="O831" s="8"/>
      <c r="P831" s="9"/>
      <c r="Q831" s="9"/>
      <c r="R831" s="7"/>
      <c r="S831" s="7"/>
      <c r="T831" s="10" t="str">
        <f aca="false">IF($C831="","",IFERROR(INDEX(Listas!$B$2:$B$20,MATCH($D831,Listas!$A$2:$A$20,0)),""))</f>
        <v/>
      </c>
      <c r="U831" s="10" t="str">
        <f aca="false">IF($C831="","",IFERROR(INDEX(Listas!$C$2:$C$20,MATCH($D831,Listas!$A$2:$A$20,0)),""))</f>
        <v/>
      </c>
      <c r="V831" s="10" t="str">
        <f aca="false">IF($C831="","",IFERROR(INDEX(Listas!$D$2:$D$20,MATCH($D831,Listas!$A$2:$A$20,0)),""))</f>
        <v/>
      </c>
      <c r="W831" s="11" t="str">
        <f aca="false">IF(OR($C831="",$B831="",$G831=""),"",$G831-$B831)</f>
        <v/>
      </c>
      <c r="X831" s="11" t="str">
        <f aca="true">IF(OR($C831="",$B831=""),"",IF($N831&lt;&gt;"",$N831,TODAY())-$B831)</f>
        <v/>
      </c>
      <c r="Y831" s="11" t="str">
        <f aca="true">IF(OR($C831="",$M831&lt;&gt;"Abierta",$G831=""),"",MAX($G831-TODAY(),0))</f>
        <v/>
      </c>
      <c r="Z831" s="12" t="str">
        <f aca="false">IF($C831="","",N($K831)*N($H831)*N($I831)*IF($U831="Débito",-1,1))</f>
        <v/>
      </c>
      <c r="AA831" s="13" t="str">
        <f aca="false">IF($C831="","",IF(AND($U831="Débito",$F831&lt;&gt;""),$F831,$E831))</f>
        <v/>
      </c>
      <c r="AB831" s="13" t="str">
        <f aca="false">IF(OR($C831="",$T831="Mixta",$AA831=""),"",IF($V831="Subyacente",IF($J831="","",$J831-$K831),IF($T831="Put",$AA831-$K831,$AA831+$K831)))</f>
        <v/>
      </c>
      <c r="AC831" s="14" t="str">
        <f aca="false">IF(OR($C831="",$T831="Mixta",$J831="",$AA831=""),"",IF($T831="Put",($J831-$AA831)/$J831,($AA831-$J831)/$J831))</f>
        <v/>
      </c>
      <c r="AD831" s="12" t="str">
        <f aca="false">IF($C831="","",IF($Q831&lt;&gt;"",$Q831,IF($V831="Strike",N($E831)*$H831*$I831,IF($V831="Subyacente",IF($J831="","",$J831*$H831*$I831),IF($V831="Ancho",IF($F831="","",ABS($E831-$F831)*$H831*$I831-$K831*$H831*$I831),IF($V831="Prima",$K831*$H831*$I831,""))))))</f>
        <v/>
      </c>
      <c r="AE831" s="12" t="str">
        <f aca="false">IF(OR($C831="",$M831="Abierta",$M831=""),"",(N($K831)-IF(OR($M831="Cerrada",$M831="Rolada"),N($O831),0))*$H831*$I831*IF($U831="Débito",-1,1)-N($L831)-N($P831))</f>
        <v/>
      </c>
      <c r="AF831" s="14" t="str">
        <f aca="false">IF(OR($AE831="",$AD831=""),"",IF($AD831&lt;=0,"",$AE831/$AD831))</f>
        <v/>
      </c>
      <c r="AG831" s="14" t="str">
        <f aca="false">IF($AF831="","",$AF831*365/MAX(N($X831),1))</f>
        <v/>
      </c>
      <c r="AH831" s="14" t="str">
        <f aca="false">IF(OR($C831="",$U831&lt;&gt;"Crédito",$AD831=""),"",IF($AD831&lt;=0,"",($Z831-N($L831))/$AD831))</f>
        <v/>
      </c>
      <c r="AI831" s="14" t="str">
        <f aca="false">IF(OR($AH831="",$W831=""),"",$AH831*365/MAX($W831,1))</f>
        <v/>
      </c>
      <c r="AJ831" s="14" t="str">
        <f aca="false">IF(OR($AE831="",$U831&lt;&gt;"Crédito",N($K831)=0),"",(N($K831)-IF(OR($M831="Cerrada",$M831="Rolada"),N($O831),0))/$K831)</f>
        <v/>
      </c>
      <c r="AK831" s="15" t="str">
        <f aca="false">IF(OR($C831="",$N831=""),"",DATE(YEAR($N831),MONTH($N831),1))</f>
        <v/>
      </c>
      <c r="AL831" s="11" t="str">
        <f aca="false">IF($C831="","",IF($M831="Abierta",0,1))</f>
        <v/>
      </c>
      <c r="AM831" s="16" t="str">
        <f aca="false">IF(OR($AE831="",$AD831=""),"",$AD831*MAX(N($X831),1))</f>
        <v/>
      </c>
      <c r="AN831" s="10" t="str">
        <f aca="false">IF($C831="","",IF(OR($B831="",$D831="",$H831="",$K831="",$M831=""),"Faltan datos obligatorios",IF($T831="","Estrategia no reconocida",IF(AND($M831&lt;&gt;"Abierta",$N831=""),"Falta fecha cierre",IF(AND(OR($M831="Cerrada",$M831="Rolada"),$O831=""),"Falta prima cierre",IF(AND($N831&lt;&gt;"",$N831&lt;$B831),"Cierre anterior a apertura",IF(AND($M831="Asignada",$R831=""),"Asignada: falta ID lote acciones",IF(AND($R831&lt;&gt;"",ISNA(MATCH($R831,Acciones!$A$2:$A$201,0))),"El ID lote no existe en Acciones",IF($AD831="","Revisa capital en riesgo","OK")))))))))</f>
        <v/>
      </c>
    </row>
    <row r="832" customFormat="false" ht="15" hidden="false" customHeight="true" outlineLevel="0" collapsed="false">
      <c r="A832" s="5"/>
      <c r="B832" s="6"/>
      <c r="C832" s="7"/>
      <c r="D832" s="7"/>
      <c r="E832" s="8"/>
      <c r="F832" s="8"/>
      <c r="G832" s="6"/>
      <c r="H832" s="5"/>
      <c r="I832" s="5" t="n">
        <v>100</v>
      </c>
      <c r="J832" s="8"/>
      <c r="K832" s="8"/>
      <c r="L832" s="9"/>
      <c r="M832" s="7"/>
      <c r="N832" s="6"/>
      <c r="O832" s="8"/>
      <c r="P832" s="9"/>
      <c r="Q832" s="9"/>
      <c r="R832" s="7"/>
      <c r="S832" s="7"/>
      <c r="T832" s="10" t="str">
        <f aca="false">IF($C832="","",IFERROR(INDEX(Listas!$B$2:$B$20,MATCH($D832,Listas!$A$2:$A$20,0)),""))</f>
        <v/>
      </c>
      <c r="U832" s="10" t="str">
        <f aca="false">IF($C832="","",IFERROR(INDEX(Listas!$C$2:$C$20,MATCH($D832,Listas!$A$2:$A$20,0)),""))</f>
        <v/>
      </c>
      <c r="V832" s="10" t="str">
        <f aca="false">IF($C832="","",IFERROR(INDEX(Listas!$D$2:$D$20,MATCH($D832,Listas!$A$2:$A$20,0)),""))</f>
        <v/>
      </c>
      <c r="W832" s="11" t="str">
        <f aca="false">IF(OR($C832="",$B832="",$G832=""),"",$G832-$B832)</f>
        <v/>
      </c>
      <c r="X832" s="11" t="str">
        <f aca="true">IF(OR($C832="",$B832=""),"",IF($N832&lt;&gt;"",$N832,TODAY())-$B832)</f>
        <v/>
      </c>
      <c r="Y832" s="11" t="str">
        <f aca="true">IF(OR($C832="",$M832&lt;&gt;"Abierta",$G832=""),"",MAX($G832-TODAY(),0))</f>
        <v/>
      </c>
      <c r="Z832" s="12" t="str">
        <f aca="false">IF($C832="","",N($K832)*N($H832)*N($I832)*IF($U832="Débito",-1,1))</f>
        <v/>
      </c>
      <c r="AA832" s="13" t="str">
        <f aca="false">IF($C832="","",IF(AND($U832="Débito",$F832&lt;&gt;""),$F832,$E832))</f>
        <v/>
      </c>
      <c r="AB832" s="13" t="str">
        <f aca="false">IF(OR($C832="",$T832="Mixta",$AA832=""),"",IF($V832="Subyacente",IF($J832="","",$J832-$K832),IF($T832="Put",$AA832-$K832,$AA832+$K832)))</f>
        <v/>
      </c>
      <c r="AC832" s="14" t="str">
        <f aca="false">IF(OR($C832="",$T832="Mixta",$J832="",$AA832=""),"",IF($T832="Put",($J832-$AA832)/$J832,($AA832-$J832)/$J832))</f>
        <v/>
      </c>
      <c r="AD832" s="12" t="str">
        <f aca="false">IF($C832="","",IF($Q832&lt;&gt;"",$Q832,IF($V832="Strike",N($E832)*$H832*$I832,IF($V832="Subyacente",IF($J832="","",$J832*$H832*$I832),IF($V832="Ancho",IF($F832="","",ABS($E832-$F832)*$H832*$I832-$K832*$H832*$I832),IF($V832="Prima",$K832*$H832*$I832,""))))))</f>
        <v/>
      </c>
      <c r="AE832" s="12" t="str">
        <f aca="false">IF(OR($C832="",$M832="Abierta",$M832=""),"",(N($K832)-IF(OR($M832="Cerrada",$M832="Rolada"),N($O832),0))*$H832*$I832*IF($U832="Débito",-1,1)-N($L832)-N($P832))</f>
        <v/>
      </c>
      <c r="AF832" s="14" t="str">
        <f aca="false">IF(OR($AE832="",$AD832=""),"",IF($AD832&lt;=0,"",$AE832/$AD832))</f>
        <v/>
      </c>
      <c r="AG832" s="14" t="str">
        <f aca="false">IF($AF832="","",$AF832*365/MAX(N($X832),1))</f>
        <v/>
      </c>
      <c r="AH832" s="14" t="str">
        <f aca="false">IF(OR($C832="",$U832&lt;&gt;"Crédito",$AD832=""),"",IF($AD832&lt;=0,"",($Z832-N($L832))/$AD832))</f>
        <v/>
      </c>
      <c r="AI832" s="14" t="str">
        <f aca="false">IF(OR($AH832="",$W832=""),"",$AH832*365/MAX($W832,1))</f>
        <v/>
      </c>
      <c r="AJ832" s="14" t="str">
        <f aca="false">IF(OR($AE832="",$U832&lt;&gt;"Crédito",N($K832)=0),"",(N($K832)-IF(OR($M832="Cerrada",$M832="Rolada"),N($O832),0))/$K832)</f>
        <v/>
      </c>
      <c r="AK832" s="15" t="str">
        <f aca="false">IF(OR($C832="",$N832=""),"",DATE(YEAR($N832),MONTH($N832),1))</f>
        <v/>
      </c>
      <c r="AL832" s="11" t="str">
        <f aca="false">IF($C832="","",IF($M832="Abierta",0,1))</f>
        <v/>
      </c>
      <c r="AM832" s="16" t="str">
        <f aca="false">IF(OR($AE832="",$AD832=""),"",$AD832*MAX(N($X832),1))</f>
        <v/>
      </c>
      <c r="AN832" s="10" t="str">
        <f aca="false">IF($C832="","",IF(OR($B832="",$D832="",$H832="",$K832="",$M832=""),"Faltan datos obligatorios",IF($T832="","Estrategia no reconocida",IF(AND($M832&lt;&gt;"Abierta",$N832=""),"Falta fecha cierre",IF(AND(OR($M832="Cerrada",$M832="Rolada"),$O832=""),"Falta prima cierre",IF(AND($N832&lt;&gt;"",$N832&lt;$B832),"Cierre anterior a apertura",IF(AND($M832="Asignada",$R832=""),"Asignada: falta ID lote acciones",IF(AND($R832&lt;&gt;"",ISNA(MATCH($R832,Acciones!$A$2:$A$201,0))),"El ID lote no existe en Acciones",IF($AD832="","Revisa capital en riesgo","OK")))))))))</f>
        <v/>
      </c>
    </row>
    <row r="833" customFormat="false" ht="15" hidden="false" customHeight="true" outlineLevel="0" collapsed="false">
      <c r="A833" s="5"/>
      <c r="B833" s="6"/>
      <c r="C833" s="7"/>
      <c r="D833" s="7"/>
      <c r="E833" s="8"/>
      <c r="F833" s="8"/>
      <c r="G833" s="6"/>
      <c r="H833" s="5"/>
      <c r="I833" s="5" t="n">
        <v>100</v>
      </c>
      <c r="J833" s="8"/>
      <c r="K833" s="8"/>
      <c r="L833" s="9"/>
      <c r="M833" s="7"/>
      <c r="N833" s="6"/>
      <c r="O833" s="8"/>
      <c r="P833" s="9"/>
      <c r="Q833" s="9"/>
      <c r="R833" s="7"/>
      <c r="S833" s="7"/>
      <c r="T833" s="10" t="str">
        <f aca="false">IF($C833="","",IFERROR(INDEX(Listas!$B$2:$B$20,MATCH($D833,Listas!$A$2:$A$20,0)),""))</f>
        <v/>
      </c>
      <c r="U833" s="10" t="str">
        <f aca="false">IF($C833="","",IFERROR(INDEX(Listas!$C$2:$C$20,MATCH($D833,Listas!$A$2:$A$20,0)),""))</f>
        <v/>
      </c>
      <c r="V833" s="10" t="str">
        <f aca="false">IF($C833="","",IFERROR(INDEX(Listas!$D$2:$D$20,MATCH($D833,Listas!$A$2:$A$20,0)),""))</f>
        <v/>
      </c>
      <c r="W833" s="11" t="str">
        <f aca="false">IF(OR($C833="",$B833="",$G833=""),"",$G833-$B833)</f>
        <v/>
      </c>
      <c r="X833" s="11" t="str">
        <f aca="true">IF(OR($C833="",$B833=""),"",IF($N833&lt;&gt;"",$N833,TODAY())-$B833)</f>
        <v/>
      </c>
      <c r="Y833" s="11" t="str">
        <f aca="true">IF(OR($C833="",$M833&lt;&gt;"Abierta",$G833=""),"",MAX($G833-TODAY(),0))</f>
        <v/>
      </c>
      <c r="Z833" s="12" t="str">
        <f aca="false">IF($C833="","",N($K833)*N($H833)*N($I833)*IF($U833="Débito",-1,1))</f>
        <v/>
      </c>
      <c r="AA833" s="13" t="str">
        <f aca="false">IF($C833="","",IF(AND($U833="Débito",$F833&lt;&gt;""),$F833,$E833))</f>
        <v/>
      </c>
      <c r="AB833" s="13" t="str">
        <f aca="false">IF(OR($C833="",$T833="Mixta",$AA833=""),"",IF($V833="Subyacente",IF($J833="","",$J833-$K833),IF($T833="Put",$AA833-$K833,$AA833+$K833)))</f>
        <v/>
      </c>
      <c r="AC833" s="14" t="str">
        <f aca="false">IF(OR($C833="",$T833="Mixta",$J833="",$AA833=""),"",IF($T833="Put",($J833-$AA833)/$J833,($AA833-$J833)/$J833))</f>
        <v/>
      </c>
      <c r="AD833" s="12" t="str">
        <f aca="false">IF($C833="","",IF($Q833&lt;&gt;"",$Q833,IF($V833="Strike",N($E833)*$H833*$I833,IF($V833="Subyacente",IF($J833="","",$J833*$H833*$I833),IF($V833="Ancho",IF($F833="","",ABS($E833-$F833)*$H833*$I833-$K833*$H833*$I833),IF($V833="Prima",$K833*$H833*$I833,""))))))</f>
        <v/>
      </c>
      <c r="AE833" s="12" t="str">
        <f aca="false">IF(OR($C833="",$M833="Abierta",$M833=""),"",(N($K833)-IF(OR($M833="Cerrada",$M833="Rolada"),N($O833),0))*$H833*$I833*IF($U833="Débito",-1,1)-N($L833)-N($P833))</f>
        <v/>
      </c>
      <c r="AF833" s="14" t="str">
        <f aca="false">IF(OR($AE833="",$AD833=""),"",IF($AD833&lt;=0,"",$AE833/$AD833))</f>
        <v/>
      </c>
      <c r="AG833" s="14" t="str">
        <f aca="false">IF($AF833="","",$AF833*365/MAX(N($X833),1))</f>
        <v/>
      </c>
      <c r="AH833" s="14" t="str">
        <f aca="false">IF(OR($C833="",$U833&lt;&gt;"Crédito",$AD833=""),"",IF($AD833&lt;=0,"",($Z833-N($L833))/$AD833))</f>
        <v/>
      </c>
      <c r="AI833" s="14" t="str">
        <f aca="false">IF(OR($AH833="",$W833=""),"",$AH833*365/MAX($W833,1))</f>
        <v/>
      </c>
      <c r="AJ833" s="14" t="str">
        <f aca="false">IF(OR($AE833="",$U833&lt;&gt;"Crédito",N($K833)=0),"",(N($K833)-IF(OR($M833="Cerrada",$M833="Rolada"),N($O833),0))/$K833)</f>
        <v/>
      </c>
      <c r="AK833" s="15" t="str">
        <f aca="false">IF(OR($C833="",$N833=""),"",DATE(YEAR($N833),MONTH($N833),1))</f>
        <v/>
      </c>
      <c r="AL833" s="11" t="str">
        <f aca="false">IF($C833="","",IF($M833="Abierta",0,1))</f>
        <v/>
      </c>
      <c r="AM833" s="16" t="str">
        <f aca="false">IF(OR($AE833="",$AD833=""),"",$AD833*MAX(N($X833),1))</f>
        <v/>
      </c>
      <c r="AN833" s="10" t="str">
        <f aca="false">IF($C833="","",IF(OR($B833="",$D833="",$H833="",$K833="",$M833=""),"Faltan datos obligatorios",IF($T833="","Estrategia no reconocida",IF(AND($M833&lt;&gt;"Abierta",$N833=""),"Falta fecha cierre",IF(AND(OR($M833="Cerrada",$M833="Rolada"),$O833=""),"Falta prima cierre",IF(AND($N833&lt;&gt;"",$N833&lt;$B833),"Cierre anterior a apertura",IF(AND($M833="Asignada",$R833=""),"Asignada: falta ID lote acciones",IF(AND($R833&lt;&gt;"",ISNA(MATCH($R833,Acciones!$A$2:$A$201,0))),"El ID lote no existe en Acciones",IF($AD833="","Revisa capital en riesgo","OK")))))))))</f>
        <v/>
      </c>
    </row>
    <row r="834" customFormat="false" ht="15" hidden="false" customHeight="true" outlineLevel="0" collapsed="false">
      <c r="A834" s="5"/>
      <c r="B834" s="6"/>
      <c r="C834" s="7"/>
      <c r="D834" s="7"/>
      <c r="E834" s="8"/>
      <c r="F834" s="8"/>
      <c r="G834" s="6"/>
      <c r="H834" s="5"/>
      <c r="I834" s="5" t="n">
        <v>100</v>
      </c>
      <c r="J834" s="8"/>
      <c r="K834" s="8"/>
      <c r="L834" s="9"/>
      <c r="M834" s="7"/>
      <c r="N834" s="6"/>
      <c r="O834" s="8"/>
      <c r="P834" s="9"/>
      <c r="Q834" s="9"/>
      <c r="R834" s="7"/>
      <c r="S834" s="7"/>
      <c r="T834" s="10" t="str">
        <f aca="false">IF($C834="","",IFERROR(INDEX(Listas!$B$2:$B$20,MATCH($D834,Listas!$A$2:$A$20,0)),""))</f>
        <v/>
      </c>
      <c r="U834" s="10" t="str">
        <f aca="false">IF($C834="","",IFERROR(INDEX(Listas!$C$2:$C$20,MATCH($D834,Listas!$A$2:$A$20,0)),""))</f>
        <v/>
      </c>
      <c r="V834" s="10" t="str">
        <f aca="false">IF($C834="","",IFERROR(INDEX(Listas!$D$2:$D$20,MATCH($D834,Listas!$A$2:$A$20,0)),""))</f>
        <v/>
      </c>
      <c r="W834" s="11" t="str">
        <f aca="false">IF(OR($C834="",$B834="",$G834=""),"",$G834-$B834)</f>
        <v/>
      </c>
      <c r="X834" s="11" t="str">
        <f aca="true">IF(OR($C834="",$B834=""),"",IF($N834&lt;&gt;"",$N834,TODAY())-$B834)</f>
        <v/>
      </c>
      <c r="Y834" s="11" t="str">
        <f aca="true">IF(OR($C834="",$M834&lt;&gt;"Abierta",$G834=""),"",MAX($G834-TODAY(),0))</f>
        <v/>
      </c>
      <c r="Z834" s="12" t="str">
        <f aca="false">IF($C834="","",N($K834)*N($H834)*N($I834)*IF($U834="Débito",-1,1))</f>
        <v/>
      </c>
      <c r="AA834" s="13" t="str">
        <f aca="false">IF($C834="","",IF(AND($U834="Débito",$F834&lt;&gt;""),$F834,$E834))</f>
        <v/>
      </c>
      <c r="AB834" s="13" t="str">
        <f aca="false">IF(OR($C834="",$T834="Mixta",$AA834=""),"",IF($V834="Subyacente",IF($J834="","",$J834-$K834),IF($T834="Put",$AA834-$K834,$AA834+$K834)))</f>
        <v/>
      </c>
      <c r="AC834" s="14" t="str">
        <f aca="false">IF(OR($C834="",$T834="Mixta",$J834="",$AA834=""),"",IF($T834="Put",($J834-$AA834)/$J834,($AA834-$J834)/$J834))</f>
        <v/>
      </c>
      <c r="AD834" s="12" t="str">
        <f aca="false">IF($C834="","",IF($Q834&lt;&gt;"",$Q834,IF($V834="Strike",N($E834)*$H834*$I834,IF($V834="Subyacente",IF($J834="","",$J834*$H834*$I834),IF($V834="Ancho",IF($F834="","",ABS($E834-$F834)*$H834*$I834-$K834*$H834*$I834),IF($V834="Prima",$K834*$H834*$I834,""))))))</f>
        <v/>
      </c>
      <c r="AE834" s="12" t="str">
        <f aca="false">IF(OR($C834="",$M834="Abierta",$M834=""),"",(N($K834)-IF(OR($M834="Cerrada",$M834="Rolada"),N($O834),0))*$H834*$I834*IF($U834="Débito",-1,1)-N($L834)-N($P834))</f>
        <v/>
      </c>
      <c r="AF834" s="14" t="str">
        <f aca="false">IF(OR($AE834="",$AD834=""),"",IF($AD834&lt;=0,"",$AE834/$AD834))</f>
        <v/>
      </c>
      <c r="AG834" s="14" t="str">
        <f aca="false">IF($AF834="","",$AF834*365/MAX(N($X834),1))</f>
        <v/>
      </c>
      <c r="AH834" s="14" t="str">
        <f aca="false">IF(OR($C834="",$U834&lt;&gt;"Crédito",$AD834=""),"",IF($AD834&lt;=0,"",($Z834-N($L834))/$AD834))</f>
        <v/>
      </c>
      <c r="AI834" s="14" t="str">
        <f aca="false">IF(OR($AH834="",$W834=""),"",$AH834*365/MAX($W834,1))</f>
        <v/>
      </c>
      <c r="AJ834" s="14" t="str">
        <f aca="false">IF(OR($AE834="",$U834&lt;&gt;"Crédito",N($K834)=0),"",(N($K834)-IF(OR($M834="Cerrada",$M834="Rolada"),N($O834),0))/$K834)</f>
        <v/>
      </c>
      <c r="AK834" s="15" t="str">
        <f aca="false">IF(OR($C834="",$N834=""),"",DATE(YEAR($N834),MONTH($N834),1))</f>
        <v/>
      </c>
      <c r="AL834" s="11" t="str">
        <f aca="false">IF($C834="","",IF($M834="Abierta",0,1))</f>
        <v/>
      </c>
      <c r="AM834" s="16" t="str">
        <f aca="false">IF(OR($AE834="",$AD834=""),"",$AD834*MAX(N($X834),1))</f>
        <v/>
      </c>
      <c r="AN834" s="10" t="str">
        <f aca="false">IF($C834="","",IF(OR($B834="",$D834="",$H834="",$K834="",$M834=""),"Faltan datos obligatorios",IF($T834="","Estrategia no reconocida",IF(AND($M834&lt;&gt;"Abierta",$N834=""),"Falta fecha cierre",IF(AND(OR($M834="Cerrada",$M834="Rolada"),$O834=""),"Falta prima cierre",IF(AND($N834&lt;&gt;"",$N834&lt;$B834),"Cierre anterior a apertura",IF(AND($M834="Asignada",$R834=""),"Asignada: falta ID lote acciones",IF(AND($R834&lt;&gt;"",ISNA(MATCH($R834,Acciones!$A$2:$A$201,0))),"El ID lote no existe en Acciones",IF($AD834="","Revisa capital en riesgo","OK")))))))))</f>
        <v/>
      </c>
    </row>
    <row r="835" customFormat="false" ht="15" hidden="false" customHeight="true" outlineLevel="0" collapsed="false">
      <c r="A835" s="5"/>
      <c r="B835" s="6"/>
      <c r="C835" s="7"/>
      <c r="D835" s="7"/>
      <c r="E835" s="8"/>
      <c r="F835" s="8"/>
      <c r="G835" s="6"/>
      <c r="H835" s="5"/>
      <c r="I835" s="5" t="n">
        <v>100</v>
      </c>
      <c r="J835" s="8"/>
      <c r="K835" s="8"/>
      <c r="L835" s="9"/>
      <c r="M835" s="7"/>
      <c r="N835" s="6"/>
      <c r="O835" s="8"/>
      <c r="P835" s="9"/>
      <c r="Q835" s="9"/>
      <c r="R835" s="7"/>
      <c r="S835" s="7"/>
      <c r="T835" s="10" t="str">
        <f aca="false">IF($C835="","",IFERROR(INDEX(Listas!$B$2:$B$20,MATCH($D835,Listas!$A$2:$A$20,0)),""))</f>
        <v/>
      </c>
      <c r="U835" s="10" t="str">
        <f aca="false">IF($C835="","",IFERROR(INDEX(Listas!$C$2:$C$20,MATCH($D835,Listas!$A$2:$A$20,0)),""))</f>
        <v/>
      </c>
      <c r="V835" s="10" t="str">
        <f aca="false">IF($C835="","",IFERROR(INDEX(Listas!$D$2:$D$20,MATCH($D835,Listas!$A$2:$A$20,0)),""))</f>
        <v/>
      </c>
      <c r="W835" s="11" t="str">
        <f aca="false">IF(OR($C835="",$B835="",$G835=""),"",$G835-$B835)</f>
        <v/>
      </c>
      <c r="X835" s="11" t="str">
        <f aca="true">IF(OR($C835="",$B835=""),"",IF($N835&lt;&gt;"",$N835,TODAY())-$B835)</f>
        <v/>
      </c>
      <c r="Y835" s="11" t="str">
        <f aca="true">IF(OR($C835="",$M835&lt;&gt;"Abierta",$G835=""),"",MAX($G835-TODAY(),0))</f>
        <v/>
      </c>
      <c r="Z835" s="12" t="str">
        <f aca="false">IF($C835="","",N($K835)*N($H835)*N($I835)*IF($U835="Débito",-1,1))</f>
        <v/>
      </c>
      <c r="AA835" s="13" t="str">
        <f aca="false">IF($C835="","",IF(AND($U835="Débito",$F835&lt;&gt;""),$F835,$E835))</f>
        <v/>
      </c>
      <c r="AB835" s="13" t="str">
        <f aca="false">IF(OR($C835="",$T835="Mixta",$AA835=""),"",IF($V835="Subyacente",IF($J835="","",$J835-$K835),IF($T835="Put",$AA835-$K835,$AA835+$K835)))</f>
        <v/>
      </c>
      <c r="AC835" s="14" t="str">
        <f aca="false">IF(OR($C835="",$T835="Mixta",$J835="",$AA835=""),"",IF($T835="Put",($J835-$AA835)/$J835,($AA835-$J835)/$J835))</f>
        <v/>
      </c>
      <c r="AD835" s="12" t="str">
        <f aca="false">IF($C835="","",IF($Q835&lt;&gt;"",$Q835,IF($V835="Strike",N($E835)*$H835*$I835,IF($V835="Subyacente",IF($J835="","",$J835*$H835*$I835),IF($V835="Ancho",IF($F835="","",ABS($E835-$F835)*$H835*$I835-$K835*$H835*$I835),IF($V835="Prima",$K835*$H835*$I835,""))))))</f>
        <v/>
      </c>
      <c r="AE835" s="12" t="str">
        <f aca="false">IF(OR($C835="",$M835="Abierta",$M835=""),"",(N($K835)-IF(OR($M835="Cerrada",$M835="Rolada"),N($O835),0))*$H835*$I835*IF($U835="Débito",-1,1)-N($L835)-N($P835))</f>
        <v/>
      </c>
      <c r="AF835" s="14" t="str">
        <f aca="false">IF(OR($AE835="",$AD835=""),"",IF($AD835&lt;=0,"",$AE835/$AD835))</f>
        <v/>
      </c>
      <c r="AG835" s="14" t="str">
        <f aca="false">IF($AF835="","",$AF835*365/MAX(N($X835),1))</f>
        <v/>
      </c>
      <c r="AH835" s="14" t="str">
        <f aca="false">IF(OR($C835="",$U835&lt;&gt;"Crédito",$AD835=""),"",IF($AD835&lt;=0,"",($Z835-N($L835))/$AD835))</f>
        <v/>
      </c>
      <c r="AI835" s="14" t="str">
        <f aca="false">IF(OR($AH835="",$W835=""),"",$AH835*365/MAX($W835,1))</f>
        <v/>
      </c>
      <c r="AJ835" s="14" t="str">
        <f aca="false">IF(OR($AE835="",$U835&lt;&gt;"Crédito",N($K835)=0),"",(N($K835)-IF(OR($M835="Cerrada",$M835="Rolada"),N($O835),0))/$K835)</f>
        <v/>
      </c>
      <c r="AK835" s="15" t="str">
        <f aca="false">IF(OR($C835="",$N835=""),"",DATE(YEAR($N835),MONTH($N835),1))</f>
        <v/>
      </c>
      <c r="AL835" s="11" t="str">
        <f aca="false">IF($C835="","",IF($M835="Abierta",0,1))</f>
        <v/>
      </c>
      <c r="AM835" s="16" t="str">
        <f aca="false">IF(OR($AE835="",$AD835=""),"",$AD835*MAX(N($X835),1))</f>
        <v/>
      </c>
      <c r="AN835" s="10" t="str">
        <f aca="false">IF($C835="","",IF(OR($B835="",$D835="",$H835="",$K835="",$M835=""),"Faltan datos obligatorios",IF($T835="","Estrategia no reconocida",IF(AND($M835&lt;&gt;"Abierta",$N835=""),"Falta fecha cierre",IF(AND(OR($M835="Cerrada",$M835="Rolada"),$O835=""),"Falta prima cierre",IF(AND($N835&lt;&gt;"",$N835&lt;$B835),"Cierre anterior a apertura",IF(AND($M835="Asignada",$R835=""),"Asignada: falta ID lote acciones",IF(AND($R835&lt;&gt;"",ISNA(MATCH($R835,Acciones!$A$2:$A$201,0))),"El ID lote no existe en Acciones",IF($AD835="","Revisa capital en riesgo","OK")))))))))</f>
        <v/>
      </c>
    </row>
    <row r="836" customFormat="false" ht="15" hidden="false" customHeight="true" outlineLevel="0" collapsed="false">
      <c r="A836" s="5"/>
      <c r="B836" s="6"/>
      <c r="C836" s="7"/>
      <c r="D836" s="7"/>
      <c r="E836" s="8"/>
      <c r="F836" s="8"/>
      <c r="G836" s="6"/>
      <c r="H836" s="5"/>
      <c r="I836" s="5" t="n">
        <v>100</v>
      </c>
      <c r="J836" s="8"/>
      <c r="K836" s="8"/>
      <c r="L836" s="9"/>
      <c r="M836" s="7"/>
      <c r="N836" s="6"/>
      <c r="O836" s="8"/>
      <c r="P836" s="9"/>
      <c r="Q836" s="9"/>
      <c r="R836" s="7"/>
      <c r="S836" s="7"/>
      <c r="T836" s="10" t="str">
        <f aca="false">IF($C836="","",IFERROR(INDEX(Listas!$B$2:$B$20,MATCH($D836,Listas!$A$2:$A$20,0)),""))</f>
        <v/>
      </c>
      <c r="U836" s="10" t="str">
        <f aca="false">IF($C836="","",IFERROR(INDEX(Listas!$C$2:$C$20,MATCH($D836,Listas!$A$2:$A$20,0)),""))</f>
        <v/>
      </c>
      <c r="V836" s="10" t="str">
        <f aca="false">IF($C836="","",IFERROR(INDEX(Listas!$D$2:$D$20,MATCH($D836,Listas!$A$2:$A$20,0)),""))</f>
        <v/>
      </c>
      <c r="W836" s="11" t="str">
        <f aca="false">IF(OR($C836="",$B836="",$G836=""),"",$G836-$B836)</f>
        <v/>
      </c>
      <c r="X836" s="11" t="str">
        <f aca="true">IF(OR($C836="",$B836=""),"",IF($N836&lt;&gt;"",$N836,TODAY())-$B836)</f>
        <v/>
      </c>
      <c r="Y836" s="11" t="str">
        <f aca="true">IF(OR($C836="",$M836&lt;&gt;"Abierta",$G836=""),"",MAX($G836-TODAY(),0))</f>
        <v/>
      </c>
      <c r="Z836" s="12" t="str">
        <f aca="false">IF($C836="","",N($K836)*N($H836)*N($I836)*IF($U836="Débito",-1,1))</f>
        <v/>
      </c>
      <c r="AA836" s="13" t="str">
        <f aca="false">IF($C836="","",IF(AND($U836="Débito",$F836&lt;&gt;""),$F836,$E836))</f>
        <v/>
      </c>
      <c r="AB836" s="13" t="str">
        <f aca="false">IF(OR($C836="",$T836="Mixta",$AA836=""),"",IF($V836="Subyacente",IF($J836="","",$J836-$K836),IF($T836="Put",$AA836-$K836,$AA836+$K836)))</f>
        <v/>
      </c>
      <c r="AC836" s="14" t="str">
        <f aca="false">IF(OR($C836="",$T836="Mixta",$J836="",$AA836=""),"",IF($T836="Put",($J836-$AA836)/$J836,($AA836-$J836)/$J836))</f>
        <v/>
      </c>
      <c r="AD836" s="12" t="str">
        <f aca="false">IF($C836="","",IF($Q836&lt;&gt;"",$Q836,IF($V836="Strike",N($E836)*$H836*$I836,IF($V836="Subyacente",IF($J836="","",$J836*$H836*$I836),IF($V836="Ancho",IF($F836="","",ABS($E836-$F836)*$H836*$I836-$K836*$H836*$I836),IF($V836="Prima",$K836*$H836*$I836,""))))))</f>
        <v/>
      </c>
      <c r="AE836" s="12" t="str">
        <f aca="false">IF(OR($C836="",$M836="Abierta",$M836=""),"",(N($K836)-IF(OR($M836="Cerrada",$M836="Rolada"),N($O836),0))*$H836*$I836*IF($U836="Débito",-1,1)-N($L836)-N($P836))</f>
        <v/>
      </c>
      <c r="AF836" s="14" t="str">
        <f aca="false">IF(OR($AE836="",$AD836=""),"",IF($AD836&lt;=0,"",$AE836/$AD836))</f>
        <v/>
      </c>
      <c r="AG836" s="14" t="str">
        <f aca="false">IF($AF836="","",$AF836*365/MAX(N($X836),1))</f>
        <v/>
      </c>
      <c r="AH836" s="14" t="str">
        <f aca="false">IF(OR($C836="",$U836&lt;&gt;"Crédito",$AD836=""),"",IF($AD836&lt;=0,"",($Z836-N($L836))/$AD836))</f>
        <v/>
      </c>
      <c r="AI836" s="14" t="str">
        <f aca="false">IF(OR($AH836="",$W836=""),"",$AH836*365/MAX($W836,1))</f>
        <v/>
      </c>
      <c r="AJ836" s="14" t="str">
        <f aca="false">IF(OR($AE836="",$U836&lt;&gt;"Crédito",N($K836)=0),"",(N($K836)-IF(OR($M836="Cerrada",$M836="Rolada"),N($O836),0))/$K836)</f>
        <v/>
      </c>
      <c r="AK836" s="15" t="str">
        <f aca="false">IF(OR($C836="",$N836=""),"",DATE(YEAR($N836),MONTH($N836),1))</f>
        <v/>
      </c>
      <c r="AL836" s="11" t="str">
        <f aca="false">IF($C836="","",IF($M836="Abierta",0,1))</f>
        <v/>
      </c>
      <c r="AM836" s="16" t="str">
        <f aca="false">IF(OR($AE836="",$AD836=""),"",$AD836*MAX(N($X836),1))</f>
        <v/>
      </c>
      <c r="AN836" s="10" t="str">
        <f aca="false">IF($C836="","",IF(OR($B836="",$D836="",$H836="",$K836="",$M836=""),"Faltan datos obligatorios",IF($T836="","Estrategia no reconocida",IF(AND($M836&lt;&gt;"Abierta",$N836=""),"Falta fecha cierre",IF(AND(OR($M836="Cerrada",$M836="Rolada"),$O836=""),"Falta prima cierre",IF(AND($N836&lt;&gt;"",$N836&lt;$B836),"Cierre anterior a apertura",IF(AND($M836="Asignada",$R836=""),"Asignada: falta ID lote acciones",IF(AND($R836&lt;&gt;"",ISNA(MATCH($R836,Acciones!$A$2:$A$201,0))),"El ID lote no existe en Acciones",IF($AD836="","Revisa capital en riesgo","OK")))))))))</f>
        <v/>
      </c>
    </row>
    <row r="837" customFormat="false" ht="15" hidden="false" customHeight="true" outlineLevel="0" collapsed="false">
      <c r="A837" s="5"/>
      <c r="B837" s="6"/>
      <c r="C837" s="7"/>
      <c r="D837" s="7"/>
      <c r="E837" s="8"/>
      <c r="F837" s="8"/>
      <c r="G837" s="6"/>
      <c r="H837" s="5"/>
      <c r="I837" s="5" t="n">
        <v>100</v>
      </c>
      <c r="J837" s="8"/>
      <c r="K837" s="8"/>
      <c r="L837" s="9"/>
      <c r="M837" s="7"/>
      <c r="N837" s="6"/>
      <c r="O837" s="8"/>
      <c r="P837" s="9"/>
      <c r="Q837" s="9"/>
      <c r="R837" s="7"/>
      <c r="S837" s="7"/>
      <c r="T837" s="10" t="str">
        <f aca="false">IF($C837="","",IFERROR(INDEX(Listas!$B$2:$B$20,MATCH($D837,Listas!$A$2:$A$20,0)),""))</f>
        <v/>
      </c>
      <c r="U837" s="10" t="str">
        <f aca="false">IF($C837="","",IFERROR(INDEX(Listas!$C$2:$C$20,MATCH($D837,Listas!$A$2:$A$20,0)),""))</f>
        <v/>
      </c>
      <c r="V837" s="10" t="str">
        <f aca="false">IF($C837="","",IFERROR(INDEX(Listas!$D$2:$D$20,MATCH($D837,Listas!$A$2:$A$20,0)),""))</f>
        <v/>
      </c>
      <c r="W837" s="11" t="str">
        <f aca="false">IF(OR($C837="",$B837="",$G837=""),"",$G837-$B837)</f>
        <v/>
      </c>
      <c r="X837" s="11" t="str">
        <f aca="true">IF(OR($C837="",$B837=""),"",IF($N837&lt;&gt;"",$N837,TODAY())-$B837)</f>
        <v/>
      </c>
      <c r="Y837" s="11" t="str">
        <f aca="true">IF(OR($C837="",$M837&lt;&gt;"Abierta",$G837=""),"",MAX($G837-TODAY(),0))</f>
        <v/>
      </c>
      <c r="Z837" s="12" t="str">
        <f aca="false">IF($C837="","",N($K837)*N($H837)*N($I837)*IF($U837="Débito",-1,1))</f>
        <v/>
      </c>
      <c r="AA837" s="13" t="str">
        <f aca="false">IF($C837="","",IF(AND($U837="Débito",$F837&lt;&gt;""),$F837,$E837))</f>
        <v/>
      </c>
      <c r="AB837" s="13" t="str">
        <f aca="false">IF(OR($C837="",$T837="Mixta",$AA837=""),"",IF($V837="Subyacente",IF($J837="","",$J837-$K837),IF($T837="Put",$AA837-$K837,$AA837+$K837)))</f>
        <v/>
      </c>
      <c r="AC837" s="14" t="str">
        <f aca="false">IF(OR($C837="",$T837="Mixta",$J837="",$AA837=""),"",IF($T837="Put",($J837-$AA837)/$J837,($AA837-$J837)/$J837))</f>
        <v/>
      </c>
      <c r="AD837" s="12" t="str">
        <f aca="false">IF($C837="","",IF($Q837&lt;&gt;"",$Q837,IF($V837="Strike",N($E837)*$H837*$I837,IF($V837="Subyacente",IF($J837="","",$J837*$H837*$I837),IF($V837="Ancho",IF($F837="","",ABS($E837-$F837)*$H837*$I837-$K837*$H837*$I837),IF($V837="Prima",$K837*$H837*$I837,""))))))</f>
        <v/>
      </c>
      <c r="AE837" s="12" t="str">
        <f aca="false">IF(OR($C837="",$M837="Abierta",$M837=""),"",(N($K837)-IF(OR($M837="Cerrada",$M837="Rolada"),N($O837),0))*$H837*$I837*IF($U837="Débito",-1,1)-N($L837)-N($P837))</f>
        <v/>
      </c>
      <c r="AF837" s="14" t="str">
        <f aca="false">IF(OR($AE837="",$AD837=""),"",IF($AD837&lt;=0,"",$AE837/$AD837))</f>
        <v/>
      </c>
      <c r="AG837" s="14" t="str">
        <f aca="false">IF($AF837="","",$AF837*365/MAX(N($X837),1))</f>
        <v/>
      </c>
      <c r="AH837" s="14" t="str">
        <f aca="false">IF(OR($C837="",$U837&lt;&gt;"Crédito",$AD837=""),"",IF($AD837&lt;=0,"",($Z837-N($L837))/$AD837))</f>
        <v/>
      </c>
      <c r="AI837" s="14" t="str">
        <f aca="false">IF(OR($AH837="",$W837=""),"",$AH837*365/MAX($W837,1))</f>
        <v/>
      </c>
      <c r="AJ837" s="14" t="str">
        <f aca="false">IF(OR($AE837="",$U837&lt;&gt;"Crédito",N($K837)=0),"",(N($K837)-IF(OR($M837="Cerrada",$M837="Rolada"),N($O837),0))/$K837)</f>
        <v/>
      </c>
      <c r="AK837" s="15" t="str">
        <f aca="false">IF(OR($C837="",$N837=""),"",DATE(YEAR($N837),MONTH($N837),1))</f>
        <v/>
      </c>
      <c r="AL837" s="11" t="str">
        <f aca="false">IF($C837="","",IF($M837="Abierta",0,1))</f>
        <v/>
      </c>
      <c r="AM837" s="16" t="str">
        <f aca="false">IF(OR($AE837="",$AD837=""),"",$AD837*MAX(N($X837),1))</f>
        <v/>
      </c>
      <c r="AN837" s="10" t="str">
        <f aca="false">IF($C837="","",IF(OR($B837="",$D837="",$H837="",$K837="",$M837=""),"Faltan datos obligatorios",IF($T837="","Estrategia no reconocida",IF(AND($M837&lt;&gt;"Abierta",$N837=""),"Falta fecha cierre",IF(AND(OR($M837="Cerrada",$M837="Rolada"),$O837=""),"Falta prima cierre",IF(AND($N837&lt;&gt;"",$N837&lt;$B837),"Cierre anterior a apertura",IF(AND($M837="Asignada",$R837=""),"Asignada: falta ID lote acciones",IF(AND($R837&lt;&gt;"",ISNA(MATCH($R837,Acciones!$A$2:$A$201,0))),"El ID lote no existe en Acciones",IF($AD837="","Revisa capital en riesgo","OK")))))))))</f>
        <v/>
      </c>
    </row>
    <row r="838" customFormat="false" ht="15" hidden="false" customHeight="true" outlineLevel="0" collapsed="false">
      <c r="A838" s="5"/>
      <c r="B838" s="6"/>
      <c r="C838" s="7"/>
      <c r="D838" s="7"/>
      <c r="E838" s="8"/>
      <c r="F838" s="8"/>
      <c r="G838" s="6"/>
      <c r="H838" s="5"/>
      <c r="I838" s="5" t="n">
        <v>100</v>
      </c>
      <c r="J838" s="8"/>
      <c r="K838" s="8"/>
      <c r="L838" s="9"/>
      <c r="M838" s="7"/>
      <c r="N838" s="6"/>
      <c r="O838" s="8"/>
      <c r="P838" s="9"/>
      <c r="Q838" s="9"/>
      <c r="R838" s="7"/>
      <c r="S838" s="7"/>
      <c r="T838" s="10" t="str">
        <f aca="false">IF($C838="","",IFERROR(INDEX(Listas!$B$2:$B$20,MATCH($D838,Listas!$A$2:$A$20,0)),""))</f>
        <v/>
      </c>
      <c r="U838" s="10" t="str">
        <f aca="false">IF($C838="","",IFERROR(INDEX(Listas!$C$2:$C$20,MATCH($D838,Listas!$A$2:$A$20,0)),""))</f>
        <v/>
      </c>
      <c r="V838" s="10" t="str">
        <f aca="false">IF($C838="","",IFERROR(INDEX(Listas!$D$2:$D$20,MATCH($D838,Listas!$A$2:$A$20,0)),""))</f>
        <v/>
      </c>
      <c r="W838" s="11" t="str">
        <f aca="false">IF(OR($C838="",$B838="",$G838=""),"",$G838-$B838)</f>
        <v/>
      </c>
      <c r="X838" s="11" t="str">
        <f aca="true">IF(OR($C838="",$B838=""),"",IF($N838&lt;&gt;"",$N838,TODAY())-$B838)</f>
        <v/>
      </c>
      <c r="Y838" s="11" t="str">
        <f aca="true">IF(OR($C838="",$M838&lt;&gt;"Abierta",$G838=""),"",MAX($G838-TODAY(),0))</f>
        <v/>
      </c>
      <c r="Z838" s="12" t="str">
        <f aca="false">IF($C838="","",N($K838)*N($H838)*N($I838)*IF($U838="Débito",-1,1))</f>
        <v/>
      </c>
      <c r="AA838" s="13" t="str">
        <f aca="false">IF($C838="","",IF(AND($U838="Débito",$F838&lt;&gt;""),$F838,$E838))</f>
        <v/>
      </c>
      <c r="AB838" s="13" t="str">
        <f aca="false">IF(OR($C838="",$T838="Mixta",$AA838=""),"",IF($V838="Subyacente",IF($J838="","",$J838-$K838),IF($T838="Put",$AA838-$K838,$AA838+$K838)))</f>
        <v/>
      </c>
      <c r="AC838" s="14" t="str">
        <f aca="false">IF(OR($C838="",$T838="Mixta",$J838="",$AA838=""),"",IF($T838="Put",($J838-$AA838)/$J838,($AA838-$J838)/$J838))</f>
        <v/>
      </c>
      <c r="AD838" s="12" t="str">
        <f aca="false">IF($C838="","",IF($Q838&lt;&gt;"",$Q838,IF($V838="Strike",N($E838)*$H838*$I838,IF($V838="Subyacente",IF($J838="","",$J838*$H838*$I838),IF($V838="Ancho",IF($F838="","",ABS($E838-$F838)*$H838*$I838-$K838*$H838*$I838),IF($V838="Prima",$K838*$H838*$I838,""))))))</f>
        <v/>
      </c>
      <c r="AE838" s="12" t="str">
        <f aca="false">IF(OR($C838="",$M838="Abierta",$M838=""),"",(N($K838)-IF(OR($M838="Cerrada",$M838="Rolada"),N($O838),0))*$H838*$I838*IF($U838="Débito",-1,1)-N($L838)-N($P838))</f>
        <v/>
      </c>
      <c r="AF838" s="14" t="str">
        <f aca="false">IF(OR($AE838="",$AD838=""),"",IF($AD838&lt;=0,"",$AE838/$AD838))</f>
        <v/>
      </c>
      <c r="AG838" s="14" t="str">
        <f aca="false">IF($AF838="","",$AF838*365/MAX(N($X838),1))</f>
        <v/>
      </c>
      <c r="AH838" s="14" t="str">
        <f aca="false">IF(OR($C838="",$U838&lt;&gt;"Crédito",$AD838=""),"",IF($AD838&lt;=0,"",($Z838-N($L838))/$AD838))</f>
        <v/>
      </c>
      <c r="AI838" s="14" t="str">
        <f aca="false">IF(OR($AH838="",$W838=""),"",$AH838*365/MAX($W838,1))</f>
        <v/>
      </c>
      <c r="AJ838" s="14" t="str">
        <f aca="false">IF(OR($AE838="",$U838&lt;&gt;"Crédito",N($K838)=0),"",(N($K838)-IF(OR($M838="Cerrada",$M838="Rolada"),N($O838),0))/$K838)</f>
        <v/>
      </c>
      <c r="AK838" s="15" t="str">
        <f aca="false">IF(OR($C838="",$N838=""),"",DATE(YEAR($N838),MONTH($N838),1))</f>
        <v/>
      </c>
      <c r="AL838" s="11" t="str">
        <f aca="false">IF($C838="","",IF($M838="Abierta",0,1))</f>
        <v/>
      </c>
      <c r="AM838" s="16" t="str">
        <f aca="false">IF(OR($AE838="",$AD838=""),"",$AD838*MAX(N($X838),1))</f>
        <v/>
      </c>
      <c r="AN838" s="10" t="str">
        <f aca="false">IF($C838="","",IF(OR($B838="",$D838="",$H838="",$K838="",$M838=""),"Faltan datos obligatorios",IF($T838="","Estrategia no reconocida",IF(AND($M838&lt;&gt;"Abierta",$N838=""),"Falta fecha cierre",IF(AND(OR($M838="Cerrada",$M838="Rolada"),$O838=""),"Falta prima cierre",IF(AND($N838&lt;&gt;"",$N838&lt;$B838),"Cierre anterior a apertura",IF(AND($M838="Asignada",$R838=""),"Asignada: falta ID lote acciones",IF(AND($R838&lt;&gt;"",ISNA(MATCH($R838,Acciones!$A$2:$A$201,0))),"El ID lote no existe en Acciones",IF($AD838="","Revisa capital en riesgo","OK")))))))))</f>
        <v/>
      </c>
    </row>
    <row r="839" customFormat="false" ht="15" hidden="false" customHeight="true" outlineLevel="0" collapsed="false">
      <c r="A839" s="5"/>
      <c r="B839" s="6"/>
      <c r="C839" s="7"/>
      <c r="D839" s="7"/>
      <c r="E839" s="8"/>
      <c r="F839" s="8"/>
      <c r="G839" s="6"/>
      <c r="H839" s="5"/>
      <c r="I839" s="5" t="n">
        <v>100</v>
      </c>
      <c r="J839" s="8"/>
      <c r="K839" s="8"/>
      <c r="L839" s="9"/>
      <c r="M839" s="7"/>
      <c r="N839" s="6"/>
      <c r="O839" s="8"/>
      <c r="P839" s="9"/>
      <c r="Q839" s="9"/>
      <c r="R839" s="7"/>
      <c r="S839" s="7"/>
      <c r="T839" s="10" t="str">
        <f aca="false">IF($C839="","",IFERROR(INDEX(Listas!$B$2:$B$20,MATCH($D839,Listas!$A$2:$A$20,0)),""))</f>
        <v/>
      </c>
      <c r="U839" s="10" t="str">
        <f aca="false">IF($C839="","",IFERROR(INDEX(Listas!$C$2:$C$20,MATCH($D839,Listas!$A$2:$A$20,0)),""))</f>
        <v/>
      </c>
      <c r="V839" s="10" t="str">
        <f aca="false">IF($C839="","",IFERROR(INDEX(Listas!$D$2:$D$20,MATCH($D839,Listas!$A$2:$A$20,0)),""))</f>
        <v/>
      </c>
      <c r="W839" s="11" t="str">
        <f aca="false">IF(OR($C839="",$B839="",$G839=""),"",$G839-$B839)</f>
        <v/>
      </c>
      <c r="X839" s="11" t="str">
        <f aca="true">IF(OR($C839="",$B839=""),"",IF($N839&lt;&gt;"",$N839,TODAY())-$B839)</f>
        <v/>
      </c>
      <c r="Y839" s="11" t="str">
        <f aca="true">IF(OR($C839="",$M839&lt;&gt;"Abierta",$G839=""),"",MAX($G839-TODAY(),0))</f>
        <v/>
      </c>
      <c r="Z839" s="12" t="str">
        <f aca="false">IF($C839="","",N($K839)*N($H839)*N($I839)*IF($U839="Débito",-1,1))</f>
        <v/>
      </c>
      <c r="AA839" s="13" t="str">
        <f aca="false">IF($C839="","",IF(AND($U839="Débito",$F839&lt;&gt;""),$F839,$E839))</f>
        <v/>
      </c>
      <c r="AB839" s="13" t="str">
        <f aca="false">IF(OR($C839="",$T839="Mixta",$AA839=""),"",IF($V839="Subyacente",IF($J839="","",$J839-$K839),IF($T839="Put",$AA839-$K839,$AA839+$K839)))</f>
        <v/>
      </c>
      <c r="AC839" s="14" t="str">
        <f aca="false">IF(OR($C839="",$T839="Mixta",$J839="",$AA839=""),"",IF($T839="Put",($J839-$AA839)/$J839,($AA839-$J839)/$J839))</f>
        <v/>
      </c>
      <c r="AD839" s="12" t="str">
        <f aca="false">IF($C839="","",IF($Q839&lt;&gt;"",$Q839,IF($V839="Strike",N($E839)*$H839*$I839,IF($V839="Subyacente",IF($J839="","",$J839*$H839*$I839),IF($V839="Ancho",IF($F839="","",ABS($E839-$F839)*$H839*$I839-$K839*$H839*$I839),IF($V839="Prima",$K839*$H839*$I839,""))))))</f>
        <v/>
      </c>
      <c r="AE839" s="12" t="str">
        <f aca="false">IF(OR($C839="",$M839="Abierta",$M839=""),"",(N($K839)-IF(OR($M839="Cerrada",$M839="Rolada"),N($O839),0))*$H839*$I839*IF($U839="Débito",-1,1)-N($L839)-N($P839))</f>
        <v/>
      </c>
      <c r="AF839" s="14" t="str">
        <f aca="false">IF(OR($AE839="",$AD839=""),"",IF($AD839&lt;=0,"",$AE839/$AD839))</f>
        <v/>
      </c>
      <c r="AG839" s="14" t="str">
        <f aca="false">IF($AF839="","",$AF839*365/MAX(N($X839),1))</f>
        <v/>
      </c>
      <c r="AH839" s="14" t="str">
        <f aca="false">IF(OR($C839="",$U839&lt;&gt;"Crédito",$AD839=""),"",IF($AD839&lt;=0,"",($Z839-N($L839))/$AD839))</f>
        <v/>
      </c>
      <c r="AI839" s="14" t="str">
        <f aca="false">IF(OR($AH839="",$W839=""),"",$AH839*365/MAX($W839,1))</f>
        <v/>
      </c>
      <c r="AJ839" s="14" t="str">
        <f aca="false">IF(OR($AE839="",$U839&lt;&gt;"Crédito",N($K839)=0),"",(N($K839)-IF(OR($M839="Cerrada",$M839="Rolada"),N($O839),0))/$K839)</f>
        <v/>
      </c>
      <c r="AK839" s="15" t="str">
        <f aca="false">IF(OR($C839="",$N839=""),"",DATE(YEAR($N839),MONTH($N839),1))</f>
        <v/>
      </c>
      <c r="AL839" s="11" t="str">
        <f aca="false">IF($C839="","",IF($M839="Abierta",0,1))</f>
        <v/>
      </c>
      <c r="AM839" s="16" t="str">
        <f aca="false">IF(OR($AE839="",$AD839=""),"",$AD839*MAX(N($X839),1))</f>
        <v/>
      </c>
      <c r="AN839" s="10" t="str">
        <f aca="false">IF($C839="","",IF(OR($B839="",$D839="",$H839="",$K839="",$M839=""),"Faltan datos obligatorios",IF($T839="","Estrategia no reconocida",IF(AND($M839&lt;&gt;"Abierta",$N839=""),"Falta fecha cierre",IF(AND(OR($M839="Cerrada",$M839="Rolada"),$O839=""),"Falta prima cierre",IF(AND($N839&lt;&gt;"",$N839&lt;$B839),"Cierre anterior a apertura",IF(AND($M839="Asignada",$R839=""),"Asignada: falta ID lote acciones",IF(AND($R839&lt;&gt;"",ISNA(MATCH($R839,Acciones!$A$2:$A$201,0))),"El ID lote no existe en Acciones",IF($AD839="","Revisa capital en riesgo","OK")))))))))</f>
        <v/>
      </c>
    </row>
    <row r="840" customFormat="false" ht="15" hidden="false" customHeight="true" outlineLevel="0" collapsed="false">
      <c r="A840" s="5"/>
      <c r="B840" s="6"/>
      <c r="C840" s="7"/>
      <c r="D840" s="7"/>
      <c r="E840" s="8"/>
      <c r="F840" s="8"/>
      <c r="G840" s="6"/>
      <c r="H840" s="5"/>
      <c r="I840" s="5" t="n">
        <v>100</v>
      </c>
      <c r="J840" s="8"/>
      <c r="K840" s="8"/>
      <c r="L840" s="9"/>
      <c r="M840" s="7"/>
      <c r="N840" s="6"/>
      <c r="O840" s="8"/>
      <c r="P840" s="9"/>
      <c r="Q840" s="9"/>
      <c r="R840" s="7"/>
      <c r="S840" s="7"/>
      <c r="T840" s="10" t="str">
        <f aca="false">IF($C840="","",IFERROR(INDEX(Listas!$B$2:$B$20,MATCH($D840,Listas!$A$2:$A$20,0)),""))</f>
        <v/>
      </c>
      <c r="U840" s="10" t="str">
        <f aca="false">IF($C840="","",IFERROR(INDEX(Listas!$C$2:$C$20,MATCH($D840,Listas!$A$2:$A$20,0)),""))</f>
        <v/>
      </c>
      <c r="V840" s="10" t="str">
        <f aca="false">IF($C840="","",IFERROR(INDEX(Listas!$D$2:$D$20,MATCH($D840,Listas!$A$2:$A$20,0)),""))</f>
        <v/>
      </c>
      <c r="W840" s="11" t="str">
        <f aca="false">IF(OR($C840="",$B840="",$G840=""),"",$G840-$B840)</f>
        <v/>
      </c>
      <c r="X840" s="11" t="str">
        <f aca="true">IF(OR($C840="",$B840=""),"",IF($N840&lt;&gt;"",$N840,TODAY())-$B840)</f>
        <v/>
      </c>
      <c r="Y840" s="11" t="str">
        <f aca="true">IF(OR($C840="",$M840&lt;&gt;"Abierta",$G840=""),"",MAX($G840-TODAY(),0))</f>
        <v/>
      </c>
      <c r="Z840" s="12" t="str">
        <f aca="false">IF($C840="","",N($K840)*N($H840)*N($I840)*IF($U840="Débito",-1,1))</f>
        <v/>
      </c>
      <c r="AA840" s="13" t="str">
        <f aca="false">IF($C840="","",IF(AND($U840="Débito",$F840&lt;&gt;""),$F840,$E840))</f>
        <v/>
      </c>
      <c r="AB840" s="13" t="str">
        <f aca="false">IF(OR($C840="",$T840="Mixta",$AA840=""),"",IF($V840="Subyacente",IF($J840="","",$J840-$K840),IF($T840="Put",$AA840-$K840,$AA840+$K840)))</f>
        <v/>
      </c>
      <c r="AC840" s="14" t="str">
        <f aca="false">IF(OR($C840="",$T840="Mixta",$J840="",$AA840=""),"",IF($T840="Put",($J840-$AA840)/$J840,($AA840-$J840)/$J840))</f>
        <v/>
      </c>
      <c r="AD840" s="12" t="str">
        <f aca="false">IF($C840="","",IF($Q840&lt;&gt;"",$Q840,IF($V840="Strike",N($E840)*$H840*$I840,IF($V840="Subyacente",IF($J840="","",$J840*$H840*$I840),IF($V840="Ancho",IF($F840="","",ABS($E840-$F840)*$H840*$I840-$K840*$H840*$I840),IF($V840="Prima",$K840*$H840*$I840,""))))))</f>
        <v/>
      </c>
      <c r="AE840" s="12" t="str">
        <f aca="false">IF(OR($C840="",$M840="Abierta",$M840=""),"",(N($K840)-IF(OR($M840="Cerrada",$M840="Rolada"),N($O840),0))*$H840*$I840*IF($U840="Débito",-1,1)-N($L840)-N($P840))</f>
        <v/>
      </c>
      <c r="AF840" s="14" t="str">
        <f aca="false">IF(OR($AE840="",$AD840=""),"",IF($AD840&lt;=0,"",$AE840/$AD840))</f>
        <v/>
      </c>
      <c r="AG840" s="14" t="str">
        <f aca="false">IF($AF840="","",$AF840*365/MAX(N($X840),1))</f>
        <v/>
      </c>
      <c r="AH840" s="14" t="str">
        <f aca="false">IF(OR($C840="",$U840&lt;&gt;"Crédito",$AD840=""),"",IF($AD840&lt;=0,"",($Z840-N($L840))/$AD840))</f>
        <v/>
      </c>
      <c r="AI840" s="14" t="str">
        <f aca="false">IF(OR($AH840="",$W840=""),"",$AH840*365/MAX($W840,1))</f>
        <v/>
      </c>
      <c r="AJ840" s="14" t="str">
        <f aca="false">IF(OR($AE840="",$U840&lt;&gt;"Crédito",N($K840)=0),"",(N($K840)-IF(OR($M840="Cerrada",$M840="Rolada"),N($O840),0))/$K840)</f>
        <v/>
      </c>
      <c r="AK840" s="15" t="str">
        <f aca="false">IF(OR($C840="",$N840=""),"",DATE(YEAR($N840),MONTH($N840),1))</f>
        <v/>
      </c>
      <c r="AL840" s="11" t="str">
        <f aca="false">IF($C840="","",IF($M840="Abierta",0,1))</f>
        <v/>
      </c>
      <c r="AM840" s="16" t="str">
        <f aca="false">IF(OR($AE840="",$AD840=""),"",$AD840*MAX(N($X840),1))</f>
        <v/>
      </c>
      <c r="AN840" s="10" t="str">
        <f aca="false">IF($C840="","",IF(OR($B840="",$D840="",$H840="",$K840="",$M840=""),"Faltan datos obligatorios",IF($T840="","Estrategia no reconocida",IF(AND($M840&lt;&gt;"Abierta",$N840=""),"Falta fecha cierre",IF(AND(OR($M840="Cerrada",$M840="Rolada"),$O840=""),"Falta prima cierre",IF(AND($N840&lt;&gt;"",$N840&lt;$B840),"Cierre anterior a apertura",IF(AND($M840="Asignada",$R840=""),"Asignada: falta ID lote acciones",IF(AND($R840&lt;&gt;"",ISNA(MATCH($R840,Acciones!$A$2:$A$201,0))),"El ID lote no existe en Acciones",IF($AD840="","Revisa capital en riesgo","OK")))))))))</f>
        <v/>
      </c>
    </row>
    <row r="841" customFormat="false" ht="15" hidden="false" customHeight="true" outlineLevel="0" collapsed="false">
      <c r="A841" s="5"/>
      <c r="B841" s="6"/>
      <c r="C841" s="7"/>
      <c r="D841" s="7"/>
      <c r="E841" s="8"/>
      <c r="F841" s="8"/>
      <c r="G841" s="6"/>
      <c r="H841" s="5"/>
      <c r="I841" s="5" t="n">
        <v>100</v>
      </c>
      <c r="J841" s="8"/>
      <c r="K841" s="8"/>
      <c r="L841" s="9"/>
      <c r="M841" s="7"/>
      <c r="N841" s="6"/>
      <c r="O841" s="8"/>
      <c r="P841" s="9"/>
      <c r="Q841" s="9"/>
      <c r="R841" s="7"/>
      <c r="S841" s="7"/>
      <c r="T841" s="10" t="str">
        <f aca="false">IF($C841="","",IFERROR(INDEX(Listas!$B$2:$B$20,MATCH($D841,Listas!$A$2:$A$20,0)),""))</f>
        <v/>
      </c>
      <c r="U841" s="10" t="str">
        <f aca="false">IF($C841="","",IFERROR(INDEX(Listas!$C$2:$C$20,MATCH($D841,Listas!$A$2:$A$20,0)),""))</f>
        <v/>
      </c>
      <c r="V841" s="10" t="str">
        <f aca="false">IF($C841="","",IFERROR(INDEX(Listas!$D$2:$D$20,MATCH($D841,Listas!$A$2:$A$20,0)),""))</f>
        <v/>
      </c>
      <c r="W841" s="11" t="str">
        <f aca="false">IF(OR($C841="",$B841="",$G841=""),"",$G841-$B841)</f>
        <v/>
      </c>
      <c r="X841" s="11" t="str">
        <f aca="true">IF(OR($C841="",$B841=""),"",IF($N841&lt;&gt;"",$N841,TODAY())-$B841)</f>
        <v/>
      </c>
      <c r="Y841" s="11" t="str">
        <f aca="true">IF(OR($C841="",$M841&lt;&gt;"Abierta",$G841=""),"",MAX($G841-TODAY(),0))</f>
        <v/>
      </c>
      <c r="Z841" s="12" t="str">
        <f aca="false">IF($C841="","",N($K841)*N($H841)*N($I841)*IF($U841="Débito",-1,1))</f>
        <v/>
      </c>
      <c r="AA841" s="13" t="str">
        <f aca="false">IF($C841="","",IF(AND($U841="Débito",$F841&lt;&gt;""),$F841,$E841))</f>
        <v/>
      </c>
      <c r="AB841" s="13" t="str">
        <f aca="false">IF(OR($C841="",$T841="Mixta",$AA841=""),"",IF($V841="Subyacente",IF($J841="","",$J841-$K841),IF($T841="Put",$AA841-$K841,$AA841+$K841)))</f>
        <v/>
      </c>
      <c r="AC841" s="14" t="str">
        <f aca="false">IF(OR($C841="",$T841="Mixta",$J841="",$AA841=""),"",IF($T841="Put",($J841-$AA841)/$J841,($AA841-$J841)/$J841))</f>
        <v/>
      </c>
      <c r="AD841" s="12" t="str">
        <f aca="false">IF($C841="","",IF($Q841&lt;&gt;"",$Q841,IF($V841="Strike",N($E841)*$H841*$I841,IF($V841="Subyacente",IF($J841="","",$J841*$H841*$I841),IF($V841="Ancho",IF($F841="","",ABS($E841-$F841)*$H841*$I841-$K841*$H841*$I841),IF($V841="Prima",$K841*$H841*$I841,""))))))</f>
        <v/>
      </c>
      <c r="AE841" s="12" t="str">
        <f aca="false">IF(OR($C841="",$M841="Abierta",$M841=""),"",(N($K841)-IF(OR($M841="Cerrada",$M841="Rolada"),N($O841),0))*$H841*$I841*IF($U841="Débito",-1,1)-N($L841)-N($P841))</f>
        <v/>
      </c>
      <c r="AF841" s="14" t="str">
        <f aca="false">IF(OR($AE841="",$AD841=""),"",IF($AD841&lt;=0,"",$AE841/$AD841))</f>
        <v/>
      </c>
      <c r="AG841" s="14" t="str">
        <f aca="false">IF($AF841="","",$AF841*365/MAX(N($X841),1))</f>
        <v/>
      </c>
      <c r="AH841" s="14" t="str">
        <f aca="false">IF(OR($C841="",$U841&lt;&gt;"Crédito",$AD841=""),"",IF($AD841&lt;=0,"",($Z841-N($L841))/$AD841))</f>
        <v/>
      </c>
      <c r="AI841" s="14" t="str">
        <f aca="false">IF(OR($AH841="",$W841=""),"",$AH841*365/MAX($W841,1))</f>
        <v/>
      </c>
      <c r="AJ841" s="14" t="str">
        <f aca="false">IF(OR($AE841="",$U841&lt;&gt;"Crédito",N($K841)=0),"",(N($K841)-IF(OR($M841="Cerrada",$M841="Rolada"),N($O841),0))/$K841)</f>
        <v/>
      </c>
      <c r="AK841" s="15" t="str">
        <f aca="false">IF(OR($C841="",$N841=""),"",DATE(YEAR($N841),MONTH($N841),1))</f>
        <v/>
      </c>
      <c r="AL841" s="11" t="str">
        <f aca="false">IF($C841="","",IF($M841="Abierta",0,1))</f>
        <v/>
      </c>
      <c r="AM841" s="16" t="str">
        <f aca="false">IF(OR($AE841="",$AD841=""),"",$AD841*MAX(N($X841),1))</f>
        <v/>
      </c>
      <c r="AN841" s="10" t="str">
        <f aca="false">IF($C841="","",IF(OR($B841="",$D841="",$H841="",$K841="",$M841=""),"Faltan datos obligatorios",IF($T841="","Estrategia no reconocida",IF(AND($M841&lt;&gt;"Abierta",$N841=""),"Falta fecha cierre",IF(AND(OR($M841="Cerrada",$M841="Rolada"),$O841=""),"Falta prima cierre",IF(AND($N841&lt;&gt;"",$N841&lt;$B841),"Cierre anterior a apertura",IF(AND($M841="Asignada",$R841=""),"Asignada: falta ID lote acciones",IF(AND($R841&lt;&gt;"",ISNA(MATCH($R841,Acciones!$A$2:$A$201,0))),"El ID lote no existe en Acciones",IF($AD841="","Revisa capital en riesgo","OK")))))))))</f>
        <v/>
      </c>
    </row>
    <row r="842" customFormat="false" ht="15" hidden="false" customHeight="true" outlineLevel="0" collapsed="false">
      <c r="A842" s="5"/>
      <c r="B842" s="6"/>
      <c r="C842" s="7"/>
      <c r="D842" s="7"/>
      <c r="E842" s="8"/>
      <c r="F842" s="8"/>
      <c r="G842" s="6"/>
      <c r="H842" s="5"/>
      <c r="I842" s="5" t="n">
        <v>100</v>
      </c>
      <c r="J842" s="8"/>
      <c r="K842" s="8"/>
      <c r="L842" s="9"/>
      <c r="M842" s="7"/>
      <c r="N842" s="6"/>
      <c r="O842" s="8"/>
      <c r="P842" s="9"/>
      <c r="Q842" s="9"/>
      <c r="R842" s="7"/>
      <c r="S842" s="7"/>
      <c r="T842" s="10" t="str">
        <f aca="false">IF($C842="","",IFERROR(INDEX(Listas!$B$2:$B$20,MATCH($D842,Listas!$A$2:$A$20,0)),""))</f>
        <v/>
      </c>
      <c r="U842" s="10" t="str">
        <f aca="false">IF($C842="","",IFERROR(INDEX(Listas!$C$2:$C$20,MATCH($D842,Listas!$A$2:$A$20,0)),""))</f>
        <v/>
      </c>
      <c r="V842" s="10" t="str">
        <f aca="false">IF($C842="","",IFERROR(INDEX(Listas!$D$2:$D$20,MATCH($D842,Listas!$A$2:$A$20,0)),""))</f>
        <v/>
      </c>
      <c r="W842" s="11" t="str">
        <f aca="false">IF(OR($C842="",$B842="",$G842=""),"",$G842-$B842)</f>
        <v/>
      </c>
      <c r="X842" s="11" t="str">
        <f aca="true">IF(OR($C842="",$B842=""),"",IF($N842&lt;&gt;"",$N842,TODAY())-$B842)</f>
        <v/>
      </c>
      <c r="Y842" s="11" t="str">
        <f aca="true">IF(OR($C842="",$M842&lt;&gt;"Abierta",$G842=""),"",MAX($G842-TODAY(),0))</f>
        <v/>
      </c>
      <c r="Z842" s="12" t="str">
        <f aca="false">IF($C842="","",N($K842)*N($H842)*N($I842)*IF($U842="Débito",-1,1))</f>
        <v/>
      </c>
      <c r="AA842" s="13" t="str">
        <f aca="false">IF($C842="","",IF(AND($U842="Débito",$F842&lt;&gt;""),$F842,$E842))</f>
        <v/>
      </c>
      <c r="AB842" s="13" t="str">
        <f aca="false">IF(OR($C842="",$T842="Mixta",$AA842=""),"",IF($V842="Subyacente",IF($J842="","",$J842-$K842),IF($T842="Put",$AA842-$K842,$AA842+$K842)))</f>
        <v/>
      </c>
      <c r="AC842" s="14" t="str">
        <f aca="false">IF(OR($C842="",$T842="Mixta",$J842="",$AA842=""),"",IF($T842="Put",($J842-$AA842)/$J842,($AA842-$J842)/$J842))</f>
        <v/>
      </c>
      <c r="AD842" s="12" t="str">
        <f aca="false">IF($C842="","",IF($Q842&lt;&gt;"",$Q842,IF($V842="Strike",N($E842)*$H842*$I842,IF($V842="Subyacente",IF($J842="","",$J842*$H842*$I842),IF($V842="Ancho",IF($F842="","",ABS($E842-$F842)*$H842*$I842-$K842*$H842*$I842),IF($V842="Prima",$K842*$H842*$I842,""))))))</f>
        <v/>
      </c>
      <c r="AE842" s="12" t="str">
        <f aca="false">IF(OR($C842="",$M842="Abierta",$M842=""),"",(N($K842)-IF(OR($M842="Cerrada",$M842="Rolada"),N($O842),0))*$H842*$I842*IF($U842="Débito",-1,1)-N($L842)-N($P842))</f>
        <v/>
      </c>
      <c r="AF842" s="14" t="str">
        <f aca="false">IF(OR($AE842="",$AD842=""),"",IF($AD842&lt;=0,"",$AE842/$AD842))</f>
        <v/>
      </c>
      <c r="AG842" s="14" t="str">
        <f aca="false">IF($AF842="","",$AF842*365/MAX(N($X842),1))</f>
        <v/>
      </c>
      <c r="AH842" s="14" t="str">
        <f aca="false">IF(OR($C842="",$U842&lt;&gt;"Crédito",$AD842=""),"",IF($AD842&lt;=0,"",($Z842-N($L842))/$AD842))</f>
        <v/>
      </c>
      <c r="AI842" s="14" t="str">
        <f aca="false">IF(OR($AH842="",$W842=""),"",$AH842*365/MAX($W842,1))</f>
        <v/>
      </c>
      <c r="AJ842" s="14" t="str">
        <f aca="false">IF(OR($AE842="",$U842&lt;&gt;"Crédito",N($K842)=0),"",(N($K842)-IF(OR($M842="Cerrada",$M842="Rolada"),N($O842),0))/$K842)</f>
        <v/>
      </c>
      <c r="AK842" s="15" t="str">
        <f aca="false">IF(OR($C842="",$N842=""),"",DATE(YEAR($N842),MONTH($N842),1))</f>
        <v/>
      </c>
      <c r="AL842" s="11" t="str">
        <f aca="false">IF($C842="","",IF($M842="Abierta",0,1))</f>
        <v/>
      </c>
      <c r="AM842" s="16" t="str">
        <f aca="false">IF(OR($AE842="",$AD842=""),"",$AD842*MAX(N($X842),1))</f>
        <v/>
      </c>
      <c r="AN842" s="10" t="str">
        <f aca="false">IF($C842="","",IF(OR($B842="",$D842="",$H842="",$K842="",$M842=""),"Faltan datos obligatorios",IF($T842="","Estrategia no reconocida",IF(AND($M842&lt;&gt;"Abierta",$N842=""),"Falta fecha cierre",IF(AND(OR($M842="Cerrada",$M842="Rolada"),$O842=""),"Falta prima cierre",IF(AND($N842&lt;&gt;"",$N842&lt;$B842),"Cierre anterior a apertura",IF(AND($M842="Asignada",$R842=""),"Asignada: falta ID lote acciones",IF(AND($R842&lt;&gt;"",ISNA(MATCH($R842,Acciones!$A$2:$A$201,0))),"El ID lote no existe en Acciones",IF($AD842="","Revisa capital en riesgo","OK")))))))))</f>
        <v/>
      </c>
    </row>
    <row r="843" customFormat="false" ht="15" hidden="false" customHeight="true" outlineLevel="0" collapsed="false">
      <c r="A843" s="5"/>
      <c r="B843" s="6"/>
      <c r="C843" s="7"/>
      <c r="D843" s="7"/>
      <c r="E843" s="8"/>
      <c r="F843" s="8"/>
      <c r="G843" s="6"/>
      <c r="H843" s="5"/>
      <c r="I843" s="5" t="n">
        <v>100</v>
      </c>
      <c r="J843" s="8"/>
      <c r="K843" s="8"/>
      <c r="L843" s="9"/>
      <c r="M843" s="7"/>
      <c r="N843" s="6"/>
      <c r="O843" s="8"/>
      <c r="P843" s="9"/>
      <c r="Q843" s="9"/>
      <c r="R843" s="7"/>
      <c r="S843" s="7"/>
      <c r="T843" s="10" t="str">
        <f aca="false">IF($C843="","",IFERROR(INDEX(Listas!$B$2:$B$20,MATCH($D843,Listas!$A$2:$A$20,0)),""))</f>
        <v/>
      </c>
      <c r="U843" s="10" t="str">
        <f aca="false">IF($C843="","",IFERROR(INDEX(Listas!$C$2:$C$20,MATCH($D843,Listas!$A$2:$A$20,0)),""))</f>
        <v/>
      </c>
      <c r="V843" s="10" t="str">
        <f aca="false">IF($C843="","",IFERROR(INDEX(Listas!$D$2:$D$20,MATCH($D843,Listas!$A$2:$A$20,0)),""))</f>
        <v/>
      </c>
      <c r="W843" s="11" t="str">
        <f aca="false">IF(OR($C843="",$B843="",$G843=""),"",$G843-$B843)</f>
        <v/>
      </c>
      <c r="X843" s="11" t="str">
        <f aca="true">IF(OR($C843="",$B843=""),"",IF($N843&lt;&gt;"",$N843,TODAY())-$B843)</f>
        <v/>
      </c>
      <c r="Y843" s="11" t="str">
        <f aca="true">IF(OR($C843="",$M843&lt;&gt;"Abierta",$G843=""),"",MAX($G843-TODAY(),0))</f>
        <v/>
      </c>
      <c r="Z843" s="12" t="str">
        <f aca="false">IF($C843="","",N($K843)*N($H843)*N($I843)*IF($U843="Débito",-1,1))</f>
        <v/>
      </c>
      <c r="AA843" s="13" t="str">
        <f aca="false">IF($C843="","",IF(AND($U843="Débito",$F843&lt;&gt;""),$F843,$E843))</f>
        <v/>
      </c>
      <c r="AB843" s="13" t="str">
        <f aca="false">IF(OR($C843="",$T843="Mixta",$AA843=""),"",IF($V843="Subyacente",IF($J843="","",$J843-$K843),IF($T843="Put",$AA843-$K843,$AA843+$K843)))</f>
        <v/>
      </c>
      <c r="AC843" s="14" t="str">
        <f aca="false">IF(OR($C843="",$T843="Mixta",$J843="",$AA843=""),"",IF($T843="Put",($J843-$AA843)/$J843,($AA843-$J843)/$J843))</f>
        <v/>
      </c>
      <c r="AD843" s="12" t="str">
        <f aca="false">IF($C843="","",IF($Q843&lt;&gt;"",$Q843,IF($V843="Strike",N($E843)*$H843*$I843,IF($V843="Subyacente",IF($J843="","",$J843*$H843*$I843),IF($V843="Ancho",IF($F843="","",ABS($E843-$F843)*$H843*$I843-$K843*$H843*$I843),IF($V843="Prima",$K843*$H843*$I843,""))))))</f>
        <v/>
      </c>
      <c r="AE843" s="12" t="str">
        <f aca="false">IF(OR($C843="",$M843="Abierta",$M843=""),"",(N($K843)-IF(OR($M843="Cerrada",$M843="Rolada"),N($O843),0))*$H843*$I843*IF($U843="Débito",-1,1)-N($L843)-N($P843))</f>
        <v/>
      </c>
      <c r="AF843" s="14" t="str">
        <f aca="false">IF(OR($AE843="",$AD843=""),"",IF($AD843&lt;=0,"",$AE843/$AD843))</f>
        <v/>
      </c>
      <c r="AG843" s="14" t="str">
        <f aca="false">IF($AF843="","",$AF843*365/MAX(N($X843),1))</f>
        <v/>
      </c>
      <c r="AH843" s="14" t="str">
        <f aca="false">IF(OR($C843="",$U843&lt;&gt;"Crédito",$AD843=""),"",IF($AD843&lt;=0,"",($Z843-N($L843))/$AD843))</f>
        <v/>
      </c>
      <c r="AI843" s="14" t="str">
        <f aca="false">IF(OR($AH843="",$W843=""),"",$AH843*365/MAX($W843,1))</f>
        <v/>
      </c>
      <c r="AJ843" s="14" t="str">
        <f aca="false">IF(OR($AE843="",$U843&lt;&gt;"Crédito",N($K843)=0),"",(N($K843)-IF(OR($M843="Cerrada",$M843="Rolada"),N($O843),0))/$K843)</f>
        <v/>
      </c>
      <c r="AK843" s="15" t="str">
        <f aca="false">IF(OR($C843="",$N843=""),"",DATE(YEAR($N843),MONTH($N843),1))</f>
        <v/>
      </c>
      <c r="AL843" s="11" t="str">
        <f aca="false">IF($C843="","",IF($M843="Abierta",0,1))</f>
        <v/>
      </c>
      <c r="AM843" s="16" t="str">
        <f aca="false">IF(OR($AE843="",$AD843=""),"",$AD843*MAX(N($X843),1))</f>
        <v/>
      </c>
      <c r="AN843" s="10" t="str">
        <f aca="false">IF($C843="","",IF(OR($B843="",$D843="",$H843="",$K843="",$M843=""),"Faltan datos obligatorios",IF($T843="","Estrategia no reconocida",IF(AND($M843&lt;&gt;"Abierta",$N843=""),"Falta fecha cierre",IF(AND(OR($M843="Cerrada",$M843="Rolada"),$O843=""),"Falta prima cierre",IF(AND($N843&lt;&gt;"",$N843&lt;$B843),"Cierre anterior a apertura",IF(AND($M843="Asignada",$R843=""),"Asignada: falta ID lote acciones",IF(AND($R843&lt;&gt;"",ISNA(MATCH($R843,Acciones!$A$2:$A$201,0))),"El ID lote no existe en Acciones",IF($AD843="","Revisa capital en riesgo","OK")))))))))</f>
        <v/>
      </c>
    </row>
    <row r="844" customFormat="false" ht="15" hidden="false" customHeight="true" outlineLevel="0" collapsed="false">
      <c r="A844" s="5"/>
      <c r="B844" s="6"/>
      <c r="C844" s="7"/>
      <c r="D844" s="7"/>
      <c r="E844" s="8"/>
      <c r="F844" s="8"/>
      <c r="G844" s="6"/>
      <c r="H844" s="5"/>
      <c r="I844" s="5" t="n">
        <v>100</v>
      </c>
      <c r="J844" s="8"/>
      <c r="K844" s="8"/>
      <c r="L844" s="9"/>
      <c r="M844" s="7"/>
      <c r="N844" s="6"/>
      <c r="O844" s="8"/>
      <c r="P844" s="9"/>
      <c r="Q844" s="9"/>
      <c r="R844" s="7"/>
      <c r="S844" s="7"/>
      <c r="T844" s="10" t="str">
        <f aca="false">IF($C844="","",IFERROR(INDEX(Listas!$B$2:$B$20,MATCH($D844,Listas!$A$2:$A$20,0)),""))</f>
        <v/>
      </c>
      <c r="U844" s="10" t="str">
        <f aca="false">IF($C844="","",IFERROR(INDEX(Listas!$C$2:$C$20,MATCH($D844,Listas!$A$2:$A$20,0)),""))</f>
        <v/>
      </c>
      <c r="V844" s="10" t="str">
        <f aca="false">IF($C844="","",IFERROR(INDEX(Listas!$D$2:$D$20,MATCH($D844,Listas!$A$2:$A$20,0)),""))</f>
        <v/>
      </c>
      <c r="W844" s="11" t="str">
        <f aca="false">IF(OR($C844="",$B844="",$G844=""),"",$G844-$B844)</f>
        <v/>
      </c>
      <c r="X844" s="11" t="str">
        <f aca="true">IF(OR($C844="",$B844=""),"",IF($N844&lt;&gt;"",$N844,TODAY())-$B844)</f>
        <v/>
      </c>
      <c r="Y844" s="11" t="str">
        <f aca="true">IF(OR($C844="",$M844&lt;&gt;"Abierta",$G844=""),"",MAX($G844-TODAY(),0))</f>
        <v/>
      </c>
      <c r="Z844" s="12" t="str">
        <f aca="false">IF($C844="","",N($K844)*N($H844)*N($I844)*IF($U844="Débito",-1,1))</f>
        <v/>
      </c>
      <c r="AA844" s="13" t="str">
        <f aca="false">IF($C844="","",IF(AND($U844="Débito",$F844&lt;&gt;""),$F844,$E844))</f>
        <v/>
      </c>
      <c r="AB844" s="13" t="str">
        <f aca="false">IF(OR($C844="",$T844="Mixta",$AA844=""),"",IF($V844="Subyacente",IF($J844="","",$J844-$K844),IF($T844="Put",$AA844-$K844,$AA844+$K844)))</f>
        <v/>
      </c>
      <c r="AC844" s="14" t="str">
        <f aca="false">IF(OR($C844="",$T844="Mixta",$J844="",$AA844=""),"",IF($T844="Put",($J844-$AA844)/$J844,($AA844-$J844)/$J844))</f>
        <v/>
      </c>
      <c r="AD844" s="12" t="str">
        <f aca="false">IF($C844="","",IF($Q844&lt;&gt;"",$Q844,IF($V844="Strike",N($E844)*$H844*$I844,IF($V844="Subyacente",IF($J844="","",$J844*$H844*$I844),IF($V844="Ancho",IF($F844="","",ABS($E844-$F844)*$H844*$I844-$K844*$H844*$I844),IF($V844="Prima",$K844*$H844*$I844,""))))))</f>
        <v/>
      </c>
      <c r="AE844" s="12" t="str">
        <f aca="false">IF(OR($C844="",$M844="Abierta",$M844=""),"",(N($K844)-IF(OR($M844="Cerrada",$M844="Rolada"),N($O844),0))*$H844*$I844*IF($U844="Débito",-1,1)-N($L844)-N($P844))</f>
        <v/>
      </c>
      <c r="AF844" s="14" t="str">
        <f aca="false">IF(OR($AE844="",$AD844=""),"",IF($AD844&lt;=0,"",$AE844/$AD844))</f>
        <v/>
      </c>
      <c r="AG844" s="14" t="str">
        <f aca="false">IF($AF844="","",$AF844*365/MAX(N($X844),1))</f>
        <v/>
      </c>
      <c r="AH844" s="14" t="str">
        <f aca="false">IF(OR($C844="",$U844&lt;&gt;"Crédito",$AD844=""),"",IF($AD844&lt;=0,"",($Z844-N($L844))/$AD844))</f>
        <v/>
      </c>
      <c r="AI844" s="14" t="str">
        <f aca="false">IF(OR($AH844="",$W844=""),"",$AH844*365/MAX($W844,1))</f>
        <v/>
      </c>
      <c r="AJ844" s="14" t="str">
        <f aca="false">IF(OR($AE844="",$U844&lt;&gt;"Crédito",N($K844)=0),"",(N($K844)-IF(OR($M844="Cerrada",$M844="Rolada"),N($O844),0))/$K844)</f>
        <v/>
      </c>
      <c r="AK844" s="15" t="str">
        <f aca="false">IF(OR($C844="",$N844=""),"",DATE(YEAR($N844),MONTH($N844),1))</f>
        <v/>
      </c>
      <c r="AL844" s="11" t="str">
        <f aca="false">IF($C844="","",IF($M844="Abierta",0,1))</f>
        <v/>
      </c>
      <c r="AM844" s="16" t="str">
        <f aca="false">IF(OR($AE844="",$AD844=""),"",$AD844*MAX(N($X844),1))</f>
        <v/>
      </c>
      <c r="AN844" s="10" t="str">
        <f aca="false">IF($C844="","",IF(OR($B844="",$D844="",$H844="",$K844="",$M844=""),"Faltan datos obligatorios",IF($T844="","Estrategia no reconocida",IF(AND($M844&lt;&gt;"Abierta",$N844=""),"Falta fecha cierre",IF(AND(OR($M844="Cerrada",$M844="Rolada"),$O844=""),"Falta prima cierre",IF(AND($N844&lt;&gt;"",$N844&lt;$B844),"Cierre anterior a apertura",IF(AND($M844="Asignada",$R844=""),"Asignada: falta ID lote acciones",IF(AND($R844&lt;&gt;"",ISNA(MATCH($R844,Acciones!$A$2:$A$201,0))),"El ID lote no existe en Acciones",IF($AD844="","Revisa capital en riesgo","OK")))))))))</f>
        <v/>
      </c>
    </row>
    <row r="845" customFormat="false" ht="15" hidden="false" customHeight="true" outlineLevel="0" collapsed="false">
      <c r="A845" s="5"/>
      <c r="B845" s="6"/>
      <c r="C845" s="7"/>
      <c r="D845" s="7"/>
      <c r="E845" s="8"/>
      <c r="F845" s="8"/>
      <c r="G845" s="6"/>
      <c r="H845" s="5"/>
      <c r="I845" s="5" t="n">
        <v>100</v>
      </c>
      <c r="J845" s="8"/>
      <c r="K845" s="8"/>
      <c r="L845" s="9"/>
      <c r="M845" s="7"/>
      <c r="N845" s="6"/>
      <c r="O845" s="8"/>
      <c r="P845" s="9"/>
      <c r="Q845" s="9"/>
      <c r="R845" s="7"/>
      <c r="S845" s="7"/>
      <c r="T845" s="10" t="str">
        <f aca="false">IF($C845="","",IFERROR(INDEX(Listas!$B$2:$B$20,MATCH($D845,Listas!$A$2:$A$20,0)),""))</f>
        <v/>
      </c>
      <c r="U845" s="10" t="str">
        <f aca="false">IF($C845="","",IFERROR(INDEX(Listas!$C$2:$C$20,MATCH($D845,Listas!$A$2:$A$20,0)),""))</f>
        <v/>
      </c>
      <c r="V845" s="10" t="str">
        <f aca="false">IF($C845="","",IFERROR(INDEX(Listas!$D$2:$D$20,MATCH($D845,Listas!$A$2:$A$20,0)),""))</f>
        <v/>
      </c>
      <c r="W845" s="11" t="str">
        <f aca="false">IF(OR($C845="",$B845="",$G845=""),"",$G845-$B845)</f>
        <v/>
      </c>
      <c r="X845" s="11" t="str">
        <f aca="true">IF(OR($C845="",$B845=""),"",IF($N845&lt;&gt;"",$N845,TODAY())-$B845)</f>
        <v/>
      </c>
      <c r="Y845" s="11" t="str">
        <f aca="true">IF(OR($C845="",$M845&lt;&gt;"Abierta",$G845=""),"",MAX($G845-TODAY(),0))</f>
        <v/>
      </c>
      <c r="Z845" s="12" t="str">
        <f aca="false">IF($C845="","",N($K845)*N($H845)*N($I845)*IF($U845="Débito",-1,1))</f>
        <v/>
      </c>
      <c r="AA845" s="13" t="str">
        <f aca="false">IF($C845="","",IF(AND($U845="Débito",$F845&lt;&gt;""),$F845,$E845))</f>
        <v/>
      </c>
      <c r="AB845" s="13" t="str">
        <f aca="false">IF(OR($C845="",$T845="Mixta",$AA845=""),"",IF($V845="Subyacente",IF($J845="","",$J845-$K845),IF($T845="Put",$AA845-$K845,$AA845+$K845)))</f>
        <v/>
      </c>
      <c r="AC845" s="14" t="str">
        <f aca="false">IF(OR($C845="",$T845="Mixta",$J845="",$AA845=""),"",IF($T845="Put",($J845-$AA845)/$J845,($AA845-$J845)/$J845))</f>
        <v/>
      </c>
      <c r="AD845" s="12" t="str">
        <f aca="false">IF($C845="","",IF($Q845&lt;&gt;"",$Q845,IF($V845="Strike",N($E845)*$H845*$I845,IF($V845="Subyacente",IF($J845="","",$J845*$H845*$I845),IF($V845="Ancho",IF($F845="","",ABS($E845-$F845)*$H845*$I845-$K845*$H845*$I845),IF($V845="Prima",$K845*$H845*$I845,""))))))</f>
        <v/>
      </c>
      <c r="AE845" s="12" t="str">
        <f aca="false">IF(OR($C845="",$M845="Abierta",$M845=""),"",(N($K845)-IF(OR($M845="Cerrada",$M845="Rolada"),N($O845),0))*$H845*$I845*IF($U845="Débito",-1,1)-N($L845)-N($P845))</f>
        <v/>
      </c>
      <c r="AF845" s="14" t="str">
        <f aca="false">IF(OR($AE845="",$AD845=""),"",IF($AD845&lt;=0,"",$AE845/$AD845))</f>
        <v/>
      </c>
      <c r="AG845" s="14" t="str">
        <f aca="false">IF($AF845="","",$AF845*365/MAX(N($X845),1))</f>
        <v/>
      </c>
      <c r="AH845" s="14" t="str">
        <f aca="false">IF(OR($C845="",$U845&lt;&gt;"Crédito",$AD845=""),"",IF($AD845&lt;=0,"",($Z845-N($L845))/$AD845))</f>
        <v/>
      </c>
      <c r="AI845" s="14" t="str">
        <f aca="false">IF(OR($AH845="",$W845=""),"",$AH845*365/MAX($W845,1))</f>
        <v/>
      </c>
      <c r="AJ845" s="14" t="str">
        <f aca="false">IF(OR($AE845="",$U845&lt;&gt;"Crédito",N($K845)=0),"",(N($K845)-IF(OR($M845="Cerrada",$M845="Rolada"),N($O845),0))/$K845)</f>
        <v/>
      </c>
      <c r="AK845" s="15" t="str">
        <f aca="false">IF(OR($C845="",$N845=""),"",DATE(YEAR($N845),MONTH($N845),1))</f>
        <v/>
      </c>
      <c r="AL845" s="11" t="str">
        <f aca="false">IF($C845="","",IF($M845="Abierta",0,1))</f>
        <v/>
      </c>
      <c r="AM845" s="16" t="str">
        <f aca="false">IF(OR($AE845="",$AD845=""),"",$AD845*MAX(N($X845),1))</f>
        <v/>
      </c>
      <c r="AN845" s="10" t="str">
        <f aca="false">IF($C845="","",IF(OR($B845="",$D845="",$H845="",$K845="",$M845=""),"Faltan datos obligatorios",IF($T845="","Estrategia no reconocida",IF(AND($M845&lt;&gt;"Abierta",$N845=""),"Falta fecha cierre",IF(AND(OR($M845="Cerrada",$M845="Rolada"),$O845=""),"Falta prima cierre",IF(AND($N845&lt;&gt;"",$N845&lt;$B845),"Cierre anterior a apertura",IF(AND($M845="Asignada",$R845=""),"Asignada: falta ID lote acciones",IF(AND($R845&lt;&gt;"",ISNA(MATCH($R845,Acciones!$A$2:$A$201,0))),"El ID lote no existe en Acciones",IF($AD845="","Revisa capital en riesgo","OK")))))))))</f>
        <v/>
      </c>
    </row>
    <row r="846" customFormat="false" ht="15" hidden="false" customHeight="true" outlineLevel="0" collapsed="false">
      <c r="A846" s="5"/>
      <c r="B846" s="6"/>
      <c r="C846" s="7"/>
      <c r="D846" s="7"/>
      <c r="E846" s="8"/>
      <c r="F846" s="8"/>
      <c r="G846" s="6"/>
      <c r="H846" s="5"/>
      <c r="I846" s="5" t="n">
        <v>100</v>
      </c>
      <c r="J846" s="8"/>
      <c r="K846" s="8"/>
      <c r="L846" s="9"/>
      <c r="M846" s="7"/>
      <c r="N846" s="6"/>
      <c r="O846" s="8"/>
      <c r="P846" s="9"/>
      <c r="Q846" s="9"/>
      <c r="R846" s="7"/>
      <c r="S846" s="7"/>
      <c r="T846" s="10" t="str">
        <f aca="false">IF($C846="","",IFERROR(INDEX(Listas!$B$2:$B$20,MATCH($D846,Listas!$A$2:$A$20,0)),""))</f>
        <v/>
      </c>
      <c r="U846" s="10" t="str">
        <f aca="false">IF($C846="","",IFERROR(INDEX(Listas!$C$2:$C$20,MATCH($D846,Listas!$A$2:$A$20,0)),""))</f>
        <v/>
      </c>
      <c r="V846" s="10" t="str">
        <f aca="false">IF($C846="","",IFERROR(INDEX(Listas!$D$2:$D$20,MATCH($D846,Listas!$A$2:$A$20,0)),""))</f>
        <v/>
      </c>
      <c r="W846" s="11" t="str">
        <f aca="false">IF(OR($C846="",$B846="",$G846=""),"",$G846-$B846)</f>
        <v/>
      </c>
      <c r="X846" s="11" t="str">
        <f aca="true">IF(OR($C846="",$B846=""),"",IF($N846&lt;&gt;"",$N846,TODAY())-$B846)</f>
        <v/>
      </c>
      <c r="Y846" s="11" t="str">
        <f aca="true">IF(OR($C846="",$M846&lt;&gt;"Abierta",$G846=""),"",MAX($G846-TODAY(),0))</f>
        <v/>
      </c>
      <c r="Z846" s="12" t="str">
        <f aca="false">IF($C846="","",N($K846)*N($H846)*N($I846)*IF($U846="Débito",-1,1))</f>
        <v/>
      </c>
      <c r="AA846" s="13" t="str">
        <f aca="false">IF($C846="","",IF(AND($U846="Débito",$F846&lt;&gt;""),$F846,$E846))</f>
        <v/>
      </c>
      <c r="AB846" s="13" t="str">
        <f aca="false">IF(OR($C846="",$T846="Mixta",$AA846=""),"",IF($V846="Subyacente",IF($J846="","",$J846-$K846),IF($T846="Put",$AA846-$K846,$AA846+$K846)))</f>
        <v/>
      </c>
      <c r="AC846" s="14" t="str">
        <f aca="false">IF(OR($C846="",$T846="Mixta",$J846="",$AA846=""),"",IF($T846="Put",($J846-$AA846)/$J846,($AA846-$J846)/$J846))</f>
        <v/>
      </c>
      <c r="AD846" s="12" t="str">
        <f aca="false">IF($C846="","",IF($Q846&lt;&gt;"",$Q846,IF($V846="Strike",N($E846)*$H846*$I846,IF($V846="Subyacente",IF($J846="","",$J846*$H846*$I846),IF($V846="Ancho",IF($F846="","",ABS($E846-$F846)*$H846*$I846-$K846*$H846*$I846),IF($V846="Prima",$K846*$H846*$I846,""))))))</f>
        <v/>
      </c>
      <c r="AE846" s="12" t="str">
        <f aca="false">IF(OR($C846="",$M846="Abierta",$M846=""),"",(N($K846)-IF(OR($M846="Cerrada",$M846="Rolada"),N($O846),0))*$H846*$I846*IF($U846="Débito",-1,1)-N($L846)-N($P846))</f>
        <v/>
      </c>
      <c r="AF846" s="14" t="str">
        <f aca="false">IF(OR($AE846="",$AD846=""),"",IF($AD846&lt;=0,"",$AE846/$AD846))</f>
        <v/>
      </c>
      <c r="AG846" s="14" t="str">
        <f aca="false">IF($AF846="","",$AF846*365/MAX(N($X846),1))</f>
        <v/>
      </c>
      <c r="AH846" s="14" t="str">
        <f aca="false">IF(OR($C846="",$U846&lt;&gt;"Crédito",$AD846=""),"",IF($AD846&lt;=0,"",($Z846-N($L846))/$AD846))</f>
        <v/>
      </c>
      <c r="AI846" s="14" t="str">
        <f aca="false">IF(OR($AH846="",$W846=""),"",$AH846*365/MAX($W846,1))</f>
        <v/>
      </c>
      <c r="AJ846" s="14" t="str">
        <f aca="false">IF(OR($AE846="",$U846&lt;&gt;"Crédito",N($K846)=0),"",(N($K846)-IF(OR($M846="Cerrada",$M846="Rolada"),N($O846),0))/$K846)</f>
        <v/>
      </c>
      <c r="AK846" s="15" t="str">
        <f aca="false">IF(OR($C846="",$N846=""),"",DATE(YEAR($N846),MONTH($N846),1))</f>
        <v/>
      </c>
      <c r="AL846" s="11" t="str">
        <f aca="false">IF($C846="","",IF($M846="Abierta",0,1))</f>
        <v/>
      </c>
      <c r="AM846" s="16" t="str">
        <f aca="false">IF(OR($AE846="",$AD846=""),"",$AD846*MAX(N($X846),1))</f>
        <v/>
      </c>
      <c r="AN846" s="10" t="str">
        <f aca="false">IF($C846="","",IF(OR($B846="",$D846="",$H846="",$K846="",$M846=""),"Faltan datos obligatorios",IF($T846="","Estrategia no reconocida",IF(AND($M846&lt;&gt;"Abierta",$N846=""),"Falta fecha cierre",IF(AND(OR($M846="Cerrada",$M846="Rolada"),$O846=""),"Falta prima cierre",IF(AND($N846&lt;&gt;"",$N846&lt;$B846),"Cierre anterior a apertura",IF(AND($M846="Asignada",$R846=""),"Asignada: falta ID lote acciones",IF(AND($R846&lt;&gt;"",ISNA(MATCH($R846,Acciones!$A$2:$A$201,0))),"El ID lote no existe en Acciones",IF($AD846="","Revisa capital en riesgo","OK")))))))))</f>
        <v/>
      </c>
    </row>
    <row r="847" customFormat="false" ht="15" hidden="false" customHeight="true" outlineLevel="0" collapsed="false">
      <c r="A847" s="5"/>
      <c r="B847" s="6"/>
      <c r="C847" s="7"/>
      <c r="D847" s="7"/>
      <c r="E847" s="8"/>
      <c r="F847" s="8"/>
      <c r="G847" s="6"/>
      <c r="H847" s="5"/>
      <c r="I847" s="5" t="n">
        <v>100</v>
      </c>
      <c r="J847" s="8"/>
      <c r="K847" s="8"/>
      <c r="L847" s="9"/>
      <c r="M847" s="7"/>
      <c r="N847" s="6"/>
      <c r="O847" s="8"/>
      <c r="P847" s="9"/>
      <c r="Q847" s="9"/>
      <c r="R847" s="7"/>
      <c r="S847" s="7"/>
      <c r="T847" s="10" t="str">
        <f aca="false">IF($C847="","",IFERROR(INDEX(Listas!$B$2:$B$20,MATCH($D847,Listas!$A$2:$A$20,0)),""))</f>
        <v/>
      </c>
      <c r="U847" s="10" t="str">
        <f aca="false">IF($C847="","",IFERROR(INDEX(Listas!$C$2:$C$20,MATCH($D847,Listas!$A$2:$A$20,0)),""))</f>
        <v/>
      </c>
      <c r="V847" s="10" t="str">
        <f aca="false">IF($C847="","",IFERROR(INDEX(Listas!$D$2:$D$20,MATCH($D847,Listas!$A$2:$A$20,0)),""))</f>
        <v/>
      </c>
      <c r="W847" s="11" t="str">
        <f aca="false">IF(OR($C847="",$B847="",$G847=""),"",$G847-$B847)</f>
        <v/>
      </c>
      <c r="X847" s="11" t="str">
        <f aca="true">IF(OR($C847="",$B847=""),"",IF($N847&lt;&gt;"",$N847,TODAY())-$B847)</f>
        <v/>
      </c>
      <c r="Y847" s="11" t="str">
        <f aca="true">IF(OR($C847="",$M847&lt;&gt;"Abierta",$G847=""),"",MAX($G847-TODAY(),0))</f>
        <v/>
      </c>
      <c r="Z847" s="12" t="str">
        <f aca="false">IF($C847="","",N($K847)*N($H847)*N($I847)*IF($U847="Débito",-1,1))</f>
        <v/>
      </c>
      <c r="AA847" s="13" t="str">
        <f aca="false">IF($C847="","",IF(AND($U847="Débito",$F847&lt;&gt;""),$F847,$E847))</f>
        <v/>
      </c>
      <c r="AB847" s="13" t="str">
        <f aca="false">IF(OR($C847="",$T847="Mixta",$AA847=""),"",IF($V847="Subyacente",IF($J847="","",$J847-$K847),IF($T847="Put",$AA847-$K847,$AA847+$K847)))</f>
        <v/>
      </c>
      <c r="AC847" s="14" t="str">
        <f aca="false">IF(OR($C847="",$T847="Mixta",$J847="",$AA847=""),"",IF($T847="Put",($J847-$AA847)/$J847,($AA847-$J847)/$J847))</f>
        <v/>
      </c>
      <c r="AD847" s="12" t="str">
        <f aca="false">IF($C847="","",IF($Q847&lt;&gt;"",$Q847,IF($V847="Strike",N($E847)*$H847*$I847,IF($V847="Subyacente",IF($J847="","",$J847*$H847*$I847),IF($V847="Ancho",IF($F847="","",ABS($E847-$F847)*$H847*$I847-$K847*$H847*$I847),IF($V847="Prima",$K847*$H847*$I847,""))))))</f>
        <v/>
      </c>
      <c r="AE847" s="12" t="str">
        <f aca="false">IF(OR($C847="",$M847="Abierta",$M847=""),"",(N($K847)-IF(OR($M847="Cerrada",$M847="Rolada"),N($O847),0))*$H847*$I847*IF($U847="Débito",-1,1)-N($L847)-N($P847))</f>
        <v/>
      </c>
      <c r="AF847" s="14" t="str">
        <f aca="false">IF(OR($AE847="",$AD847=""),"",IF($AD847&lt;=0,"",$AE847/$AD847))</f>
        <v/>
      </c>
      <c r="AG847" s="14" t="str">
        <f aca="false">IF($AF847="","",$AF847*365/MAX(N($X847),1))</f>
        <v/>
      </c>
      <c r="AH847" s="14" t="str">
        <f aca="false">IF(OR($C847="",$U847&lt;&gt;"Crédito",$AD847=""),"",IF($AD847&lt;=0,"",($Z847-N($L847))/$AD847))</f>
        <v/>
      </c>
      <c r="AI847" s="14" t="str">
        <f aca="false">IF(OR($AH847="",$W847=""),"",$AH847*365/MAX($W847,1))</f>
        <v/>
      </c>
      <c r="AJ847" s="14" t="str">
        <f aca="false">IF(OR($AE847="",$U847&lt;&gt;"Crédito",N($K847)=0),"",(N($K847)-IF(OR($M847="Cerrada",$M847="Rolada"),N($O847),0))/$K847)</f>
        <v/>
      </c>
      <c r="AK847" s="15" t="str">
        <f aca="false">IF(OR($C847="",$N847=""),"",DATE(YEAR($N847),MONTH($N847),1))</f>
        <v/>
      </c>
      <c r="AL847" s="11" t="str">
        <f aca="false">IF($C847="","",IF($M847="Abierta",0,1))</f>
        <v/>
      </c>
      <c r="AM847" s="16" t="str">
        <f aca="false">IF(OR($AE847="",$AD847=""),"",$AD847*MAX(N($X847),1))</f>
        <v/>
      </c>
      <c r="AN847" s="10" t="str">
        <f aca="false">IF($C847="","",IF(OR($B847="",$D847="",$H847="",$K847="",$M847=""),"Faltan datos obligatorios",IF($T847="","Estrategia no reconocida",IF(AND($M847&lt;&gt;"Abierta",$N847=""),"Falta fecha cierre",IF(AND(OR($M847="Cerrada",$M847="Rolada"),$O847=""),"Falta prima cierre",IF(AND($N847&lt;&gt;"",$N847&lt;$B847),"Cierre anterior a apertura",IF(AND($M847="Asignada",$R847=""),"Asignada: falta ID lote acciones",IF(AND($R847&lt;&gt;"",ISNA(MATCH($R847,Acciones!$A$2:$A$201,0))),"El ID lote no existe en Acciones",IF($AD847="","Revisa capital en riesgo","OK")))))))))</f>
        <v/>
      </c>
    </row>
    <row r="848" customFormat="false" ht="15" hidden="false" customHeight="true" outlineLevel="0" collapsed="false">
      <c r="A848" s="5"/>
      <c r="B848" s="6"/>
      <c r="C848" s="7"/>
      <c r="D848" s="7"/>
      <c r="E848" s="8"/>
      <c r="F848" s="8"/>
      <c r="G848" s="6"/>
      <c r="H848" s="5"/>
      <c r="I848" s="5" t="n">
        <v>100</v>
      </c>
      <c r="J848" s="8"/>
      <c r="K848" s="8"/>
      <c r="L848" s="9"/>
      <c r="M848" s="7"/>
      <c r="N848" s="6"/>
      <c r="O848" s="8"/>
      <c r="P848" s="9"/>
      <c r="Q848" s="9"/>
      <c r="R848" s="7"/>
      <c r="S848" s="7"/>
      <c r="T848" s="10" t="str">
        <f aca="false">IF($C848="","",IFERROR(INDEX(Listas!$B$2:$B$20,MATCH($D848,Listas!$A$2:$A$20,0)),""))</f>
        <v/>
      </c>
      <c r="U848" s="10" t="str">
        <f aca="false">IF($C848="","",IFERROR(INDEX(Listas!$C$2:$C$20,MATCH($D848,Listas!$A$2:$A$20,0)),""))</f>
        <v/>
      </c>
      <c r="V848" s="10" t="str">
        <f aca="false">IF($C848="","",IFERROR(INDEX(Listas!$D$2:$D$20,MATCH($D848,Listas!$A$2:$A$20,0)),""))</f>
        <v/>
      </c>
      <c r="W848" s="11" t="str">
        <f aca="false">IF(OR($C848="",$B848="",$G848=""),"",$G848-$B848)</f>
        <v/>
      </c>
      <c r="X848" s="11" t="str">
        <f aca="true">IF(OR($C848="",$B848=""),"",IF($N848&lt;&gt;"",$N848,TODAY())-$B848)</f>
        <v/>
      </c>
      <c r="Y848" s="11" t="str">
        <f aca="true">IF(OR($C848="",$M848&lt;&gt;"Abierta",$G848=""),"",MAX($G848-TODAY(),0))</f>
        <v/>
      </c>
      <c r="Z848" s="12" t="str">
        <f aca="false">IF($C848="","",N($K848)*N($H848)*N($I848)*IF($U848="Débito",-1,1))</f>
        <v/>
      </c>
      <c r="AA848" s="13" t="str">
        <f aca="false">IF($C848="","",IF(AND($U848="Débito",$F848&lt;&gt;""),$F848,$E848))</f>
        <v/>
      </c>
      <c r="AB848" s="13" t="str">
        <f aca="false">IF(OR($C848="",$T848="Mixta",$AA848=""),"",IF($V848="Subyacente",IF($J848="","",$J848-$K848),IF($T848="Put",$AA848-$K848,$AA848+$K848)))</f>
        <v/>
      </c>
      <c r="AC848" s="14" t="str">
        <f aca="false">IF(OR($C848="",$T848="Mixta",$J848="",$AA848=""),"",IF($T848="Put",($J848-$AA848)/$J848,($AA848-$J848)/$J848))</f>
        <v/>
      </c>
      <c r="AD848" s="12" t="str">
        <f aca="false">IF($C848="","",IF($Q848&lt;&gt;"",$Q848,IF($V848="Strike",N($E848)*$H848*$I848,IF($V848="Subyacente",IF($J848="","",$J848*$H848*$I848),IF($V848="Ancho",IF($F848="","",ABS($E848-$F848)*$H848*$I848-$K848*$H848*$I848),IF($V848="Prima",$K848*$H848*$I848,""))))))</f>
        <v/>
      </c>
      <c r="AE848" s="12" t="str">
        <f aca="false">IF(OR($C848="",$M848="Abierta",$M848=""),"",(N($K848)-IF(OR($M848="Cerrada",$M848="Rolada"),N($O848),0))*$H848*$I848*IF($U848="Débito",-1,1)-N($L848)-N($P848))</f>
        <v/>
      </c>
      <c r="AF848" s="14" t="str">
        <f aca="false">IF(OR($AE848="",$AD848=""),"",IF($AD848&lt;=0,"",$AE848/$AD848))</f>
        <v/>
      </c>
      <c r="AG848" s="14" t="str">
        <f aca="false">IF($AF848="","",$AF848*365/MAX(N($X848),1))</f>
        <v/>
      </c>
      <c r="AH848" s="14" t="str">
        <f aca="false">IF(OR($C848="",$U848&lt;&gt;"Crédito",$AD848=""),"",IF($AD848&lt;=0,"",($Z848-N($L848))/$AD848))</f>
        <v/>
      </c>
      <c r="AI848" s="14" t="str">
        <f aca="false">IF(OR($AH848="",$W848=""),"",$AH848*365/MAX($W848,1))</f>
        <v/>
      </c>
      <c r="AJ848" s="14" t="str">
        <f aca="false">IF(OR($AE848="",$U848&lt;&gt;"Crédito",N($K848)=0),"",(N($K848)-IF(OR($M848="Cerrada",$M848="Rolada"),N($O848),0))/$K848)</f>
        <v/>
      </c>
      <c r="AK848" s="15" t="str">
        <f aca="false">IF(OR($C848="",$N848=""),"",DATE(YEAR($N848),MONTH($N848),1))</f>
        <v/>
      </c>
      <c r="AL848" s="11" t="str">
        <f aca="false">IF($C848="","",IF($M848="Abierta",0,1))</f>
        <v/>
      </c>
      <c r="AM848" s="16" t="str">
        <f aca="false">IF(OR($AE848="",$AD848=""),"",$AD848*MAX(N($X848),1))</f>
        <v/>
      </c>
      <c r="AN848" s="10" t="str">
        <f aca="false">IF($C848="","",IF(OR($B848="",$D848="",$H848="",$K848="",$M848=""),"Faltan datos obligatorios",IF($T848="","Estrategia no reconocida",IF(AND($M848&lt;&gt;"Abierta",$N848=""),"Falta fecha cierre",IF(AND(OR($M848="Cerrada",$M848="Rolada"),$O848=""),"Falta prima cierre",IF(AND($N848&lt;&gt;"",$N848&lt;$B848),"Cierre anterior a apertura",IF(AND($M848="Asignada",$R848=""),"Asignada: falta ID lote acciones",IF(AND($R848&lt;&gt;"",ISNA(MATCH($R848,Acciones!$A$2:$A$201,0))),"El ID lote no existe en Acciones",IF($AD848="","Revisa capital en riesgo","OK")))))))))</f>
        <v/>
      </c>
    </row>
    <row r="849" customFormat="false" ht="15" hidden="false" customHeight="true" outlineLevel="0" collapsed="false">
      <c r="A849" s="5"/>
      <c r="B849" s="6"/>
      <c r="C849" s="7"/>
      <c r="D849" s="7"/>
      <c r="E849" s="8"/>
      <c r="F849" s="8"/>
      <c r="G849" s="6"/>
      <c r="H849" s="5"/>
      <c r="I849" s="5" t="n">
        <v>100</v>
      </c>
      <c r="J849" s="8"/>
      <c r="K849" s="8"/>
      <c r="L849" s="9"/>
      <c r="M849" s="7"/>
      <c r="N849" s="6"/>
      <c r="O849" s="8"/>
      <c r="P849" s="9"/>
      <c r="Q849" s="9"/>
      <c r="R849" s="7"/>
      <c r="S849" s="7"/>
      <c r="T849" s="10" t="str">
        <f aca="false">IF($C849="","",IFERROR(INDEX(Listas!$B$2:$B$20,MATCH($D849,Listas!$A$2:$A$20,0)),""))</f>
        <v/>
      </c>
      <c r="U849" s="10" t="str">
        <f aca="false">IF($C849="","",IFERROR(INDEX(Listas!$C$2:$C$20,MATCH($D849,Listas!$A$2:$A$20,0)),""))</f>
        <v/>
      </c>
      <c r="V849" s="10" t="str">
        <f aca="false">IF($C849="","",IFERROR(INDEX(Listas!$D$2:$D$20,MATCH($D849,Listas!$A$2:$A$20,0)),""))</f>
        <v/>
      </c>
      <c r="W849" s="11" t="str">
        <f aca="false">IF(OR($C849="",$B849="",$G849=""),"",$G849-$B849)</f>
        <v/>
      </c>
      <c r="X849" s="11" t="str">
        <f aca="true">IF(OR($C849="",$B849=""),"",IF($N849&lt;&gt;"",$N849,TODAY())-$B849)</f>
        <v/>
      </c>
      <c r="Y849" s="11" t="str">
        <f aca="true">IF(OR($C849="",$M849&lt;&gt;"Abierta",$G849=""),"",MAX($G849-TODAY(),0))</f>
        <v/>
      </c>
      <c r="Z849" s="12" t="str">
        <f aca="false">IF($C849="","",N($K849)*N($H849)*N($I849)*IF($U849="Débito",-1,1))</f>
        <v/>
      </c>
      <c r="AA849" s="13" t="str">
        <f aca="false">IF($C849="","",IF(AND($U849="Débito",$F849&lt;&gt;""),$F849,$E849))</f>
        <v/>
      </c>
      <c r="AB849" s="13" t="str">
        <f aca="false">IF(OR($C849="",$T849="Mixta",$AA849=""),"",IF($V849="Subyacente",IF($J849="","",$J849-$K849),IF($T849="Put",$AA849-$K849,$AA849+$K849)))</f>
        <v/>
      </c>
      <c r="AC849" s="14" t="str">
        <f aca="false">IF(OR($C849="",$T849="Mixta",$J849="",$AA849=""),"",IF($T849="Put",($J849-$AA849)/$J849,($AA849-$J849)/$J849))</f>
        <v/>
      </c>
      <c r="AD849" s="12" t="str">
        <f aca="false">IF($C849="","",IF($Q849&lt;&gt;"",$Q849,IF($V849="Strike",N($E849)*$H849*$I849,IF($V849="Subyacente",IF($J849="","",$J849*$H849*$I849),IF($V849="Ancho",IF($F849="","",ABS($E849-$F849)*$H849*$I849-$K849*$H849*$I849),IF($V849="Prima",$K849*$H849*$I849,""))))))</f>
        <v/>
      </c>
      <c r="AE849" s="12" t="str">
        <f aca="false">IF(OR($C849="",$M849="Abierta",$M849=""),"",(N($K849)-IF(OR($M849="Cerrada",$M849="Rolada"),N($O849),0))*$H849*$I849*IF($U849="Débito",-1,1)-N($L849)-N($P849))</f>
        <v/>
      </c>
      <c r="AF849" s="14" t="str">
        <f aca="false">IF(OR($AE849="",$AD849=""),"",IF($AD849&lt;=0,"",$AE849/$AD849))</f>
        <v/>
      </c>
      <c r="AG849" s="14" t="str">
        <f aca="false">IF($AF849="","",$AF849*365/MAX(N($X849),1))</f>
        <v/>
      </c>
      <c r="AH849" s="14" t="str">
        <f aca="false">IF(OR($C849="",$U849&lt;&gt;"Crédito",$AD849=""),"",IF($AD849&lt;=0,"",($Z849-N($L849))/$AD849))</f>
        <v/>
      </c>
      <c r="AI849" s="14" t="str">
        <f aca="false">IF(OR($AH849="",$W849=""),"",$AH849*365/MAX($W849,1))</f>
        <v/>
      </c>
      <c r="AJ849" s="14" t="str">
        <f aca="false">IF(OR($AE849="",$U849&lt;&gt;"Crédito",N($K849)=0),"",(N($K849)-IF(OR($M849="Cerrada",$M849="Rolada"),N($O849),0))/$K849)</f>
        <v/>
      </c>
      <c r="AK849" s="15" t="str">
        <f aca="false">IF(OR($C849="",$N849=""),"",DATE(YEAR($N849),MONTH($N849),1))</f>
        <v/>
      </c>
      <c r="AL849" s="11" t="str">
        <f aca="false">IF($C849="","",IF($M849="Abierta",0,1))</f>
        <v/>
      </c>
      <c r="AM849" s="16" t="str">
        <f aca="false">IF(OR($AE849="",$AD849=""),"",$AD849*MAX(N($X849),1))</f>
        <v/>
      </c>
      <c r="AN849" s="10" t="str">
        <f aca="false">IF($C849="","",IF(OR($B849="",$D849="",$H849="",$K849="",$M849=""),"Faltan datos obligatorios",IF($T849="","Estrategia no reconocida",IF(AND($M849&lt;&gt;"Abierta",$N849=""),"Falta fecha cierre",IF(AND(OR($M849="Cerrada",$M849="Rolada"),$O849=""),"Falta prima cierre",IF(AND($N849&lt;&gt;"",$N849&lt;$B849),"Cierre anterior a apertura",IF(AND($M849="Asignada",$R849=""),"Asignada: falta ID lote acciones",IF(AND($R849&lt;&gt;"",ISNA(MATCH($R849,Acciones!$A$2:$A$201,0))),"El ID lote no existe en Acciones",IF($AD849="","Revisa capital en riesgo","OK")))))))))</f>
        <v/>
      </c>
    </row>
    <row r="850" customFormat="false" ht="15" hidden="false" customHeight="true" outlineLevel="0" collapsed="false">
      <c r="A850" s="5"/>
      <c r="B850" s="6"/>
      <c r="C850" s="7"/>
      <c r="D850" s="7"/>
      <c r="E850" s="8"/>
      <c r="F850" s="8"/>
      <c r="G850" s="6"/>
      <c r="H850" s="5"/>
      <c r="I850" s="5" t="n">
        <v>100</v>
      </c>
      <c r="J850" s="8"/>
      <c r="K850" s="8"/>
      <c r="L850" s="9"/>
      <c r="M850" s="7"/>
      <c r="N850" s="6"/>
      <c r="O850" s="8"/>
      <c r="P850" s="9"/>
      <c r="Q850" s="9"/>
      <c r="R850" s="7"/>
      <c r="S850" s="7"/>
      <c r="T850" s="10" t="str">
        <f aca="false">IF($C850="","",IFERROR(INDEX(Listas!$B$2:$B$20,MATCH($D850,Listas!$A$2:$A$20,0)),""))</f>
        <v/>
      </c>
      <c r="U850" s="10" t="str">
        <f aca="false">IF($C850="","",IFERROR(INDEX(Listas!$C$2:$C$20,MATCH($D850,Listas!$A$2:$A$20,0)),""))</f>
        <v/>
      </c>
      <c r="V850" s="10" t="str">
        <f aca="false">IF($C850="","",IFERROR(INDEX(Listas!$D$2:$D$20,MATCH($D850,Listas!$A$2:$A$20,0)),""))</f>
        <v/>
      </c>
      <c r="W850" s="11" t="str">
        <f aca="false">IF(OR($C850="",$B850="",$G850=""),"",$G850-$B850)</f>
        <v/>
      </c>
      <c r="X850" s="11" t="str">
        <f aca="true">IF(OR($C850="",$B850=""),"",IF($N850&lt;&gt;"",$N850,TODAY())-$B850)</f>
        <v/>
      </c>
      <c r="Y850" s="11" t="str">
        <f aca="true">IF(OR($C850="",$M850&lt;&gt;"Abierta",$G850=""),"",MAX($G850-TODAY(),0))</f>
        <v/>
      </c>
      <c r="Z850" s="12" t="str">
        <f aca="false">IF($C850="","",N($K850)*N($H850)*N($I850)*IF($U850="Débito",-1,1))</f>
        <v/>
      </c>
      <c r="AA850" s="13" t="str">
        <f aca="false">IF($C850="","",IF(AND($U850="Débito",$F850&lt;&gt;""),$F850,$E850))</f>
        <v/>
      </c>
      <c r="AB850" s="13" t="str">
        <f aca="false">IF(OR($C850="",$T850="Mixta",$AA850=""),"",IF($V850="Subyacente",IF($J850="","",$J850-$K850),IF($T850="Put",$AA850-$K850,$AA850+$K850)))</f>
        <v/>
      </c>
      <c r="AC850" s="14" t="str">
        <f aca="false">IF(OR($C850="",$T850="Mixta",$J850="",$AA850=""),"",IF($T850="Put",($J850-$AA850)/$J850,($AA850-$J850)/$J850))</f>
        <v/>
      </c>
      <c r="AD850" s="12" t="str">
        <f aca="false">IF($C850="","",IF($Q850&lt;&gt;"",$Q850,IF($V850="Strike",N($E850)*$H850*$I850,IF($V850="Subyacente",IF($J850="","",$J850*$H850*$I850),IF($V850="Ancho",IF($F850="","",ABS($E850-$F850)*$H850*$I850-$K850*$H850*$I850),IF($V850="Prima",$K850*$H850*$I850,""))))))</f>
        <v/>
      </c>
      <c r="AE850" s="12" t="str">
        <f aca="false">IF(OR($C850="",$M850="Abierta",$M850=""),"",(N($K850)-IF(OR($M850="Cerrada",$M850="Rolada"),N($O850),0))*$H850*$I850*IF($U850="Débito",-1,1)-N($L850)-N($P850))</f>
        <v/>
      </c>
      <c r="AF850" s="14" t="str">
        <f aca="false">IF(OR($AE850="",$AD850=""),"",IF($AD850&lt;=0,"",$AE850/$AD850))</f>
        <v/>
      </c>
      <c r="AG850" s="14" t="str">
        <f aca="false">IF($AF850="","",$AF850*365/MAX(N($X850),1))</f>
        <v/>
      </c>
      <c r="AH850" s="14" t="str">
        <f aca="false">IF(OR($C850="",$U850&lt;&gt;"Crédito",$AD850=""),"",IF($AD850&lt;=0,"",($Z850-N($L850))/$AD850))</f>
        <v/>
      </c>
      <c r="AI850" s="14" t="str">
        <f aca="false">IF(OR($AH850="",$W850=""),"",$AH850*365/MAX($W850,1))</f>
        <v/>
      </c>
      <c r="AJ850" s="14" t="str">
        <f aca="false">IF(OR($AE850="",$U850&lt;&gt;"Crédito",N($K850)=0),"",(N($K850)-IF(OR($M850="Cerrada",$M850="Rolada"),N($O850),0))/$K850)</f>
        <v/>
      </c>
      <c r="AK850" s="15" t="str">
        <f aca="false">IF(OR($C850="",$N850=""),"",DATE(YEAR($N850),MONTH($N850),1))</f>
        <v/>
      </c>
      <c r="AL850" s="11" t="str">
        <f aca="false">IF($C850="","",IF($M850="Abierta",0,1))</f>
        <v/>
      </c>
      <c r="AM850" s="16" t="str">
        <f aca="false">IF(OR($AE850="",$AD850=""),"",$AD850*MAX(N($X850),1))</f>
        <v/>
      </c>
      <c r="AN850" s="10" t="str">
        <f aca="false">IF($C850="","",IF(OR($B850="",$D850="",$H850="",$K850="",$M850=""),"Faltan datos obligatorios",IF($T850="","Estrategia no reconocida",IF(AND($M850&lt;&gt;"Abierta",$N850=""),"Falta fecha cierre",IF(AND(OR($M850="Cerrada",$M850="Rolada"),$O850=""),"Falta prima cierre",IF(AND($N850&lt;&gt;"",$N850&lt;$B850),"Cierre anterior a apertura",IF(AND($M850="Asignada",$R850=""),"Asignada: falta ID lote acciones",IF(AND($R850&lt;&gt;"",ISNA(MATCH($R850,Acciones!$A$2:$A$201,0))),"El ID lote no existe en Acciones",IF($AD850="","Revisa capital en riesgo","OK")))))))))</f>
        <v/>
      </c>
    </row>
    <row r="851" customFormat="false" ht="15" hidden="false" customHeight="true" outlineLevel="0" collapsed="false">
      <c r="A851" s="5"/>
      <c r="B851" s="6"/>
      <c r="C851" s="7"/>
      <c r="D851" s="7"/>
      <c r="E851" s="8"/>
      <c r="F851" s="8"/>
      <c r="G851" s="6"/>
      <c r="H851" s="5"/>
      <c r="I851" s="5" t="n">
        <v>100</v>
      </c>
      <c r="J851" s="8"/>
      <c r="K851" s="8"/>
      <c r="L851" s="9"/>
      <c r="M851" s="7"/>
      <c r="N851" s="6"/>
      <c r="O851" s="8"/>
      <c r="P851" s="9"/>
      <c r="Q851" s="9"/>
      <c r="R851" s="7"/>
      <c r="S851" s="7"/>
      <c r="T851" s="10" t="str">
        <f aca="false">IF($C851="","",IFERROR(INDEX(Listas!$B$2:$B$20,MATCH($D851,Listas!$A$2:$A$20,0)),""))</f>
        <v/>
      </c>
      <c r="U851" s="10" t="str">
        <f aca="false">IF($C851="","",IFERROR(INDEX(Listas!$C$2:$C$20,MATCH($D851,Listas!$A$2:$A$20,0)),""))</f>
        <v/>
      </c>
      <c r="V851" s="10" t="str">
        <f aca="false">IF($C851="","",IFERROR(INDEX(Listas!$D$2:$D$20,MATCH($D851,Listas!$A$2:$A$20,0)),""))</f>
        <v/>
      </c>
      <c r="W851" s="11" t="str">
        <f aca="false">IF(OR($C851="",$B851="",$G851=""),"",$G851-$B851)</f>
        <v/>
      </c>
      <c r="X851" s="11" t="str">
        <f aca="true">IF(OR($C851="",$B851=""),"",IF($N851&lt;&gt;"",$N851,TODAY())-$B851)</f>
        <v/>
      </c>
      <c r="Y851" s="11" t="str">
        <f aca="true">IF(OR($C851="",$M851&lt;&gt;"Abierta",$G851=""),"",MAX($G851-TODAY(),0))</f>
        <v/>
      </c>
      <c r="Z851" s="12" t="str">
        <f aca="false">IF($C851="","",N($K851)*N($H851)*N($I851)*IF($U851="Débito",-1,1))</f>
        <v/>
      </c>
      <c r="AA851" s="13" t="str">
        <f aca="false">IF($C851="","",IF(AND($U851="Débito",$F851&lt;&gt;""),$F851,$E851))</f>
        <v/>
      </c>
      <c r="AB851" s="13" t="str">
        <f aca="false">IF(OR($C851="",$T851="Mixta",$AA851=""),"",IF($V851="Subyacente",IF($J851="","",$J851-$K851),IF($T851="Put",$AA851-$K851,$AA851+$K851)))</f>
        <v/>
      </c>
      <c r="AC851" s="14" t="str">
        <f aca="false">IF(OR($C851="",$T851="Mixta",$J851="",$AA851=""),"",IF($T851="Put",($J851-$AA851)/$J851,($AA851-$J851)/$J851))</f>
        <v/>
      </c>
      <c r="AD851" s="12" t="str">
        <f aca="false">IF($C851="","",IF($Q851&lt;&gt;"",$Q851,IF($V851="Strike",N($E851)*$H851*$I851,IF($V851="Subyacente",IF($J851="","",$J851*$H851*$I851),IF($V851="Ancho",IF($F851="","",ABS($E851-$F851)*$H851*$I851-$K851*$H851*$I851),IF($V851="Prima",$K851*$H851*$I851,""))))))</f>
        <v/>
      </c>
      <c r="AE851" s="12" t="str">
        <f aca="false">IF(OR($C851="",$M851="Abierta",$M851=""),"",(N($K851)-IF(OR($M851="Cerrada",$M851="Rolada"),N($O851),0))*$H851*$I851*IF($U851="Débito",-1,1)-N($L851)-N($P851))</f>
        <v/>
      </c>
      <c r="AF851" s="14" t="str">
        <f aca="false">IF(OR($AE851="",$AD851=""),"",IF($AD851&lt;=0,"",$AE851/$AD851))</f>
        <v/>
      </c>
      <c r="AG851" s="14" t="str">
        <f aca="false">IF($AF851="","",$AF851*365/MAX(N($X851),1))</f>
        <v/>
      </c>
      <c r="AH851" s="14" t="str">
        <f aca="false">IF(OR($C851="",$U851&lt;&gt;"Crédito",$AD851=""),"",IF($AD851&lt;=0,"",($Z851-N($L851))/$AD851))</f>
        <v/>
      </c>
      <c r="AI851" s="14" t="str">
        <f aca="false">IF(OR($AH851="",$W851=""),"",$AH851*365/MAX($W851,1))</f>
        <v/>
      </c>
      <c r="AJ851" s="14" t="str">
        <f aca="false">IF(OR($AE851="",$U851&lt;&gt;"Crédito",N($K851)=0),"",(N($K851)-IF(OR($M851="Cerrada",$M851="Rolada"),N($O851),0))/$K851)</f>
        <v/>
      </c>
      <c r="AK851" s="15" t="str">
        <f aca="false">IF(OR($C851="",$N851=""),"",DATE(YEAR($N851),MONTH($N851),1))</f>
        <v/>
      </c>
      <c r="AL851" s="11" t="str">
        <f aca="false">IF($C851="","",IF($M851="Abierta",0,1))</f>
        <v/>
      </c>
      <c r="AM851" s="16" t="str">
        <f aca="false">IF(OR($AE851="",$AD851=""),"",$AD851*MAX(N($X851),1))</f>
        <v/>
      </c>
      <c r="AN851" s="10" t="str">
        <f aca="false">IF($C851="","",IF(OR($B851="",$D851="",$H851="",$K851="",$M851=""),"Faltan datos obligatorios",IF($T851="","Estrategia no reconocida",IF(AND($M851&lt;&gt;"Abierta",$N851=""),"Falta fecha cierre",IF(AND(OR($M851="Cerrada",$M851="Rolada"),$O851=""),"Falta prima cierre",IF(AND($N851&lt;&gt;"",$N851&lt;$B851),"Cierre anterior a apertura",IF(AND($M851="Asignada",$R851=""),"Asignada: falta ID lote acciones",IF(AND($R851&lt;&gt;"",ISNA(MATCH($R851,Acciones!$A$2:$A$201,0))),"El ID lote no existe en Acciones",IF($AD851="","Revisa capital en riesgo","OK")))))))))</f>
        <v/>
      </c>
    </row>
    <row r="852" customFormat="false" ht="15" hidden="false" customHeight="true" outlineLevel="0" collapsed="false">
      <c r="A852" s="5"/>
      <c r="B852" s="6"/>
      <c r="C852" s="7"/>
      <c r="D852" s="7"/>
      <c r="E852" s="8"/>
      <c r="F852" s="8"/>
      <c r="G852" s="6"/>
      <c r="H852" s="5"/>
      <c r="I852" s="5" t="n">
        <v>100</v>
      </c>
      <c r="J852" s="8"/>
      <c r="K852" s="8"/>
      <c r="L852" s="9"/>
      <c r="M852" s="7"/>
      <c r="N852" s="6"/>
      <c r="O852" s="8"/>
      <c r="P852" s="9"/>
      <c r="Q852" s="9"/>
      <c r="R852" s="7"/>
      <c r="S852" s="7"/>
      <c r="T852" s="10" t="str">
        <f aca="false">IF($C852="","",IFERROR(INDEX(Listas!$B$2:$B$20,MATCH($D852,Listas!$A$2:$A$20,0)),""))</f>
        <v/>
      </c>
      <c r="U852" s="10" t="str">
        <f aca="false">IF($C852="","",IFERROR(INDEX(Listas!$C$2:$C$20,MATCH($D852,Listas!$A$2:$A$20,0)),""))</f>
        <v/>
      </c>
      <c r="V852" s="10" t="str">
        <f aca="false">IF($C852="","",IFERROR(INDEX(Listas!$D$2:$D$20,MATCH($D852,Listas!$A$2:$A$20,0)),""))</f>
        <v/>
      </c>
      <c r="W852" s="11" t="str">
        <f aca="false">IF(OR($C852="",$B852="",$G852=""),"",$G852-$B852)</f>
        <v/>
      </c>
      <c r="X852" s="11" t="str">
        <f aca="true">IF(OR($C852="",$B852=""),"",IF($N852&lt;&gt;"",$N852,TODAY())-$B852)</f>
        <v/>
      </c>
      <c r="Y852" s="11" t="str">
        <f aca="true">IF(OR($C852="",$M852&lt;&gt;"Abierta",$G852=""),"",MAX($G852-TODAY(),0))</f>
        <v/>
      </c>
      <c r="Z852" s="12" t="str">
        <f aca="false">IF($C852="","",N($K852)*N($H852)*N($I852)*IF($U852="Débito",-1,1))</f>
        <v/>
      </c>
      <c r="AA852" s="13" t="str">
        <f aca="false">IF($C852="","",IF(AND($U852="Débito",$F852&lt;&gt;""),$F852,$E852))</f>
        <v/>
      </c>
      <c r="AB852" s="13" t="str">
        <f aca="false">IF(OR($C852="",$T852="Mixta",$AA852=""),"",IF($V852="Subyacente",IF($J852="","",$J852-$K852),IF($T852="Put",$AA852-$K852,$AA852+$K852)))</f>
        <v/>
      </c>
      <c r="AC852" s="14" t="str">
        <f aca="false">IF(OR($C852="",$T852="Mixta",$J852="",$AA852=""),"",IF($T852="Put",($J852-$AA852)/$J852,($AA852-$J852)/$J852))</f>
        <v/>
      </c>
      <c r="AD852" s="12" t="str">
        <f aca="false">IF($C852="","",IF($Q852&lt;&gt;"",$Q852,IF($V852="Strike",N($E852)*$H852*$I852,IF($V852="Subyacente",IF($J852="","",$J852*$H852*$I852),IF($V852="Ancho",IF($F852="","",ABS($E852-$F852)*$H852*$I852-$K852*$H852*$I852),IF($V852="Prima",$K852*$H852*$I852,""))))))</f>
        <v/>
      </c>
      <c r="AE852" s="12" t="str">
        <f aca="false">IF(OR($C852="",$M852="Abierta",$M852=""),"",(N($K852)-IF(OR($M852="Cerrada",$M852="Rolada"),N($O852),0))*$H852*$I852*IF($U852="Débito",-1,1)-N($L852)-N($P852))</f>
        <v/>
      </c>
      <c r="AF852" s="14" t="str">
        <f aca="false">IF(OR($AE852="",$AD852=""),"",IF($AD852&lt;=0,"",$AE852/$AD852))</f>
        <v/>
      </c>
      <c r="AG852" s="14" t="str">
        <f aca="false">IF($AF852="","",$AF852*365/MAX(N($X852),1))</f>
        <v/>
      </c>
      <c r="AH852" s="14" t="str">
        <f aca="false">IF(OR($C852="",$U852&lt;&gt;"Crédito",$AD852=""),"",IF($AD852&lt;=0,"",($Z852-N($L852))/$AD852))</f>
        <v/>
      </c>
      <c r="AI852" s="14" t="str">
        <f aca="false">IF(OR($AH852="",$W852=""),"",$AH852*365/MAX($W852,1))</f>
        <v/>
      </c>
      <c r="AJ852" s="14" t="str">
        <f aca="false">IF(OR($AE852="",$U852&lt;&gt;"Crédito",N($K852)=0),"",(N($K852)-IF(OR($M852="Cerrada",$M852="Rolada"),N($O852),0))/$K852)</f>
        <v/>
      </c>
      <c r="AK852" s="15" t="str">
        <f aca="false">IF(OR($C852="",$N852=""),"",DATE(YEAR($N852),MONTH($N852),1))</f>
        <v/>
      </c>
      <c r="AL852" s="11" t="str">
        <f aca="false">IF($C852="","",IF($M852="Abierta",0,1))</f>
        <v/>
      </c>
      <c r="AM852" s="16" t="str">
        <f aca="false">IF(OR($AE852="",$AD852=""),"",$AD852*MAX(N($X852),1))</f>
        <v/>
      </c>
      <c r="AN852" s="10" t="str">
        <f aca="false">IF($C852="","",IF(OR($B852="",$D852="",$H852="",$K852="",$M852=""),"Faltan datos obligatorios",IF($T852="","Estrategia no reconocida",IF(AND($M852&lt;&gt;"Abierta",$N852=""),"Falta fecha cierre",IF(AND(OR($M852="Cerrada",$M852="Rolada"),$O852=""),"Falta prima cierre",IF(AND($N852&lt;&gt;"",$N852&lt;$B852),"Cierre anterior a apertura",IF(AND($M852="Asignada",$R852=""),"Asignada: falta ID lote acciones",IF(AND($R852&lt;&gt;"",ISNA(MATCH($R852,Acciones!$A$2:$A$201,0))),"El ID lote no existe en Acciones",IF($AD852="","Revisa capital en riesgo","OK")))))))))</f>
        <v/>
      </c>
    </row>
    <row r="853" customFormat="false" ht="15" hidden="false" customHeight="true" outlineLevel="0" collapsed="false">
      <c r="A853" s="5"/>
      <c r="B853" s="6"/>
      <c r="C853" s="7"/>
      <c r="D853" s="7"/>
      <c r="E853" s="8"/>
      <c r="F853" s="8"/>
      <c r="G853" s="6"/>
      <c r="H853" s="5"/>
      <c r="I853" s="5" t="n">
        <v>100</v>
      </c>
      <c r="J853" s="8"/>
      <c r="K853" s="8"/>
      <c r="L853" s="9"/>
      <c r="M853" s="7"/>
      <c r="N853" s="6"/>
      <c r="O853" s="8"/>
      <c r="P853" s="9"/>
      <c r="Q853" s="9"/>
      <c r="R853" s="7"/>
      <c r="S853" s="7"/>
      <c r="T853" s="10" t="str">
        <f aca="false">IF($C853="","",IFERROR(INDEX(Listas!$B$2:$B$20,MATCH($D853,Listas!$A$2:$A$20,0)),""))</f>
        <v/>
      </c>
      <c r="U853" s="10" t="str">
        <f aca="false">IF($C853="","",IFERROR(INDEX(Listas!$C$2:$C$20,MATCH($D853,Listas!$A$2:$A$20,0)),""))</f>
        <v/>
      </c>
      <c r="V853" s="10" t="str">
        <f aca="false">IF($C853="","",IFERROR(INDEX(Listas!$D$2:$D$20,MATCH($D853,Listas!$A$2:$A$20,0)),""))</f>
        <v/>
      </c>
      <c r="W853" s="11" t="str">
        <f aca="false">IF(OR($C853="",$B853="",$G853=""),"",$G853-$B853)</f>
        <v/>
      </c>
      <c r="X853" s="11" t="str">
        <f aca="true">IF(OR($C853="",$B853=""),"",IF($N853&lt;&gt;"",$N853,TODAY())-$B853)</f>
        <v/>
      </c>
      <c r="Y853" s="11" t="str">
        <f aca="true">IF(OR($C853="",$M853&lt;&gt;"Abierta",$G853=""),"",MAX($G853-TODAY(),0))</f>
        <v/>
      </c>
      <c r="Z853" s="12" t="str">
        <f aca="false">IF($C853="","",N($K853)*N($H853)*N($I853)*IF($U853="Débito",-1,1))</f>
        <v/>
      </c>
      <c r="AA853" s="13" t="str">
        <f aca="false">IF($C853="","",IF(AND($U853="Débito",$F853&lt;&gt;""),$F853,$E853))</f>
        <v/>
      </c>
      <c r="AB853" s="13" t="str">
        <f aca="false">IF(OR($C853="",$T853="Mixta",$AA853=""),"",IF($V853="Subyacente",IF($J853="","",$J853-$K853),IF($T853="Put",$AA853-$K853,$AA853+$K853)))</f>
        <v/>
      </c>
      <c r="AC853" s="14" t="str">
        <f aca="false">IF(OR($C853="",$T853="Mixta",$J853="",$AA853=""),"",IF($T853="Put",($J853-$AA853)/$J853,($AA853-$J853)/$J853))</f>
        <v/>
      </c>
      <c r="AD853" s="12" t="str">
        <f aca="false">IF($C853="","",IF($Q853&lt;&gt;"",$Q853,IF($V853="Strike",N($E853)*$H853*$I853,IF($V853="Subyacente",IF($J853="","",$J853*$H853*$I853),IF($V853="Ancho",IF($F853="","",ABS($E853-$F853)*$H853*$I853-$K853*$H853*$I853),IF($V853="Prima",$K853*$H853*$I853,""))))))</f>
        <v/>
      </c>
      <c r="AE853" s="12" t="str">
        <f aca="false">IF(OR($C853="",$M853="Abierta",$M853=""),"",(N($K853)-IF(OR($M853="Cerrada",$M853="Rolada"),N($O853),0))*$H853*$I853*IF($U853="Débito",-1,1)-N($L853)-N($P853))</f>
        <v/>
      </c>
      <c r="AF853" s="14" t="str">
        <f aca="false">IF(OR($AE853="",$AD853=""),"",IF($AD853&lt;=0,"",$AE853/$AD853))</f>
        <v/>
      </c>
      <c r="AG853" s="14" t="str">
        <f aca="false">IF($AF853="","",$AF853*365/MAX(N($X853),1))</f>
        <v/>
      </c>
      <c r="AH853" s="14" t="str">
        <f aca="false">IF(OR($C853="",$U853&lt;&gt;"Crédito",$AD853=""),"",IF($AD853&lt;=0,"",($Z853-N($L853))/$AD853))</f>
        <v/>
      </c>
      <c r="AI853" s="14" t="str">
        <f aca="false">IF(OR($AH853="",$W853=""),"",$AH853*365/MAX($W853,1))</f>
        <v/>
      </c>
      <c r="AJ853" s="14" t="str">
        <f aca="false">IF(OR($AE853="",$U853&lt;&gt;"Crédito",N($K853)=0),"",(N($K853)-IF(OR($M853="Cerrada",$M853="Rolada"),N($O853),0))/$K853)</f>
        <v/>
      </c>
      <c r="AK853" s="15" t="str">
        <f aca="false">IF(OR($C853="",$N853=""),"",DATE(YEAR($N853),MONTH($N853),1))</f>
        <v/>
      </c>
      <c r="AL853" s="11" t="str">
        <f aca="false">IF($C853="","",IF($M853="Abierta",0,1))</f>
        <v/>
      </c>
      <c r="AM853" s="16" t="str">
        <f aca="false">IF(OR($AE853="",$AD853=""),"",$AD853*MAX(N($X853),1))</f>
        <v/>
      </c>
      <c r="AN853" s="10" t="str">
        <f aca="false">IF($C853="","",IF(OR($B853="",$D853="",$H853="",$K853="",$M853=""),"Faltan datos obligatorios",IF($T853="","Estrategia no reconocida",IF(AND($M853&lt;&gt;"Abierta",$N853=""),"Falta fecha cierre",IF(AND(OR($M853="Cerrada",$M853="Rolada"),$O853=""),"Falta prima cierre",IF(AND($N853&lt;&gt;"",$N853&lt;$B853),"Cierre anterior a apertura",IF(AND($M853="Asignada",$R853=""),"Asignada: falta ID lote acciones",IF(AND($R853&lt;&gt;"",ISNA(MATCH($R853,Acciones!$A$2:$A$201,0))),"El ID lote no existe en Acciones",IF($AD853="","Revisa capital en riesgo","OK")))))))))</f>
        <v/>
      </c>
    </row>
    <row r="854" customFormat="false" ht="15" hidden="false" customHeight="true" outlineLevel="0" collapsed="false">
      <c r="A854" s="5"/>
      <c r="B854" s="6"/>
      <c r="C854" s="7"/>
      <c r="D854" s="7"/>
      <c r="E854" s="8"/>
      <c r="F854" s="8"/>
      <c r="G854" s="6"/>
      <c r="H854" s="5"/>
      <c r="I854" s="5" t="n">
        <v>100</v>
      </c>
      <c r="J854" s="8"/>
      <c r="K854" s="8"/>
      <c r="L854" s="9"/>
      <c r="M854" s="7"/>
      <c r="N854" s="6"/>
      <c r="O854" s="8"/>
      <c r="P854" s="9"/>
      <c r="Q854" s="9"/>
      <c r="R854" s="7"/>
      <c r="S854" s="7"/>
      <c r="T854" s="10" t="str">
        <f aca="false">IF($C854="","",IFERROR(INDEX(Listas!$B$2:$B$20,MATCH($D854,Listas!$A$2:$A$20,0)),""))</f>
        <v/>
      </c>
      <c r="U854" s="10" t="str">
        <f aca="false">IF($C854="","",IFERROR(INDEX(Listas!$C$2:$C$20,MATCH($D854,Listas!$A$2:$A$20,0)),""))</f>
        <v/>
      </c>
      <c r="V854" s="10" t="str">
        <f aca="false">IF($C854="","",IFERROR(INDEX(Listas!$D$2:$D$20,MATCH($D854,Listas!$A$2:$A$20,0)),""))</f>
        <v/>
      </c>
      <c r="W854" s="11" t="str">
        <f aca="false">IF(OR($C854="",$B854="",$G854=""),"",$G854-$B854)</f>
        <v/>
      </c>
      <c r="X854" s="11" t="str">
        <f aca="true">IF(OR($C854="",$B854=""),"",IF($N854&lt;&gt;"",$N854,TODAY())-$B854)</f>
        <v/>
      </c>
      <c r="Y854" s="11" t="str">
        <f aca="true">IF(OR($C854="",$M854&lt;&gt;"Abierta",$G854=""),"",MAX($G854-TODAY(),0))</f>
        <v/>
      </c>
      <c r="Z854" s="12" t="str">
        <f aca="false">IF($C854="","",N($K854)*N($H854)*N($I854)*IF($U854="Débito",-1,1))</f>
        <v/>
      </c>
      <c r="AA854" s="13" t="str">
        <f aca="false">IF($C854="","",IF(AND($U854="Débito",$F854&lt;&gt;""),$F854,$E854))</f>
        <v/>
      </c>
      <c r="AB854" s="13" t="str">
        <f aca="false">IF(OR($C854="",$T854="Mixta",$AA854=""),"",IF($V854="Subyacente",IF($J854="","",$J854-$K854),IF($T854="Put",$AA854-$K854,$AA854+$K854)))</f>
        <v/>
      </c>
      <c r="AC854" s="14" t="str">
        <f aca="false">IF(OR($C854="",$T854="Mixta",$J854="",$AA854=""),"",IF($T854="Put",($J854-$AA854)/$J854,($AA854-$J854)/$J854))</f>
        <v/>
      </c>
      <c r="AD854" s="12" t="str">
        <f aca="false">IF($C854="","",IF($Q854&lt;&gt;"",$Q854,IF($V854="Strike",N($E854)*$H854*$I854,IF($V854="Subyacente",IF($J854="","",$J854*$H854*$I854),IF($V854="Ancho",IF($F854="","",ABS($E854-$F854)*$H854*$I854-$K854*$H854*$I854),IF($V854="Prima",$K854*$H854*$I854,""))))))</f>
        <v/>
      </c>
      <c r="AE854" s="12" t="str">
        <f aca="false">IF(OR($C854="",$M854="Abierta",$M854=""),"",(N($K854)-IF(OR($M854="Cerrada",$M854="Rolada"),N($O854),0))*$H854*$I854*IF($U854="Débito",-1,1)-N($L854)-N($P854))</f>
        <v/>
      </c>
      <c r="AF854" s="14" t="str">
        <f aca="false">IF(OR($AE854="",$AD854=""),"",IF($AD854&lt;=0,"",$AE854/$AD854))</f>
        <v/>
      </c>
      <c r="AG854" s="14" t="str">
        <f aca="false">IF($AF854="","",$AF854*365/MAX(N($X854),1))</f>
        <v/>
      </c>
      <c r="AH854" s="14" t="str">
        <f aca="false">IF(OR($C854="",$U854&lt;&gt;"Crédito",$AD854=""),"",IF($AD854&lt;=0,"",($Z854-N($L854))/$AD854))</f>
        <v/>
      </c>
      <c r="AI854" s="14" t="str">
        <f aca="false">IF(OR($AH854="",$W854=""),"",$AH854*365/MAX($W854,1))</f>
        <v/>
      </c>
      <c r="AJ854" s="14" t="str">
        <f aca="false">IF(OR($AE854="",$U854&lt;&gt;"Crédito",N($K854)=0),"",(N($K854)-IF(OR($M854="Cerrada",$M854="Rolada"),N($O854),0))/$K854)</f>
        <v/>
      </c>
      <c r="AK854" s="15" t="str">
        <f aca="false">IF(OR($C854="",$N854=""),"",DATE(YEAR($N854),MONTH($N854),1))</f>
        <v/>
      </c>
      <c r="AL854" s="11" t="str">
        <f aca="false">IF($C854="","",IF($M854="Abierta",0,1))</f>
        <v/>
      </c>
      <c r="AM854" s="16" t="str">
        <f aca="false">IF(OR($AE854="",$AD854=""),"",$AD854*MAX(N($X854),1))</f>
        <v/>
      </c>
      <c r="AN854" s="10" t="str">
        <f aca="false">IF($C854="","",IF(OR($B854="",$D854="",$H854="",$K854="",$M854=""),"Faltan datos obligatorios",IF($T854="","Estrategia no reconocida",IF(AND($M854&lt;&gt;"Abierta",$N854=""),"Falta fecha cierre",IF(AND(OR($M854="Cerrada",$M854="Rolada"),$O854=""),"Falta prima cierre",IF(AND($N854&lt;&gt;"",$N854&lt;$B854),"Cierre anterior a apertura",IF(AND($M854="Asignada",$R854=""),"Asignada: falta ID lote acciones",IF(AND($R854&lt;&gt;"",ISNA(MATCH($R854,Acciones!$A$2:$A$201,0))),"El ID lote no existe en Acciones",IF($AD854="","Revisa capital en riesgo","OK")))))))))</f>
        <v/>
      </c>
    </row>
    <row r="855" customFormat="false" ht="15" hidden="false" customHeight="true" outlineLevel="0" collapsed="false">
      <c r="A855" s="5"/>
      <c r="B855" s="6"/>
      <c r="C855" s="7"/>
      <c r="D855" s="7"/>
      <c r="E855" s="8"/>
      <c r="F855" s="8"/>
      <c r="G855" s="6"/>
      <c r="H855" s="5"/>
      <c r="I855" s="5" t="n">
        <v>100</v>
      </c>
      <c r="J855" s="8"/>
      <c r="K855" s="8"/>
      <c r="L855" s="9"/>
      <c r="M855" s="7"/>
      <c r="N855" s="6"/>
      <c r="O855" s="8"/>
      <c r="P855" s="9"/>
      <c r="Q855" s="9"/>
      <c r="R855" s="7"/>
      <c r="S855" s="7"/>
      <c r="T855" s="10" t="str">
        <f aca="false">IF($C855="","",IFERROR(INDEX(Listas!$B$2:$B$20,MATCH($D855,Listas!$A$2:$A$20,0)),""))</f>
        <v/>
      </c>
      <c r="U855" s="10" t="str">
        <f aca="false">IF($C855="","",IFERROR(INDEX(Listas!$C$2:$C$20,MATCH($D855,Listas!$A$2:$A$20,0)),""))</f>
        <v/>
      </c>
      <c r="V855" s="10" t="str">
        <f aca="false">IF($C855="","",IFERROR(INDEX(Listas!$D$2:$D$20,MATCH($D855,Listas!$A$2:$A$20,0)),""))</f>
        <v/>
      </c>
      <c r="W855" s="11" t="str">
        <f aca="false">IF(OR($C855="",$B855="",$G855=""),"",$G855-$B855)</f>
        <v/>
      </c>
      <c r="X855" s="11" t="str">
        <f aca="true">IF(OR($C855="",$B855=""),"",IF($N855&lt;&gt;"",$N855,TODAY())-$B855)</f>
        <v/>
      </c>
      <c r="Y855" s="11" t="str">
        <f aca="true">IF(OR($C855="",$M855&lt;&gt;"Abierta",$G855=""),"",MAX($G855-TODAY(),0))</f>
        <v/>
      </c>
      <c r="Z855" s="12" t="str">
        <f aca="false">IF($C855="","",N($K855)*N($H855)*N($I855)*IF($U855="Débito",-1,1))</f>
        <v/>
      </c>
      <c r="AA855" s="13" t="str">
        <f aca="false">IF($C855="","",IF(AND($U855="Débito",$F855&lt;&gt;""),$F855,$E855))</f>
        <v/>
      </c>
      <c r="AB855" s="13" t="str">
        <f aca="false">IF(OR($C855="",$T855="Mixta",$AA855=""),"",IF($V855="Subyacente",IF($J855="","",$J855-$K855),IF($T855="Put",$AA855-$K855,$AA855+$K855)))</f>
        <v/>
      </c>
      <c r="AC855" s="14" t="str">
        <f aca="false">IF(OR($C855="",$T855="Mixta",$J855="",$AA855=""),"",IF($T855="Put",($J855-$AA855)/$J855,($AA855-$J855)/$J855))</f>
        <v/>
      </c>
      <c r="AD855" s="12" t="str">
        <f aca="false">IF($C855="","",IF($Q855&lt;&gt;"",$Q855,IF($V855="Strike",N($E855)*$H855*$I855,IF($V855="Subyacente",IF($J855="","",$J855*$H855*$I855),IF($V855="Ancho",IF($F855="","",ABS($E855-$F855)*$H855*$I855-$K855*$H855*$I855),IF($V855="Prima",$K855*$H855*$I855,""))))))</f>
        <v/>
      </c>
      <c r="AE855" s="12" t="str">
        <f aca="false">IF(OR($C855="",$M855="Abierta",$M855=""),"",(N($K855)-IF(OR($M855="Cerrada",$M855="Rolada"),N($O855),0))*$H855*$I855*IF($U855="Débito",-1,1)-N($L855)-N($P855))</f>
        <v/>
      </c>
      <c r="AF855" s="14" t="str">
        <f aca="false">IF(OR($AE855="",$AD855=""),"",IF($AD855&lt;=0,"",$AE855/$AD855))</f>
        <v/>
      </c>
      <c r="AG855" s="14" t="str">
        <f aca="false">IF($AF855="","",$AF855*365/MAX(N($X855),1))</f>
        <v/>
      </c>
      <c r="AH855" s="14" t="str">
        <f aca="false">IF(OR($C855="",$U855&lt;&gt;"Crédito",$AD855=""),"",IF($AD855&lt;=0,"",($Z855-N($L855))/$AD855))</f>
        <v/>
      </c>
      <c r="AI855" s="14" t="str">
        <f aca="false">IF(OR($AH855="",$W855=""),"",$AH855*365/MAX($W855,1))</f>
        <v/>
      </c>
      <c r="AJ855" s="14" t="str">
        <f aca="false">IF(OR($AE855="",$U855&lt;&gt;"Crédito",N($K855)=0),"",(N($K855)-IF(OR($M855="Cerrada",$M855="Rolada"),N($O855),0))/$K855)</f>
        <v/>
      </c>
      <c r="AK855" s="15" t="str">
        <f aca="false">IF(OR($C855="",$N855=""),"",DATE(YEAR($N855),MONTH($N855),1))</f>
        <v/>
      </c>
      <c r="AL855" s="11" t="str">
        <f aca="false">IF($C855="","",IF($M855="Abierta",0,1))</f>
        <v/>
      </c>
      <c r="AM855" s="16" t="str">
        <f aca="false">IF(OR($AE855="",$AD855=""),"",$AD855*MAX(N($X855),1))</f>
        <v/>
      </c>
      <c r="AN855" s="10" t="str">
        <f aca="false">IF($C855="","",IF(OR($B855="",$D855="",$H855="",$K855="",$M855=""),"Faltan datos obligatorios",IF($T855="","Estrategia no reconocida",IF(AND($M855&lt;&gt;"Abierta",$N855=""),"Falta fecha cierre",IF(AND(OR($M855="Cerrada",$M855="Rolada"),$O855=""),"Falta prima cierre",IF(AND($N855&lt;&gt;"",$N855&lt;$B855),"Cierre anterior a apertura",IF(AND($M855="Asignada",$R855=""),"Asignada: falta ID lote acciones",IF(AND($R855&lt;&gt;"",ISNA(MATCH($R855,Acciones!$A$2:$A$201,0))),"El ID lote no existe en Acciones",IF($AD855="","Revisa capital en riesgo","OK")))))))))</f>
        <v/>
      </c>
    </row>
    <row r="856" customFormat="false" ht="15" hidden="false" customHeight="true" outlineLevel="0" collapsed="false">
      <c r="A856" s="5"/>
      <c r="B856" s="6"/>
      <c r="C856" s="7"/>
      <c r="D856" s="7"/>
      <c r="E856" s="8"/>
      <c r="F856" s="8"/>
      <c r="G856" s="6"/>
      <c r="H856" s="5"/>
      <c r="I856" s="5" t="n">
        <v>100</v>
      </c>
      <c r="J856" s="8"/>
      <c r="K856" s="8"/>
      <c r="L856" s="9"/>
      <c r="M856" s="7"/>
      <c r="N856" s="6"/>
      <c r="O856" s="8"/>
      <c r="P856" s="9"/>
      <c r="Q856" s="9"/>
      <c r="R856" s="7"/>
      <c r="S856" s="7"/>
      <c r="T856" s="10" t="str">
        <f aca="false">IF($C856="","",IFERROR(INDEX(Listas!$B$2:$B$20,MATCH($D856,Listas!$A$2:$A$20,0)),""))</f>
        <v/>
      </c>
      <c r="U856" s="10" t="str">
        <f aca="false">IF($C856="","",IFERROR(INDEX(Listas!$C$2:$C$20,MATCH($D856,Listas!$A$2:$A$20,0)),""))</f>
        <v/>
      </c>
      <c r="V856" s="10" t="str">
        <f aca="false">IF($C856="","",IFERROR(INDEX(Listas!$D$2:$D$20,MATCH($D856,Listas!$A$2:$A$20,0)),""))</f>
        <v/>
      </c>
      <c r="W856" s="11" t="str">
        <f aca="false">IF(OR($C856="",$B856="",$G856=""),"",$G856-$B856)</f>
        <v/>
      </c>
      <c r="X856" s="11" t="str">
        <f aca="true">IF(OR($C856="",$B856=""),"",IF($N856&lt;&gt;"",$N856,TODAY())-$B856)</f>
        <v/>
      </c>
      <c r="Y856" s="11" t="str">
        <f aca="true">IF(OR($C856="",$M856&lt;&gt;"Abierta",$G856=""),"",MAX($G856-TODAY(),0))</f>
        <v/>
      </c>
      <c r="Z856" s="12" t="str">
        <f aca="false">IF($C856="","",N($K856)*N($H856)*N($I856)*IF($U856="Débito",-1,1))</f>
        <v/>
      </c>
      <c r="AA856" s="13" t="str">
        <f aca="false">IF($C856="","",IF(AND($U856="Débito",$F856&lt;&gt;""),$F856,$E856))</f>
        <v/>
      </c>
      <c r="AB856" s="13" t="str">
        <f aca="false">IF(OR($C856="",$T856="Mixta",$AA856=""),"",IF($V856="Subyacente",IF($J856="","",$J856-$K856),IF($T856="Put",$AA856-$K856,$AA856+$K856)))</f>
        <v/>
      </c>
      <c r="AC856" s="14" t="str">
        <f aca="false">IF(OR($C856="",$T856="Mixta",$J856="",$AA856=""),"",IF($T856="Put",($J856-$AA856)/$J856,($AA856-$J856)/$J856))</f>
        <v/>
      </c>
      <c r="AD856" s="12" t="str">
        <f aca="false">IF($C856="","",IF($Q856&lt;&gt;"",$Q856,IF($V856="Strike",N($E856)*$H856*$I856,IF($V856="Subyacente",IF($J856="","",$J856*$H856*$I856),IF($V856="Ancho",IF($F856="","",ABS($E856-$F856)*$H856*$I856-$K856*$H856*$I856),IF($V856="Prima",$K856*$H856*$I856,""))))))</f>
        <v/>
      </c>
      <c r="AE856" s="12" t="str">
        <f aca="false">IF(OR($C856="",$M856="Abierta",$M856=""),"",(N($K856)-IF(OR($M856="Cerrada",$M856="Rolada"),N($O856),0))*$H856*$I856*IF($U856="Débito",-1,1)-N($L856)-N($P856))</f>
        <v/>
      </c>
      <c r="AF856" s="14" t="str">
        <f aca="false">IF(OR($AE856="",$AD856=""),"",IF($AD856&lt;=0,"",$AE856/$AD856))</f>
        <v/>
      </c>
      <c r="AG856" s="14" t="str">
        <f aca="false">IF($AF856="","",$AF856*365/MAX(N($X856),1))</f>
        <v/>
      </c>
      <c r="AH856" s="14" t="str">
        <f aca="false">IF(OR($C856="",$U856&lt;&gt;"Crédito",$AD856=""),"",IF($AD856&lt;=0,"",($Z856-N($L856))/$AD856))</f>
        <v/>
      </c>
      <c r="AI856" s="14" t="str">
        <f aca="false">IF(OR($AH856="",$W856=""),"",$AH856*365/MAX($W856,1))</f>
        <v/>
      </c>
      <c r="AJ856" s="14" t="str">
        <f aca="false">IF(OR($AE856="",$U856&lt;&gt;"Crédito",N($K856)=0),"",(N($K856)-IF(OR($M856="Cerrada",$M856="Rolada"),N($O856),0))/$K856)</f>
        <v/>
      </c>
      <c r="AK856" s="15" t="str">
        <f aca="false">IF(OR($C856="",$N856=""),"",DATE(YEAR($N856),MONTH($N856),1))</f>
        <v/>
      </c>
      <c r="AL856" s="11" t="str">
        <f aca="false">IF($C856="","",IF($M856="Abierta",0,1))</f>
        <v/>
      </c>
      <c r="AM856" s="16" t="str">
        <f aca="false">IF(OR($AE856="",$AD856=""),"",$AD856*MAX(N($X856),1))</f>
        <v/>
      </c>
      <c r="AN856" s="10" t="str">
        <f aca="false">IF($C856="","",IF(OR($B856="",$D856="",$H856="",$K856="",$M856=""),"Faltan datos obligatorios",IF($T856="","Estrategia no reconocida",IF(AND($M856&lt;&gt;"Abierta",$N856=""),"Falta fecha cierre",IF(AND(OR($M856="Cerrada",$M856="Rolada"),$O856=""),"Falta prima cierre",IF(AND($N856&lt;&gt;"",$N856&lt;$B856),"Cierre anterior a apertura",IF(AND($M856="Asignada",$R856=""),"Asignada: falta ID lote acciones",IF(AND($R856&lt;&gt;"",ISNA(MATCH($R856,Acciones!$A$2:$A$201,0))),"El ID lote no existe en Acciones",IF($AD856="","Revisa capital en riesgo","OK")))))))))</f>
        <v/>
      </c>
    </row>
    <row r="857" customFormat="false" ht="15" hidden="false" customHeight="true" outlineLevel="0" collapsed="false">
      <c r="A857" s="5"/>
      <c r="B857" s="6"/>
      <c r="C857" s="7"/>
      <c r="D857" s="7"/>
      <c r="E857" s="8"/>
      <c r="F857" s="8"/>
      <c r="G857" s="6"/>
      <c r="H857" s="5"/>
      <c r="I857" s="5" t="n">
        <v>100</v>
      </c>
      <c r="J857" s="8"/>
      <c r="K857" s="8"/>
      <c r="L857" s="9"/>
      <c r="M857" s="7"/>
      <c r="N857" s="6"/>
      <c r="O857" s="8"/>
      <c r="P857" s="9"/>
      <c r="Q857" s="9"/>
      <c r="R857" s="7"/>
      <c r="S857" s="7"/>
      <c r="T857" s="10" t="str">
        <f aca="false">IF($C857="","",IFERROR(INDEX(Listas!$B$2:$B$20,MATCH($D857,Listas!$A$2:$A$20,0)),""))</f>
        <v/>
      </c>
      <c r="U857" s="10" t="str">
        <f aca="false">IF($C857="","",IFERROR(INDEX(Listas!$C$2:$C$20,MATCH($D857,Listas!$A$2:$A$20,0)),""))</f>
        <v/>
      </c>
      <c r="V857" s="10" t="str">
        <f aca="false">IF($C857="","",IFERROR(INDEX(Listas!$D$2:$D$20,MATCH($D857,Listas!$A$2:$A$20,0)),""))</f>
        <v/>
      </c>
      <c r="W857" s="11" t="str">
        <f aca="false">IF(OR($C857="",$B857="",$G857=""),"",$G857-$B857)</f>
        <v/>
      </c>
      <c r="X857" s="11" t="str">
        <f aca="true">IF(OR($C857="",$B857=""),"",IF($N857&lt;&gt;"",$N857,TODAY())-$B857)</f>
        <v/>
      </c>
      <c r="Y857" s="11" t="str">
        <f aca="true">IF(OR($C857="",$M857&lt;&gt;"Abierta",$G857=""),"",MAX($G857-TODAY(),0))</f>
        <v/>
      </c>
      <c r="Z857" s="12" t="str">
        <f aca="false">IF($C857="","",N($K857)*N($H857)*N($I857)*IF($U857="Débito",-1,1))</f>
        <v/>
      </c>
      <c r="AA857" s="13" t="str">
        <f aca="false">IF($C857="","",IF(AND($U857="Débito",$F857&lt;&gt;""),$F857,$E857))</f>
        <v/>
      </c>
      <c r="AB857" s="13" t="str">
        <f aca="false">IF(OR($C857="",$T857="Mixta",$AA857=""),"",IF($V857="Subyacente",IF($J857="","",$J857-$K857),IF($T857="Put",$AA857-$K857,$AA857+$K857)))</f>
        <v/>
      </c>
      <c r="AC857" s="14" t="str">
        <f aca="false">IF(OR($C857="",$T857="Mixta",$J857="",$AA857=""),"",IF($T857="Put",($J857-$AA857)/$J857,($AA857-$J857)/$J857))</f>
        <v/>
      </c>
      <c r="AD857" s="12" t="str">
        <f aca="false">IF($C857="","",IF($Q857&lt;&gt;"",$Q857,IF($V857="Strike",N($E857)*$H857*$I857,IF($V857="Subyacente",IF($J857="","",$J857*$H857*$I857),IF($V857="Ancho",IF($F857="","",ABS($E857-$F857)*$H857*$I857-$K857*$H857*$I857),IF($V857="Prima",$K857*$H857*$I857,""))))))</f>
        <v/>
      </c>
      <c r="AE857" s="12" t="str">
        <f aca="false">IF(OR($C857="",$M857="Abierta",$M857=""),"",(N($K857)-IF(OR($M857="Cerrada",$M857="Rolada"),N($O857),0))*$H857*$I857*IF($U857="Débito",-1,1)-N($L857)-N($P857))</f>
        <v/>
      </c>
      <c r="AF857" s="14" t="str">
        <f aca="false">IF(OR($AE857="",$AD857=""),"",IF($AD857&lt;=0,"",$AE857/$AD857))</f>
        <v/>
      </c>
      <c r="AG857" s="14" t="str">
        <f aca="false">IF($AF857="","",$AF857*365/MAX(N($X857),1))</f>
        <v/>
      </c>
      <c r="AH857" s="14" t="str">
        <f aca="false">IF(OR($C857="",$U857&lt;&gt;"Crédito",$AD857=""),"",IF($AD857&lt;=0,"",($Z857-N($L857))/$AD857))</f>
        <v/>
      </c>
      <c r="AI857" s="14" t="str">
        <f aca="false">IF(OR($AH857="",$W857=""),"",$AH857*365/MAX($W857,1))</f>
        <v/>
      </c>
      <c r="AJ857" s="14" t="str">
        <f aca="false">IF(OR($AE857="",$U857&lt;&gt;"Crédito",N($K857)=0),"",(N($K857)-IF(OR($M857="Cerrada",$M857="Rolada"),N($O857),0))/$K857)</f>
        <v/>
      </c>
      <c r="AK857" s="15" t="str">
        <f aca="false">IF(OR($C857="",$N857=""),"",DATE(YEAR($N857),MONTH($N857),1))</f>
        <v/>
      </c>
      <c r="AL857" s="11" t="str">
        <f aca="false">IF($C857="","",IF($M857="Abierta",0,1))</f>
        <v/>
      </c>
      <c r="AM857" s="16" t="str">
        <f aca="false">IF(OR($AE857="",$AD857=""),"",$AD857*MAX(N($X857),1))</f>
        <v/>
      </c>
      <c r="AN857" s="10" t="str">
        <f aca="false">IF($C857="","",IF(OR($B857="",$D857="",$H857="",$K857="",$M857=""),"Faltan datos obligatorios",IF($T857="","Estrategia no reconocida",IF(AND($M857&lt;&gt;"Abierta",$N857=""),"Falta fecha cierre",IF(AND(OR($M857="Cerrada",$M857="Rolada"),$O857=""),"Falta prima cierre",IF(AND($N857&lt;&gt;"",$N857&lt;$B857),"Cierre anterior a apertura",IF(AND($M857="Asignada",$R857=""),"Asignada: falta ID lote acciones",IF(AND($R857&lt;&gt;"",ISNA(MATCH($R857,Acciones!$A$2:$A$201,0))),"El ID lote no existe en Acciones",IF($AD857="","Revisa capital en riesgo","OK")))))))))</f>
        <v/>
      </c>
    </row>
    <row r="858" customFormat="false" ht="15" hidden="false" customHeight="true" outlineLevel="0" collapsed="false">
      <c r="A858" s="5"/>
      <c r="B858" s="6"/>
      <c r="C858" s="7"/>
      <c r="D858" s="7"/>
      <c r="E858" s="8"/>
      <c r="F858" s="8"/>
      <c r="G858" s="6"/>
      <c r="H858" s="5"/>
      <c r="I858" s="5" t="n">
        <v>100</v>
      </c>
      <c r="J858" s="8"/>
      <c r="K858" s="8"/>
      <c r="L858" s="9"/>
      <c r="M858" s="7"/>
      <c r="N858" s="6"/>
      <c r="O858" s="8"/>
      <c r="P858" s="9"/>
      <c r="Q858" s="9"/>
      <c r="R858" s="7"/>
      <c r="S858" s="7"/>
      <c r="T858" s="10" t="str">
        <f aca="false">IF($C858="","",IFERROR(INDEX(Listas!$B$2:$B$20,MATCH($D858,Listas!$A$2:$A$20,0)),""))</f>
        <v/>
      </c>
      <c r="U858" s="10" t="str">
        <f aca="false">IF($C858="","",IFERROR(INDEX(Listas!$C$2:$C$20,MATCH($D858,Listas!$A$2:$A$20,0)),""))</f>
        <v/>
      </c>
      <c r="V858" s="10" t="str">
        <f aca="false">IF($C858="","",IFERROR(INDEX(Listas!$D$2:$D$20,MATCH($D858,Listas!$A$2:$A$20,0)),""))</f>
        <v/>
      </c>
      <c r="W858" s="11" t="str">
        <f aca="false">IF(OR($C858="",$B858="",$G858=""),"",$G858-$B858)</f>
        <v/>
      </c>
      <c r="X858" s="11" t="str">
        <f aca="true">IF(OR($C858="",$B858=""),"",IF($N858&lt;&gt;"",$N858,TODAY())-$B858)</f>
        <v/>
      </c>
      <c r="Y858" s="11" t="str">
        <f aca="true">IF(OR($C858="",$M858&lt;&gt;"Abierta",$G858=""),"",MAX($G858-TODAY(),0))</f>
        <v/>
      </c>
      <c r="Z858" s="12" t="str">
        <f aca="false">IF($C858="","",N($K858)*N($H858)*N($I858)*IF($U858="Débito",-1,1))</f>
        <v/>
      </c>
      <c r="AA858" s="13" t="str">
        <f aca="false">IF($C858="","",IF(AND($U858="Débito",$F858&lt;&gt;""),$F858,$E858))</f>
        <v/>
      </c>
      <c r="AB858" s="13" t="str">
        <f aca="false">IF(OR($C858="",$T858="Mixta",$AA858=""),"",IF($V858="Subyacente",IF($J858="","",$J858-$K858),IF($T858="Put",$AA858-$K858,$AA858+$K858)))</f>
        <v/>
      </c>
      <c r="AC858" s="14" t="str">
        <f aca="false">IF(OR($C858="",$T858="Mixta",$J858="",$AA858=""),"",IF($T858="Put",($J858-$AA858)/$J858,($AA858-$J858)/$J858))</f>
        <v/>
      </c>
      <c r="AD858" s="12" t="str">
        <f aca="false">IF($C858="","",IF($Q858&lt;&gt;"",$Q858,IF($V858="Strike",N($E858)*$H858*$I858,IF($V858="Subyacente",IF($J858="","",$J858*$H858*$I858),IF($V858="Ancho",IF($F858="","",ABS($E858-$F858)*$H858*$I858-$K858*$H858*$I858),IF($V858="Prima",$K858*$H858*$I858,""))))))</f>
        <v/>
      </c>
      <c r="AE858" s="12" t="str">
        <f aca="false">IF(OR($C858="",$M858="Abierta",$M858=""),"",(N($K858)-IF(OR($M858="Cerrada",$M858="Rolada"),N($O858),0))*$H858*$I858*IF($U858="Débito",-1,1)-N($L858)-N($P858))</f>
        <v/>
      </c>
      <c r="AF858" s="14" t="str">
        <f aca="false">IF(OR($AE858="",$AD858=""),"",IF($AD858&lt;=0,"",$AE858/$AD858))</f>
        <v/>
      </c>
      <c r="AG858" s="14" t="str">
        <f aca="false">IF($AF858="","",$AF858*365/MAX(N($X858),1))</f>
        <v/>
      </c>
      <c r="AH858" s="14" t="str">
        <f aca="false">IF(OR($C858="",$U858&lt;&gt;"Crédito",$AD858=""),"",IF($AD858&lt;=0,"",($Z858-N($L858))/$AD858))</f>
        <v/>
      </c>
      <c r="AI858" s="14" t="str">
        <f aca="false">IF(OR($AH858="",$W858=""),"",$AH858*365/MAX($W858,1))</f>
        <v/>
      </c>
      <c r="AJ858" s="14" t="str">
        <f aca="false">IF(OR($AE858="",$U858&lt;&gt;"Crédito",N($K858)=0),"",(N($K858)-IF(OR($M858="Cerrada",$M858="Rolada"),N($O858),0))/$K858)</f>
        <v/>
      </c>
      <c r="AK858" s="15" t="str">
        <f aca="false">IF(OR($C858="",$N858=""),"",DATE(YEAR($N858),MONTH($N858),1))</f>
        <v/>
      </c>
      <c r="AL858" s="11" t="str">
        <f aca="false">IF($C858="","",IF($M858="Abierta",0,1))</f>
        <v/>
      </c>
      <c r="AM858" s="16" t="str">
        <f aca="false">IF(OR($AE858="",$AD858=""),"",$AD858*MAX(N($X858),1))</f>
        <v/>
      </c>
      <c r="AN858" s="10" t="str">
        <f aca="false">IF($C858="","",IF(OR($B858="",$D858="",$H858="",$K858="",$M858=""),"Faltan datos obligatorios",IF($T858="","Estrategia no reconocida",IF(AND($M858&lt;&gt;"Abierta",$N858=""),"Falta fecha cierre",IF(AND(OR($M858="Cerrada",$M858="Rolada"),$O858=""),"Falta prima cierre",IF(AND($N858&lt;&gt;"",$N858&lt;$B858),"Cierre anterior a apertura",IF(AND($M858="Asignada",$R858=""),"Asignada: falta ID lote acciones",IF(AND($R858&lt;&gt;"",ISNA(MATCH($R858,Acciones!$A$2:$A$201,0))),"El ID lote no existe en Acciones",IF($AD858="","Revisa capital en riesgo","OK")))))))))</f>
        <v/>
      </c>
    </row>
    <row r="859" customFormat="false" ht="15" hidden="false" customHeight="true" outlineLevel="0" collapsed="false">
      <c r="A859" s="5"/>
      <c r="B859" s="6"/>
      <c r="C859" s="7"/>
      <c r="D859" s="7"/>
      <c r="E859" s="8"/>
      <c r="F859" s="8"/>
      <c r="G859" s="6"/>
      <c r="H859" s="5"/>
      <c r="I859" s="5" t="n">
        <v>100</v>
      </c>
      <c r="J859" s="8"/>
      <c r="K859" s="8"/>
      <c r="L859" s="9"/>
      <c r="M859" s="7"/>
      <c r="N859" s="6"/>
      <c r="O859" s="8"/>
      <c r="P859" s="9"/>
      <c r="Q859" s="9"/>
      <c r="R859" s="7"/>
      <c r="S859" s="7"/>
      <c r="T859" s="10" t="str">
        <f aca="false">IF($C859="","",IFERROR(INDEX(Listas!$B$2:$B$20,MATCH($D859,Listas!$A$2:$A$20,0)),""))</f>
        <v/>
      </c>
      <c r="U859" s="10" t="str">
        <f aca="false">IF($C859="","",IFERROR(INDEX(Listas!$C$2:$C$20,MATCH($D859,Listas!$A$2:$A$20,0)),""))</f>
        <v/>
      </c>
      <c r="V859" s="10" t="str">
        <f aca="false">IF($C859="","",IFERROR(INDEX(Listas!$D$2:$D$20,MATCH($D859,Listas!$A$2:$A$20,0)),""))</f>
        <v/>
      </c>
      <c r="W859" s="11" t="str">
        <f aca="false">IF(OR($C859="",$B859="",$G859=""),"",$G859-$B859)</f>
        <v/>
      </c>
      <c r="X859" s="11" t="str">
        <f aca="true">IF(OR($C859="",$B859=""),"",IF($N859&lt;&gt;"",$N859,TODAY())-$B859)</f>
        <v/>
      </c>
      <c r="Y859" s="11" t="str">
        <f aca="true">IF(OR($C859="",$M859&lt;&gt;"Abierta",$G859=""),"",MAX($G859-TODAY(),0))</f>
        <v/>
      </c>
      <c r="Z859" s="12" t="str">
        <f aca="false">IF($C859="","",N($K859)*N($H859)*N($I859)*IF($U859="Débito",-1,1))</f>
        <v/>
      </c>
      <c r="AA859" s="13" t="str">
        <f aca="false">IF($C859="","",IF(AND($U859="Débito",$F859&lt;&gt;""),$F859,$E859))</f>
        <v/>
      </c>
      <c r="AB859" s="13" t="str">
        <f aca="false">IF(OR($C859="",$T859="Mixta",$AA859=""),"",IF($V859="Subyacente",IF($J859="","",$J859-$K859),IF($T859="Put",$AA859-$K859,$AA859+$K859)))</f>
        <v/>
      </c>
      <c r="AC859" s="14" t="str">
        <f aca="false">IF(OR($C859="",$T859="Mixta",$J859="",$AA859=""),"",IF($T859="Put",($J859-$AA859)/$J859,($AA859-$J859)/$J859))</f>
        <v/>
      </c>
      <c r="AD859" s="12" t="str">
        <f aca="false">IF($C859="","",IF($Q859&lt;&gt;"",$Q859,IF($V859="Strike",N($E859)*$H859*$I859,IF($V859="Subyacente",IF($J859="","",$J859*$H859*$I859),IF($V859="Ancho",IF($F859="","",ABS($E859-$F859)*$H859*$I859-$K859*$H859*$I859),IF($V859="Prima",$K859*$H859*$I859,""))))))</f>
        <v/>
      </c>
      <c r="AE859" s="12" t="str">
        <f aca="false">IF(OR($C859="",$M859="Abierta",$M859=""),"",(N($K859)-IF(OR($M859="Cerrada",$M859="Rolada"),N($O859),0))*$H859*$I859*IF($U859="Débito",-1,1)-N($L859)-N($P859))</f>
        <v/>
      </c>
      <c r="AF859" s="14" t="str">
        <f aca="false">IF(OR($AE859="",$AD859=""),"",IF($AD859&lt;=0,"",$AE859/$AD859))</f>
        <v/>
      </c>
      <c r="AG859" s="14" t="str">
        <f aca="false">IF($AF859="","",$AF859*365/MAX(N($X859),1))</f>
        <v/>
      </c>
      <c r="AH859" s="14" t="str">
        <f aca="false">IF(OR($C859="",$U859&lt;&gt;"Crédito",$AD859=""),"",IF($AD859&lt;=0,"",($Z859-N($L859))/$AD859))</f>
        <v/>
      </c>
      <c r="AI859" s="14" t="str">
        <f aca="false">IF(OR($AH859="",$W859=""),"",$AH859*365/MAX($W859,1))</f>
        <v/>
      </c>
      <c r="AJ859" s="14" t="str">
        <f aca="false">IF(OR($AE859="",$U859&lt;&gt;"Crédito",N($K859)=0),"",(N($K859)-IF(OR($M859="Cerrada",$M859="Rolada"),N($O859),0))/$K859)</f>
        <v/>
      </c>
      <c r="AK859" s="15" t="str">
        <f aca="false">IF(OR($C859="",$N859=""),"",DATE(YEAR($N859),MONTH($N859),1))</f>
        <v/>
      </c>
      <c r="AL859" s="11" t="str">
        <f aca="false">IF($C859="","",IF($M859="Abierta",0,1))</f>
        <v/>
      </c>
      <c r="AM859" s="16" t="str">
        <f aca="false">IF(OR($AE859="",$AD859=""),"",$AD859*MAX(N($X859),1))</f>
        <v/>
      </c>
      <c r="AN859" s="10" t="str">
        <f aca="false">IF($C859="","",IF(OR($B859="",$D859="",$H859="",$K859="",$M859=""),"Faltan datos obligatorios",IF($T859="","Estrategia no reconocida",IF(AND($M859&lt;&gt;"Abierta",$N859=""),"Falta fecha cierre",IF(AND(OR($M859="Cerrada",$M859="Rolada"),$O859=""),"Falta prima cierre",IF(AND($N859&lt;&gt;"",$N859&lt;$B859),"Cierre anterior a apertura",IF(AND($M859="Asignada",$R859=""),"Asignada: falta ID lote acciones",IF(AND($R859&lt;&gt;"",ISNA(MATCH($R859,Acciones!$A$2:$A$201,0))),"El ID lote no existe en Acciones",IF($AD859="","Revisa capital en riesgo","OK")))))))))</f>
        <v/>
      </c>
    </row>
    <row r="860" customFormat="false" ht="15" hidden="false" customHeight="true" outlineLevel="0" collapsed="false">
      <c r="A860" s="5"/>
      <c r="B860" s="6"/>
      <c r="C860" s="7"/>
      <c r="D860" s="7"/>
      <c r="E860" s="8"/>
      <c r="F860" s="8"/>
      <c r="G860" s="6"/>
      <c r="H860" s="5"/>
      <c r="I860" s="5" t="n">
        <v>100</v>
      </c>
      <c r="J860" s="8"/>
      <c r="K860" s="8"/>
      <c r="L860" s="9"/>
      <c r="M860" s="7"/>
      <c r="N860" s="6"/>
      <c r="O860" s="8"/>
      <c r="P860" s="9"/>
      <c r="Q860" s="9"/>
      <c r="R860" s="7"/>
      <c r="S860" s="7"/>
      <c r="T860" s="10" t="str">
        <f aca="false">IF($C860="","",IFERROR(INDEX(Listas!$B$2:$B$20,MATCH($D860,Listas!$A$2:$A$20,0)),""))</f>
        <v/>
      </c>
      <c r="U860" s="10" t="str">
        <f aca="false">IF($C860="","",IFERROR(INDEX(Listas!$C$2:$C$20,MATCH($D860,Listas!$A$2:$A$20,0)),""))</f>
        <v/>
      </c>
      <c r="V860" s="10" t="str">
        <f aca="false">IF($C860="","",IFERROR(INDEX(Listas!$D$2:$D$20,MATCH($D860,Listas!$A$2:$A$20,0)),""))</f>
        <v/>
      </c>
      <c r="W860" s="11" t="str">
        <f aca="false">IF(OR($C860="",$B860="",$G860=""),"",$G860-$B860)</f>
        <v/>
      </c>
      <c r="X860" s="11" t="str">
        <f aca="true">IF(OR($C860="",$B860=""),"",IF($N860&lt;&gt;"",$N860,TODAY())-$B860)</f>
        <v/>
      </c>
      <c r="Y860" s="11" t="str">
        <f aca="true">IF(OR($C860="",$M860&lt;&gt;"Abierta",$G860=""),"",MAX($G860-TODAY(),0))</f>
        <v/>
      </c>
      <c r="Z860" s="12" t="str">
        <f aca="false">IF($C860="","",N($K860)*N($H860)*N($I860)*IF($U860="Débito",-1,1))</f>
        <v/>
      </c>
      <c r="AA860" s="13" t="str">
        <f aca="false">IF($C860="","",IF(AND($U860="Débito",$F860&lt;&gt;""),$F860,$E860))</f>
        <v/>
      </c>
      <c r="AB860" s="13" t="str">
        <f aca="false">IF(OR($C860="",$T860="Mixta",$AA860=""),"",IF($V860="Subyacente",IF($J860="","",$J860-$K860),IF($T860="Put",$AA860-$K860,$AA860+$K860)))</f>
        <v/>
      </c>
      <c r="AC860" s="14" t="str">
        <f aca="false">IF(OR($C860="",$T860="Mixta",$J860="",$AA860=""),"",IF($T860="Put",($J860-$AA860)/$J860,($AA860-$J860)/$J860))</f>
        <v/>
      </c>
      <c r="AD860" s="12" t="str">
        <f aca="false">IF($C860="","",IF($Q860&lt;&gt;"",$Q860,IF($V860="Strike",N($E860)*$H860*$I860,IF($V860="Subyacente",IF($J860="","",$J860*$H860*$I860),IF($V860="Ancho",IF($F860="","",ABS($E860-$F860)*$H860*$I860-$K860*$H860*$I860),IF($V860="Prima",$K860*$H860*$I860,""))))))</f>
        <v/>
      </c>
      <c r="AE860" s="12" t="str">
        <f aca="false">IF(OR($C860="",$M860="Abierta",$M860=""),"",(N($K860)-IF(OR($M860="Cerrada",$M860="Rolada"),N($O860),0))*$H860*$I860*IF($U860="Débito",-1,1)-N($L860)-N($P860))</f>
        <v/>
      </c>
      <c r="AF860" s="14" t="str">
        <f aca="false">IF(OR($AE860="",$AD860=""),"",IF($AD860&lt;=0,"",$AE860/$AD860))</f>
        <v/>
      </c>
      <c r="AG860" s="14" t="str">
        <f aca="false">IF($AF860="","",$AF860*365/MAX(N($X860),1))</f>
        <v/>
      </c>
      <c r="AH860" s="14" t="str">
        <f aca="false">IF(OR($C860="",$U860&lt;&gt;"Crédito",$AD860=""),"",IF($AD860&lt;=0,"",($Z860-N($L860))/$AD860))</f>
        <v/>
      </c>
      <c r="AI860" s="14" t="str">
        <f aca="false">IF(OR($AH860="",$W860=""),"",$AH860*365/MAX($W860,1))</f>
        <v/>
      </c>
      <c r="AJ860" s="14" t="str">
        <f aca="false">IF(OR($AE860="",$U860&lt;&gt;"Crédito",N($K860)=0),"",(N($K860)-IF(OR($M860="Cerrada",$M860="Rolada"),N($O860),0))/$K860)</f>
        <v/>
      </c>
      <c r="AK860" s="15" t="str">
        <f aca="false">IF(OR($C860="",$N860=""),"",DATE(YEAR($N860),MONTH($N860),1))</f>
        <v/>
      </c>
      <c r="AL860" s="11" t="str">
        <f aca="false">IF($C860="","",IF($M860="Abierta",0,1))</f>
        <v/>
      </c>
      <c r="AM860" s="16" t="str">
        <f aca="false">IF(OR($AE860="",$AD860=""),"",$AD860*MAX(N($X860),1))</f>
        <v/>
      </c>
      <c r="AN860" s="10" t="str">
        <f aca="false">IF($C860="","",IF(OR($B860="",$D860="",$H860="",$K860="",$M860=""),"Faltan datos obligatorios",IF($T860="","Estrategia no reconocida",IF(AND($M860&lt;&gt;"Abierta",$N860=""),"Falta fecha cierre",IF(AND(OR($M860="Cerrada",$M860="Rolada"),$O860=""),"Falta prima cierre",IF(AND($N860&lt;&gt;"",$N860&lt;$B860),"Cierre anterior a apertura",IF(AND($M860="Asignada",$R860=""),"Asignada: falta ID lote acciones",IF(AND($R860&lt;&gt;"",ISNA(MATCH($R860,Acciones!$A$2:$A$201,0))),"El ID lote no existe en Acciones",IF($AD860="","Revisa capital en riesgo","OK")))))))))</f>
        <v/>
      </c>
    </row>
    <row r="861" customFormat="false" ht="15" hidden="false" customHeight="true" outlineLevel="0" collapsed="false">
      <c r="A861" s="5"/>
      <c r="B861" s="6"/>
      <c r="C861" s="7"/>
      <c r="D861" s="7"/>
      <c r="E861" s="8"/>
      <c r="F861" s="8"/>
      <c r="G861" s="6"/>
      <c r="H861" s="5"/>
      <c r="I861" s="5" t="n">
        <v>100</v>
      </c>
      <c r="J861" s="8"/>
      <c r="K861" s="8"/>
      <c r="L861" s="9"/>
      <c r="M861" s="7"/>
      <c r="N861" s="6"/>
      <c r="O861" s="8"/>
      <c r="P861" s="9"/>
      <c r="Q861" s="9"/>
      <c r="R861" s="7"/>
      <c r="S861" s="7"/>
      <c r="T861" s="10" t="str">
        <f aca="false">IF($C861="","",IFERROR(INDEX(Listas!$B$2:$B$20,MATCH($D861,Listas!$A$2:$A$20,0)),""))</f>
        <v/>
      </c>
      <c r="U861" s="10" t="str">
        <f aca="false">IF($C861="","",IFERROR(INDEX(Listas!$C$2:$C$20,MATCH($D861,Listas!$A$2:$A$20,0)),""))</f>
        <v/>
      </c>
      <c r="V861" s="10" t="str">
        <f aca="false">IF($C861="","",IFERROR(INDEX(Listas!$D$2:$D$20,MATCH($D861,Listas!$A$2:$A$20,0)),""))</f>
        <v/>
      </c>
      <c r="W861" s="11" t="str">
        <f aca="false">IF(OR($C861="",$B861="",$G861=""),"",$G861-$B861)</f>
        <v/>
      </c>
      <c r="X861" s="11" t="str">
        <f aca="true">IF(OR($C861="",$B861=""),"",IF($N861&lt;&gt;"",$N861,TODAY())-$B861)</f>
        <v/>
      </c>
      <c r="Y861" s="11" t="str">
        <f aca="true">IF(OR($C861="",$M861&lt;&gt;"Abierta",$G861=""),"",MAX($G861-TODAY(),0))</f>
        <v/>
      </c>
      <c r="Z861" s="12" t="str">
        <f aca="false">IF($C861="","",N($K861)*N($H861)*N($I861)*IF($U861="Débito",-1,1))</f>
        <v/>
      </c>
      <c r="AA861" s="13" t="str">
        <f aca="false">IF($C861="","",IF(AND($U861="Débito",$F861&lt;&gt;""),$F861,$E861))</f>
        <v/>
      </c>
      <c r="AB861" s="13" t="str">
        <f aca="false">IF(OR($C861="",$T861="Mixta",$AA861=""),"",IF($V861="Subyacente",IF($J861="","",$J861-$K861),IF($T861="Put",$AA861-$K861,$AA861+$K861)))</f>
        <v/>
      </c>
      <c r="AC861" s="14" t="str">
        <f aca="false">IF(OR($C861="",$T861="Mixta",$J861="",$AA861=""),"",IF($T861="Put",($J861-$AA861)/$J861,($AA861-$J861)/$J861))</f>
        <v/>
      </c>
      <c r="AD861" s="12" t="str">
        <f aca="false">IF($C861="","",IF($Q861&lt;&gt;"",$Q861,IF($V861="Strike",N($E861)*$H861*$I861,IF($V861="Subyacente",IF($J861="","",$J861*$H861*$I861),IF($V861="Ancho",IF($F861="","",ABS($E861-$F861)*$H861*$I861-$K861*$H861*$I861),IF($V861="Prima",$K861*$H861*$I861,""))))))</f>
        <v/>
      </c>
      <c r="AE861" s="12" t="str">
        <f aca="false">IF(OR($C861="",$M861="Abierta",$M861=""),"",(N($K861)-IF(OR($M861="Cerrada",$M861="Rolada"),N($O861),0))*$H861*$I861*IF($U861="Débito",-1,1)-N($L861)-N($P861))</f>
        <v/>
      </c>
      <c r="AF861" s="14" t="str">
        <f aca="false">IF(OR($AE861="",$AD861=""),"",IF($AD861&lt;=0,"",$AE861/$AD861))</f>
        <v/>
      </c>
      <c r="AG861" s="14" t="str">
        <f aca="false">IF($AF861="","",$AF861*365/MAX(N($X861),1))</f>
        <v/>
      </c>
      <c r="AH861" s="14" t="str">
        <f aca="false">IF(OR($C861="",$U861&lt;&gt;"Crédito",$AD861=""),"",IF($AD861&lt;=0,"",($Z861-N($L861))/$AD861))</f>
        <v/>
      </c>
      <c r="AI861" s="14" t="str">
        <f aca="false">IF(OR($AH861="",$W861=""),"",$AH861*365/MAX($W861,1))</f>
        <v/>
      </c>
      <c r="AJ861" s="14" t="str">
        <f aca="false">IF(OR($AE861="",$U861&lt;&gt;"Crédito",N($K861)=0),"",(N($K861)-IF(OR($M861="Cerrada",$M861="Rolada"),N($O861),0))/$K861)</f>
        <v/>
      </c>
      <c r="AK861" s="15" t="str">
        <f aca="false">IF(OR($C861="",$N861=""),"",DATE(YEAR($N861),MONTH($N861),1))</f>
        <v/>
      </c>
      <c r="AL861" s="11" t="str">
        <f aca="false">IF($C861="","",IF($M861="Abierta",0,1))</f>
        <v/>
      </c>
      <c r="AM861" s="16" t="str">
        <f aca="false">IF(OR($AE861="",$AD861=""),"",$AD861*MAX(N($X861),1))</f>
        <v/>
      </c>
      <c r="AN861" s="10" t="str">
        <f aca="false">IF($C861="","",IF(OR($B861="",$D861="",$H861="",$K861="",$M861=""),"Faltan datos obligatorios",IF($T861="","Estrategia no reconocida",IF(AND($M861&lt;&gt;"Abierta",$N861=""),"Falta fecha cierre",IF(AND(OR($M861="Cerrada",$M861="Rolada"),$O861=""),"Falta prima cierre",IF(AND($N861&lt;&gt;"",$N861&lt;$B861),"Cierre anterior a apertura",IF(AND($M861="Asignada",$R861=""),"Asignada: falta ID lote acciones",IF(AND($R861&lt;&gt;"",ISNA(MATCH($R861,Acciones!$A$2:$A$201,0))),"El ID lote no existe en Acciones",IF($AD861="","Revisa capital en riesgo","OK")))))))))</f>
        <v/>
      </c>
    </row>
    <row r="862" customFormat="false" ht="15" hidden="false" customHeight="true" outlineLevel="0" collapsed="false">
      <c r="A862" s="5"/>
      <c r="B862" s="6"/>
      <c r="C862" s="7"/>
      <c r="D862" s="7"/>
      <c r="E862" s="8"/>
      <c r="F862" s="8"/>
      <c r="G862" s="6"/>
      <c r="H862" s="5"/>
      <c r="I862" s="5" t="n">
        <v>100</v>
      </c>
      <c r="J862" s="8"/>
      <c r="K862" s="8"/>
      <c r="L862" s="9"/>
      <c r="M862" s="7"/>
      <c r="N862" s="6"/>
      <c r="O862" s="8"/>
      <c r="P862" s="9"/>
      <c r="Q862" s="9"/>
      <c r="R862" s="7"/>
      <c r="S862" s="7"/>
      <c r="T862" s="10" t="str">
        <f aca="false">IF($C862="","",IFERROR(INDEX(Listas!$B$2:$B$20,MATCH($D862,Listas!$A$2:$A$20,0)),""))</f>
        <v/>
      </c>
      <c r="U862" s="10" t="str">
        <f aca="false">IF($C862="","",IFERROR(INDEX(Listas!$C$2:$C$20,MATCH($D862,Listas!$A$2:$A$20,0)),""))</f>
        <v/>
      </c>
      <c r="V862" s="10" t="str">
        <f aca="false">IF($C862="","",IFERROR(INDEX(Listas!$D$2:$D$20,MATCH($D862,Listas!$A$2:$A$20,0)),""))</f>
        <v/>
      </c>
      <c r="W862" s="11" t="str">
        <f aca="false">IF(OR($C862="",$B862="",$G862=""),"",$G862-$B862)</f>
        <v/>
      </c>
      <c r="X862" s="11" t="str">
        <f aca="true">IF(OR($C862="",$B862=""),"",IF($N862&lt;&gt;"",$N862,TODAY())-$B862)</f>
        <v/>
      </c>
      <c r="Y862" s="11" t="str">
        <f aca="true">IF(OR($C862="",$M862&lt;&gt;"Abierta",$G862=""),"",MAX($G862-TODAY(),0))</f>
        <v/>
      </c>
      <c r="Z862" s="12" t="str">
        <f aca="false">IF($C862="","",N($K862)*N($H862)*N($I862)*IF($U862="Débito",-1,1))</f>
        <v/>
      </c>
      <c r="AA862" s="13" t="str">
        <f aca="false">IF($C862="","",IF(AND($U862="Débito",$F862&lt;&gt;""),$F862,$E862))</f>
        <v/>
      </c>
      <c r="AB862" s="13" t="str">
        <f aca="false">IF(OR($C862="",$T862="Mixta",$AA862=""),"",IF($V862="Subyacente",IF($J862="","",$J862-$K862),IF($T862="Put",$AA862-$K862,$AA862+$K862)))</f>
        <v/>
      </c>
      <c r="AC862" s="14" t="str">
        <f aca="false">IF(OR($C862="",$T862="Mixta",$J862="",$AA862=""),"",IF($T862="Put",($J862-$AA862)/$J862,($AA862-$J862)/$J862))</f>
        <v/>
      </c>
      <c r="AD862" s="12" t="str">
        <f aca="false">IF($C862="","",IF($Q862&lt;&gt;"",$Q862,IF($V862="Strike",N($E862)*$H862*$I862,IF($V862="Subyacente",IF($J862="","",$J862*$H862*$I862),IF($V862="Ancho",IF($F862="","",ABS($E862-$F862)*$H862*$I862-$K862*$H862*$I862),IF($V862="Prima",$K862*$H862*$I862,""))))))</f>
        <v/>
      </c>
      <c r="AE862" s="12" t="str">
        <f aca="false">IF(OR($C862="",$M862="Abierta",$M862=""),"",(N($K862)-IF(OR($M862="Cerrada",$M862="Rolada"),N($O862),0))*$H862*$I862*IF($U862="Débito",-1,1)-N($L862)-N($P862))</f>
        <v/>
      </c>
      <c r="AF862" s="14" t="str">
        <f aca="false">IF(OR($AE862="",$AD862=""),"",IF($AD862&lt;=0,"",$AE862/$AD862))</f>
        <v/>
      </c>
      <c r="AG862" s="14" t="str">
        <f aca="false">IF($AF862="","",$AF862*365/MAX(N($X862),1))</f>
        <v/>
      </c>
      <c r="AH862" s="14" t="str">
        <f aca="false">IF(OR($C862="",$U862&lt;&gt;"Crédito",$AD862=""),"",IF($AD862&lt;=0,"",($Z862-N($L862))/$AD862))</f>
        <v/>
      </c>
      <c r="AI862" s="14" t="str">
        <f aca="false">IF(OR($AH862="",$W862=""),"",$AH862*365/MAX($W862,1))</f>
        <v/>
      </c>
      <c r="AJ862" s="14" t="str">
        <f aca="false">IF(OR($AE862="",$U862&lt;&gt;"Crédito",N($K862)=0),"",(N($K862)-IF(OR($M862="Cerrada",$M862="Rolada"),N($O862),0))/$K862)</f>
        <v/>
      </c>
      <c r="AK862" s="15" t="str">
        <f aca="false">IF(OR($C862="",$N862=""),"",DATE(YEAR($N862),MONTH($N862),1))</f>
        <v/>
      </c>
      <c r="AL862" s="11" t="str">
        <f aca="false">IF($C862="","",IF($M862="Abierta",0,1))</f>
        <v/>
      </c>
      <c r="AM862" s="16" t="str">
        <f aca="false">IF(OR($AE862="",$AD862=""),"",$AD862*MAX(N($X862),1))</f>
        <v/>
      </c>
      <c r="AN862" s="10" t="str">
        <f aca="false">IF($C862="","",IF(OR($B862="",$D862="",$H862="",$K862="",$M862=""),"Faltan datos obligatorios",IF($T862="","Estrategia no reconocida",IF(AND($M862&lt;&gt;"Abierta",$N862=""),"Falta fecha cierre",IF(AND(OR($M862="Cerrada",$M862="Rolada"),$O862=""),"Falta prima cierre",IF(AND($N862&lt;&gt;"",$N862&lt;$B862),"Cierre anterior a apertura",IF(AND($M862="Asignada",$R862=""),"Asignada: falta ID lote acciones",IF(AND($R862&lt;&gt;"",ISNA(MATCH($R862,Acciones!$A$2:$A$201,0))),"El ID lote no existe en Acciones",IF($AD862="","Revisa capital en riesgo","OK")))))))))</f>
        <v/>
      </c>
    </row>
    <row r="863" customFormat="false" ht="15" hidden="false" customHeight="true" outlineLevel="0" collapsed="false">
      <c r="A863" s="5"/>
      <c r="B863" s="6"/>
      <c r="C863" s="7"/>
      <c r="D863" s="7"/>
      <c r="E863" s="8"/>
      <c r="F863" s="8"/>
      <c r="G863" s="6"/>
      <c r="H863" s="5"/>
      <c r="I863" s="5" t="n">
        <v>100</v>
      </c>
      <c r="J863" s="8"/>
      <c r="K863" s="8"/>
      <c r="L863" s="9"/>
      <c r="M863" s="7"/>
      <c r="N863" s="6"/>
      <c r="O863" s="8"/>
      <c r="P863" s="9"/>
      <c r="Q863" s="9"/>
      <c r="R863" s="7"/>
      <c r="S863" s="7"/>
      <c r="T863" s="10" t="str">
        <f aca="false">IF($C863="","",IFERROR(INDEX(Listas!$B$2:$B$20,MATCH($D863,Listas!$A$2:$A$20,0)),""))</f>
        <v/>
      </c>
      <c r="U863" s="10" t="str">
        <f aca="false">IF($C863="","",IFERROR(INDEX(Listas!$C$2:$C$20,MATCH($D863,Listas!$A$2:$A$20,0)),""))</f>
        <v/>
      </c>
      <c r="V863" s="10" t="str">
        <f aca="false">IF($C863="","",IFERROR(INDEX(Listas!$D$2:$D$20,MATCH($D863,Listas!$A$2:$A$20,0)),""))</f>
        <v/>
      </c>
      <c r="W863" s="11" t="str">
        <f aca="false">IF(OR($C863="",$B863="",$G863=""),"",$G863-$B863)</f>
        <v/>
      </c>
      <c r="X863" s="11" t="str">
        <f aca="true">IF(OR($C863="",$B863=""),"",IF($N863&lt;&gt;"",$N863,TODAY())-$B863)</f>
        <v/>
      </c>
      <c r="Y863" s="11" t="str">
        <f aca="true">IF(OR($C863="",$M863&lt;&gt;"Abierta",$G863=""),"",MAX($G863-TODAY(),0))</f>
        <v/>
      </c>
      <c r="Z863" s="12" t="str">
        <f aca="false">IF($C863="","",N($K863)*N($H863)*N($I863)*IF($U863="Débito",-1,1))</f>
        <v/>
      </c>
      <c r="AA863" s="13" t="str">
        <f aca="false">IF($C863="","",IF(AND($U863="Débito",$F863&lt;&gt;""),$F863,$E863))</f>
        <v/>
      </c>
      <c r="AB863" s="13" t="str">
        <f aca="false">IF(OR($C863="",$T863="Mixta",$AA863=""),"",IF($V863="Subyacente",IF($J863="","",$J863-$K863),IF($T863="Put",$AA863-$K863,$AA863+$K863)))</f>
        <v/>
      </c>
      <c r="AC863" s="14" t="str">
        <f aca="false">IF(OR($C863="",$T863="Mixta",$J863="",$AA863=""),"",IF($T863="Put",($J863-$AA863)/$J863,($AA863-$J863)/$J863))</f>
        <v/>
      </c>
      <c r="AD863" s="12" t="str">
        <f aca="false">IF($C863="","",IF($Q863&lt;&gt;"",$Q863,IF($V863="Strike",N($E863)*$H863*$I863,IF($V863="Subyacente",IF($J863="","",$J863*$H863*$I863),IF($V863="Ancho",IF($F863="","",ABS($E863-$F863)*$H863*$I863-$K863*$H863*$I863),IF($V863="Prima",$K863*$H863*$I863,""))))))</f>
        <v/>
      </c>
      <c r="AE863" s="12" t="str">
        <f aca="false">IF(OR($C863="",$M863="Abierta",$M863=""),"",(N($K863)-IF(OR($M863="Cerrada",$M863="Rolada"),N($O863),0))*$H863*$I863*IF($U863="Débito",-1,1)-N($L863)-N($P863))</f>
        <v/>
      </c>
      <c r="AF863" s="14" t="str">
        <f aca="false">IF(OR($AE863="",$AD863=""),"",IF($AD863&lt;=0,"",$AE863/$AD863))</f>
        <v/>
      </c>
      <c r="AG863" s="14" t="str">
        <f aca="false">IF($AF863="","",$AF863*365/MAX(N($X863),1))</f>
        <v/>
      </c>
      <c r="AH863" s="14" t="str">
        <f aca="false">IF(OR($C863="",$U863&lt;&gt;"Crédito",$AD863=""),"",IF($AD863&lt;=0,"",($Z863-N($L863))/$AD863))</f>
        <v/>
      </c>
      <c r="AI863" s="14" t="str">
        <f aca="false">IF(OR($AH863="",$W863=""),"",$AH863*365/MAX($W863,1))</f>
        <v/>
      </c>
      <c r="AJ863" s="14" t="str">
        <f aca="false">IF(OR($AE863="",$U863&lt;&gt;"Crédito",N($K863)=0),"",(N($K863)-IF(OR($M863="Cerrada",$M863="Rolada"),N($O863),0))/$K863)</f>
        <v/>
      </c>
      <c r="AK863" s="15" t="str">
        <f aca="false">IF(OR($C863="",$N863=""),"",DATE(YEAR($N863),MONTH($N863),1))</f>
        <v/>
      </c>
      <c r="AL863" s="11" t="str">
        <f aca="false">IF($C863="","",IF($M863="Abierta",0,1))</f>
        <v/>
      </c>
      <c r="AM863" s="16" t="str">
        <f aca="false">IF(OR($AE863="",$AD863=""),"",$AD863*MAX(N($X863),1))</f>
        <v/>
      </c>
      <c r="AN863" s="10" t="str">
        <f aca="false">IF($C863="","",IF(OR($B863="",$D863="",$H863="",$K863="",$M863=""),"Faltan datos obligatorios",IF($T863="","Estrategia no reconocida",IF(AND($M863&lt;&gt;"Abierta",$N863=""),"Falta fecha cierre",IF(AND(OR($M863="Cerrada",$M863="Rolada"),$O863=""),"Falta prima cierre",IF(AND($N863&lt;&gt;"",$N863&lt;$B863),"Cierre anterior a apertura",IF(AND($M863="Asignada",$R863=""),"Asignada: falta ID lote acciones",IF(AND($R863&lt;&gt;"",ISNA(MATCH($R863,Acciones!$A$2:$A$201,0))),"El ID lote no existe en Acciones",IF($AD863="","Revisa capital en riesgo","OK")))))))))</f>
        <v/>
      </c>
    </row>
    <row r="864" customFormat="false" ht="15" hidden="false" customHeight="true" outlineLevel="0" collapsed="false">
      <c r="A864" s="5"/>
      <c r="B864" s="6"/>
      <c r="C864" s="7"/>
      <c r="D864" s="7"/>
      <c r="E864" s="8"/>
      <c r="F864" s="8"/>
      <c r="G864" s="6"/>
      <c r="H864" s="5"/>
      <c r="I864" s="5" t="n">
        <v>100</v>
      </c>
      <c r="J864" s="8"/>
      <c r="K864" s="8"/>
      <c r="L864" s="9"/>
      <c r="M864" s="7"/>
      <c r="N864" s="6"/>
      <c r="O864" s="8"/>
      <c r="P864" s="9"/>
      <c r="Q864" s="9"/>
      <c r="R864" s="7"/>
      <c r="S864" s="7"/>
      <c r="T864" s="10" t="str">
        <f aca="false">IF($C864="","",IFERROR(INDEX(Listas!$B$2:$B$20,MATCH($D864,Listas!$A$2:$A$20,0)),""))</f>
        <v/>
      </c>
      <c r="U864" s="10" t="str">
        <f aca="false">IF($C864="","",IFERROR(INDEX(Listas!$C$2:$C$20,MATCH($D864,Listas!$A$2:$A$20,0)),""))</f>
        <v/>
      </c>
      <c r="V864" s="10" t="str">
        <f aca="false">IF($C864="","",IFERROR(INDEX(Listas!$D$2:$D$20,MATCH($D864,Listas!$A$2:$A$20,0)),""))</f>
        <v/>
      </c>
      <c r="W864" s="11" t="str">
        <f aca="false">IF(OR($C864="",$B864="",$G864=""),"",$G864-$B864)</f>
        <v/>
      </c>
      <c r="X864" s="11" t="str">
        <f aca="true">IF(OR($C864="",$B864=""),"",IF($N864&lt;&gt;"",$N864,TODAY())-$B864)</f>
        <v/>
      </c>
      <c r="Y864" s="11" t="str">
        <f aca="true">IF(OR($C864="",$M864&lt;&gt;"Abierta",$G864=""),"",MAX($G864-TODAY(),0))</f>
        <v/>
      </c>
      <c r="Z864" s="12" t="str">
        <f aca="false">IF($C864="","",N($K864)*N($H864)*N($I864)*IF($U864="Débito",-1,1))</f>
        <v/>
      </c>
      <c r="AA864" s="13" t="str">
        <f aca="false">IF($C864="","",IF(AND($U864="Débito",$F864&lt;&gt;""),$F864,$E864))</f>
        <v/>
      </c>
      <c r="AB864" s="13" t="str">
        <f aca="false">IF(OR($C864="",$T864="Mixta",$AA864=""),"",IF($V864="Subyacente",IF($J864="","",$J864-$K864),IF($T864="Put",$AA864-$K864,$AA864+$K864)))</f>
        <v/>
      </c>
      <c r="AC864" s="14" t="str">
        <f aca="false">IF(OR($C864="",$T864="Mixta",$J864="",$AA864=""),"",IF($T864="Put",($J864-$AA864)/$J864,($AA864-$J864)/$J864))</f>
        <v/>
      </c>
      <c r="AD864" s="12" t="str">
        <f aca="false">IF($C864="","",IF($Q864&lt;&gt;"",$Q864,IF($V864="Strike",N($E864)*$H864*$I864,IF($V864="Subyacente",IF($J864="","",$J864*$H864*$I864),IF($V864="Ancho",IF($F864="","",ABS($E864-$F864)*$H864*$I864-$K864*$H864*$I864),IF($V864="Prima",$K864*$H864*$I864,""))))))</f>
        <v/>
      </c>
      <c r="AE864" s="12" t="str">
        <f aca="false">IF(OR($C864="",$M864="Abierta",$M864=""),"",(N($K864)-IF(OR($M864="Cerrada",$M864="Rolada"),N($O864),0))*$H864*$I864*IF($U864="Débito",-1,1)-N($L864)-N($P864))</f>
        <v/>
      </c>
      <c r="AF864" s="14" t="str">
        <f aca="false">IF(OR($AE864="",$AD864=""),"",IF($AD864&lt;=0,"",$AE864/$AD864))</f>
        <v/>
      </c>
      <c r="AG864" s="14" t="str">
        <f aca="false">IF($AF864="","",$AF864*365/MAX(N($X864),1))</f>
        <v/>
      </c>
      <c r="AH864" s="14" t="str">
        <f aca="false">IF(OR($C864="",$U864&lt;&gt;"Crédito",$AD864=""),"",IF($AD864&lt;=0,"",($Z864-N($L864))/$AD864))</f>
        <v/>
      </c>
      <c r="AI864" s="14" t="str">
        <f aca="false">IF(OR($AH864="",$W864=""),"",$AH864*365/MAX($W864,1))</f>
        <v/>
      </c>
      <c r="AJ864" s="14" t="str">
        <f aca="false">IF(OR($AE864="",$U864&lt;&gt;"Crédito",N($K864)=0),"",(N($K864)-IF(OR($M864="Cerrada",$M864="Rolada"),N($O864),0))/$K864)</f>
        <v/>
      </c>
      <c r="AK864" s="15" t="str">
        <f aca="false">IF(OR($C864="",$N864=""),"",DATE(YEAR($N864),MONTH($N864),1))</f>
        <v/>
      </c>
      <c r="AL864" s="11" t="str">
        <f aca="false">IF($C864="","",IF($M864="Abierta",0,1))</f>
        <v/>
      </c>
      <c r="AM864" s="16" t="str">
        <f aca="false">IF(OR($AE864="",$AD864=""),"",$AD864*MAX(N($X864),1))</f>
        <v/>
      </c>
      <c r="AN864" s="10" t="str">
        <f aca="false">IF($C864="","",IF(OR($B864="",$D864="",$H864="",$K864="",$M864=""),"Faltan datos obligatorios",IF($T864="","Estrategia no reconocida",IF(AND($M864&lt;&gt;"Abierta",$N864=""),"Falta fecha cierre",IF(AND(OR($M864="Cerrada",$M864="Rolada"),$O864=""),"Falta prima cierre",IF(AND($N864&lt;&gt;"",$N864&lt;$B864),"Cierre anterior a apertura",IF(AND($M864="Asignada",$R864=""),"Asignada: falta ID lote acciones",IF(AND($R864&lt;&gt;"",ISNA(MATCH($R864,Acciones!$A$2:$A$201,0))),"El ID lote no existe en Acciones",IF($AD864="","Revisa capital en riesgo","OK")))))))))</f>
        <v/>
      </c>
    </row>
    <row r="865" customFormat="false" ht="15" hidden="false" customHeight="true" outlineLevel="0" collapsed="false">
      <c r="A865" s="5"/>
      <c r="B865" s="6"/>
      <c r="C865" s="7"/>
      <c r="D865" s="7"/>
      <c r="E865" s="8"/>
      <c r="F865" s="8"/>
      <c r="G865" s="6"/>
      <c r="H865" s="5"/>
      <c r="I865" s="5" t="n">
        <v>100</v>
      </c>
      <c r="J865" s="8"/>
      <c r="K865" s="8"/>
      <c r="L865" s="9"/>
      <c r="M865" s="7"/>
      <c r="N865" s="6"/>
      <c r="O865" s="8"/>
      <c r="P865" s="9"/>
      <c r="Q865" s="9"/>
      <c r="R865" s="7"/>
      <c r="S865" s="7"/>
      <c r="T865" s="10" t="str">
        <f aca="false">IF($C865="","",IFERROR(INDEX(Listas!$B$2:$B$20,MATCH($D865,Listas!$A$2:$A$20,0)),""))</f>
        <v/>
      </c>
      <c r="U865" s="10" t="str">
        <f aca="false">IF($C865="","",IFERROR(INDEX(Listas!$C$2:$C$20,MATCH($D865,Listas!$A$2:$A$20,0)),""))</f>
        <v/>
      </c>
      <c r="V865" s="10" t="str">
        <f aca="false">IF($C865="","",IFERROR(INDEX(Listas!$D$2:$D$20,MATCH($D865,Listas!$A$2:$A$20,0)),""))</f>
        <v/>
      </c>
      <c r="W865" s="11" t="str">
        <f aca="false">IF(OR($C865="",$B865="",$G865=""),"",$G865-$B865)</f>
        <v/>
      </c>
      <c r="X865" s="11" t="str">
        <f aca="true">IF(OR($C865="",$B865=""),"",IF($N865&lt;&gt;"",$N865,TODAY())-$B865)</f>
        <v/>
      </c>
      <c r="Y865" s="11" t="str">
        <f aca="true">IF(OR($C865="",$M865&lt;&gt;"Abierta",$G865=""),"",MAX($G865-TODAY(),0))</f>
        <v/>
      </c>
      <c r="Z865" s="12" t="str">
        <f aca="false">IF($C865="","",N($K865)*N($H865)*N($I865)*IF($U865="Débito",-1,1))</f>
        <v/>
      </c>
      <c r="AA865" s="13" t="str">
        <f aca="false">IF($C865="","",IF(AND($U865="Débito",$F865&lt;&gt;""),$F865,$E865))</f>
        <v/>
      </c>
      <c r="AB865" s="13" t="str">
        <f aca="false">IF(OR($C865="",$T865="Mixta",$AA865=""),"",IF($V865="Subyacente",IF($J865="","",$J865-$K865),IF($T865="Put",$AA865-$K865,$AA865+$K865)))</f>
        <v/>
      </c>
      <c r="AC865" s="14" t="str">
        <f aca="false">IF(OR($C865="",$T865="Mixta",$J865="",$AA865=""),"",IF($T865="Put",($J865-$AA865)/$J865,($AA865-$J865)/$J865))</f>
        <v/>
      </c>
      <c r="AD865" s="12" t="str">
        <f aca="false">IF($C865="","",IF($Q865&lt;&gt;"",$Q865,IF($V865="Strike",N($E865)*$H865*$I865,IF($V865="Subyacente",IF($J865="","",$J865*$H865*$I865),IF($V865="Ancho",IF($F865="","",ABS($E865-$F865)*$H865*$I865-$K865*$H865*$I865),IF($V865="Prima",$K865*$H865*$I865,""))))))</f>
        <v/>
      </c>
      <c r="AE865" s="12" t="str">
        <f aca="false">IF(OR($C865="",$M865="Abierta",$M865=""),"",(N($K865)-IF(OR($M865="Cerrada",$M865="Rolada"),N($O865),0))*$H865*$I865*IF($U865="Débito",-1,1)-N($L865)-N($P865))</f>
        <v/>
      </c>
      <c r="AF865" s="14" t="str">
        <f aca="false">IF(OR($AE865="",$AD865=""),"",IF($AD865&lt;=0,"",$AE865/$AD865))</f>
        <v/>
      </c>
      <c r="AG865" s="14" t="str">
        <f aca="false">IF($AF865="","",$AF865*365/MAX(N($X865),1))</f>
        <v/>
      </c>
      <c r="AH865" s="14" t="str">
        <f aca="false">IF(OR($C865="",$U865&lt;&gt;"Crédito",$AD865=""),"",IF($AD865&lt;=0,"",($Z865-N($L865))/$AD865))</f>
        <v/>
      </c>
      <c r="AI865" s="14" t="str">
        <f aca="false">IF(OR($AH865="",$W865=""),"",$AH865*365/MAX($W865,1))</f>
        <v/>
      </c>
      <c r="AJ865" s="14" t="str">
        <f aca="false">IF(OR($AE865="",$U865&lt;&gt;"Crédito",N($K865)=0),"",(N($K865)-IF(OR($M865="Cerrada",$M865="Rolada"),N($O865),0))/$K865)</f>
        <v/>
      </c>
      <c r="AK865" s="15" t="str">
        <f aca="false">IF(OR($C865="",$N865=""),"",DATE(YEAR($N865),MONTH($N865),1))</f>
        <v/>
      </c>
      <c r="AL865" s="11" t="str">
        <f aca="false">IF($C865="","",IF($M865="Abierta",0,1))</f>
        <v/>
      </c>
      <c r="AM865" s="16" t="str">
        <f aca="false">IF(OR($AE865="",$AD865=""),"",$AD865*MAX(N($X865),1))</f>
        <v/>
      </c>
      <c r="AN865" s="10" t="str">
        <f aca="false">IF($C865="","",IF(OR($B865="",$D865="",$H865="",$K865="",$M865=""),"Faltan datos obligatorios",IF($T865="","Estrategia no reconocida",IF(AND($M865&lt;&gt;"Abierta",$N865=""),"Falta fecha cierre",IF(AND(OR($M865="Cerrada",$M865="Rolada"),$O865=""),"Falta prima cierre",IF(AND($N865&lt;&gt;"",$N865&lt;$B865),"Cierre anterior a apertura",IF(AND($M865="Asignada",$R865=""),"Asignada: falta ID lote acciones",IF(AND($R865&lt;&gt;"",ISNA(MATCH($R865,Acciones!$A$2:$A$201,0))),"El ID lote no existe en Acciones",IF($AD865="","Revisa capital en riesgo","OK")))))))))</f>
        <v/>
      </c>
    </row>
    <row r="866" customFormat="false" ht="15" hidden="false" customHeight="true" outlineLevel="0" collapsed="false">
      <c r="A866" s="5"/>
      <c r="B866" s="6"/>
      <c r="C866" s="7"/>
      <c r="D866" s="7"/>
      <c r="E866" s="8"/>
      <c r="F866" s="8"/>
      <c r="G866" s="6"/>
      <c r="H866" s="5"/>
      <c r="I866" s="5" t="n">
        <v>100</v>
      </c>
      <c r="J866" s="8"/>
      <c r="K866" s="8"/>
      <c r="L866" s="9"/>
      <c r="M866" s="7"/>
      <c r="N866" s="6"/>
      <c r="O866" s="8"/>
      <c r="P866" s="9"/>
      <c r="Q866" s="9"/>
      <c r="R866" s="7"/>
      <c r="S866" s="7"/>
      <c r="T866" s="10" t="str">
        <f aca="false">IF($C866="","",IFERROR(INDEX(Listas!$B$2:$B$20,MATCH($D866,Listas!$A$2:$A$20,0)),""))</f>
        <v/>
      </c>
      <c r="U866" s="10" t="str">
        <f aca="false">IF($C866="","",IFERROR(INDEX(Listas!$C$2:$C$20,MATCH($D866,Listas!$A$2:$A$20,0)),""))</f>
        <v/>
      </c>
      <c r="V866" s="10" t="str">
        <f aca="false">IF($C866="","",IFERROR(INDEX(Listas!$D$2:$D$20,MATCH($D866,Listas!$A$2:$A$20,0)),""))</f>
        <v/>
      </c>
      <c r="W866" s="11" t="str">
        <f aca="false">IF(OR($C866="",$B866="",$G866=""),"",$G866-$B866)</f>
        <v/>
      </c>
      <c r="X866" s="11" t="str">
        <f aca="true">IF(OR($C866="",$B866=""),"",IF($N866&lt;&gt;"",$N866,TODAY())-$B866)</f>
        <v/>
      </c>
      <c r="Y866" s="11" t="str">
        <f aca="true">IF(OR($C866="",$M866&lt;&gt;"Abierta",$G866=""),"",MAX($G866-TODAY(),0))</f>
        <v/>
      </c>
      <c r="Z866" s="12" t="str">
        <f aca="false">IF($C866="","",N($K866)*N($H866)*N($I866)*IF($U866="Débito",-1,1))</f>
        <v/>
      </c>
      <c r="AA866" s="13" t="str">
        <f aca="false">IF($C866="","",IF(AND($U866="Débito",$F866&lt;&gt;""),$F866,$E866))</f>
        <v/>
      </c>
      <c r="AB866" s="13" t="str">
        <f aca="false">IF(OR($C866="",$T866="Mixta",$AA866=""),"",IF($V866="Subyacente",IF($J866="","",$J866-$K866),IF($T866="Put",$AA866-$K866,$AA866+$K866)))</f>
        <v/>
      </c>
      <c r="AC866" s="14" t="str">
        <f aca="false">IF(OR($C866="",$T866="Mixta",$J866="",$AA866=""),"",IF($T866="Put",($J866-$AA866)/$J866,($AA866-$J866)/$J866))</f>
        <v/>
      </c>
      <c r="AD866" s="12" t="str">
        <f aca="false">IF($C866="","",IF($Q866&lt;&gt;"",$Q866,IF($V866="Strike",N($E866)*$H866*$I866,IF($V866="Subyacente",IF($J866="","",$J866*$H866*$I866),IF($V866="Ancho",IF($F866="","",ABS($E866-$F866)*$H866*$I866-$K866*$H866*$I866),IF($V866="Prima",$K866*$H866*$I866,""))))))</f>
        <v/>
      </c>
      <c r="AE866" s="12" t="str">
        <f aca="false">IF(OR($C866="",$M866="Abierta",$M866=""),"",(N($K866)-IF(OR($M866="Cerrada",$M866="Rolada"),N($O866),0))*$H866*$I866*IF($U866="Débito",-1,1)-N($L866)-N($P866))</f>
        <v/>
      </c>
      <c r="AF866" s="14" t="str">
        <f aca="false">IF(OR($AE866="",$AD866=""),"",IF($AD866&lt;=0,"",$AE866/$AD866))</f>
        <v/>
      </c>
      <c r="AG866" s="14" t="str">
        <f aca="false">IF($AF866="","",$AF866*365/MAX(N($X866),1))</f>
        <v/>
      </c>
      <c r="AH866" s="14" t="str">
        <f aca="false">IF(OR($C866="",$U866&lt;&gt;"Crédito",$AD866=""),"",IF($AD866&lt;=0,"",($Z866-N($L866))/$AD866))</f>
        <v/>
      </c>
      <c r="AI866" s="14" t="str">
        <f aca="false">IF(OR($AH866="",$W866=""),"",$AH866*365/MAX($W866,1))</f>
        <v/>
      </c>
      <c r="AJ866" s="14" t="str">
        <f aca="false">IF(OR($AE866="",$U866&lt;&gt;"Crédito",N($K866)=0),"",(N($K866)-IF(OR($M866="Cerrada",$M866="Rolada"),N($O866),0))/$K866)</f>
        <v/>
      </c>
      <c r="AK866" s="15" t="str">
        <f aca="false">IF(OR($C866="",$N866=""),"",DATE(YEAR($N866),MONTH($N866),1))</f>
        <v/>
      </c>
      <c r="AL866" s="11" t="str">
        <f aca="false">IF($C866="","",IF($M866="Abierta",0,1))</f>
        <v/>
      </c>
      <c r="AM866" s="16" t="str">
        <f aca="false">IF(OR($AE866="",$AD866=""),"",$AD866*MAX(N($X866),1))</f>
        <v/>
      </c>
      <c r="AN866" s="10" t="str">
        <f aca="false">IF($C866="","",IF(OR($B866="",$D866="",$H866="",$K866="",$M866=""),"Faltan datos obligatorios",IF($T866="","Estrategia no reconocida",IF(AND($M866&lt;&gt;"Abierta",$N866=""),"Falta fecha cierre",IF(AND(OR($M866="Cerrada",$M866="Rolada"),$O866=""),"Falta prima cierre",IF(AND($N866&lt;&gt;"",$N866&lt;$B866),"Cierre anterior a apertura",IF(AND($M866="Asignada",$R866=""),"Asignada: falta ID lote acciones",IF(AND($R866&lt;&gt;"",ISNA(MATCH($R866,Acciones!$A$2:$A$201,0))),"El ID lote no existe en Acciones",IF($AD866="","Revisa capital en riesgo","OK")))))))))</f>
        <v/>
      </c>
    </row>
    <row r="867" customFormat="false" ht="15" hidden="false" customHeight="true" outlineLevel="0" collapsed="false">
      <c r="A867" s="5"/>
      <c r="B867" s="6"/>
      <c r="C867" s="7"/>
      <c r="D867" s="7"/>
      <c r="E867" s="8"/>
      <c r="F867" s="8"/>
      <c r="G867" s="6"/>
      <c r="H867" s="5"/>
      <c r="I867" s="5" t="n">
        <v>100</v>
      </c>
      <c r="J867" s="8"/>
      <c r="K867" s="8"/>
      <c r="L867" s="9"/>
      <c r="M867" s="7"/>
      <c r="N867" s="6"/>
      <c r="O867" s="8"/>
      <c r="P867" s="9"/>
      <c r="Q867" s="9"/>
      <c r="R867" s="7"/>
      <c r="S867" s="7"/>
      <c r="T867" s="10" t="str">
        <f aca="false">IF($C867="","",IFERROR(INDEX(Listas!$B$2:$B$20,MATCH($D867,Listas!$A$2:$A$20,0)),""))</f>
        <v/>
      </c>
      <c r="U867" s="10" t="str">
        <f aca="false">IF($C867="","",IFERROR(INDEX(Listas!$C$2:$C$20,MATCH($D867,Listas!$A$2:$A$20,0)),""))</f>
        <v/>
      </c>
      <c r="V867" s="10" t="str">
        <f aca="false">IF($C867="","",IFERROR(INDEX(Listas!$D$2:$D$20,MATCH($D867,Listas!$A$2:$A$20,0)),""))</f>
        <v/>
      </c>
      <c r="W867" s="11" t="str">
        <f aca="false">IF(OR($C867="",$B867="",$G867=""),"",$G867-$B867)</f>
        <v/>
      </c>
      <c r="X867" s="11" t="str">
        <f aca="true">IF(OR($C867="",$B867=""),"",IF($N867&lt;&gt;"",$N867,TODAY())-$B867)</f>
        <v/>
      </c>
      <c r="Y867" s="11" t="str">
        <f aca="true">IF(OR($C867="",$M867&lt;&gt;"Abierta",$G867=""),"",MAX($G867-TODAY(),0))</f>
        <v/>
      </c>
      <c r="Z867" s="12" t="str">
        <f aca="false">IF($C867="","",N($K867)*N($H867)*N($I867)*IF($U867="Débito",-1,1))</f>
        <v/>
      </c>
      <c r="AA867" s="13" t="str">
        <f aca="false">IF($C867="","",IF(AND($U867="Débito",$F867&lt;&gt;""),$F867,$E867))</f>
        <v/>
      </c>
      <c r="AB867" s="13" t="str">
        <f aca="false">IF(OR($C867="",$T867="Mixta",$AA867=""),"",IF($V867="Subyacente",IF($J867="","",$J867-$K867),IF($T867="Put",$AA867-$K867,$AA867+$K867)))</f>
        <v/>
      </c>
      <c r="AC867" s="14" t="str">
        <f aca="false">IF(OR($C867="",$T867="Mixta",$J867="",$AA867=""),"",IF($T867="Put",($J867-$AA867)/$J867,($AA867-$J867)/$J867))</f>
        <v/>
      </c>
      <c r="AD867" s="12" t="str">
        <f aca="false">IF($C867="","",IF($Q867&lt;&gt;"",$Q867,IF($V867="Strike",N($E867)*$H867*$I867,IF($V867="Subyacente",IF($J867="","",$J867*$H867*$I867),IF($V867="Ancho",IF($F867="","",ABS($E867-$F867)*$H867*$I867-$K867*$H867*$I867),IF($V867="Prima",$K867*$H867*$I867,""))))))</f>
        <v/>
      </c>
      <c r="AE867" s="12" t="str">
        <f aca="false">IF(OR($C867="",$M867="Abierta",$M867=""),"",(N($K867)-IF(OR($M867="Cerrada",$M867="Rolada"),N($O867),0))*$H867*$I867*IF($U867="Débito",-1,1)-N($L867)-N($P867))</f>
        <v/>
      </c>
      <c r="AF867" s="14" t="str">
        <f aca="false">IF(OR($AE867="",$AD867=""),"",IF($AD867&lt;=0,"",$AE867/$AD867))</f>
        <v/>
      </c>
      <c r="AG867" s="14" t="str">
        <f aca="false">IF($AF867="","",$AF867*365/MAX(N($X867),1))</f>
        <v/>
      </c>
      <c r="AH867" s="14" t="str">
        <f aca="false">IF(OR($C867="",$U867&lt;&gt;"Crédito",$AD867=""),"",IF($AD867&lt;=0,"",($Z867-N($L867))/$AD867))</f>
        <v/>
      </c>
      <c r="AI867" s="14" t="str">
        <f aca="false">IF(OR($AH867="",$W867=""),"",$AH867*365/MAX($W867,1))</f>
        <v/>
      </c>
      <c r="AJ867" s="14" t="str">
        <f aca="false">IF(OR($AE867="",$U867&lt;&gt;"Crédito",N($K867)=0),"",(N($K867)-IF(OR($M867="Cerrada",$M867="Rolada"),N($O867),0))/$K867)</f>
        <v/>
      </c>
      <c r="AK867" s="15" t="str">
        <f aca="false">IF(OR($C867="",$N867=""),"",DATE(YEAR($N867),MONTH($N867),1))</f>
        <v/>
      </c>
      <c r="AL867" s="11" t="str">
        <f aca="false">IF($C867="","",IF($M867="Abierta",0,1))</f>
        <v/>
      </c>
      <c r="AM867" s="16" t="str">
        <f aca="false">IF(OR($AE867="",$AD867=""),"",$AD867*MAX(N($X867),1))</f>
        <v/>
      </c>
      <c r="AN867" s="10" t="str">
        <f aca="false">IF($C867="","",IF(OR($B867="",$D867="",$H867="",$K867="",$M867=""),"Faltan datos obligatorios",IF($T867="","Estrategia no reconocida",IF(AND($M867&lt;&gt;"Abierta",$N867=""),"Falta fecha cierre",IF(AND(OR($M867="Cerrada",$M867="Rolada"),$O867=""),"Falta prima cierre",IF(AND($N867&lt;&gt;"",$N867&lt;$B867),"Cierre anterior a apertura",IF(AND($M867="Asignada",$R867=""),"Asignada: falta ID lote acciones",IF(AND($R867&lt;&gt;"",ISNA(MATCH($R867,Acciones!$A$2:$A$201,0))),"El ID lote no existe en Acciones",IF($AD867="","Revisa capital en riesgo","OK")))))))))</f>
        <v/>
      </c>
    </row>
    <row r="868" customFormat="false" ht="15" hidden="false" customHeight="true" outlineLevel="0" collapsed="false">
      <c r="A868" s="5"/>
      <c r="B868" s="6"/>
      <c r="C868" s="7"/>
      <c r="D868" s="7"/>
      <c r="E868" s="8"/>
      <c r="F868" s="8"/>
      <c r="G868" s="6"/>
      <c r="H868" s="5"/>
      <c r="I868" s="5" t="n">
        <v>100</v>
      </c>
      <c r="J868" s="8"/>
      <c r="K868" s="8"/>
      <c r="L868" s="9"/>
      <c r="M868" s="7"/>
      <c r="N868" s="6"/>
      <c r="O868" s="8"/>
      <c r="P868" s="9"/>
      <c r="Q868" s="9"/>
      <c r="R868" s="7"/>
      <c r="S868" s="7"/>
      <c r="T868" s="10" t="str">
        <f aca="false">IF($C868="","",IFERROR(INDEX(Listas!$B$2:$B$20,MATCH($D868,Listas!$A$2:$A$20,0)),""))</f>
        <v/>
      </c>
      <c r="U868" s="10" t="str">
        <f aca="false">IF($C868="","",IFERROR(INDEX(Listas!$C$2:$C$20,MATCH($D868,Listas!$A$2:$A$20,0)),""))</f>
        <v/>
      </c>
      <c r="V868" s="10" t="str">
        <f aca="false">IF($C868="","",IFERROR(INDEX(Listas!$D$2:$D$20,MATCH($D868,Listas!$A$2:$A$20,0)),""))</f>
        <v/>
      </c>
      <c r="W868" s="11" t="str">
        <f aca="false">IF(OR($C868="",$B868="",$G868=""),"",$G868-$B868)</f>
        <v/>
      </c>
      <c r="X868" s="11" t="str">
        <f aca="true">IF(OR($C868="",$B868=""),"",IF($N868&lt;&gt;"",$N868,TODAY())-$B868)</f>
        <v/>
      </c>
      <c r="Y868" s="11" t="str">
        <f aca="true">IF(OR($C868="",$M868&lt;&gt;"Abierta",$G868=""),"",MAX($G868-TODAY(),0))</f>
        <v/>
      </c>
      <c r="Z868" s="12" t="str">
        <f aca="false">IF($C868="","",N($K868)*N($H868)*N($I868)*IF($U868="Débito",-1,1))</f>
        <v/>
      </c>
      <c r="AA868" s="13" t="str">
        <f aca="false">IF($C868="","",IF(AND($U868="Débito",$F868&lt;&gt;""),$F868,$E868))</f>
        <v/>
      </c>
      <c r="AB868" s="13" t="str">
        <f aca="false">IF(OR($C868="",$T868="Mixta",$AA868=""),"",IF($V868="Subyacente",IF($J868="","",$J868-$K868),IF($T868="Put",$AA868-$K868,$AA868+$K868)))</f>
        <v/>
      </c>
      <c r="AC868" s="14" t="str">
        <f aca="false">IF(OR($C868="",$T868="Mixta",$J868="",$AA868=""),"",IF($T868="Put",($J868-$AA868)/$J868,($AA868-$J868)/$J868))</f>
        <v/>
      </c>
      <c r="AD868" s="12" t="str">
        <f aca="false">IF($C868="","",IF($Q868&lt;&gt;"",$Q868,IF($V868="Strike",N($E868)*$H868*$I868,IF($V868="Subyacente",IF($J868="","",$J868*$H868*$I868),IF($V868="Ancho",IF($F868="","",ABS($E868-$F868)*$H868*$I868-$K868*$H868*$I868),IF($V868="Prima",$K868*$H868*$I868,""))))))</f>
        <v/>
      </c>
      <c r="AE868" s="12" t="str">
        <f aca="false">IF(OR($C868="",$M868="Abierta",$M868=""),"",(N($K868)-IF(OR($M868="Cerrada",$M868="Rolada"),N($O868),0))*$H868*$I868*IF($U868="Débito",-1,1)-N($L868)-N($P868))</f>
        <v/>
      </c>
      <c r="AF868" s="14" t="str">
        <f aca="false">IF(OR($AE868="",$AD868=""),"",IF($AD868&lt;=0,"",$AE868/$AD868))</f>
        <v/>
      </c>
      <c r="AG868" s="14" t="str">
        <f aca="false">IF($AF868="","",$AF868*365/MAX(N($X868),1))</f>
        <v/>
      </c>
      <c r="AH868" s="14" t="str">
        <f aca="false">IF(OR($C868="",$U868&lt;&gt;"Crédito",$AD868=""),"",IF($AD868&lt;=0,"",($Z868-N($L868))/$AD868))</f>
        <v/>
      </c>
      <c r="AI868" s="14" t="str">
        <f aca="false">IF(OR($AH868="",$W868=""),"",$AH868*365/MAX($W868,1))</f>
        <v/>
      </c>
      <c r="AJ868" s="14" t="str">
        <f aca="false">IF(OR($AE868="",$U868&lt;&gt;"Crédito",N($K868)=0),"",(N($K868)-IF(OR($M868="Cerrada",$M868="Rolada"),N($O868),0))/$K868)</f>
        <v/>
      </c>
      <c r="AK868" s="15" t="str">
        <f aca="false">IF(OR($C868="",$N868=""),"",DATE(YEAR($N868),MONTH($N868),1))</f>
        <v/>
      </c>
      <c r="AL868" s="11" t="str">
        <f aca="false">IF($C868="","",IF($M868="Abierta",0,1))</f>
        <v/>
      </c>
      <c r="AM868" s="16" t="str">
        <f aca="false">IF(OR($AE868="",$AD868=""),"",$AD868*MAX(N($X868),1))</f>
        <v/>
      </c>
      <c r="AN868" s="10" t="str">
        <f aca="false">IF($C868="","",IF(OR($B868="",$D868="",$H868="",$K868="",$M868=""),"Faltan datos obligatorios",IF($T868="","Estrategia no reconocida",IF(AND($M868&lt;&gt;"Abierta",$N868=""),"Falta fecha cierre",IF(AND(OR($M868="Cerrada",$M868="Rolada"),$O868=""),"Falta prima cierre",IF(AND($N868&lt;&gt;"",$N868&lt;$B868),"Cierre anterior a apertura",IF(AND($M868="Asignada",$R868=""),"Asignada: falta ID lote acciones",IF(AND($R868&lt;&gt;"",ISNA(MATCH($R868,Acciones!$A$2:$A$201,0))),"El ID lote no existe en Acciones",IF($AD868="","Revisa capital en riesgo","OK")))))))))</f>
        <v/>
      </c>
    </row>
    <row r="869" customFormat="false" ht="15" hidden="false" customHeight="true" outlineLevel="0" collapsed="false">
      <c r="A869" s="5"/>
      <c r="B869" s="6"/>
      <c r="C869" s="7"/>
      <c r="D869" s="7"/>
      <c r="E869" s="8"/>
      <c r="F869" s="8"/>
      <c r="G869" s="6"/>
      <c r="H869" s="5"/>
      <c r="I869" s="5" t="n">
        <v>100</v>
      </c>
      <c r="J869" s="8"/>
      <c r="K869" s="8"/>
      <c r="L869" s="9"/>
      <c r="M869" s="7"/>
      <c r="N869" s="6"/>
      <c r="O869" s="8"/>
      <c r="P869" s="9"/>
      <c r="Q869" s="9"/>
      <c r="R869" s="7"/>
      <c r="S869" s="7"/>
      <c r="T869" s="10" t="str">
        <f aca="false">IF($C869="","",IFERROR(INDEX(Listas!$B$2:$B$20,MATCH($D869,Listas!$A$2:$A$20,0)),""))</f>
        <v/>
      </c>
      <c r="U869" s="10" t="str">
        <f aca="false">IF($C869="","",IFERROR(INDEX(Listas!$C$2:$C$20,MATCH($D869,Listas!$A$2:$A$20,0)),""))</f>
        <v/>
      </c>
      <c r="V869" s="10" t="str">
        <f aca="false">IF($C869="","",IFERROR(INDEX(Listas!$D$2:$D$20,MATCH($D869,Listas!$A$2:$A$20,0)),""))</f>
        <v/>
      </c>
      <c r="W869" s="11" t="str">
        <f aca="false">IF(OR($C869="",$B869="",$G869=""),"",$G869-$B869)</f>
        <v/>
      </c>
      <c r="X869" s="11" t="str">
        <f aca="true">IF(OR($C869="",$B869=""),"",IF($N869&lt;&gt;"",$N869,TODAY())-$B869)</f>
        <v/>
      </c>
      <c r="Y869" s="11" t="str">
        <f aca="true">IF(OR($C869="",$M869&lt;&gt;"Abierta",$G869=""),"",MAX($G869-TODAY(),0))</f>
        <v/>
      </c>
      <c r="Z869" s="12" t="str">
        <f aca="false">IF($C869="","",N($K869)*N($H869)*N($I869)*IF($U869="Débito",-1,1))</f>
        <v/>
      </c>
      <c r="AA869" s="13" t="str">
        <f aca="false">IF($C869="","",IF(AND($U869="Débito",$F869&lt;&gt;""),$F869,$E869))</f>
        <v/>
      </c>
      <c r="AB869" s="13" t="str">
        <f aca="false">IF(OR($C869="",$T869="Mixta",$AA869=""),"",IF($V869="Subyacente",IF($J869="","",$J869-$K869),IF($T869="Put",$AA869-$K869,$AA869+$K869)))</f>
        <v/>
      </c>
      <c r="AC869" s="14" t="str">
        <f aca="false">IF(OR($C869="",$T869="Mixta",$J869="",$AA869=""),"",IF($T869="Put",($J869-$AA869)/$J869,($AA869-$J869)/$J869))</f>
        <v/>
      </c>
      <c r="AD869" s="12" t="str">
        <f aca="false">IF($C869="","",IF($Q869&lt;&gt;"",$Q869,IF($V869="Strike",N($E869)*$H869*$I869,IF($V869="Subyacente",IF($J869="","",$J869*$H869*$I869),IF($V869="Ancho",IF($F869="","",ABS($E869-$F869)*$H869*$I869-$K869*$H869*$I869),IF($V869="Prima",$K869*$H869*$I869,""))))))</f>
        <v/>
      </c>
      <c r="AE869" s="12" t="str">
        <f aca="false">IF(OR($C869="",$M869="Abierta",$M869=""),"",(N($K869)-IF(OR($M869="Cerrada",$M869="Rolada"),N($O869),0))*$H869*$I869*IF($U869="Débito",-1,1)-N($L869)-N($P869))</f>
        <v/>
      </c>
      <c r="AF869" s="14" t="str">
        <f aca="false">IF(OR($AE869="",$AD869=""),"",IF($AD869&lt;=0,"",$AE869/$AD869))</f>
        <v/>
      </c>
      <c r="AG869" s="14" t="str">
        <f aca="false">IF($AF869="","",$AF869*365/MAX(N($X869),1))</f>
        <v/>
      </c>
      <c r="AH869" s="14" t="str">
        <f aca="false">IF(OR($C869="",$U869&lt;&gt;"Crédito",$AD869=""),"",IF($AD869&lt;=0,"",($Z869-N($L869))/$AD869))</f>
        <v/>
      </c>
      <c r="AI869" s="14" t="str">
        <f aca="false">IF(OR($AH869="",$W869=""),"",$AH869*365/MAX($W869,1))</f>
        <v/>
      </c>
      <c r="AJ869" s="14" t="str">
        <f aca="false">IF(OR($AE869="",$U869&lt;&gt;"Crédito",N($K869)=0),"",(N($K869)-IF(OR($M869="Cerrada",$M869="Rolada"),N($O869),0))/$K869)</f>
        <v/>
      </c>
      <c r="AK869" s="15" t="str">
        <f aca="false">IF(OR($C869="",$N869=""),"",DATE(YEAR($N869),MONTH($N869),1))</f>
        <v/>
      </c>
      <c r="AL869" s="11" t="str">
        <f aca="false">IF($C869="","",IF($M869="Abierta",0,1))</f>
        <v/>
      </c>
      <c r="AM869" s="16" t="str">
        <f aca="false">IF(OR($AE869="",$AD869=""),"",$AD869*MAX(N($X869),1))</f>
        <v/>
      </c>
      <c r="AN869" s="10" t="str">
        <f aca="false">IF($C869="","",IF(OR($B869="",$D869="",$H869="",$K869="",$M869=""),"Faltan datos obligatorios",IF($T869="","Estrategia no reconocida",IF(AND($M869&lt;&gt;"Abierta",$N869=""),"Falta fecha cierre",IF(AND(OR($M869="Cerrada",$M869="Rolada"),$O869=""),"Falta prima cierre",IF(AND($N869&lt;&gt;"",$N869&lt;$B869),"Cierre anterior a apertura",IF(AND($M869="Asignada",$R869=""),"Asignada: falta ID lote acciones",IF(AND($R869&lt;&gt;"",ISNA(MATCH($R869,Acciones!$A$2:$A$201,0))),"El ID lote no existe en Acciones",IF($AD869="","Revisa capital en riesgo","OK")))))))))</f>
        <v/>
      </c>
    </row>
    <row r="870" customFormat="false" ht="15" hidden="false" customHeight="true" outlineLevel="0" collapsed="false">
      <c r="A870" s="5"/>
      <c r="B870" s="6"/>
      <c r="C870" s="7"/>
      <c r="D870" s="7"/>
      <c r="E870" s="8"/>
      <c r="F870" s="8"/>
      <c r="G870" s="6"/>
      <c r="H870" s="5"/>
      <c r="I870" s="5" t="n">
        <v>100</v>
      </c>
      <c r="J870" s="8"/>
      <c r="K870" s="8"/>
      <c r="L870" s="9"/>
      <c r="M870" s="7"/>
      <c r="N870" s="6"/>
      <c r="O870" s="8"/>
      <c r="P870" s="9"/>
      <c r="Q870" s="9"/>
      <c r="R870" s="7"/>
      <c r="S870" s="7"/>
      <c r="T870" s="10" t="str">
        <f aca="false">IF($C870="","",IFERROR(INDEX(Listas!$B$2:$B$20,MATCH($D870,Listas!$A$2:$A$20,0)),""))</f>
        <v/>
      </c>
      <c r="U870" s="10" t="str">
        <f aca="false">IF($C870="","",IFERROR(INDEX(Listas!$C$2:$C$20,MATCH($D870,Listas!$A$2:$A$20,0)),""))</f>
        <v/>
      </c>
      <c r="V870" s="10" t="str">
        <f aca="false">IF($C870="","",IFERROR(INDEX(Listas!$D$2:$D$20,MATCH($D870,Listas!$A$2:$A$20,0)),""))</f>
        <v/>
      </c>
      <c r="W870" s="11" t="str">
        <f aca="false">IF(OR($C870="",$B870="",$G870=""),"",$G870-$B870)</f>
        <v/>
      </c>
      <c r="X870" s="11" t="str">
        <f aca="true">IF(OR($C870="",$B870=""),"",IF($N870&lt;&gt;"",$N870,TODAY())-$B870)</f>
        <v/>
      </c>
      <c r="Y870" s="11" t="str">
        <f aca="true">IF(OR($C870="",$M870&lt;&gt;"Abierta",$G870=""),"",MAX($G870-TODAY(),0))</f>
        <v/>
      </c>
      <c r="Z870" s="12" t="str">
        <f aca="false">IF($C870="","",N($K870)*N($H870)*N($I870)*IF($U870="Débito",-1,1))</f>
        <v/>
      </c>
      <c r="AA870" s="13" t="str">
        <f aca="false">IF($C870="","",IF(AND($U870="Débito",$F870&lt;&gt;""),$F870,$E870))</f>
        <v/>
      </c>
      <c r="AB870" s="13" t="str">
        <f aca="false">IF(OR($C870="",$T870="Mixta",$AA870=""),"",IF($V870="Subyacente",IF($J870="","",$J870-$K870),IF($T870="Put",$AA870-$K870,$AA870+$K870)))</f>
        <v/>
      </c>
      <c r="AC870" s="14" t="str">
        <f aca="false">IF(OR($C870="",$T870="Mixta",$J870="",$AA870=""),"",IF($T870="Put",($J870-$AA870)/$J870,($AA870-$J870)/$J870))</f>
        <v/>
      </c>
      <c r="AD870" s="12" t="str">
        <f aca="false">IF($C870="","",IF($Q870&lt;&gt;"",$Q870,IF($V870="Strike",N($E870)*$H870*$I870,IF($V870="Subyacente",IF($J870="","",$J870*$H870*$I870),IF($V870="Ancho",IF($F870="","",ABS($E870-$F870)*$H870*$I870-$K870*$H870*$I870),IF($V870="Prima",$K870*$H870*$I870,""))))))</f>
        <v/>
      </c>
      <c r="AE870" s="12" t="str">
        <f aca="false">IF(OR($C870="",$M870="Abierta",$M870=""),"",(N($K870)-IF(OR($M870="Cerrada",$M870="Rolada"),N($O870),0))*$H870*$I870*IF($U870="Débito",-1,1)-N($L870)-N($P870))</f>
        <v/>
      </c>
      <c r="AF870" s="14" t="str">
        <f aca="false">IF(OR($AE870="",$AD870=""),"",IF($AD870&lt;=0,"",$AE870/$AD870))</f>
        <v/>
      </c>
      <c r="AG870" s="14" t="str">
        <f aca="false">IF($AF870="","",$AF870*365/MAX(N($X870),1))</f>
        <v/>
      </c>
      <c r="AH870" s="14" t="str">
        <f aca="false">IF(OR($C870="",$U870&lt;&gt;"Crédito",$AD870=""),"",IF($AD870&lt;=0,"",($Z870-N($L870))/$AD870))</f>
        <v/>
      </c>
      <c r="AI870" s="14" t="str">
        <f aca="false">IF(OR($AH870="",$W870=""),"",$AH870*365/MAX($W870,1))</f>
        <v/>
      </c>
      <c r="AJ870" s="14" t="str">
        <f aca="false">IF(OR($AE870="",$U870&lt;&gt;"Crédito",N($K870)=0),"",(N($K870)-IF(OR($M870="Cerrada",$M870="Rolada"),N($O870),0))/$K870)</f>
        <v/>
      </c>
      <c r="AK870" s="15" t="str">
        <f aca="false">IF(OR($C870="",$N870=""),"",DATE(YEAR($N870),MONTH($N870),1))</f>
        <v/>
      </c>
      <c r="AL870" s="11" t="str">
        <f aca="false">IF($C870="","",IF($M870="Abierta",0,1))</f>
        <v/>
      </c>
      <c r="AM870" s="16" t="str">
        <f aca="false">IF(OR($AE870="",$AD870=""),"",$AD870*MAX(N($X870),1))</f>
        <v/>
      </c>
      <c r="AN870" s="10" t="str">
        <f aca="false">IF($C870="","",IF(OR($B870="",$D870="",$H870="",$K870="",$M870=""),"Faltan datos obligatorios",IF($T870="","Estrategia no reconocida",IF(AND($M870&lt;&gt;"Abierta",$N870=""),"Falta fecha cierre",IF(AND(OR($M870="Cerrada",$M870="Rolada"),$O870=""),"Falta prima cierre",IF(AND($N870&lt;&gt;"",$N870&lt;$B870),"Cierre anterior a apertura",IF(AND($M870="Asignada",$R870=""),"Asignada: falta ID lote acciones",IF(AND($R870&lt;&gt;"",ISNA(MATCH($R870,Acciones!$A$2:$A$201,0))),"El ID lote no existe en Acciones",IF($AD870="","Revisa capital en riesgo","OK")))))))))</f>
        <v/>
      </c>
    </row>
    <row r="871" customFormat="false" ht="15" hidden="false" customHeight="true" outlineLevel="0" collapsed="false">
      <c r="A871" s="5"/>
      <c r="B871" s="6"/>
      <c r="C871" s="7"/>
      <c r="D871" s="7"/>
      <c r="E871" s="8"/>
      <c r="F871" s="8"/>
      <c r="G871" s="6"/>
      <c r="H871" s="5"/>
      <c r="I871" s="5" t="n">
        <v>100</v>
      </c>
      <c r="J871" s="8"/>
      <c r="K871" s="8"/>
      <c r="L871" s="9"/>
      <c r="M871" s="7"/>
      <c r="N871" s="6"/>
      <c r="O871" s="8"/>
      <c r="P871" s="9"/>
      <c r="Q871" s="9"/>
      <c r="R871" s="7"/>
      <c r="S871" s="7"/>
      <c r="T871" s="10" t="str">
        <f aca="false">IF($C871="","",IFERROR(INDEX(Listas!$B$2:$B$20,MATCH($D871,Listas!$A$2:$A$20,0)),""))</f>
        <v/>
      </c>
      <c r="U871" s="10" t="str">
        <f aca="false">IF($C871="","",IFERROR(INDEX(Listas!$C$2:$C$20,MATCH($D871,Listas!$A$2:$A$20,0)),""))</f>
        <v/>
      </c>
      <c r="V871" s="10" t="str">
        <f aca="false">IF($C871="","",IFERROR(INDEX(Listas!$D$2:$D$20,MATCH($D871,Listas!$A$2:$A$20,0)),""))</f>
        <v/>
      </c>
      <c r="W871" s="11" t="str">
        <f aca="false">IF(OR($C871="",$B871="",$G871=""),"",$G871-$B871)</f>
        <v/>
      </c>
      <c r="X871" s="11" t="str">
        <f aca="true">IF(OR($C871="",$B871=""),"",IF($N871&lt;&gt;"",$N871,TODAY())-$B871)</f>
        <v/>
      </c>
      <c r="Y871" s="11" t="str">
        <f aca="true">IF(OR($C871="",$M871&lt;&gt;"Abierta",$G871=""),"",MAX($G871-TODAY(),0))</f>
        <v/>
      </c>
      <c r="Z871" s="12" t="str">
        <f aca="false">IF($C871="","",N($K871)*N($H871)*N($I871)*IF($U871="Débito",-1,1))</f>
        <v/>
      </c>
      <c r="AA871" s="13" t="str">
        <f aca="false">IF($C871="","",IF(AND($U871="Débito",$F871&lt;&gt;""),$F871,$E871))</f>
        <v/>
      </c>
      <c r="AB871" s="13" t="str">
        <f aca="false">IF(OR($C871="",$T871="Mixta",$AA871=""),"",IF($V871="Subyacente",IF($J871="","",$J871-$K871),IF($T871="Put",$AA871-$K871,$AA871+$K871)))</f>
        <v/>
      </c>
      <c r="AC871" s="14" t="str">
        <f aca="false">IF(OR($C871="",$T871="Mixta",$J871="",$AA871=""),"",IF($T871="Put",($J871-$AA871)/$J871,($AA871-$J871)/$J871))</f>
        <v/>
      </c>
      <c r="AD871" s="12" t="str">
        <f aca="false">IF($C871="","",IF($Q871&lt;&gt;"",$Q871,IF($V871="Strike",N($E871)*$H871*$I871,IF($V871="Subyacente",IF($J871="","",$J871*$H871*$I871),IF($V871="Ancho",IF($F871="","",ABS($E871-$F871)*$H871*$I871-$K871*$H871*$I871),IF($V871="Prima",$K871*$H871*$I871,""))))))</f>
        <v/>
      </c>
      <c r="AE871" s="12" t="str">
        <f aca="false">IF(OR($C871="",$M871="Abierta",$M871=""),"",(N($K871)-IF(OR($M871="Cerrada",$M871="Rolada"),N($O871),0))*$H871*$I871*IF($U871="Débito",-1,1)-N($L871)-N($P871))</f>
        <v/>
      </c>
      <c r="AF871" s="14" t="str">
        <f aca="false">IF(OR($AE871="",$AD871=""),"",IF($AD871&lt;=0,"",$AE871/$AD871))</f>
        <v/>
      </c>
      <c r="AG871" s="14" t="str">
        <f aca="false">IF($AF871="","",$AF871*365/MAX(N($X871),1))</f>
        <v/>
      </c>
      <c r="AH871" s="14" t="str">
        <f aca="false">IF(OR($C871="",$U871&lt;&gt;"Crédito",$AD871=""),"",IF($AD871&lt;=0,"",($Z871-N($L871))/$AD871))</f>
        <v/>
      </c>
      <c r="AI871" s="14" t="str">
        <f aca="false">IF(OR($AH871="",$W871=""),"",$AH871*365/MAX($W871,1))</f>
        <v/>
      </c>
      <c r="AJ871" s="14" t="str">
        <f aca="false">IF(OR($AE871="",$U871&lt;&gt;"Crédito",N($K871)=0),"",(N($K871)-IF(OR($M871="Cerrada",$M871="Rolada"),N($O871),0))/$K871)</f>
        <v/>
      </c>
      <c r="AK871" s="15" t="str">
        <f aca="false">IF(OR($C871="",$N871=""),"",DATE(YEAR($N871),MONTH($N871),1))</f>
        <v/>
      </c>
      <c r="AL871" s="11" t="str">
        <f aca="false">IF($C871="","",IF($M871="Abierta",0,1))</f>
        <v/>
      </c>
      <c r="AM871" s="16" t="str">
        <f aca="false">IF(OR($AE871="",$AD871=""),"",$AD871*MAX(N($X871),1))</f>
        <v/>
      </c>
      <c r="AN871" s="10" t="str">
        <f aca="false">IF($C871="","",IF(OR($B871="",$D871="",$H871="",$K871="",$M871=""),"Faltan datos obligatorios",IF($T871="","Estrategia no reconocida",IF(AND($M871&lt;&gt;"Abierta",$N871=""),"Falta fecha cierre",IF(AND(OR($M871="Cerrada",$M871="Rolada"),$O871=""),"Falta prima cierre",IF(AND($N871&lt;&gt;"",$N871&lt;$B871),"Cierre anterior a apertura",IF(AND($M871="Asignada",$R871=""),"Asignada: falta ID lote acciones",IF(AND($R871&lt;&gt;"",ISNA(MATCH($R871,Acciones!$A$2:$A$201,0))),"El ID lote no existe en Acciones",IF($AD871="","Revisa capital en riesgo","OK")))))))))</f>
        <v/>
      </c>
    </row>
    <row r="872" customFormat="false" ht="15" hidden="false" customHeight="true" outlineLevel="0" collapsed="false">
      <c r="A872" s="5"/>
      <c r="B872" s="6"/>
      <c r="C872" s="7"/>
      <c r="D872" s="7"/>
      <c r="E872" s="8"/>
      <c r="F872" s="8"/>
      <c r="G872" s="6"/>
      <c r="H872" s="5"/>
      <c r="I872" s="5" t="n">
        <v>100</v>
      </c>
      <c r="J872" s="8"/>
      <c r="K872" s="8"/>
      <c r="L872" s="9"/>
      <c r="M872" s="7"/>
      <c r="N872" s="6"/>
      <c r="O872" s="8"/>
      <c r="P872" s="9"/>
      <c r="Q872" s="9"/>
      <c r="R872" s="7"/>
      <c r="S872" s="7"/>
      <c r="T872" s="10" t="str">
        <f aca="false">IF($C872="","",IFERROR(INDEX(Listas!$B$2:$B$20,MATCH($D872,Listas!$A$2:$A$20,0)),""))</f>
        <v/>
      </c>
      <c r="U872" s="10" t="str">
        <f aca="false">IF($C872="","",IFERROR(INDEX(Listas!$C$2:$C$20,MATCH($D872,Listas!$A$2:$A$20,0)),""))</f>
        <v/>
      </c>
      <c r="V872" s="10" t="str">
        <f aca="false">IF($C872="","",IFERROR(INDEX(Listas!$D$2:$D$20,MATCH($D872,Listas!$A$2:$A$20,0)),""))</f>
        <v/>
      </c>
      <c r="W872" s="11" t="str">
        <f aca="false">IF(OR($C872="",$B872="",$G872=""),"",$G872-$B872)</f>
        <v/>
      </c>
      <c r="X872" s="11" t="str">
        <f aca="true">IF(OR($C872="",$B872=""),"",IF($N872&lt;&gt;"",$N872,TODAY())-$B872)</f>
        <v/>
      </c>
      <c r="Y872" s="11" t="str">
        <f aca="true">IF(OR($C872="",$M872&lt;&gt;"Abierta",$G872=""),"",MAX($G872-TODAY(),0))</f>
        <v/>
      </c>
      <c r="Z872" s="12" t="str">
        <f aca="false">IF($C872="","",N($K872)*N($H872)*N($I872)*IF($U872="Débito",-1,1))</f>
        <v/>
      </c>
      <c r="AA872" s="13" t="str">
        <f aca="false">IF($C872="","",IF(AND($U872="Débito",$F872&lt;&gt;""),$F872,$E872))</f>
        <v/>
      </c>
      <c r="AB872" s="13" t="str">
        <f aca="false">IF(OR($C872="",$T872="Mixta",$AA872=""),"",IF($V872="Subyacente",IF($J872="","",$J872-$K872),IF($T872="Put",$AA872-$K872,$AA872+$K872)))</f>
        <v/>
      </c>
      <c r="AC872" s="14" t="str">
        <f aca="false">IF(OR($C872="",$T872="Mixta",$J872="",$AA872=""),"",IF($T872="Put",($J872-$AA872)/$J872,($AA872-$J872)/$J872))</f>
        <v/>
      </c>
      <c r="AD872" s="12" t="str">
        <f aca="false">IF($C872="","",IF($Q872&lt;&gt;"",$Q872,IF($V872="Strike",N($E872)*$H872*$I872,IF($V872="Subyacente",IF($J872="","",$J872*$H872*$I872),IF($V872="Ancho",IF($F872="","",ABS($E872-$F872)*$H872*$I872-$K872*$H872*$I872),IF($V872="Prima",$K872*$H872*$I872,""))))))</f>
        <v/>
      </c>
      <c r="AE872" s="12" t="str">
        <f aca="false">IF(OR($C872="",$M872="Abierta",$M872=""),"",(N($K872)-IF(OR($M872="Cerrada",$M872="Rolada"),N($O872),0))*$H872*$I872*IF($U872="Débito",-1,1)-N($L872)-N($P872))</f>
        <v/>
      </c>
      <c r="AF872" s="14" t="str">
        <f aca="false">IF(OR($AE872="",$AD872=""),"",IF($AD872&lt;=0,"",$AE872/$AD872))</f>
        <v/>
      </c>
      <c r="AG872" s="14" t="str">
        <f aca="false">IF($AF872="","",$AF872*365/MAX(N($X872),1))</f>
        <v/>
      </c>
      <c r="AH872" s="14" t="str">
        <f aca="false">IF(OR($C872="",$U872&lt;&gt;"Crédito",$AD872=""),"",IF($AD872&lt;=0,"",($Z872-N($L872))/$AD872))</f>
        <v/>
      </c>
      <c r="AI872" s="14" t="str">
        <f aca="false">IF(OR($AH872="",$W872=""),"",$AH872*365/MAX($W872,1))</f>
        <v/>
      </c>
      <c r="AJ872" s="14" t="str">
        <f aca="false">IF(OR($AE872="",$U872&lt;&gt;"Crédito",N($K872)=0),"",(N($K872)-IF(OR($M872="Cerrada",$M872="Rolada"),N($O872),0))/$K872)</f>
        <v/>
      </c>
      <c r="AK872" s="15" t="str">
        <f aca="false">IF(OR($C872="",$N872=""),"",DATE(YEAR($N872),MONTH($N872),1))</f>
        <v/>
      </c>
      <c r="AL872" s="11" t="str">
        <f aca="false">IF($C872="","",IF($M872="Abierta",0,1))</f>
        <v/>
      </c>
      <c r="AM872" s="16" t="str">
        <f aca="false">IF(OR($AE872="",$AD872=""),"",$AD872*MAX(N($X872),1))</f>
        <v/>
      </c>
      <c r="AN872" s="10" t="str">
        <f aca="false">IF($C872="","",IF(OR($B872="",$D872="",$H872="",$K872="",$M872=""),"Faltan datos obligatorios",IF($T872="","Estrategia no reconocida",IF(AND($M872&lt;&gt;"Abierta",$N872=""),"Falta fecha cierre",IF(AND(OR($M872="Cerrada",$M872="Rolada"),$O872=""),"Falta prima cierre",IF(AND($N872&lt;&gt;"",$N872&lt;$B872),"Cierre anterior a apertura",IF(AND($M872="Asignada",$R872=""),"Asignada: falta ID lote acciones",IF(AND($R872&lt;&gt;"",ISNA(MATCH($R872,Acciones!$A$2:$A$201,0))),"El ID lote no existe en Acciones",IF($AD872="","Revisa capital en riesgo","OK")))))))))</f>
        <v/>
      </c>
    </row>
    <row r="873" customFormat="false" ht="15" hidden="false" customHeight="true" outlineLevel="0" collapsed="false">
      <c r="A873" s="5"/>
      <c r="B873" s="6"/>
      <c r="C873" s="7"/>
      <c r="D873" s="7"/>
      <c r="E873" s="8"/>
      <c r="F873" s="8"/>
      <c r="G873" s="6"/>
      <c r="H873" s="5"/>
      <c r="I873" s="5" t="n">
        <v>100</v>
      </c>
      <c r="J873" s="8"/>
      <c r="K873" s="8"/>
      <c r="L873" s="9"/>
      <c r="M873" s="7"/>
      <c r="N873" s="6"/>
      <c r="O873" s="8"/>
      <c r="P873" s="9"/>
      <c r="Q873" s="9"/>
      <c r="R873" s="7"/>
      <c r="S873" s="7"/>
      <c r="T873" s="10" t="str">
        <f aca="false">IF($C873="","",IFERROR(INDEX(Listas!$B$2:$B$20,MATCH($D873,Listas!$A$2:$A$20,0)),""))</f>
        <v/>
      </c>
      <c r="U873" s="10" t="str">
        <f aca="false">IF($C873="","",IFERROR(INDEX(Listas!$C$2:$C$20,MATCH($D873,Listas!$A$2:$A$20,0)),""))</f>
        <v/>
      </c>
      <c r="V873" s="10" t="str">
        <f aca="false">IF($C873="","",IFERROR(INDEX(Listas!$D$2:$D$20,MATCH($D873,Listas!$A$2:$A$20,0)),""))</f>
        <v/>
      </c>
      <c r="W873" s="11" t="str">
        <f aca="false">IF(OR($C873="",$B873="",$G873=""),"",$G873-$B873)</f>
        <v/>
      </c>
      <c r="X873" s="11" t="str">
        <f aca="true">IF(OR($C873="",$B873=""),"",IF($N873&lt;&gt;"",$N873,TODAY())-$B873)</f>
        <v/>
      </c>
      <c r="Y873" s="11" t="str">
        <f aca="true">IF(OR($C873="",$M873&lt;&gt;"Abierta",$G873=""),"",MAX($G873-TODAY(),0))</f>
        <v/>
      </c>
      <c r="Z873" s="12" t="str">
        <f aca="false">IF($C873="","",N($K873)*N($H873)*N($I873)*IF($U873="Débito",-1,1))</f>
        <v/>
      </c>
      <c r="AA873" s="13" t="str">
        <f aca="false">IF($C873="","",IF(AND($U873="Débito",$F873&lt;&gt;""),$F873,$E873))</f>
        <v/>
      </c>
      <c r="AB873" s="13" t="str">
        <f aca="false">IF(OR($C873="",$T873="Mixta",$AA873=""),"",IF($V873="Subyacente",IF($J873="","",$J873-$K873),IF($T873="Put",$AA873-$K873,$AA873+$K873)))</f>
        <v/>
      </c>
      <c r="AC873" s="14" t="str">
        <f aca="false">IF(OR($C873="",$T873="Mixta",$J873="",$AA873=""),"",IF($T873="Put",($J873-$AA873)/$J873,($AA873-$J873)/$J873))</f>
        <v/>
      </c>
      <c r="AD873" s="12" t="str">
        <f aca="false">IF($C873="","",IF($Q873&lt;&gt;"",$Q873,IF($V873="Strike",N($E873)*$H873*$I873,IF($V873="Subyacente",IF($J873="","",$J873*$H873*$I873),IF($V873="Ancho",IF($F873="","",ABS($E873-$F873)*$H873*$I873-$K873*$H873*$I873),IF($V873="Prima",$K873*$H873*$I873,""))))))</f>
        <v/>
      </c>
      <c r="AE873" s="12" t="str">
        <f aca="false">IF(OR($C873="",$M873="Abierta",$M873=""),"",(N($K873)-IF(OR($M873="Cerrada",$M873="Rolada"),N($O873),0))*$H873*$I873*IF($U873="Débito",-1,1)-N($L873)-N($P873))</f>
        <v/>
      </c>
      <c r="AF873" s="14" t="str">
        <f aca="false">IF(OR($AE873="",$AD873=""),"",IF($AD873&lt;=0,"",$AE873/$AD873))</f>
        <v/>
      </c>
      <c r="AG873" s="14" t="str">
        <f aca="false">IF($AF873="","",$AF873*365/MAX(N($X873),1))</f>
        <v/>
      </c>
      <c r="AH873" s="14" t="str">
        <f aca="false">IF(OR($C873="",$U873&lt;&gt;"Crédito",$AD873=""),"",IF($AD873&lt;=0,"",($Z873-N($L873))/$AD873))</f>
        <v/>
      </c>
      <c r="AI873" s="14" t="str">
        <f aca="false">IF(OR($AH873="",$W873=""),"",$AH873*365/MAX($W873,1))</f>
        <v/>
      </c>
      <c r="AJ873" s="14" t="str">
        <f aca="false">IF(OR($AE873="",$U873&lt;&gt;"Crédito",N($K873)=0),"",(N($K873)-IF(OR($M873="Cerrada",$M873="Rolada"),N($O873),0))/$K873)</f>
        <v/>
      </c>
      <c r="AK873" s="15" t="str">
        <f aca="false">IF(OR($C873="",$N873=""),"",DATE(YEAR($N873),MONTH($N873),1))</f>
        <v/>
      </c>
      <c r="AL873" s="11" t="str">
        <f aca="false">IF($C873="","",IF($M873="Abierta",0,1))</f>
        <v/>
      </c>
      <c r="AM873" s="16" t="str">
        <f aca="false">IF(OR($AE873="",$AD873=""),"",$AD873*MAX(N($X873),1))</f>
        <v/>
      </c>
      <c r="AN873" s="10" t="str">
        <f aca="false">IF($C873="","",IF(OR($B873="",$D873="",$H873="",$K873="",$M873=""),"Faltan datos obligatorios",IF($T873="","Estrategia no reconocida",IF(AND($M873&lt;&gt;"Abierta",$N873=""),"Falta fecha cierre",IF(AND(OR($M873="Cerrada",$M873="Rolada"),$O873=""),"Falta prima cierre",IF(AND($N873&lt;&gt;"",$N873&lt;$B873),"Cierre anterior a apertura",IF(AND($M873="Asignada",$R873=""),"Asignada: falta ID lote acciones",IF(AND($R873&lt;&gt;"",ISNA(MATCH($R873,Acciones!$A$2:$A$201,0))),"El ID lote no existe en Acciones",IF($AD873="","Revisa capital en riesgo","OK")))))))))</f>
        <v/>
      </c>
    </row>
    <row r="874" customFormat="false" ht="15" hidden="false" customHeight="true" outlineLevel="0" collapsed="false">
      <c r="A874" s="5"/>
      <c r="B874" s="6"/>
      <c r="C874" s="7"/>
      <c r="D874" s="7"/>
      <c r="E874" s="8"/>
      <c r="F874" s="8"/>
      <c r="G874" s="6"/>
      <c r="H874" s="5"/>
      <c r="I874" s="5" t="n">
        <v>100</v>
      </c>
      <c r="J874" s="8"/>
      <c r="K874" s="8"/>
      <c r="L874" s="9"/>
      <c r="M874" s="7"/>
      <c r="N874" s="6"/>
      <c r="O874" s="8"/>
      <c r="P874" s="9"/>
      <c r="Q874" s="9"/>
      <c r="R874" s="7"/>
      <c r="S874" s="7"/>
      <c r="T874" s="10" t="str">
        <f aca="false">IF($C874="","",IFERROR(INDEX(Listas!$B$2:$B$20,MATCH($D874,Listas!$A$2:$A$20,0)),""))</f>
        <v/>
      </c>
      <c r="U874" s="10" t="str">
        <f aca="false">IF($C874="","",IFERROR(INDEX(Listas!$C$2:$C$20,MATCH($D874,Listas!$A$2:$A$20,0)),""))</f>
        <v/>
      </c>
      <c r="V874" s="10" t="str">
        <f aca="false">IF($C874="","",IFERROR(INDEX(Listas!$D$2:$D$20,MATCH($D874,Listas!$A$2:$A$20,0)),""))</f>
        <v/>
      </c>
      <c r="W874" s="11" t="str">
        <f aca="false">IF(OR($C874="",$B874="",$G874=""),"",$G874-$B874)</f>
        <v/>
      </c>
      <c r="X874" s="11" t="str">
        <f aca="true">IF(OR($C874="",$B874=""),"",IF($N874&lt;&gt;"",$N874,TODAY())-$B874)</f>
        <v/>
      </c>
      <c r="Y874" s="11" t="str">
        <f aca="true">IF(OR($C874="",$M874&lt;&gt;"Abierta",$G874=""),"",MAX($G874-TODAY(),0))</f>
        <v/>
      </c>
      <c r="Z874" s="12" t="str">
        <f aca="false">IF($C874="","",N($K874)*N($H874)*N($I874)*IF($U874="Débito",-1,1))</f>
        <v/>
      </c>
      <c r="AA874" s="13" t="str">
        <f aca="false">IF($C874="","",IF(AND($U874="Débito",$F874&lt;&gt;""),$F874,$E874))</f>
        <v/>
      </c>
      <c r="AB874" s="13" t="str">
        <f aca="false">IF(OR($C874="",$T874="Mixta",$AA874=""),"",IF($V874="Subyacente",IF($J874="","",$J874-$K874),IF($T874="Put",$AA874-$K874,$AA874+$K874)))</f>
        <v/>
      </c>
      <c r="AC874" s="14" t="str">
        <f aca="false">IF(OR($C874="",$T874="Mixta",$J874="",$AA874=""),"",IF($T874="Put",($J874-$AA874)/$J874,($AA874-$J874)/$J874))</f>
        <v/>
      </c>
      <c r="AD874" s="12" t="str">
        <f aca="false">IF($C874="","",IF($Q874&lt;&gt;"",$Q874,IF($V874="Strike",N($E874)*$H874*$I874,IF($V874="Subyacente",IF($J874="","",$J874*$H874*$I874),IF($V874="Ancho",IF($F874="","",ABS($E874-$F874)*$H874*$I874-$K874*$H874*$I874),IF($V874="Prima",$K874*$H874*$I874,""))))))</f>
        <v/>
      </c>
      <c r="AE874" s="12" t="str">
        <f aca="false">IF(OR($C874="",$M874="Abierta",$M874=""),"",(N($K874)-IF(OR($M874="Cerrada",$M874="Rolada"),N($O874),0))*$H874*$I874*IF($U874="Débito",-1,1)-N($L874)-N($P874))</f>
        <v/>
      </c>
      <c r="AF874" s="14" t="str">
        <f aca="false">IF(OR($AE874="",$AD874=""),"",IF($AD874&lt;=0,"",$AE874/$AD874))</f>
        <v/>
      </c>
      <c r="AG874" s="14" t="str">
        <f aca="false">IF($AF874="","",$AF874*365/MAX(N($X874),1))</f>
        <v/>
      </c>
      <c r="AH874" s="14" t="str">
        <f aca="false">IF(OR($C874="",$U874&lt;&gt;"Crédito",$AD874=""),"",IF($AD874&lt;=0,"",($Z874-N($L874))/$AD874))</f>
        <v/>
      </c>
      <c r="AI874" s="14" t="str">
        <f aca="false">IF(OR($AH874="",$W874=""),"",$AH874*365/MAX($W874,1))</f>
        <v/>
      </c>
      <c r="AJ874" s="14" t="str">
        <f aca="false">IF(OR($AE874="",$U874&lt;&gt;"Crédito",N($K874)=0),"",(N($K874)-IF(OR($M874="Cerrada",$M874="Rolada"),N($O874),0))/$K874)</f>
        <v/>
      </c>
      <c r="AK874" s="15" t="str">
        <f aca="false">IF(OR($C874="",$N874=""),"",DATE(YEAR($N874),MONTH($N874),1))</f>
        <v/>
      </c>
      <c r="AL874" s="11" t="str">
        <f aca="false">IF($C874="","",IF($M874="Abierta",0,1))</f>
        <v/>
      </c>
      <c r="AM874" s="16" t="str">
        <f aca="false">IF(OR($AE874="",$AD874=""),"",$AD874*MAX(N($X874),1))</f>
        <v/>
      </c>
      <c r="AN874" s="10" t="str">
        <f aca="false">IF($C874="","",IF(OR($B874="",$D874="",$H874="",$K874="",$M874=""),"Faltan datos obligatorios",IF($T874="","Estrategia no reconocida",IF(AND($M874&lt;&gt;"Abierta",$N874=""),"Falta fecha cierre",IF(AND(OR($M874="Cerrada",$M874="Rolada"),$O874=""),"Falta prima cierre",IF(AND($N874&lt;&gt;"",$N874&lt;$B874),"Cierre anterior a apertura",IF(AND($M874="Asignada",$R874=""),"Asignada: falta ID lote acciones",IF(AND($R874&lt;&gt;"",ISNA(MATCH($R874,Acciones!$A$2:$A$201,0))),"El ID lote no existe en Acciones",IF($AD874="","Revisa capital en riesgo","OK")))))))))</f>
        <v/>
      </c>
    </row>
    <row r="875" customFormat="false" ht="15" hidden="false" customHeight="true" outlineLevel="0" collapsed="false">
      <c r="A875" s="5"/>
      <c r="B875" s="6"/>
      <c r="C875" s="7"/>
      <c r="D875" s="7"/>
      <c r="E875" s="8"/>
      <c r="F875" s="8"/>
      <c r="G875" s="6"/>
      <c r="H875" s="5"/>
      <c r="I875" s="5" t="n">
        <v>100</v>
      </c>
      <c r="J875" s="8"/>
      <c r="K875" s="8"/>
      <c r="L875" s="9"/>
      <c r="M875" s="7"/>
      <c r="N875" s="6"/>
      <c r="O875" s="8"/>
      <c r="P875" s="9"/>
      <c r="Q875" s="9"/>
      <c r="R875" s="7"/>
      <c r="S875" s="7"/>
      <c r="T875" s="10" t="str">
        <f aca="false">IF($C875="","",IFERROR(INDEX(Listas!$B$2:$B$20,MATCH($D875,Listas!$A$2:$A$20,0)),""))</f>
        <v/>
      </c>
      <c r="U875" s="10" t="str">
        <f aca="false">IF($C875="","",IFERROR(INDEX(Listas!$C$2:$C$20,MATCH($D875,Listas!$A$2:$A$20,0)),""))</f>
        <v/>
      </c>
      <c r="V875" s="10" t="str">
        <f aca="false">IF($C875="","",IFERROR(INDEX(Listas!$D$2:$D$20,MATCH($D875,Listas!$A$2:$A$20,0)),""))</f>
        <v/>
      </c>
      <c r="W875" s="11" t="str">
        <f aca="false">IF(OR($C875="",$B875="",$G875=""),"",$G875-$B875)</f>
        <v/>
      </c>
      <c r="X875" s="11" t="str">
        <f aca="true">IF(OR($C875="",$B875=""),"",IF($N875&lt;&gt;"",$N875,TODAY())-$B875)</f>
        <v/>
      </c>
      <c r="Y875" s="11" t="str">
        <f aca="true">IF(OR($C875="",$M875&lt;&gt;"Abierta",$G875=""),"",MAX($G875-TODAY(),0))</f>
        <v/>
      </c>
      <c r="Z875" s="12" t="str">
        <f aca="false">IF($C875="","",N($K875)*N($H875)*N($I875)*IF($U875="Débito",-1,1))</f>
        <v/>
      </c>
      <c r="AA875" s="13" t="str">
        <f aca="false">IF($C875="","",IF(AND($U875="Débito",$F875&lt;&gt;""),$F875,$E875))</f>
        <v/>
      </c>
      <c r="AB875" s="13" t="str">
        <f aca="false">IF(OR($C875="",$T875="Mixta",$AA875=""),"",IF($V875="Subyacente",IF($J875="","",$J875-$K875),IF($T875="Put",$AA875-$K875,$AA875+$K875)))</f>
        <v/>
      </c>
      <c r="AC875" s="14" t="str">
        <f aca="false">IF(OR($C875="",$T875="Mixta",$J875="",$AA875=""),"",IF($T875="Put",($J875-$AA875)/$J875,($AA875-$J875)/$J875))</f>
        <v/>
      </c>
      <c r="AD875" s="12" t="str">
        <f aca="false">IF($C875="","",IF($Q875&lt;&gt;"",$Q875,IF($V875="Strike",N($E875)*$H875*$I875,IF($V875="Subyacente",IF($J875="","",$J875*$H875*$I875),IF($V875="Ancho",IF($F875="","",ABS($E875-$F875)*$H875*$I875-$K875*$H875*$I875),IF($V875="Prima",$K875*$H875*$I875,""))))))</f>
        <v/>
      </c>
      <c r="AE875" s="12" t="str">
        <f aca="false">IF(OR($C875="",$M875="Abierta",$M875=""),"",(N($K875)-IF(OR($M875="Cerrada",$M875="Rolada"),N($O875),0))*$H875*$I875*IF($U875="Débito",-1,1)-N($L875)-N($P875))</f>
        <v/>
      </c>
      <c r="AF875" s="14" t="str">
        <f aca="false">IF(OR($AE875="",$AD875=""),"",IF($AD875&lt;=0,"",$AE875/$AD875))</f>
        <v/>
      </c>
      <c r="AG875" s="14" t="str">
        <f aca="false">IF($AF875="","",$AF875*365/MAX(N($X875),1))</f>
        <v/>
      </c>
      <c r="AH875" s="14" t="str">
        <f aca="false">IF(OR($C875="",$U875&lt;&gt;"Crédito",$AD875=""),"",IF($AD875&lt;=0,"",($Z875-N($L875))/$AD875))</f>
        <v/>
      </c>
      <c r="AI875" s="14" t="str">
        <f aca="false">IF(OR($AH875="",$W875=""),"",$AH875*365/MAX($W875,1))</f>
        <v/>
      </c>
      <c r="AJ875" s="14" t="str">
        <f aca="false">IF(OR($AE875="",$U875&lt;&gt;"Crédito",N($K875)=0),"",(N($K875)-IF(OR($M875="Cerrada",$M875="Rolada"),N($O875),0))/$K875)</f>
        <v/>
      </c>
      <c r="AK875" s="15" t="str">
        <f aca="false">IF(OR($C875="",$N875=""),"",DATE(YEAR($N875),MONTH($N875),1))</f>
        <v/>
      </c>
      <c r="AL875" s="11" t="str">
        <f aca="false">IF($C875="","",IF($M875="Abierta",0,1))</f>
        <v/>
      </c>
      <c r="AM875" s="16" t="str">
        <f aca="false">IF(OR($AE875="",$AD875=""),"",$AD875*MAX(N($X875),1))</f>
        <v/>
      </c>
      <c r="AN875" s="10" t="str">
        <f aca="false">IF($C875="","",IF(OR($B875="",$D875="",$H875="",$K875="",$M875=""),"Faltan datos obligatorios",IF($T875="","Estrategia no reconocida",IF(AND($M875&lt;&gt;"Abierta",$N875=""),"Falta fecha cierre",IF(AND(OR($M875="Cerrada",$M875="Rolada"),$O875=""),"Falta prima cierre",IF(AND($N875&lt;&gt;"",$N875&lt;$B875),"Cierre anterior a apertura",IF(AND($M875="Asignada",$R875=""),"Asignada: falta ID lote acciones",IF(AND($R875&lt;&gt;"",ISNA(MATCH($R875,Acciones!$A$2:$A$201,0))),"El ID lote no existe en Acciones",IF($AD875="","Revisa capital en riesgo","OK")))))))))</f>
        <v/>
      </c>
    </row>
    <row r="876" customFormat="false" ht="15" hidden="false" customHeight="true" outlineLevel="0" collapsed="false">
      <c r="A876" s="5"/>
      <c r="B876" s="6"/>
      <c r="C876" s="7"/>
      <c r="D876" s="7"/>
      <c r="E876" s="8"/>
      <c r="F876" s="8"/>
      <c r="G876" s="6"/>
      <c r="H876" s="5"/>
      <c r="I876" s="5" t="n">
        <v>100</v>
      </c>
      <c r="J876" s="8"/>
      <c r="K876" s="8"/>
      <c r="L876" s="9"/>
      <c r="M876" s="7"/>
      <c r="N876" s="6"/>
      <c r="O876" s="8"/>
      <c r="P876" s="9"/>
      <c r="Q876" s="9"/>
      <c r="R876" s="7"/>
      <c r="S876" s="7"/>
      <c r="T876" s="10" t="str">
        <f aca="false">IF($C876="","",IFERROR(INDEX(Listas!$B$2:$B$20,MATCH($D876,Listas!$A$2:$A$20,0)),""))</f>
        <v/>
      </c>
      <c r="U876" s="10" t="str">
        <f aca="false">IF($C876="","",IFERROR(INDEX(Listas!$C$2:$C$20,MATCH($D876,Listas!$A$2:$A$20,0)),""))</f>
        <v/>
      </c>
      <c r="V876" s="10" t="str">
        <f aca="false">IF($C876="","",IFERROR(INDEX(Listas!$D$2:$D$20,MATCH($D876,Listas!$A$2:$A$20,0)),""))</f>
        <v/>
      </c>
      <c r="W876" s="11" t="str">
        <f aca="false">IF(OR($C876="",$B876="",$G876=""),"",$G876-$B876)</f>
        <v/>
      </c>
      <c r="X876" s="11" t="str">
        <f aca="true">IF(OR($C876="",$B876=""),"",IF($N876&lt;&gt;"",$N876,TODAY())-$B876)</f>
        <v/>
      </c>
      <c r="Y876" s="11" t="str">
        <f aca="true">IF(OR($C876="",$M876&lt;&gt;"Abierta",$G876=""),"",MAX($G876-TODAY(),0))</f>
        <v/>
      </c>
      <c r="Z876" s="12" t="str">
        <f aca="false">IF($C876="","",N($K876)*N($H876)*N($I876)*IF($U876="Débito",-1,1))</f>
        <v/>
      </c>
      <c r="AA876" s="13" t="str">
        <f aca="false">IF($C876="","",IF(AND($U876="Débito",$F876&lt;&gt;""),$F876,$E876))</f>
        <v/>
      </c>
      <c r="AB876" s="13" t="str">
        <f aca="false">IF(OR($C876="",$T876="Mixta",$AA876=""),"",IF($V876="Subyacente",IF($J876="","",$J876-$K876),IF($T876="Put",$AA876-$K876,$AA876+$K876)))</f>
        <v/>
      </c>
      <c r="AC876" s="14" t="str">
        <f aca="false">IF(OR($C876="",$T876="Mixta",$J876="",$AA876=""),"",IF($T876="Put",($J876-$AA876)/$J876,($AA876-$J876)/$J876))</f>
        <v/>
      </c>
      <c r="AD876" s="12" t="str">
        <f aca="false">IF($C876="","",IF($Q876&lt;&gt;"",$Q876,IF($V876="Strike",N($E876)*$H876*$I876,IF($V876="Subyacente",IF($J876="","",$J876*$H876*$I876),IF($V876="Ancho",IF($F876="","",ABS($E876-$F876)*$H876*$I876-$K876*$H876*$I876),IF($V876="Prima",$K876*$H876*$I876,""))))))</f>
        <v/>
      </c>
      <c r="AE876" s="12" t="str">
        <f aca="false">IF(OR($C876="",$M876="Abierta",$M876=""),"",(N($K876)-IF(OR($M876="Cerrada",$M876="Rolada"),N($O876),0))*$H876*$I876*IF($U876="Débito",-1,1)-N($L876)-N($P876))</f>
        <v/>
      </c>
      <c r="AF876" s="14" t="str">
        <f aca="false">IF(OR($AE876="",$AD876=""),"",IF($AD876&lt;=0,"",$AE876/$AD876))</f>
        <v/>
      </c>
      <c r="AG876" s="14" t="str">
        <f aca="false">IF($AF876="","",$AF876*365/MAX(N($X876),1))</f>
        <v/>
      </c>
      <c r="AH876" s="14" t="str">
        <f aca="false">IF(OR($C876="",$U876&lt;&gt;"Crédito",$AD876=""),"",IF($AD876&lt;=0,"",($Z876-N($L876))/$AD876))</f>
        <v/>
      </c>
      <c r="AI876" s="14" t="str">
        <f aca="false">IF(OR($AH876="",$W876=""),"",$AH876*365/MAX($W876,1))</f>
        <v/>
      </c>
      <c r="AJ876" s="14" t="str">
        <f aca="false">IF(OR($AE876="",$U876&lt;&gt;"Crédito",N($K876)=0),"",(N($K876)-IF(OR($M876="Cerrada",$M876="Rolada"),N($O876),0))/$K876)</f>
        <v/>
      </c>
      <c r="AK876" s="15" t="str">
        <f aca="false">IF(OR($C876="",$N876=""),"",DATE(YEAR($N876),MONTH($N876),1))</f>
        <v/>
      </c>
      <c r="AL876" s="11" t="str">
        <f aca="false">IF($C876="","",IF($M876="Abierta",0,1))</f>
        <v/>
      </c>
      <c r="AM876" s="16" t="str">
        <f aca="false">IF(OR($AE876="",$AD876=""),"",$AD876*MAX(N($X876),1))</f>
        <v/>
      </c>
      <c r="AN876" s="10" t="str">
        <f aca="false">IF($C876="","",IF(OR($B876="",$D876="",$H876="",$K876="",$M876=""),"Faltan datos obligatorios",IF($T876="","Estrategia no reconocida",IF(AND($M876&lt;&gt;"Abierta",$N876=""),"Falta fecha cierre",IF(AND(OR($M876="Cerrada",$M876="Rolada"),$O876=""),"Falta prima cierre",IF(AND($N876&lt;&gt;"",$N876&lt;$B876),"Cierre anterior a apertura",IF(AND($M876="Asignada",$R876=""),"Asignada: falta ID lote acciones",IF(AND($R876&lt;&gt;"",ISNA(MATCH($R876,Acciones!$A$2:$A$201,0))),"El ID lote no existe en Acciones",IF($AD876="","Revisa capital en riesgo","OK")))))))))</f>
        <v/>
      </c>
    </row>
    <row r="877" customFormat="false" ht="15" hidden="false" customHeight="true" outlineLevel="0" collapsed="false">
      <c r="A877" s="5"/>
      <c r="B877" s="6"/>
      <c r="C877" s="7"/>
      <c r="D877" s="7"/>
      <c r="E877" s="8"/>
      <c r="F877" s="8"/>
      <c r="G877" s="6"/>
      <c r="H877" s="5"/>
      <c r="I877" s="5" t="n">
        <v>100</v>
      </c>
      <c r="J877" s="8"/>
      <c r="K877" s="8"/>
      <c r="L877" s="9"/>
      <c r="M877" s="7"/>
      <c r="N877" s="6"/>
      <c r="O877" s="8"/>
      <c r="P877" s="9"/>
      <c r="Q877" s="9"/>
      <c r="R877" s="7"/>
      <c r="S877" s="7"/>
      <c r="T877" s="10" t="str">
        <f aca="false">IF($C877="","",IFERROR(INDEX(Listas!$B$2:$B$20,MATCH($D877,Listas!$A$2:$A$20,0)),""))</f>
        <v/>
      </c>
      <c r="U877" s="10" t="str">
        <f aca="false">IF($C877="","",IFERROR(INDEX(Listas!$C$2:$C$20,MATCH($D877,Listas!$A$2:$A$20,0)),""))</f>
        <v/>
      </c>
      <c r="V877" s="10" t="str">
        <f aca="false">IF($C877="","",IFERROR(INDEX(Listas!$D$2:$D$20,MATCH($D877,Listas!$A$2:$A$20,0)),""))</f>
        <v/>
      </c>
      <c r="W877" s="11" t="str">
        <f aca="false">IF(OR($C877="",$B877="",$G877=""),"",$G877-$B877)</f>
        <v/>
      </c>
      <c r="X877" s="11" t="str">
        <f aca="true">IF(OR($C877="",$B877=""),"",IF($N877&lt;&gt;"",$N877,TODAY())-$B877)</f>
        <v/>
      </c>
      <c r="Y877" s="11" t="str">
        <f aca="true">IF(OR($C877="",$M877&lt;&gt;"Abierta",$G877=""),"",MAX($G877-TODAY(),0))</f>
        <v/>
      </c>
      <c r="Z877" s="12" t="str">
        <f aca="false">IF($C877="","",N($K877)*N($H877)*N($I877)*IF($U877="Débito",-1,1))</f>
        <v/>
      </c>
      <c r="AA877" s="13" t="str">
        <f aca="false">IF($C877="","",IF(AND($U877="Débito",$F877&lt;&gt;""),$F877,$E877))</f>
        <v/>
      </c>
      <c r="AB877" s="13" t="str">
        <f aca="false">IF(OR($C877="",$T877="Mixta",$AA877=""),"",IF($V877="Subyacente",IF($J877="","",$J877-$K877),IF($T877="Put",$AA877-$K877,$AA877+$K877)))</f>
        <v/>
      </c>
      <c r="AC877" s="14" t="str">
        <f aca="false">IF(OR($C877="",$T877="Mixta",$J877="",$AA877=""),"",IF($T877="Put",($J877-$AA877)/$J877,($AA877-$J877)/$J877))</f>
        <v/>
      </c>
      <c r="AD877" s="12" t="str">
        <f aca="false">IF($C877="","",IF($Q877&lt;&gt;"",$Q877,IF($V877="Strike",N($E877)*$H877*$I877,IF($V877="Subyacente",IF($J877="","",$J877*$H877*$I877),IF($V877="Ancho",IF($F877="","",ABS($E877-$F877)*$H877*$I877-$K877*$H877*$I877),IF($V877="Prima",$K877*$H877*$I877,""))))))</f>
        <v/>
      </c>
      <c r="AE877" s="12" t="str">
        <f aca="false">IF(OR($C877="",$M877="Abierta",$M877=""),"",(N($K877)-IF(OR($M877="Cerrada",$M877="Rolada"),N($O877),0))*$H877*$I877*IF($U877="Débito",-1,1)-N($L877)-N($P877))</f>
        <v/>
      </c>
      <c r="AF877" s="14" t="str">
        <f aca="false">IF(OR($AE877="",$AD877=""),"",IF($AD877&lt;=0,"",$AE877/$AD877))</f>
        <v/>
      </c>
      <c r="AG877" s="14" t="str">
        <f aca="false">IF($AF877="","",$AF877*365/MAX(N($X877),1))</f>
        <v/>
      </c>
      <c r="AH877" s="14" t="str">
        <f aca="false">IF(OR($C877="",$U877&lt;&gt;"Crédito",$AD877=""),"",IF($AD877&lt;=0,"",($Z877-N($L877))/$AD877))</f>
        <v/>
      </c>
      <c r="AI877" s="14" t="str">
        <f aca="false">IF(OR($AH877="",$W877=""),"",$AH877*365/MAX($W877,1))</f>
        <v/>
      </c>
      <c r="AJ877" s="14" t="str">
        <f aca="false">IF(OR($AE877="",$U877&lt;&gt;"Crédito",N($K877)=0),"",(N($K877)-IF(OR($M877="Cerrada",$M877="Rolada"),N($O877),0))/$K877)</f>
        <v/>
      </c>
      <c r="AK877" s="15" t="str">
        <f aca="false">IF(OR($C877="",$N877=""),"",DATE(YEAR($N877),MONTH($N877),1))</f>
        <v/>
      </c>
      <c r="AL877" s="11" t="str">
        <f aca="false">IF($C877="","",IF($M877="Abierta",0,1))</f>
        <v/>
      </c>
      <c r="AM877" s="16" t="str">
        <f aca="false">IF(OR($AE877="",$AD877=""),"",$AD877*MAX(N($X877),1))</f>
        <v/>
      </c>
      <c r="AN877" s="10" t="str">
        <f aca="false">IF($C877="","",IF(OR($B877="",$D877="",$H877="",$K877="",$M877=""),"Faltan datos obligatorios",IF($T877="","Estrategia no reconocida",IF(AND($M877&lt;&gt;"Abierta",$N877=""),"Falta fecha cierre",IF(AND(OR($M877="Cerrada",$M877="Rolada"),$O877=""),"Falta prima cierre",IF(AND($N877&lt;&gt;"",$N877&lt;$B877),"Cierre anterior a apertura",IF(AND($M877="Asignada",$R877=""),"Asignada: falta ID lote acciones",IF(AND($R877&lt;&gt;"",ISNA(MATCH($R877,Acciones!$A$2:$A$201,0))),"El ID lote no existe en Acciones",IF($AD877="","Revisa capital en riesgo","OK")))))))))</f>
        <v/>
      </c>
    </row>
    <row r="878" customFormat="false" ht="15" hidden="false" customHeight="true" outlineLevel="0" collapsed="false">
      <c r="A878" s="5"/>
      <c r="B878" s="6"/>
      <c r="C878" s="7"/>
      <c r="D878" s="7"/>
      <c r="E878" s="8"/>
      <c r="F878" s="8"/>
      <c r="G878" s="6"/>
      <c r="H878" s="5"/>
      <c r="I878" s="5" t="n">
        <v>100</v>
      </c>
      <c r="J878" s="8"/>
      <c r="K878" s="8"/>
      <c r="L878" s="9"/>
      <c r="M878" s="7"/>
      <c r="N878" s="6"/>
      <c r="O878" s="8"/>
      <c r="P878" s="9"/>
      <c r="Q878" s="9"/>
      <c r="R878" s="7"/>
      <c r="S878" s="7"/>
      <c r="T878" s="10" t="str">
        <f aca="false">IF($C878="","",IFERROR(INDEX(Listas!$B$2:$B$20,MATCH($D878,Listas!$A$2:$A$20,0)),""))</f>
        <v/>
      </c>
      <c r="U878" s="10" t="str">
        <f aca="false">IF($C878="","",IFERROR(INDEX(Listas!$C$2:$C$20,MATCH($D878,Listas!$A$2:$A$20,0)),""))</f>
        <v/>
      </c>
      <c r="V878" s="10" t="str">
        <f aca="false">IF($C878="","",IFERROR(INDEX(Listas!$D$2:$D$20,MATCH($D878,Listas!$A$2:$A$20,0)),""))</f>
        <v/>
      </c>
      <c r="W878" s="11" t="str">
        <f aca="false">IF(OR($C878="",$B878="",$G878=""),"",$G878-$B878)</f>
        <v/>
      </c>
      <c r="X878" s="11" t="str">
        <f aca="true">IF(OR($C878="",$B878=""),"",IF($N878&lt;&gt;"",$N878,TODAY())-$B878)</f>
        <v/>
      </c>
      <c r="Y878" s="11" t="str">
        <f aca="true">IF(OR($C878="",$M878&lt;&gt;"Abierta",$G878=""),"",MAX($G878-TODAY(),0))</f>
        <v/>
      </c>
      <c r="Z878" s="12" t="str">
        <f aca="false">IF($C878="","",N($K878)*N($H878)*N($I878)*IF($U878="Débito",-1,1))</f>
        <v/>
      </c>
      <c r="AA878" s="13" t="str">
        <f aca="false">IF($C878="","",IF(AND($U878="Débito",$F878&lt;&gt;""),$F878,$E878))</f>
        <v/>
      </c>
      <c r="AB878" s="13" t="str">
        <f aca="false">IF(OR($C878="",$T878="Mixta",$AA878=""),"",IF($V878="Subyacente",IF($J878="","",$J878-$K878),IF($T878="Put",$AA878-$K878,$AA878+$K878)))</f>
        <v/>
      </c>
      <c r="AC878" s="14" t="str">
        <f aca="false">IF(OR($C878="",$T878="Mixta",$J878="",$AA878=""),"",IF($T878="Put",($J878-$AA878)/$J878,($AA878-$J878)/$J878))</f>
        <v/>
      </c>
      <c r="AD878" s="12" t="str">
        <f aca="false">IF($C878="","",IF($Q878&lt;&gt;"",$Q878,IF($V878="Strike",N($E878)*$H878*$I878,IF($V878="Subyacente",IF($J878="","",$J878*$H878*$I878),IF($V878="Ancho",IF($F878="","",ABS($E878-$F878)*$H878*$I878-$K878*$H878*$I878),IF($V878="Prima",$K878*$H878*$I878,""))))))</f>
        <v/>
      </c>
      <c r="AE878" s="12" t="str">
        <f aca="false">IF(OR($C878="",$M878="Abierta",$M878=""),"",(N($K878)-IF(OR($M878="Cerrada",$M878="Rolada"),N($O878),0))*$H878*$I878*IF($U878="Débito",-1,1)-N($L878)-N($P878))</f>
        <v/>
      </c>
      <c r="AF878" s="14" t="str">
        <f aca="false">IF(OR($AE878="",$AD878=""),"",IF($AD878&lt;=0,"",$AE878/$AD878))</f>
        <v/>
      </c>
      <c r="AG878" s="14" t="str">
        <f aca="false">IF($AF878="","",$AF878*365/MAX(N($X878),1))</f>
        <v/>
      </c>
      <c r="AH878" s="14" t="str">
        <f aca="false">IF(OR($C878="",$U878&lt;&gt;"Crédito",$AD878=""),"",IF($AD878&lt;=0,"",($Z878-N($L878))/$AD878))</f>
        <v/>
      </c>
      <c r="AI878" s="14" t="str">
        <f aca="false">IF(OR($AH878="",$W878=""),"",$AH878*365/MAX($W878,1))</f>
        <v/>
      </c>
      <c r="AJ878" s="14" t="str">
        <f aca="false">IF(OR($AE878="",$U878&lt;&gt;"Crédito",N($K878)=0),"",(N($K878)-IF(OR($M878="Cerrada",$M878="Rolada"),N($O878),0))/$K878)</f>
        <v/>
      </c>
      <c r="AK878" s="15" t="str">
        <f aca="false">IF(OR($C878="",$N878=""),"",DATE(YEAR($N878),MONTH($N878),1))</f>
        <v/>
      </c>
      <c r="AL878" s="11" t="str">
        <f aca="false">IF($C878="","",IF($M878="Abierta",0,1))</f>
        <v/>
      </c>
      <c r="AM878" s="16" t="str">
        <f aca="false">IF(OR($AE878="",$AD878=""),"",$AD878*MAX(N($X878),1))</f>
        <v/>
      </c>
      <c r="AN878" s="10" t="str">
        <f aca="false">IF($C878="","",IF(OR($B878="",$D878="",$H878="",$K878="",$M878=""),"Faltan datos obligatorios",IF($T878="","Estrategia no reconocida",IF(AND($M878&lt;&gt;"Abierta",$N878=""),"Falta fecha cierre",IF(AND(OR($M878="Cerrada",$M878="Rolada"),$O878=""),"Falta prima cierre",IF(AND($N878&lt;&gt;"",$N878&lt;$B878),"Cierre anterior a apertura",IF(AND($M878="Asignada",$R878=""),"Asignada: falta ID lote acciones",IF(AND($R878&lt;&gt;"",ISNA(MATCH($R878,Acciones!$A$2:$A$201,0))),"El ID lote no existe en Acciones",IF($AD878="","Revisa capital en riesgo","OK")))))))))</f>
        <v/>
      </c>
    </row>
    <row r="879" customFormat="false" ht="15" hidden="false" customHeight="true" outlineLevel="0" collapsed="false">
      <c r="A879" s="5"/>
      <c r="B879" s="6"/>
      <c r="C879" s="7"/>
      <c r="D879" s="7"/>
      <c r="E879" s="8"/>
      <c r="F879" s="8"/>
      <c r="G879" s="6"/>
      <c r="H879" s="5"/>
      <c r="I879" s="5" t="n">
        <v>100</v>
      </c>
      <c r="J879" s="8"/>
      <c r="K879" s="8"/>
      <c r="L879" s="9"/>
      <c r="M879" s="7"/>
      <c r="N879" s="6"/>
      <c r="O879" s="8"/>
      <c r="P879" s="9"/>
      <c r="Q879" s="9"/>
      <c r="R879" s="7"/>
      <c r="S879" s="7"/>
      <c r="T879" s="10" t="str">
        <f aca="false">IF($C879="","",IFERROR(INDEX(Listas!$B$2:$B$20,MATCH($D879,Listas!$A$2:$A$20,0)),""))</f>
        <v/>
      </c>
      <c r="U879" s="10" t="str">
        <f aca="false">IF($C879="","",IFERROR(INDEX(Listas!$C$2:$C$20,MATCH($D879,Listas!$A$2:$A$20,0)),""))</f>
        <v/>
      </c>
      <c r="V879" s="10" t="str">
        <f aca="false">IF($C879="","",IFERROR(INDEX(Listas!$D$2:$D$20,MATCH($D879,Listas!$A$2:$A$20,0)),""))</f>
        <v/>
      </c>
      <c r="W879" s="11" t="str">
        <f aca="false">IF(OR($C879="",$B879="",$G879=""),"",$G879-$B879)</f>
        <v/>
      </c>
      <c r="X879" s="11" t="str">
        <f aca="true">IF(OR($C879="",$B879=""),"",IF($N879&lt;&gt;"",$N879,TODAY())-$B879)</f>
        <v/>
      </c>
      <c r="Y879" s="11" t="str">
        <f aca="true">IF(OR($C879="",$M879&lt;&gt;"Abierta",$G879=""),"",MAX($G879-TODAY(),0))</f>
        <v/>
      </c>
      <c r="Z879" s="12" t="str">
        <f aca="false">IF($C879="","",N($K879)*N($H879)*N($I879)*IF($U879="Débito",-1,1))</f>
        <v/>
      </c>
      <c r="AA879" s="13" t="str">
        <f aca="false">IF($C879="","",IF(AND($U879="Débito",$F879&lt;&gt;""),$F879,$E879))</f>
        <v/>
      </c>
      <c r="AB879" s="13" t="str">
        <f aca="false">IF(OR($C879="",$T879="Mixta",$AA879=""),"",IF($V879="Subyacente",IF($J879="","",$J879-$K879),IF($T879="Put",$AA879-$K879,$AA879+$K879)))</f>
        <v/>
      </c>
      <c r="AC879" s="14" t="str">
        <f aca="false">IF(OR($C879="",$T879="Mixta",$J879="",$AA879=""),"",IF($T879="Put",($J879-$AA879)/$J879,($AA879-$J879)/$J879))</f>
        <v/>
      </c>
      <c r="AD879" s="12" t="str">
        <f aca="false">IF($C879="","",IF($Q879&lt;&gt;"",$Q879,IF($V879="Strike",N($E879)*$H879*$I879,IF($V879="Subyacente",IF($J879="","",$J879*$H879*$I879),IF($V879="Ancho",IF($F879="","",ABS($E879-$F879)*$H879*$I879-$K879*$H879*$I879),IF($V879="Prima",$K879*$H879*$I879,""))))))</f>
        <v/>
      </c>
      <c r="AE879" s="12" t="str">
        <f aca="false">IF(OR($C879="",$M879="Abierta",$M879=""),"",(N($K879)-IF(OR($M879="Cerrada",$M879="Rolada"),N($O879),0))*$H879*$I879*IF($U879="Débito",-1,1)-N($L879)-N($P879))</f>
        <v/>
      </c>
      <c r="AF879" s="14" t="str">
        <f aca="false">IF(OR($AE879="",$AD879=""),"",IF($AD879&lt;=0,"",$AE879/$AD879))</f>
        <v/>
      </c>
      <c r="AG879" s="14" t="str">
        <f aca="false">IF($AF879="","",$AF879*365/MAX(N($X879),1))</f>
        <v/>
      </c>
      <c r="AH879" s="14" t="str">
        <f aca="false">IF(OR($C879="",$U879&lt;&gt;"Crédito",$AD879=""),"",IF($AD879&lt;=0,"",($Z879-N($L879))/$AD879))</f>
        <v/>
      </c>
      <c r="AI879" s="14" t="str">
        <f aca="false">IF(OR($AH879="",$W879=""),"",$AH879*365/MAX($W879,1))</f>
        <v/>
      </c>
      <c r="AJ879" s="14" t="str">
        <f aca="false">IF(OR($AE879="",$U879&lt;&gt;"Crédito",N($K879)=0),"",(N($K879)-IF(OR($M879="Cerrada",$M879="Rolada"),N($O879),0))/$K879)</f>
        <v/>
      </c>
      <c r="AK879" s="15" t="str">
        <f aca="false">IF(OR($C879="",$N879=""),"",DATE(YEAR($N879),MONTH($N879),1))</f>
        <v/>
      </c>
      <c r="AL879" s="11" t="str">
        <f aca="false">IF($C879="","",IF($M879="Abierta",0,1))</f>
        <v/>
      </c>
      <c r="AM879" s="16" t="str">
        <f aca="false">IF(OR($AE879="",$AD879=""),"",$AD879*MAX(N($X879),1))</f>
        <v/>
      </c>
      <c r="AN879" s="10" t="str">
        <f aca="false">IF($C879="","",IF(OR($B879="",$D879="",$H879="",$K879="",$M879=""),"Faltan datos obligatorios",IF($T879="","Estrategia no reconocida",IF(AND($M879&lt;&gt;"Abierta",$N879=""),"Falta fecha cierre",IF(AND(OR($M879="Cerrada",$M879="Rolada"),$O879=""),"Falta prima cierre",IF(AND($N879&lt;&gt;"",$N879&lt;$B879),"Cierre anterior a apertura",IF(AND($M879="Asignada",$R879=""),"Asignada: falta ID lote acciones",IF(AND($R879&lt;&gt;"",ISNA(MATCH($R879,Acciones!$A$2:$A$201,0))),"El ID lote no existe en Acciones",IF($AD879="","Revisa capital en riesgo","OK")))))))))</f>
        <v/>
      </c>
    </row>
    <row r="880" customFormat="false" ht="15" hidden="false" customHeight="true" outlineLevel="0" collapsed="false">
      <c r="A880" s="5"/>
      <c r="B880" s="6"/>
      <c r="C880" s="7"/>
      <c r="D880" s="7"/>
      <c r="E880" s="8"/>
      <c r="F880" s="8"/>
      <c r="G880" s="6"/>
      <c r="H880" s="5"/>
      <c r="I880" s="5" t="n">
        <v>100</v>
      </c>
      <c r="J880" s="8"/>
      <c r="K880" s="8"/>
      <c r="L880" s="9"/>
      <c r="M880" s="7"/>
      <c r="N880" s="6"/>
      <c r="O880" s="8"/>
      <c r="P880" s="9"/>
      <c r="Q880" s="9"/>
      <c r="R880" s="7"/>
      <c r="S880" s="7"/>
      <c r="T880" s="10" t="str">
        <f aca="false">IF($C880="","",IFERROR(INDEX(Listas!$B$2:$B$20,MATCH($D880,Listas!$A$2:$A$20,0)),""))</f>
        <v/>
      </c>
      <c r="U880" s="10" t="str">
        <f aca="false">IF($C880="","",IFERROR(INDEX(Listas!$C$2:$C$20,MATCH($D880,Listas!$A$2:$A$20,0)),""))</f>
        <v/>
      </c>
      <c r="V880" s="10" t="str">
        <f aca="false">IF($C880="","",IFERROR(INDEX(Listas!$D$2:$D$20,MATCH($D880,Listas!$A$2:$A$20,0)),""))</f>
        <v/>
      </c>
      <c r="W880" s="11" t="str">
        <f aca="false">IF(OR($C880="",$B880="",$G880=""),"",$G880-$B880)</f>
        <v/>
      </c>
      <c r="X880" s="11" t="str">
        <f aca="true">IF(OR($C880="",$B880=""),"",IF($N880&lt;&gt;"",$N880,TODAY())-$B880)</f>
        <v/>
      </c>
      <c r="Y880" s="11" t="str">
        <f aca="true">IF(OR($C880="",$M880&lt;&gt;"Abierta",$G880=""),"",MAX($G880-TODAY(),0))</f>
        <v/>
      </c>
      <c r="Z880" s="12" t="str">
        <f aca="false">IF($C880="","",N($K880)*N($H880)*N($I880)*IF($U880="Débito",-1,1))</f>
        <v/>
      </c>
      <c r="AA880" s="13" t="str">
        <f aca="false">IF($C880="","",IF(AND($U880="Débito",$F880&lt;&gt;""),$F880,$E880))</f>
        <v/>
      </c>
      <c r="AB880" s="13" t="str">
        <f aca="false">IF(OR($C880="",$T880="Mixta",$AA880=""),"",IF($V880="Subyacente",IF($J880="","",$J880-$K880),IF($T880="Put",$AA880-$K880,$AA880+$K880)))</f>
        <v/>
      </c>
      <c r="AC880" s="14" t="str">
        <f aca="false">IF(OR($C880="",$T880="Mixta",$J880="",$AA880=""),"",IF($T880="Put",($J880-$AA880)/$J880,($AA880-$J880)/$J880))</f>
        <v/>
      </c>
      <c r="AD880" s="12" t="str">
        <f aca="false">IF($C880="","",IF($Q880&lt;&gt;"",$Q880,IF($V880="Strike",N($E880)*$H880*$I880,IF($V880="Subyacente",IF($J880="","",$J880*$H880*$I880),IF($V880="Ancho",IF($F880="","",ABS($E880-$F880)*$H880*$I880-$K880*$H880*$I880),IF($V880="Prima",$K880*$H880*$I880,""))))))</f>
        <v/>
      </c>
      <c r="AE880" s="12" t="str">
        <f aca="false">IF(OR($C880="",$M880="Abierta",$M880=""),"",(N($K880)-IF(OR($M880="Cerrada",$M880="Rolada"),N($O880),0))*$H880*$I880*IF($U880="Débito",-1,1)-N($L880)-N($P880))</f>
        <v/>
      </c>
      <c r="AF880" s="14" t="str">
        <f aca="false">IF(OR($AE880="",$AD880=""),"",IF($AD880&lt;=0,"",$AE880/$AD880))</f>
        <v/>
      </c>
      <c r="AG880" s="14" t="str">
        <f aca="false">IF($AF880="","",$AF880*365/MAX(N($X880),1))</f>
        <v/>
      </c>
      <c r="AH880" s="14" t="str">
        <f aca="false">IF(OR($C880="",$U880&lt;&gt;"Crédito",$AD880=""),"",IF($AD880&lt;=0,"",($Z880-N($L880))/$AD880))</f>
        <v/>
      </c>
      <c r="AI880" s="14" t="str">
        <f aca="false">IF(OR($AH880="",$W880=""),"",$AH880*365/MAX($W880,1))</f>
        <v/>
      </c>
      <c r="AJ880" s="14" t="str">
        <f aca="false">IF(OR($AE880="",$U880&lt;&gt;"Crédito",N($K880)=0),"",(N($K880)-IF(OR($M880="Cerrada",$M880="Rolada"),N($O880),0))/$K880)</f>
        <v/>
      </c>
      <c r="AK880" s="15" t="str">
        <f aca="false">IF(OR($C880="",$N880=""),"",DATE(YEAR($N880),MONTH($N880),1))</f>
        <v/>
      </c>
      <c r="AL880" s="11" t="str">
        <f aca="false">IF($C880="","",IF($M880="Abierta",0,1))</f>
        <v/>
      </c>
      <c r="AM880" s="16" t="str">
        <f aca="false">IF(OR($AE880="",$AD880=""),"",$AD880*MAX(N($X880),1))</f>
        <v/>
      </c>
      <c r="AN880" s="10" t="str">
        <f aca="false">IF($C880="","",IF(OR($B880="",$D880="",$H880="",$K880="",$M880=""),"Faltan datos obligatorios",IF($T880="","Estrategia no reconocida",IF(AND($M880&lt;&gt;"Abierta",$N880=""),"Falta fecha cierre",IF(AND(OR($M880="Cerrada",$M880="Rolada"),$O880=""),"Falta prima cierre",IF(AND($N880&lt;&gt;"",$N880&lt;$B880),"Cierre anterior a apertura",IF(AND($M880="Asignada",$R880=""),"Asignada: falta ID lote acciones",IF(AND($R880&lt;&gt;"",ISNA(MATCH($R880,Acciones!$A$2:$A$201,0))),"El ID lote no existe en Acciones",IF($AD880="","Revisa capital en riesgo","OK")))))))))</f>
        <v/>
      </c>
    </row>
    <row r="881" customFormat="false" ht="15" hidden="false" customHeight="true" outlineLevel="0" collapsed="false">
      <c r="A881" s="5"/>
      <c r="B881" s="6"/>
      <c r="C881" s="7"/>
      <c r="D881" s="7"/>
      <c r="E881" s="8"/>
      <c r="F881" s="8"/>
      <c r="G881" s="6"/>
      <c r="H881" s="5"/>
      <c r="I881" s="5" t="n">
        <v>100</v>
      </c>
      <c r="J881" s="8"/>
      <c r="K881" s="8"/>
      <c r="L881" s="9"/>
      <c r="M881" s="7"/>
      <c r="N881" s="6"/>
      <c r="O881" s="8"/>
      <c r="P881" s="9"/>
      <c r="Q881" s="9"/>
      <c r="R881" s="7"/>
      <c r="S881" s="7"/>
      <c r="T881" s="10" t="str">
        <f aca="false">IF($C881="","",IFERROR(INDEX(Listas!$B$2:$B$20,MATCH($D881,Listas!$A$2:$A$20,0)),""))</f>
        <v/>
      </c>
      <c r="U881" s="10" t="str">
        <f aca="false">IF($C881="","",IFERROR(INDEX(Listas!$C$2:$C$20,MATCH($D881,Listas!$A$2:$A$20,0)),""))</f>
        <v/>
      </c>
      <c r="V881" s="10" t="str">
        <f aca="false">IF($C881="","",IFERROR(INDEX(Listas!$D$2:$D$20,MATCH($D881,Listas!$A$2:$A$20,0)),""))</f>
        <v/>
      </c>
      <c r="W881" s="11" t="str">
        <f aca="false">IF(OR($C881="",$B881="",$G881=""),"",$G881-$B881)</f>
        <v/>
      </c>
      <c r="X881" s="11" t="str">
        <f aca="true">IF(OR($C881="",$B881=""),"",IF($N881&lt;&gt;"",$N881,TODAY())-$B881)</f>
        <v/>
      </c>
      <c r="Y881" s="11" t="str">
        <f aca="true">IF(OR($C881="",$M881&lt;&gt;"Abierta",$G881=""),"",MAX($G881-TODAY(),0))</f>
        <v/>
      </c>
      <c r="Z881" s="12" t="str">
        <f aca="false">IF($C881="","",N($K881)*N($H881)*N($I881)*IF($U881="Débito",-1,1))</f>
        <v/>
      </c>
      <c r="AA881" s="13" t="str">
        <f aca="false">IF($C881="","",IF(AND($U881="Débito",$F881&lt;&gt;""),$F881,$E881))</f>
        <v/>
      </c>
      <c r="AB881" s="13" t="str">
        <f aca="false">IF(OR($C881="",$T881="Mixta",$AA881=""),"",IF($V881="Subyacente",IF($J881="","",$J881-$K881),IF($T881="Put",$AA881-$K881,$AA881+$K881)))</f>
        <v/>
      </c>
      <c r="AC881" s="14" t="str">
        <f aca="false">IF(OR($C881="",$T881="Mixta",$J881="",$AA881=""),"",IF($T881="Put",($J881-$AA881)/$J881,($AA881-$J881)/$J881))</f>
        <v/>
      </c>
      <c r="AD881" s="12" t="str">
        <f aca="false">IF($C881="","",IF($Q881&lt;&gt;"",$Q881,IF($V881="Strike",N($E881)*$H881*$I881,IF($V881="Subyacente",IF($J881="","",$J881*$H881*$I881),IF($V881="Ancho",IF($F881="","",ABS($E881-$F881)*$H881*$I881-$K881*$H881*$I881),IF($V881="Prima",$K881*$H881*$I881,""))))))</f>
        <v/>
      </c>
      <c r="AE881" s="12" t="str">
        <f aca="false">IF(OR($C881="",$M881="Abierta",$M881=""),"",(N($K881)-IF(OR($M881="Cerrada",$M881="Rolada"),N($O881),0))*$H881*$I881*IF($U881="Débito",-1,1)-N($L881)-N($P881))</f>
        <v/>
      </c>
      <c r="AF881" s="14" t="str">
        <f aca="false">IF(OR($AE881="",$AD881=""),"",IF($AD881&lt;=0,"",$AE881/$AD881))</f>
        <v/>
      </c>
      <c r="AG881" s="14" t="str">
        <f aca="false">IF($AF881="","",$AF881*365/MAX(N($X881),1))</f>
        <v/>
      </c>
      <c r="AH881" s="14" t="str">
        <f aca="false">IF(OR($C881="",$U881&lt;&gt;"Crédito",$AD881=""),"",IF($AD881&lt;=0,"",($Z881-N($L881))/$AD881))</f>
        <v/>
      </c>
      <c r="AI881" s="14" t="str">
        <f aca="false">IF(OR($AH881="",$W881=""),"",$AH881*365/MAX($W881,1))</f>
        <v/>
      </c>
      <c r="AJ881" s="14" t="str">
        <f aca="false">IF(OR($AE881="",$U881&lt;&gt;"Crédito",N($K881)=0),"",(N($K881)-IF(OR($M881="Cerrada",$M881="Rolada"),N($O881),0))/$K881)</f>
        <v/>
      </c>
      <c r="AK881" s="15" t="str">
        <f aca="false">IF(OR($C881="",$N881=""),"",DATE(YEAR($N881),MONTH($N881),1))</f>
        <v/>
      </c>
      <c r="AL881" s="11" t="str">
        <f aca="false">IF($C881="","",IF($M881="Abierta",0,1))</f>
        <v/>
      </c>
      <c r="AM881" s="16" t="str">
        <f aca="false">IF(OR($AE881="",$AD881=""),"",$AD881*MAX(N($X881),1))</f>
        <v/>
      </c>
      <c r="AN881" s="10" t="str">
        <f aca="false">IF($C881="","",IF(OR($B881="",$D881="",$H881="",$K881="",$M881=""),"Faltan datos obligatorios",IF($T881="","Estrategia no reconocida",IF(AND($M881&lt;&gt;"Abierta",$N881=""),"Falta fecha cierre",IF(AND(OR($M881="Cerrada",$M881="Rolada"),$O881=""),"Falta prima cierre",IF(AND($N881&lt;&gt;"",$N881&lt;$B881),"Cierre anterior a apertura",IF(AND($M881="Asignada",$R881=""),"Asignada: falta ID lote acciones",IF(AND($R881&lt;&gt;"",ISNA(MATCH($R881,Acciones!$A$2:$A$201,0))),"El ID lote no existe en Acciones",IF($AD881="","Revisa capital en riesgo","OK")))))))))</f>
        <v/>
      </c>
    </row>
    <row r="882" customFormat="false" ht="15" hidden="false" customHeight="true" outlineLevel="0" collapsed="false">
      <c r="A882" s="5"/>
      <c r="B882" s="6"/>
      <c r="C882" s="7"/>
      <c r="D882" s="7"/>
      <c r="E882" s="8"/>
      <c r="F882" s="8"/>
      <c r="G882" s="6"/>
      <c r="H882" s="5"/>
      <c r="I882" s="5" t="n">
        <v>100</v>
      </c>
      <c r="J882" s="8"/>
      <c r="K882" s="8"/>
      <c r="L882" s="9"/>
      <c r="M882" s="7"/>
      <c r="N882" s="6"/>
      <c r="O882" s="8"/>
      <c r="P882" s="9"/>
      <c r="Q882" s="9"/>
      <c r="R882" s="7"/>
      <c r="S882" s="7"/>
      <c r="T882" s="10" t="str">
        <f aca="false">IF($C882="","",IFERROR(INDEX(Listas!$B$2:$B$20,MATCH($D882,Listas!$A$2:$A$20,0)),""))</f>
        <v/>
      </c>
      <c r="U882" s="10" t="str">
        <f aca="false">IF($C882="","",IFERROR(INDEX(Listas!$C$2:$C$20,MATCH($D882,Listas!$A$2:$A$20,0)),""))</f>
        <v/>
      </c>
      <c r="V882" s="10" t="str">
        <f aca="false">IF($C882="","",IFERROR(INDEX(Listas!$D$2:$D$20,MATCH($D882,Listas!$A$2:$A$20,0)),""))</f>
        <v/>
      </c>
      <c r="W882" s="11" t="str">
        <f aca="false">IF(OR($C882="",$B882="",$G882=""),"",$G882-$B882)</f>
        <v/>
      </c>
      <c r="X882" s="11" t="str">
        <f aca="true">IF(OR($C882="",$B882=""),"",IF($N882&lt;&gt;"",$N882,TODAY())-$B882)</f>
        <v/>
      </c>
      <c r="Y882" s="11" t="str">
        <f aca="true">IF(OR($C882="",$M882&lt;&gt;"Abierta",$G882=""),"",MAX($G882-TODAY(),0))</f>
        <v/>
      </c>
      <c r="Z882" s="12" t="str">
        <f aca="false">IF($C882="","",N($K882)*N($H882)*N($I882)*IF($U882="Débito",-1,1))</f>
        <v/>
      </c>
      <c r="AA882" s="13" t="str">
        <f aca="false">IF($C882="","",IF(AND($U882="Débito",$F882&lt;&gt;""),$F882,$E882))</f>
        <v/>
      </c>
      <c r="AB882" s="13" t="str">
        <f aca="false">IF(OR($C882="",$T882="Mixta",$AA882=""),"",IF($V882="Subyacente",IF($J882="","",$J882-$K882),IF($T882="Put",$AA882-$K882,$AA882+$K882)))</f>
        <v/>
      </c>
      <c r="AC882" s="14" t="str">
        <f aca="false">IF(OR($C882="",$T882="Mixta",$J882="",$AA882=""),"",IF($T882="Put",($J882-$AA882)/$J882,($AA882-$J882)/$J882))</f>
        <v/>
      </c>
      <c r="AD882" s="12" t="str">
        <f aca="false">IF($C882="","",IF($Q882&lt;&gt;"",$Q882,IF($V882="Strike",N($E882)*$H882*$I882,IF($V882="Subyacente",IF($J882="","",$J882*$H882*$I882),IF($V882="Ancho",IF($F882="","",ABS($E882-$F882)*$H882*$I882-$K882*$H882*$I882),IF($V882="Prima",$K882*$H882*$I882,""))))))</f>
        <v/>
      </c>
      <c r="AE882" s="12" t="str">
        <f aca="false">IF(OR($C882="",$M882="Abierta",$M882=""),"",(N($K882)-IF(OR($M882="Cerrada",$M882="Rolada"),N($O882),0))*$H882*$I882*IF($U882="Débito",-1,1)-N($L882)-N($P882))</f>
        <v/>
      </c>
      <c r="AF882" s="14" t="str">
        <f aca="false">IF(OR($AE882="",$AD882=""),"",IF($AD882&lt;=0,"",$AE882/$AD882))</f>
        <v/>
      </c>
      <c r="AG882" s="14" t="str">
        <f aca="false">IF($AF882="","",$AF882*365/MAX(N($X882),1))</f>
        <v/>
      </c>
      <c r="AH882" s="14" t="str">
        <f aca="false">IF(OR($C882="",$U882&lt;&gt;"Crédito",$AD882=""),"",IF($AD882&lt;=0,"",($Z882-N($L882))/$AD882))</f>
        <v/>
      </c>
      <c r="AI882" s="14" t="str">
        <f aca="false">IF(OR($AH882="",$W882=""),"",$AH882*365/MAX($W882,1))</f>
        <v/>
      </c>
      <c r="AJ882" s="14" t="str">
        <f aca="false">IF(OR($AE882="",$U882&lt;&gt;"Crédito",N($K882)=0),"",(N($K882)-IF(OR($M882="Cerrada",$M882="Rolada"),N($O882),0))/$K882)</f>
        <v/>
      </c>
      <c r="AK882" s="15" t="str">
        <f aca="false">IF(OR($C882="",$N882=""),"",DATE(YEAR($N882),MONTH($N882),1))</f>
        <v/>
      </c>
      <c r="AL882" s="11" t="str">
        <f aca="false">IF($C882="","",IF($M882="Abierta",0,1))</f>
        <v/>
      </c>
      <c r="AM882" s="16" t="str">
        <f aca="false">IF(OR($AE882="",$AD882=""),"",$AD882*MAX(N($X882),1))</f>
        <v/>
      </c>
      <c r="AN882" s="10" t="str">
        <f aca="false">IF($C882="","",IF(OR($B882="",$D882="",$H882="",$K882="",$M882=""),"Faltan datos obligatorios",IF($T882="","Estrategia no reconocida",IF(AND($M882&lt;&gt;"Abierta",$N882=""),"Falta fecha cierre",IF(AND(OR($M882="Cerrada",$M882="Rolada"),$O882=""),"Falta prima cierre",IF(AND($N882&lt;&gt;"",$N882&lt;$B882),"Cierre anterior a apertura",IF(AND($M882="Asignada",$R882=""),"Asignada: falta ID lote acciones",IF(AND($R882&lt;&gt;"",ISNA(MATCH($R882,Acciones!$A$2:$A$201,0))),"El ID lote no existe en Acciones",IF($AD882="","Revisa capital en riesgo","OK")))))))))</f>
        <v/>
      </c>
    </row>
    <row r="883" customFormat="false" ht="15" hidden="false" customHeight="true" outlineLevel="0" collapsed="false">
      <c r="A883" s="5"/>
      <c r="B883" s="6"/>
      <c r="C883" s="7"/>
      <c r="D883" s="7"/>
      <c r="E883" s="8"/>
      <c r="F883" s="8"/>
      <c r="G883" s="6"/>
      <c r="H883" s="5"/>
      <c r="I883" s="5" t="n">
        <v>100</v>
      </c>
      <c r="J883" s="8"/>
      <c r="K883" s="8"/>
      <c r="L883" s="9"/>
      <c r="M883" s="7"/>
      <c r="N883" s="6"/>
      <c r="O883" s="8"/>
      <c r="P883" s="9"/>
      <c r="Q883" s="9"/>
      <c r="R883" s="7"/>
      <c r="S883" s="7"/>
      <c r="T883" s="10" t="str">
        <f aca="false">IF($C883="","",IFERROR(INDEX(Listas!$B$2:$B$20,MATCH($D883,Listas!$A$2:$A$20,0)),""))</f>
        <v/>
      </c>
      <c r="U883" s="10" t="str">
        <f aca="false">IF($C883="","",IFERROR(INDEX(Listas!$C$2:$C$20,MATCH($D883,Listas!$A$2:$A$20,0)),""))</f>
        <v/>
      </c>
      <c r="V883" s="10" t="str">
        <f aca="false">IF($C883="","",IFERROR(INDEX(Listas!$D$2:$D$20,MATCH($D883,Listas!$A$2:$A$20,0)),""))</f>
        <v/>
      </c>
      <c r="W883" s="11" t="str">
        <f aca="false">IF(OR($C883="",$B883="",$G883=""),"",$G883-$B883)</f>
        <v/>
      </c>
      <c r="X883" s="11" t="str">
        <f aca="true">IF(OR($C883="",$B883=""),"",IF($N883&lt;&gt;"",$N883,TODAY())-$B883)</f>
        <v/>
      </c>
      <c r="Y883" s="11" t="str">
        <f aca="true">IF(OR($C883="",$M883&lt;&gt;"Abierta",$G883=""),"",MAX($G883-TODAY(),0))</f>
        <v/>
      </c>
      <c r="Z883" s="12" t="str">
        <f aca="false">IF($C883="","",N($K883)*N($H883)*N($I883)*IF($U883="Débito",-1,1))</f>
        <v/>
      </c>
      <c r="AA883" s="13" t="str">
        <f aca="false">IF($C883="","",IF(AND($U883="Débito",$F883&lt;&gt;""),$F883,$E883))</f>
        <v/>
      </c>
      <c r="AB883" s="13" t="str">
        <f aca="false">IF(OR($C883="",$T883="Mixta",$AA883=""),"",IF($V883="Subyacente",IF($J883="","",$J883-$K883),IF($T883="Put",$AA883-$K883,$AA883+$K883)))</f>
        <v/>
      </c>
      <c r="AC883" s="14" t="str">
        <f aca="false">IF(OR($C883="",$T883="Mixta",$J883="",$AA883=""),"",IF($T883="Put",($J883-$AA883)/$J883,($AA883-$J883)/$J883))</f>
        <v/>
      </c>
      <c r="AD883" s="12" t="str">
        <f aca="false">IF($C883="","",IF($Q883&lt;&gt;"",$Q883,IF($V883="Strike",N($E883)*$H883*$I883,IF($V883="Subyacente",IF($J883="","",$J883*$H883*$I883),IF($V883="Ancho",IF($F883="","",ABS($E883-$F883)*$H883*$I883-$K883*$H883*$I883),IF($V883="Prima",$K883*$H883*$I883,""))))))</f>
        <v/>
      </c>
      <c r="AE883" s="12" t="str">
        <f aca="false">IF(OR($C883="",$M883="Abierta",$M883=""),"",(N($K883)-IF(OR($M883="Cerrada",$M883="Rolada"),N($O883),0))*$H883*$I883*IF($U883="Débito",-1,1)-N($L883)-N($P883))</f>
        <v/>
      </c>
      <c r="AF883" s="14" t="str">
        <f aca="false">IF(OR($AE883="",$AD883=""),"",IF($AD883&lt;=0,"",$AE883/$AD883))</f>
        <v/>
      </c>
      <c r="AG883" s="14" t="str">
        <f aca="false">IF($AF883="","",$AF883*365/MAX(N($X883),1))</f>
        <v/>
      </c>
      <c r="AH883" s="14" t="str">
        <f aca="false">IF(OR($C883="",$U883&lt;&gt;"Crédito",$AD883=""),"",IF($AD883&lt;=0,"",($Z883-N($L883))/$AD883))</f>
        <v/>
      </c>
      <c r="AI883" s="14" t="str">
        <f aca="false">IF(OR($AH883="",$W883=""),"",$AH883*365/MAX($W883,1))</f>
        <v/>
      </c>
      <c r="AJ883" s="14" t="str">
        <f aca="false">IF(OR($AE883="",$U883&lt;&gt;"Crédito",N($K883)=0),"",(N($K883)-IF(OR($M883="Cerrada",$M883="Rolada"),N($O883),0))/$K883)</f>
        <v/>
      </c>
      <c r="AK883" s="15" t="str">
        <f aca="false">IF(OR($C883="",$N883=""),"",DATE(YEAR($N883),MONTH($N883),1))</f>
        <v/>
      </c>
      <c r="AL883" s="11" t="str">
        <f aca="false">IF($C883="","",IF($M883="Abierta",0,1))</f>
        <v/>
      </c>
      <c r="AM883" s="16" t="str">
        <f aca="false">IF(OR($AE883="",$AD883=""),"",$AD883*MAX(N($X883),1))</f>
        <v/>
      </c>
      <c r="AN883" s="10" t="str">
        <f aca="false">IF($C883="","",IF(OR($B883="",$D883="",$H883="",$K883="",$M883=""),"Faltan datos obligatorios",IF($T883="","Estrategia no reconocida",IF(AND($M883&lt;&gt;"Abierta",$N883=""),"Falta fecha cierre",IF(AND(OR($M883="Cerrada",$M883="Rolada"),$O883=""),"Falta prima cierre",IF(AND($N883&lt;&gt;"",$N883&lt;$B883),"Cierre anterior a apertura",IF(AND($M883="Asignada",$R883=""),"Asignada: falta ID lote acciones",IF(AND($R883&lt;&gt;"",ISNA(MATCH($R883,Acciones!$A$2:$A$201,0))),"El ID lote no existe en Acciones",IF($AD883="","Revisa capital en riesgo","OK")))))))))</f>
        <v/>
      </c>
    </row>
    <row r="884" customFormat="false" ht="15" hidden="false" customHeight="true" outlineLevel="0" collapsed="false">
      <c r="A884" s="5"/>
      <c r="B884" s="6"/>
      <c r="C884" s="7"/>
      <c r="D884" s="7"/>
      <c r="E884" s="8"/>
      <c r="F884" s="8"/>
      <c r="G884" s="6"/>
      <c r="H884" s="5"/>
      <c r="I884" s="5" t="n">
        <v>100</v>
      </c>
      <c r="J884" s="8"/>
      <c r="K884" s="8"/>
      <c r="L884" s="9"/>
      <c r="M884" s="7"/>
      <c r="N884" s="6"/>
      <c r="O884" s="8"/>
      <c r="P884" s="9"/>
      <c r="Q884" s="9"/>
      <c r="R884" s="7"/>
      <c r="S884" s="7"/>
      <c r="T884" s="10" t="str">
        <f aca="false">IF($C884="","",IFERROR(INDEX(Listas!$B$2:$B$20,MATCH($D884,Listas!$A$2:$A$20,0)),""))</f>
        <v/>
      </c>
      <c r="U884" s="10" t="str">
        <f aca="false">IF($C884="","",IFERROR(INDEX(Listas!$C$2:$C$20,MATCH($D884,Listas!$A$2:$A$20,0)),""))</f>
        <v/>
      </c>
      <c r="V884" s="10" t="str">
        <f aca="false">IF($C884="","",IFERROR(INDEX(Listas!$D$2:$D$20,MATCH($D884,Listas!$A$2:$A$20,0)),""))</f>
        <v/>
      </c>
      <c r="W884" s="11" t="str">
        <f aca="false">IF(OR($C884="",$B884="",$G884=""),"",$G884-$B884)</f>
        <v/>
      </c>
      <c r="X884" s="11" t="str">
        <f aca="true">IF(OR($C884="",$B884=""),"",IF($N884&lt;&gt;"",$N884,TODAY())-$B884)</f>
        <v/>
      </c>
      <c r="Y884" s="11" t="str">
        <f aca="true">IF(OR($C884="",$M884&lt;&gt;"Abierta",$G884=""),"",MAX($G884-TODAY(),0))</f>
        <v/>
      </c>
      <c r="Z884" s="12" t="str">
        <f aca="false">IF($C884="","",N($K884)*N($H884)*N($I884)*IF($U884="Débito",-1,1))</f>
        <v/>
      </c>
      <c r="AA884" s="13" t="str">
        <f aca="false">IF($C884="","",IF(AND($U884="Débito",$F884&lt;&gt;""),$F884,$E884))</f>
        <v/>
      </c>
      <c r="AB884" s="13" t="str">
        <f aca="false">IF(OR($C884="",$T884="Mixta",$AA884=""),"",IF($V884="Subyacente",IF($J884="","",$J884-$K884),IF($T884="Put",$AA884-$K884,$AA884+$K884)))</f>
        <v/>
      </c>
      <c r="AC884" s="14" t="str">
        <f aca="false">IF(OR($C884="",$T884="Mixta",$J884="",$AA884=""),"",IF($T884="Put",($J884-$AA884)/$J884,($AA884-$J884)/$J884))</f>
        <v/>
      </c>
      <c r="AD884" s="12" t="str">
        <f aca="false">IF($C884="","",IF($Q884&lt;&gt;"",$Q884,IF($V884="Strike",N($E884)*$H884*$I884,IF($V884="Subyacente",IF($J884="","",$J884*$H884*$I884),IF($V884="Ancho",IF($F884="","",ABS($E884-$F884)*$H884*$I884-$K884*$H884*$I884),IF($V884="Prima",$K884*$H884*$I884,""))))))</f>
        <v/>
      </c>
      <c r="AE884" s="12" t="str">
        <f aca="false">IF(OR($C884="",$M884="Abierta",$M884=""),"",(N($K884)-IF(OR($M884="Cerrada",$M884="Rolada"),N($O884),0))*$H884*$I884*IF($U884="Débito",-1,1)-N($L884)-N($P884))</f>
        <v/>
      </c>
      <c r="AF884" s="14" t="str">
        <f aca="false">IF(OR($AE884="",$AD884=""),"",IF($AD884&lt;=0,"",$AE884/$AD884))</f>
        <v/>
      </c>
      <c r="AG884" s="14" t="str">
        <f aca="false">IF($AF884="","",$AF884*365/MAX(N($X884),1))</f>
        <v/>
      </c>
      <c r="AH884" s="14" t="str">
        <f aca="false">IF(OR($C884="",$U884&lt;&gt;"Crédito",$AD884=""),"",IF($AD884&lt;=0,"",($Z884-N($L884))/$AD884))</f>
        <v/>
      </c>
      <c r="AI884" s="14" t="str">
        <f aca="false">IF(OR($AH884="",$W884=""),"",$AH884*365/MAX($W884,1))</f>
        <v/>
      </c>
      <c r="AJ884" s="14" t="str">
        <f aca="false">IF(OR($AE884="",$U884&lt;&gt;"Crédito",N($K884)=0),"",(N($K884)-IF(OR($M884="Cerrada",$M884="Rolada"),N($O884),0))/$K884)</f>
        <v/>
      </c>
      <c r="AK884" s="15" t="str">
        <f aca="false">IF(OR($C884="",$N884=""),"",DATE(YEAR($N884),MONTH($N884),1))</f>
        <v/>
      </c>
      <c r="AL884" s="11" t="str">
        <f aca="false">IF($C884="","",IF($M884="Abierta",0,1))</f>
        <v/>
      </c>
      <c r="AM884" s="16" t="str">
        <f aca="false">IF(OR($AE884="",$AD884=""),"",$AD884*MAX(N($X884),1))</f>
        <v/>
      </c>
      <c r="AN884" s="10" t="str">
        <f aca="false">IF($C884="","",IF(OR($B884="",$D884="",$H884="",$K884="",$M884=""),"Faltan datos obligatorios",IF($T884="","Estrategia no reconocida",IF(AND($M884&lt;&gt;"Abierta",$N884=""),"Falta fecha cierre",IF(AND(OR($M884="Cerrada",$M884="Rolada"),$O884=""),"Falta prima cierre",IF(AND($N884&lt;&gt;"",$N884&lt;$B884),"Cierre anterior a apertura",IF(AND($M884="Asignada",$R884=""),"Asignada: falta ID lote acciones",IF(AND($R884&lt;&gt;"",ISNA(MATCH($R884,Acciones!$A$2:$A$201,0))),"El ID lote no existe en Acciones",IF($AD884="","Revisa capital en riesgo","OK")))))))))</f>
        <v/>
      </c>
    </row>
    <row r="885" customFormat="false" ht="15" hidden="false" customHeight="true" outlineLevel="0" collapsed="false">
      <c r="A885" s="5"/>
      <c r="B885" s="6"/>
      <c r="C885" s="7"/>
      <c r="D885" s="7"/>
      <c r="E885" s="8"/>
      <c r="F885" s="8"/>
      <c r="G885" s="6"/>
      <c r="H885" s="5"/>
      <c r="I885" s="5" t="n">
        <v>100</v>
      </c>
      <c r="J885" s="8"/>
      <c r="K885" s="8"/>
      <c r="L885" s="9"/>
      <c r="M885" s="7"/>
      <c r="N885" s="6"/>
      <c r="O885" s="8"/>
      <c r="P885" s="9"/>
      <c r="Q885" s="9"/>
      <c r="R885" s="7"/>
      <c r="S885" s="7"/>
      <c r="T885" s="10" t="str">
        <f aca="false">IF($C885="","",IFERROR(INDEX(Listas!$B$2:$B$20,MATCH($D885,Listas!$A$2:$A$20,0)),""))</f>
        <v/>
      </c>
      <c r="U885" s="10" t="str">
        <f aca="false">IF($C885="","",IFERROR(INDEX(Listas!$C$2:$C$20,MATCH($D885,Listas!$A$2:$A$20,0)),""))</f>
        <v/>
      </c>
      <c r="V885" s="10" t="str">
        <f aca="false">IF($C885="","",IFERROR(INDEX(Listas!$D$2:$D$20,MATCH($D885,Listas!$A$2:$A$20,0)),""))</f>
        <v/>
      </c>
      <c r="W885" s="11" t="str">
        <f aca="false">IF(OR($C885="",$B885="",$G885=""),"",$G885-$B885)</f>
        <v/>
      </c>
      <c r="X885" s="11" t="str">
        <f aca="true">IF(OR($C885="",$B885=""),"",IF($N885&lt;&gt;"",$N885,TODAY())-$B885)</f>
        <v/>
      </c>
      <c r="Y885" s="11" t="str">
        <f aca="true">IF(OR($C885="",$M885&lt;&gt;"Abierta",$G885=""),"",MAX($G885-TODAY(),0))</f>
        <v/>
      </c>
      <c r="Z885" s="12" t="str">
        <f aca="false">IF($C885="","",N($K885)*N($H885)*N($I885)*IF($U885="Débito",-1,1))</f>
        <v/>
      </c>
      <c r="AA885" s="13" t="str">
        <f aca="false">IF($C885="","",IF(AND($U885="Débito",$F885&lt;&gt;""),$F885,$E885))</f>
        <v/>
      </c>
      <c r="AB885" s="13" t="str">
        <f aca="false">IF(OR($C885="",$T885="Mixta",$AA885=""),"",IF($V885="Subyacente",IF($J885="","",$J885-$K885),IF($T885="Put",$AA885-$K885,$AA885+$K885)))</f>
        <v/>
      </c>
      <c r="AC885" s="14" t="str">
        <f aca="false">IF(OR($C885="",$T885="Mixta",$J885="",$AA885=""),"",IF($T885="Put",($J885-$AA885)/$J885,($AA885-$J885)/$J885))</f>
        <v/>
      </c>
      <c r="AD885" s="12" t="str">
        <f aca="false">IF($C885="","",IF($Q885&lt;&gt;"",$Q885,IF($V885="Strike",N($E885)*$H885*$I885,IF($V885="Subyacente",IF($J885="","",$J885*$H885*$I885),IF($V885="Ancho",IF($F885="","",ABS($E885-$F885)*$H885*$I885-$K885*$H885*$I885),IF($V885="Prima",$K885*$H885*$I885,""))))))</f>
        <v/>
      </c>
      <c r="AE885" s="12" t="str">
        <f aca="false">IF(OR($C885="",$M885="Abierta",$M885=""),"",(N($K885)-IF(OR($M885="Cerrada",$M885="Rolada"),N($O885),0))*$H885*$I885*IF($U885="Débito",-1,1)-N($L885)-N($P885))</f>
        <v/>
      </c>
      <c r="AF885" s="14" t="str">
        <f aca="false">IF(OR($AE885="",$AD885=""),"",IF($AD885&lt;=0,"",$AE885/$AD885))</f>
        <v/>
      </c>
      <c r="AG885" s="14" t="str">
        <f aca="false">IF($AF885="","",$AF885*365/MAX(N($X885),1))</f>
        <v/>
      </c>
      <c r="AH885" s="14" t="str">
        <f aca="false">IF(OR($C885="",$U885&lt;&gt;"Crédito",$AD885=""),"",IF($AD885&lt;=0,"",($Z885-N($L885))/$AD885))</f>
        <v/>
      </c>
      <c r="AI885" s="14" t="str">
        <f aca="false">IF(OR($AH885="",$W885=""),"",$AH885*365/MAX($W885,1))</f>
        <v/>
      </c>
      <c r="AJ885" s="14" t="str">
        <f aca="false">IF(OR($AE885="",$U885&lt;&gt;"Crédito",N($K885)=0),"",(N($K885)-IF(OR($M885="Cerrada",$M885="Rolada"),N($O885),0))/$K885)</f>
        <v/>
      </c>
      <c r="AK885" s="15" t="str">
        <f aca="false">IF(OR($C885="",$N885=""),"",DATE(YEAR($N885),MONTH($N885),1))</f>
        <v/>
      </c>
      <c r="AL885" s="11" t="str">
        <f aca="false">IF($C885="","",IF($M885="Abierta",0,1))</f>
        <v/>
      </c>
      <c r="AM885" s="16" t="str">
        <f aca="false">IF(OR($AE885="",$AD885=""),"",$AD885*MAX(N($X885),1))</f>
        <v/>
      </c>
      <c r="AN885" s="10" t="str">
        <f aca="false">IF($C885="","",IF(OR($B885="",$D885="",$H885="",$K885="",$M885=""),"Faltan datos obligatorios",IF($T885="","Estrategia no reconocida",IF(AND($M885&lt;&gt;"Abierta",$N885=""),"Falta fecha cierre",IF(AND(OR($M885="Cerrada",$M885="Rolada"),$O885=""),"Falta prima cierre",IF(AND($N885&lt;&gt;"",$N885&lt;$B885),"Cierre anterior a apertura",IF(AND($M885="Asignada",$R885=""),"Asignada: falta ID lote acciones",IF(AND($R885&lt;&gt;"",ISNA(MATCH($R885,Acciones!$A$2:$A$201,0))),"El ID lote no existe en Acciones",IF($AD885="","Revisa capital en riesgo","OK")))))))))</f>
        <v/>
      </c>
    </row>
    <row r="886" customFormat="false" ht="15" hidden="false" customHeight="true" outlineLevel="0" collapsed="false">
      <c r="A886" s="5"/>
      <c r="B886" s="6"/>
      <c r="C886" s="7"/>
      <c r="D886" s="7"/>
      <c r="E886" s="8"/>
      <c r="F886" s="8"/>
      <c r="G886" s="6"/>
      <c r="H886" s="5"/>
      <c r="I886" s="5" t="n">
        <v>100</v>
      </c>
      <c r="J886" s="8"/>
      <c r="K886" s="8"/>
      <c r="L886" s="9"/>
      <c r="M886" s="7"/>
      <c r="N886" s="6"/>
      <c r="O886" s="8"/>
      <c r="P886" s="9"/>
      <c r="Q886" s="9"/>
      <c r="R886" s="7"/>
      <c r="S886" s="7"/>
      <c r="T886" s="10" t="str">
        <f aca="false">IF($C886="","",IFERROR(INDEX(Listas!$B$2:$B$20,MATCH($D886,Listas!$A$2:$A$20,0)),""))</f>
        <v/>
      </c>
      <c r="U886" s="10" t="str">
        <f aca="false">IF($C886="","",IFERROR(INDEX(Listas!$C$2:$C$20,MATCH($D886,Listas!$A$2:$A$20,0)),""))</f>
        <v/>
      </c>
      <c r="V886" s="10" t="str">
        <f aca="false">IF($C886="","",IFERROR(INDEX(Listas!$D$2:$D$20,MATCH($D886,Listas!$A$2:$A$20,0)),""))</f>
        <v/>
      </c>
      <c r="W886" s="11" t="str">
        <f aca="false">IF(OR($C886="",$B886="",$G886=""),"",$G886-$B886)</f>
        <v/>
      </c>
      <c r="X886" s="11" t="str">
        <f aca="true">IF(OR($C886="",$B886=""),"",IF($N886&lt;&gt;"",$N886,TODAY())-$B886)</f>
        <v/>
      </c>
      <c r="Y886" s="11" t="str">
        <f aca="true">IF(OR($C886="",$M886&lt;&gt;"Abierta",$G886=""),"",MAX($G886-TODAY(),0))</f>
        <v/>
      </c>
      <c r="Z886" s="12" t="str">
        <f aca="false">IF($C886="","",N($K886)*N($H886)*N($I886)*IF($U886="Débito",-1,1))</f>
        <v/>
      </c>
      <c r="AA886" s="13" t="str">
        <f aca="false">IF($C886="","",IF(AND($U886="Débito",$F886&lt;&gt;""),$F886,$E886))</f>
        <v/>
      </c>
      <c r="AB886" s="13" t="str">
        <f aca="false">IF(OR($C886="",$T886="Mixta",$AA886=""),"",IF($V886="Subyacente",IF($J886="","",$J886-$K886),IF($T886="Put",$AA886-$K886,$AA886+$K886)))</f>
        <v/>
      </c>
      <c r="AC886" s="14" t="str">
        <f aca="false">IF(OR($C886="",$T886="Mixta",$J886="",$AA886=""),"",IF($T886="Put",($J886-$AA886)/$J886,($AA886-$J886)/$J886))</f>
        <v/>
      </c>
      <c r="AD886" s="12" t="str">
        <f aca="false">IF($C886="","",IF($Q886&lt;&gt;"",$Q886,IF($V886="Strike",N($E886)*$H886*$I886,IF($V886="Subyacente",IF($J886="","",$J886*$H886*$I886),IF($V886="Ancho",IF($F886="","",ABS($E886-$F886)*$H886*$I886-$K886*$H886*$I886),IF($V886="Prima",$K886*$H886*$I886,""))))))</f>
        <v/>
      </c>
      <c r="AE886" s="12" t="str">
        <f aca="false">IF(OR($C886="",$M886="Abierta",$M886=""),"",(N($K886)-IF(OR($M886="Cerrada",$M886="Rolada"),N($O886),0))*$H886*$I886*IF($U886="Débito",-1,1)-N($L886)-N($P886))</f>
        <v/>
      </c>
      <c r="AF886" s="14" t="str">
        <f aca="false">IF(OR($AE886="",$AD886=""),"",IF($AD886&lt;=0,"",$AE886/$AD886))</f>
        <v/>
      </c>
      <c r="AG886" s="14" t="str">
        <f aca="false">IF($AF886="","",$AF886*365/MAX(N($X886),1))</f>
        <v/>
      </c>
      <c r="AH886" s="14" t="str">
        <f aca="false">IF(OR($C886="",$U886&lt;&gt;"Crédito",$AD886=""),"",IF($AD886&lt;=0,"",($Z886-N($L886))/$AD886))</f>
        <v/>
      </c>
      <c r="AI886" s="14" t="str">
        <f aca="false">IF(OR($AH886="",$W886=""),"",$AH886*365/MAX($W886,1))</f>
        <v/>
      </c>
      <c r="AJ886" s="14" t="str">
        <f aca="false">IF(OR($AE886="",$U886&lt;&gt;"Crédito",N($K886)=0),"",(N($K886)-IF(OR($M886="Cerrada",$M886="Rolada"),N($O886),0))/$K886)</f>
        <v/>
      </c>
      <c r="AK886" s="15" t="str">
        <f aca="false">IF(OR($C886="",$N886=""),"",DATE(YEAR($N886),MONTH($N886),1))</f>
        <v/>
      </c>
      <c r="AL886" s="11" t="str">
        <f aca="false">IF($C886="","",IF($M886="Abierta",0,1))</f>
        <v/>
      </c>
      <c r="AM886" s="16" t="str">
        <f aca="false">IF(OR($AE886="",$AD886=""),"",$AD886*MAX(N($X886),1))</f>
        <v/>
      </c>
      <c r="AN886" s="10" t="str">
        <f aca="false">IF($C886="","",IF(OR($B886="",$D886="",$H886="",$K886="",$M886=""),"Faltan datos obligatorios",IF($T886="","Estrategia no reconocida",IF(AND($M886&lt;&gt;"Abierta",$N886=""),"Falta fecha cierre",IF(AND(OR($M886="Cerrada",$M886="Rolada"),$O886=""),"Falta prima cierre",IF(AND($N886&lt;&gt;"",$N886&lt;$B886),"Cierre anterior a apertura",IF(AND($M886="Asignada",$R886=""),"Asignada: falta ID lote acciones",IF(AND($R886&lt;&gt;"",ISNA(MATCH($R886,Acciones!$A$2:$A$201,0))),"El ID lote no existe en Acciones",IF($AD886="","Revisa capital en riesgo","OK")))))))))</f>
        <v/>
      </c>
    </row>
    <row r="887" customFormat="false" ht="15" hidden="false" customHeight="true" outlineLevel="0" collapsed="false">
      <c r="A887" s="5"/>
      <c r="B887" s="6"/>
      <c r="C887" s="7"/>
      <c r="D887" s="7"/>
      <c r="E887" s="8"/>
      <c r="F887" s="8"/>
      <c r="G887" s="6"/>
      <c r="H887" s="5"/>
      <c r="I887" s="5" t="n">
        <v>100</v>
      </c>
      <c r="J887" s="8"/>
      <c r="K887" s="8"/>
      <c r="L887" s="9"/>
      <c r="M887" s="7"/>
      <c r="N887" s="6"/>
      <c r="O887" s="8"/>
      <c r="P887" s="9"/>
      <c r="Q887" s="9"/>
      <c r="R887" s="7"/>
      <c r="S887" s="7"/>
      <c r="T887" s="10" t="str">
        <f aca="false">IF($C887="","",IFERROR(INDEX(Listas!$B$2:$B$20,MATCH($D887,Listas!$A$2:$A$20,0)),""))</f>
        <v/>
      </c>
      <c r="U887" s="10" t="str">
        <f aca="false">IF($C887="","",IFERROR(INDEX(Listas!$C$2:$C$20,MATCH($D887,Listas!$A$2:$A$20,0)),""))</f>
        <v/>
      </c>
      <c r="V887" s="10" t="str">
        <f aca="false">IF($C887="","",IFERROR(INDEX(Listas!$D$2:$D$20,MATCH($D887,Listas!$A$2:$A$20,0)),""))</f>
        <v/>
      </c>
      <c r="W887" s="11" t="str">
        <f aca="false">IF(OR($C887="",$B887="",$G887=""),"",$G887-$B887)</f>
        <v/>
      </c>
      <c r="X887" s="11" t="str">
        <f aca="true">IF(OR($C887="",$B887=""),"",IF($N887&lt;&gt;"",$N887,TODAY())-$B887)</f>
        <v/>
      </c>
      <c r="Y887" s="11" t="str">
        <f aca="true">IF(OR($C887="",$M887&lt;&gt;"Abierta",$G887=""),"",MAX($G887-TODAY(),0))</f>
        <v/>
      </c>
      <c r="Z887" s="12" t="str">
        <f aca="false">IF($C887="","",N($K887)*N($H887)*N($I887)*IF($U887="Débito",-1,1))</f>
        <v/>
      </c>
      <c r="AA887" s="13" t="str">
        <f aca="false">IF($C887="","",IF(AND($U887="Débito",$F887&lt;&gt;""),$F887,$E887))</f>
        <v/>
      </c>
      <c r="AB887" s="13" t="str">
        <f aca="false">IF(OR($C887="",$T887="Mixta",$AA887=""),"",IF($V887="Subyacente",IF($J887="","",$J887-$K887),IF($T887="Put",$AA887-$K887,$AA887+$K887)))</f>
        <v/>
      </c>
      <c r="AC887" s="14" t="str">
        <f aca="false">IF(OR($C887="",$T887="Mixta",$J887="",$AA887=""),"",IF($T887="Put",($J887-$AA887)/$J887,($AA887-$J887)/$J887))</f>
        <v/>
      </c>
      <c r="AD887" s="12" t="str">
        <f aca="false">IF($C887="","",IF($Q887&lt;&gt;"",$Q887,IF($V887="Strike",N($E887)*$H887*$I887,IF($V887="Subyacente",IF($J887="","",$J887*$H887*$I887),IF($V887="Ancho",IF($F887="","",ABS($E887-$F887)*$H887*$I887-$K887*$H887*$I887),IF($V887="Prima",$K887*$H887*$I887,""))))))</f>
        <v/>
      </c>
      <c r="AE887" s="12" t="str">
        <f aca="false">IF(OR($C887="",$M887="Abierta",$M887=""),"",(N($K887)-IF(OR($M887="Cerrada",$M887="Rolada"),N($O887),0))*$H887*$I887*IF($U887="Débito",-1,1)-N($L887)-N($P887))</f>
        <v/>
      </c>
      <c r="AF887" s="14" t="str">
        <f aca="false">IF(OR($AE887="",$AD887=""),"",IF($AD887&lt;=0,"",$AE887/$AD887))</f>
        <v/>
      </c>
      <c r="AG887" s="14" t="str">
        <f aca="false">IF($AF887="","",$AF887*365/MAX(N($X887),1))</f>
        <v/>
      </c>
      <c r="AH887" s="14" t="str">
        <f aca="false">IF(OR($C887="",$U887&lt;&gt;"Crédito",$AD887=""),"",IF($AD887&lt;=0,"",($Z887-N($L887))/$AD887))</f>
        <v/>
      </c>
      <c r="AI887" s="14" t="str">
        <f aca="false">IF(OR($AH887="",$W887=""),"",$AH887*365/MAX($W887,1))</f>
        <v/>
      </c>
      <c r="AJ887" s="14" t="str">
        <f aca="false">IF(OR($AE887="",$U887&lt;&gt;"Crédito",N($K887)=0),"",(N($K887)-IF(OR($M887="Cerrada",$M887="Rolada"),N($O887),0))/$K887)</f>
        <v/>
      </c>
      <c r="AK887" s="15" t="str">
        <f aca="false">IF(OR($C887="",$N887=""),"",DATE(YEAR($N887),MONTH($N887),1))</f>
        <v/>
      </c>
      <c r="AL887" s="11" t="str">
        <f aca="false">IF($C887="","",IF($M887="Abierta",0,1))</f>
        <v/>
      </c>
      <c r="AM887" s="16" t="str">
        <f aca="false">IF(OR($AE887="",$AD887=""),"",$AD887*MAX(N($X887),1))</f>
        <v/>
      </c>
      <c r="AN887" s="10" t="str">
        <f aca="false">IF($C887="","",IF(OR($B887="",$D887="",$H887="",$K887="",$M887=""),"Faltan datos obligatorios",IF($T887="","Estrategia no reconocida",IF(AND($M887&lt;&gt;"Abierta",$N887=""),"Falta fecha cierre",IF(AND(OR($M887="Cerrada",$M887="Rolada"),$O887=""),"Falta prima cierre",IF(AND($N887&lt;&gt;"",$N887&lt;$B887),"Cierre anterior a apertura",IF(AND($M887="Asignada",$R887=""),"Asignada: falta ID lote acciones",IF(AND($R887&lt;&gt;"",ISNA(MATCH($R887,Acciones!$A$2:$A$201,0))),"El ID lote no existe en Acciones",IF($AD887="","Revisa capital en riesgo","OK")))))))))</f>
        <v/>
      </c>
    </row>
    <row r="888" customFormat="false" ht="15" hidden="false" customHeight="true" outlineLevel="0" collapsed="false">
      <c r="A888" s="5"/>
      <c r="B888" s="6"/>
      <c r="C888" s="7"/>
      <c r="D888" s="7"/>
      <c r="E888" s="8"/>
      <c r="F888" s="8"/>
      <c r="G888" s="6"/>
      <c r="H888" s="5"/>
      <c r="I888" s="5" t="n">
        <v>100</v>
      </c>
      <c r="J888" s="8"/>
      <c r="K888" s="8"/>
      <c r="L888" s="9"/>
      <c r="M888" s="7"/>
      <c r="N888" s="6"/>
      <c r="O888" s="8"/>
      <c r="P888" s="9"/>
      <c r="Q888" s="9"/>
      <c r="R888" s="7"/>
      <c r="S888" s="7"/>
      <c r="T888" s="10" t="str">
        <f aca="false">IF($C888="","",IFERROR(INDEX(Listas!$B$2:$B$20,MATCH($D888,Listas!$A$2:$A$20,0)),""))</f>
        <v/>
      </c>
      <c r="U888" s="10" t="str">
        <f aca="false">IF($C888="","",IFERROR(INDEX(Listas!$C$2:$C$20,MATCH($D888,Listas!$A$2:$A$20,0)),""))</f>
        <v/>
      </c>
      <c r="V888" s="10" t="str">
        <f aca="false">IF($C888="","",IFERROR(INDEX(Listas!$D$2:$D$20,MATCH($D888,Listas!$A$2:$A$20,0)),""))</f>
        <v/>
      </c>
      <c r="W888" s="11" t="str">
        <f aca="false">IF(OR($C888="",$B888="",$G888=""),"",$G888-$B888)</f>
        <v/>
      </c>
      <c r="X888" s="11" t="str">
        <f aca="true">IF(OR($C888="",$B888=""),"",IF($N888&lt;&gt;"",$N888,TODAY())-$B888)</f>
        <v/>
      </c>
      <c r="Y888" s="11" t="str">
        <f aca="true">IF(OR($C888="",$M888&lt;&gt;"Abierta",$G888=""),"",MAX($G888-TODAY(),0))</f>
        <v/>
      </c>
      <c r="Z888" s="12" t="str">
        <f aca="false">IF($C888="","",N($K888)*N($H888)*N($I888)*IF($U888="Débito",-1,1))</f>
        <v/>
      </c>
      <c r="AA888" s="13" t="str">
        <f aca="false">IF($C888="","",IF(AND($U888="Débito",$F888&lt;&gt;""),$F888,$E888))</f>
        <v/>
      </c>
      <c r="AB888" s="13" t="str">
        <f aca="false">IF(OR($C888="",$T888="Mixta",$AA888=""),"",IF($V888="Subyacente",IF($J888="","",$J888-$K888),IF($T888="Put",$AA888-$K888,$AA888+$K888)))</f>
        <v/>
      </c>
      <c r="AC888" s="14" t="str">
        <f aca="false">IF(OR($C888="",$T888="Mixta",$J888="",$AA888=""),"",IF($T888="Put",($J888-$AA888)/$J888,($AA888-$J888)/$J888))</f>
        <v/>
      </c>
      <c r="AD888" s="12" t="str">
        <f aca="false">IF($C888="","",IF($Q888&lt;&gt;"",$Q888,IF($V888="Strike",N($E888)*$H888*$I888,IF($V888="Subyacente",IF($J888="","",$J888*$H888*$I888),IF($V888="Ancho",IF($F888="","",ABS($E888-$F888)*$H888*$I888-$K888*$H888*$I888),IF($V888="Prima",$K888*$H888*$I888,""))))))</f>
        <v/>
      </c>
      <c r="AE888" s="12" t="str">
        <f aca="false">IF(OR($C888="",$M888="Abierta",$M888=""),"",(N($K888)-IF(OR($M888="Cerrada",$M888="Rolada"),N($O888),0))*$H888*$I888*IF($U888="Débito",-1,1)-N($L888)-N($P888))</f>
        <v/>
      </c>
      <c r="AF888" s="14" t="str">
        <f aca="false">IF(OR($AE888="",$AD888=""),"",IF($AD888&lt;=0,"",$AE888/$AD888))</f>
        <v/>
      </c>
      <c r="AG888" s="14" t="str">
        <f aca="false">IF($AF888="","",$AF888*365/MAX(N($X888),1))</f>
        <v/>
      </c>
      <c r="AH888" s="14" t="str">
        <f aca="false">IF(OR($C888="",$U888&lt;&gt;"Crédito",$AD888=""),"",IF($AD888&lt;=0,"",($Z888-N($L888))/$AD888))</f>
        <v/>
      </c>
      <c r="AI888" s="14" t="str">
        <f aca="false">IF(OR($AH888="",$W888=""),"",$AH888*365/MAX($W888,1))</f>
        <v/>
      </c>
      <c r="AJ888" s="14" t="str">
        <f aca="false">IF(OR($AE888="",$U888&lt;&gt;"Crédito",N($K888)=0),"",(N($K888)-IF(OR($M888="Cerrada",$M888="Rolada"),N($O888),0))/$K888)</f>
        <v/>
      </c>
      <c r="AK888" s="15" t="str">
        <f aca="false">IF(OR($C888="",$N888=""),"",DATE(YEAR($N888),MONTH($N888),1))</f>
        <v/>
      </c>
      <c r="AL888" s="11" t="str">
        <f aca="false">IF($C888="","",IF($M888="Abierta",0,1))</f>
        <v/>
      </c>
      <c r="AM888" s="16" t="str">
        <f aca="false">IF(OR($AE888="",$AD888=""),"",$AD888*MAX(N($X888),1))</f>
        <v/>
      </c>
      <c r="AN888" s="10" t="str">
        <f aca="false">IF($C888="","",IF(OR($B888="",$D888="",$H888="",$K888="",$M888=""),"Faltan datos obligatorios",IF($T888="","Estrategia no reconocida",IF(AND($M888&lt;&gt;"Abierta",$N888=""),"Falta fecha cierre",IF(AND(OR($M888="Cerrada",$M888="Rolada"),$O888=""),"Falta prima cierre",IF(AND($N888&lt;&gt;"",$N888&lt;$B888),"Cierre anterior a apertura",IF(AND($M888="Asignada",$R888=""),"Asignada: falta ID lote acciones",IF(AND($R888&lt;&gt;"",ISNA(MATCH($R888,Acciones!$A$2:$A$201,0))),"El ID lote no existe en Acciones",IF($AD888="","Revisa capital en riesgo","OK")))))))))</f>
        <v/>
      </c>
    </row>
    <row r="889" customFormat="false" ht="15" hidden="false" customHeight="true" outlineLevel="0" collapsed="false">
      <c r="A889" s="5"/>
      <c r="B889" s="6"/>
      <c r="C889" s="7"/>
      <c r="D889" s="7"/>
      <c r="E889" s="8"/>
      <c r="F889" s="8"/>
      <c r="G889" s="6"/>
      <c r="H889" s="5"/>
      <c r="I889" s="5" t="n">
        <v>100</v>
      </c>
      <c r="J889" s="8"/>
      <c r="K889" s="8"/>
      <c r="L889" s="9"/>
      <c r="M889" s="7"/>
      <c r="N889" s="6"/>
      <c r="O889" s="8"/>
      <c r="P889" s="9"/>
      <c r="Q889" s="9"/>
      <c r="R889" s="7"/>
      <c r="S889" s="7"/>
      <c r="T889" s="10" t="str">
        <f aca="false">IF($C889="","",IFERROR(INDEX(Listas!$B$2:$B$20,MATCH($D889,Listas!$A$2:$A$20,0)),""))</f>
        <v/>
      </c>
      <c r="U889" s="10" t="str">
        <f aca="false">IF($C889="","",IFERROR(INDEX(Listas!$C$2:$C$20,MATCH($D889,Listas!$A$2:$A$20,0)),""))</f>
        <v/>
      </c>
      <c r="V889" s="10" t="str">
        <f aca="false">IF($C889="","",IFERROR(INDEX(Listas!$D$2:$D$20,MATCH($D889,Listas!$A$2:$A$20,0)),""))</f>
        <v/>
      </c>
      <c r="W889" s="11" t="str">
        <f aca="false">IF(OR($C889="",$B889="",$G889=""),"",$G889-$B889)</f>
        <v/>
      </c>
      <c r="X889" s="11" t="str">
        <f aca="true">IF(OR($C889="",$B889=""),"",IF($N889&lt;&gt;"",$N889,TODAY())-$B889)</f>
        <v/>
      </c>
      <c r="Y889" s="11" t="str">
        <f aca="true">IF(OR($C889="",$M889&lt;&gt;"Abierta",$G889=""),"",MAX($G889-TODAY(),0))</f>
        <v/>
      </c>
      <c r="Z889" s="12" t="str">
        <f aca="false">IF($C889="","",N($K889)*N($H889)*N($I889)*IF($U889="Débito",-1,1))</f>
        <v/>
      </c>
      <c r="AA889" s="13" t="str">
        <f aca="false">IF($C889="","",IF(AND($U889="Débito",$F889&lt;&gt;""),$F889,$E889))</f>
        <v/>
      </c>
      <c r="AB889" s="13" t="str">
        <f aca="false">IF(OR($C889="",$T889="Mixta",$AA889=""),"",IF($V889="Subyacente",IF($J889="","",$J889-$K889),IF($T889="Put",$AA889-$K889,$AA889+$K889)))</f>
        <v/>
      </c>
      <c r="AC889" s="14" t="str">
        <f aca="false">IF(OR($C889="",$T889="Mixta",$J889="",$AA889=""),"",IF($T889="Put",($J889-$AA889)/$J889,($AA889-$J889)/$J889))</f>
        <v/>
      </c>
      <c r="AD889" s="12" t="str">
        <f aca="false">IF($C889="","",IF($Q889&lt;&gt;"",$Q889,IF($V889="Strike",N($E889)*$H889*$I889,IF($V889="Subyacente",IF($J889="","",$J889*$H889*$I889),IF($V889="Ancho",IF($F889="","",ABS($E889-$F889)*$H889*$I889-$K889*$H889*$I889),IF($V889="Prima",$K889*$H889*$I889,""))))))</f>
        <v/>
      </c>
      <c r="AE889" s="12" t="str">
        <f aca="false">IF(OR($C889="",$M889="Abierta",$M889=""),"",(N($K889)-IF(OR($M889="Cerrada",$M889="Rolada"),N($O889),0))*$H889*$I889*IF($U889="Débito",-1,1)-N($L889)-N($P889))</f>
        <v/>
      </c>
      <c r="AF889" s="14" t="str">
        <f aca="false">IF(OR($AE889="",$AD889=""),"",IF($AD889&lt;=0,"",$AE889/$AD889))</f>
        <v/>
      </c>
      <c r="AG889" s="14" t="str">
        <f aca="false">IF($AF889="","",$AF889*365/MAX(N($X889),1))</f>
        <v/>
      </c>
      <c r="AH889" s="14" t="str">
        <f aca="false">IF(OR($C889="",$U889&lt;&gt;"Crédito",$AD889=""),"",IF($AD889&lt;=0,"",($Z889-N($L889))/$AD889))</f>
        <v/>
      </c>
      <c r="AI889" s="14" t="str">
        <f aca="false">IF(OR($AH889="",$W889=""),"",$AH889*365/MAX($W889,1))</f>
        <v/>
      </c>
      <c r="AJ889" s="14" t="str">
        <f aca="false">IF(OR($AE889="",$U889&lt;&gt;"Crédito",N($K889)=0),"",(N($K889)-IF(OR($M889="Cerrada",$M889="Rolada"),N($O889),0))/$K889)</f>
        <v/>
      </c>
      <c r="AK889" s="15" t="str">
        <f aca="false">IF(OR($C889="",$N889=""),"",DATE(YEAR($N889),MONTH($N889),1))</f>
        <v/>
      </c>
      <c r="AL889" s="11" t="str">
        <f aca="false">IF($C889="","",IF($M889="Abierta",0,1))</f>
        <v/>
      </c>
      <c r="AM889" s="16" t="str">
        <f aca="false">IF(OR($AE889="",$AD889=""),"",$AD889*MAX(N($X889),1))</f>
        <v/>
      </c>
      <c r="AN889" s="10" t="str">
        <f aca="false">IF($C889="","",IF(OR($B889="",$D889="",$H889="",$K889="",$M889=""),"Faltan datos obligatorios",IF($T889="","Estrategia no reconocida",IF(AND($M889&lt;&gt;"Abierta",$N889=""),"Falta fecha cierre",IF(AND(OR($M889="Cerrada",$M889="Rolada"),$O889=""),"Falta prima cierre",IF(AND($N889&lt;&gt;"",$N889&lt;$B889),"Cierre anterior a apertura",IF(AND($M889="Asignada",$R889=""),"Asignada: falta ID lote acciones",IF(AND($R889&lt;&gt;"",ISNA(MATCH($R889,Acciones!$A$2:$A$201,0))),"El ID lote no existe en Acciones",IF($AD889="","Revisa capital en riesgo","OK")))))))))</f>
        <v/>
      </c>
    </row>
    <row r="890" customFormat="false" ht="15" hidden="false" customHeight="true" outlineLevel="0" collapsed="false">
      <c r="A890" s="5"/>
      <c r="B890" s="6"/>
      <c r="C890" s="7"/>
      <c r="D890" s="7"/>
      <c r="E890" s="8"/>
      <c r="F890" s="8"/>
      <c r="G890" s="6"/>
      <c r="H890" s="5"/>
      <c r="I890" s="5" t="n">
        <v>100</v>
      </c>
      <c r="J890" s="8"/>
      <c r="K890" s="8"/>
      <c r="L890" s="9"/>
      <c r="M890" s="7"/>
      <c r="N890" s="6"/>
      <c r="O890" s="8"/>
      <c r="P890" s="9"/>
      <c r="Q890" s="9"/>
      <c r="R890" s="7"/>
      <c r="S890" s="7"/>
      <c r="T890" s="10" t="str">
        <f aca="false">IF($C890="","",IFERROR(INDEX(Listas!$B$2:$B$20,MATCH($D890,Listas!$A$2:$A$20,0)),""))</f>
        <v/>
      </c>
      <c r="U890" s="10" t="str">
        <f aca="false">IF($C890="","",IFERROR(INDEX(Listas!$C$2:$C$20,MATCH($D890,Listas!$A$2:$A$20,0)),""))</f>
        <v/>
      </c>
      <c r="V890" s="10" t="str">
        <f aca="false">IF($C890="","",IFERROR(INDEX(Listas!$D$2:$D$20,MATCH($D890,Listas!$A$2:$A$20,0)),""))</f>
        <v/>
      </c>
      <c r="W890" s="11" t="str">
        <f aca="false">IF(OR($C890="",$B890="",$G890=""),"",$G890-$B890)</f>
        <v/>
      </c>
      <c r="X890" s="11" t="str">
        <f aca="true">IF(OR($C890="",$B890=""),"",IF($N890&lt;&gt;"",$N890,TODAY())-$B890)</f>
        <v/>
      </c>
      <c r="Y890" s="11" t="str">
        <f aca="true">IF(OR($C890="",$M890&lt;&gt;"Abierta",$G890=""),"",MAX($G890-TODAY(),0))</f>
        <v/>
      </c>
      <c r="Z890" s="12" t="str">
        <f aca="false">IF($C890="","",N($K890)*N($H890)*N($I890)*IF($U890="Débito",-1,1))</f>
        <v/>
      </c>
      <c r="AA890" s="13" t="str">
        <f aca="false">IF($C890="","",IF(AND($U890="Débito",$F890&lt;&gt;""),$F890,$E890))</f>
        <v/>
      </c>
      <c r="AB890" s="13" t="str">
        <f aca="false">IF(OR($C890="",$T890="Mixta",$AA890=""),"",IF($V890="Subyacente",IF($J890="","",$J890-$K890),IF($T890="Put",$AA890-$K890,$AA890+$K890)))</f>
        <v/>
      </c>
      <c r="AC890" s="14" t="str">
        <f aca="false">IF(OR($C890="",$T890="Mixta",$J890="",$AA890=""),"",IF($T890="Put",($J890-$AA890)/$J890,($AA890-$J890)/$J890))</f>
        <v/>
      </c>
      <c r="AD890" s="12" t="str">
        <f aca="false">IF($C890="","",IF($Q890&lt;&gt;"",$Q890,IF($V890="Strike",N($E890)*$H890*$I890,IF($V890="Subyacente",IF($J890="","",$J890*$H890*$I890),IF($V890="Ancho",IF($F890="","",ABS($E890-$F890)*$H890*$I890-$K890*$H890*$I890),IF($V890="Prima",$K890*$H890*$I890,""))))))</f>
        <v/>
      </c>
      <c r="AE890" s="12" t="str">
        <f aca="false">IF(OR($C890="",$M890="Abierta",$M890=""),"",(N($K890)-IF(OR($M890="Cerrada",$M890="Rolada"),N($O890),0))*$H890*$I890*IF($U890="Débito",-1,1)-N($L890)-N($P890))</f>
        <v/>
      </c>
      <c r="AF890" s="14" t="str">
        <f aca="false">IF(OR($AE890="",$AD890=""),"",IF($AD890&lt;=0,"",$AE890/$AD890))</f>
        <v/>
      </c>
      <c r="AG890" s="14" t="str">
        <f aca="false">IF($AF890="","",$AF890*365/MAX(N($X890),1))</f>
        <v/>
      </c>
      <c r="AH890" s="14" t="str">
        <f aca="false">IF(OR($C890="",$U890&lt;&gt;"Crédito",$AD890=""),"",IF($AD890&lt;=0,"",($Z890-N($L890))/$AD890))</f>
        <v/>
      </c>
      <c r="AI890" s="14" t="str">
        <f aca="false">IF(OR($AH890="",$W890=""),"",$AH890*365/MAX($W890,1))</f>
        <v/>
      </c>
      <c r="AJ890" s="14" t="str">
        <f aca="false">IF(OR($AE890="",$U890&lt;&gt;"Crédito",N($K890)=0),"",(N($K890)-IF(OR($M890="Cerrada",$M890="Rolada"),N($O890),0))/$K890)</f>
        <v/>
      </c>
      <c r="AK890" s="15" t="str">
        <f aca="false">IF(OR($C890="",$N890=""),"",DATE(YEAR($N890),MONTH($N890),1))</f>
        <v/>
      </c>
      <c r="AL890" s="11" t="str">
        <f aca="false">IF($C890="","",IF($M890="Abierta",0,1))</f>
        <v/>
      </c>
      <c r="AM890" s="16" t="str">
        <f aca="false">IF(OR($AE890="",$AD890=""),"",$AD890*MAX(N($X890),1))</f>
        <v/>
      </c>
      <c r="AN890" s="10" t="str">
        <f aca="false">IF($C890="","",IF(OR($B890="",$D890="",$H890="",$K890="",$M890=""),"Faltan datos obligatorios",IF($T890="","Estrategia no reconocida",IF(AND($M890&lt;&gt;"Abierta",$N890=""),"Falta fecha cierre",IF(AND(OR($M890="Cerrada",$M890="Rolada"),$O890=""),"Falta prima cierre",IF(AND($N890&lt;&gt;"",$N890&lt;$B890),"Cierre anterior a apertura",IF(AND($M890="Asignada",$R890=""),"Asignada: falta ID lote acciones",IF(AND($R890&lt;&gt;"",ISNA(MATCH($R890,Acciones!$A$2:$A$201,0))),"El ID lote no existe en Acciones",IF($AD890="","Revisa capital en riesgo","OK")))))))))</f>
        <v/>
      </c>
    </row>
    <row r="891" customFormat="false" ht="15" hidden="false" customHeight="true" outlineLevel="0" collapsed="false">
      <c r="A891" s="5"/>
      <c r="B891" s="6"/>
      <c r="C891" s="7"/>
      <c r="D891" s="7"/>
      <c r="E891" s="8"/>
      <c r="F891" s="8"/>
      <c r="G891" s="6"/>
      <c r="H891" s="5"/>
      <c r="I891" s="5" t="n">
        <v>100</v>
      </c>
      <c r="J891" s="8"/>
      <c r="K891" s="8"/>
      <c r="L891" s="9"/>
      <c r="M891" s="7"/>
      <c r="N891" s="6"/>
      <c r="O891" s="8"/>
      <c r="P891" s="9"/>
      <c r="Q891" s="9"/>
      <c r="R891" s="7"/>
      <c r="S891" s="7"/>
      <c r="T891" s="10" t="str">
        <f aca="false">IF($C891="","",IFERROR(INDEX(Listas!$B$2:$B$20,MATCH($D891,Listas!$A$2:$A$20,0)),""))</f>
        <v/>
      </c>
      <c r="U891" s="10" t="str">
        <f aca="false">IF($C891="","",IFERROR(INDEX(Listas!$C$2:$C$20,MATCH($D891,Listas!$A$2:$A$20,0)),""))</f>
        <v/>
      </c>
      <c r="V891" s="10" t="str">
        <f aca="false">IF($C891="","",IFERROR(INDEX(Listas!$D$2:$D$20,MATCH($D891,Listas!$A$2:$A$20,0)),""))</f>
        <v/>
      </c>
      <c r="W891" s="11" t="str">
        <f aca="false">IF(OR($C891="",$B891="",$G891=""),"",$G891-$B891)</f>
        <v/>
      </c>
      <c r="X891" s="11" t="str">
        <f aca="true">IF(OR($C891="",$B891=""),"",IF($N891&lt;&gt;"",$N891,TODAY())-$B891)</f>
        <v/>
      </c>
      <c r="Y891" s="11" t="str">
        <f aca="true">IF(OR($C891="",$M891&lt;&gt;"Abierta",$G891=""),"",MAX($G891-TODAY(),0))</f>
        <v/>
      </c>
      <c r="Z891" s="12" t="str">
        <f aca="false">IF($C891="","",N($K891)*N($H891)*N($I891)*IF($U891="Débito",-1,1))</f>
        <v/>
      </c>
      <c r="AA891" s="13" t="str">
        <f aca="false">IF($C891="","",IF(AND($U891="Débito",$F891&lt;&gt;""),$F891,$E891))</f>
        <v/>
      </c>
      <c r="AB891" s="13" t="str">
        <f aca="false">IF(OR($C891="",$T891="Mixta",$AA891=""),"",IF($V891="Subyacente",IF($J891="","",$J891-$K891),IF($T891="Put",$AA891-$K891,$AA891+$K891)))</f>
        <v/>
      </c>
      <c r="AC891" s="14" t="str">
        <f aca="false">IF(OR($C891="",$T891="Mixta",$J891="",$AA891=""),"",IF($T891="Put",($J891-$AA891)/$J891,($AA891-$J891)/$J891))</f>
        <v/>
      </c>
      <c r="AD891" s="12" t="str">
        <f aca="false">IF($C891="","",IF($Q891&lt;&gt;"",$Q891,IF($V891="Strike",N($E891)*$H891*$I891,IF($V891="Subyacente",IF($J891="","",$J891*$H891*$I891),IF($V891="Ancho",IF($F891="","",ABS($E891-$F891)*$H891*$I891-$K891*$H891*$I891),IF($V891="Prima",$K891*$H891*$I891,""))))))</f>
        <v/>
      </c>
      <c r="AE891" s="12" t="str">
        <f aca="false">IF(OR($C891="",$M891="Abierta",$M891=""),"",(N($K891)-IF(OR($M891="Cerrada",$M891="Rolada"),N($O891),0))*$H891*$I891*IF($U891="Débito",-1,1)-N($L891)-N($P891))</f>
        <v/>
      </c>
      <c r="AF891" s="14" t="str">
        <f aca="false">IF(OR($AE891="",$AD891=""),"",IF($AD891&lt;=0,"",$AE891/$AD891))</f>
        <v/>
      </c>
      <c r="AG891" s="14" t="str">
        <f aca="false">IF($AF891="","",$AF891*365/MAX(N($X891),1))</f>
        <v/>
      </c>
      <c r="AH891" s="14" t="str">
        <f aca="false">IF(OR($C891="",$U891&lt;&gt;"Crédito",$AD891=""),"",IF($AD891&lt;=0,"",($Z891-N($L891))/$AD891))</f>
        <v/>
      </c>
      <c r="AI891" s="14" t="str">
        <f aca="false">IF(OR($AH891="",$W891=""),"",$AH891*365/MAX($W891,1))</f>
        <v/>
      </c>
      <c r="AJ891" s="14" t="str">
        <f aca="false">IF(OR($AE891="",$U891&lt;&gt;"Crédito",N($K891)=0),"",(N($K891)-IF(OR($M891="Cerrada",$M891="Rolada"),N($O891),0))/$K891)</f>
        <v/>
      </c>
      <c r="AK891" s="15" t="str">
        <f aca="false">IF(OR($C891="",$N891=""),"",DATE(YEAR($N891),MONTH($N891),1))</f>
        <v/>
      </c>
      <c r="AL891" s="11" t="str">
        <f aca="false">IF($C891="","",IF($M891="Abierta",0,1))</f>
        <v/>
      </c>
      <c r="AM891" s="16" t="str">
        <f aca="false">IF(OR($AE891="",$AD891=""),"",$AD891*MAX(N($X891),1))</f>
        <v/>
      </c>
      <c r="AN891" s="10" t="str">
        <f aca="false">IF($C891="","",IF(OR($B891="",$D891="",$H891="",$K891="",$M891=""),"Faltan datos obligatorios",IF($T891="","Estrategia no reconocida",IF(AND($M891&lt;&gt;"Abierta",$N891=""),"Falta fecha cierre",IF(AND(OR($M891="Cerrada",$M891="Rolada"),$O891=""),"Falta prima cierre",IF(AND($N891&lt;&gt;"",$N891&lt;$B891),"Cierre anterior a apertura",IF(AND($M891="Asignada",$R891=""),"Asignada: falta ID lote acciones",IF(AND($R891&lt;&gt;"",ISNA(MATCH($R891,Acciones!$A$2:$A$201,0))),"El ID lote no existe en Acciones",IF($AD891="","Revisa capital en riesgo","OK")))))))))</f>
        <v/>
      </c>
    </row>
    <row r="892" customFormat="false" ht="15" hidden="false" customHeight="true" outlineLevel="0" collapsed="false">
      <c r="A892" s="5"/>
      <c r="B892" s="6"/>
      <c r="C892" s="7"/>
      <c r="D892" s="7"/>
      <c r="E892" s="8"/>
      <c r="F892" s="8"/>
      <c r="G892" s="6"/>
      <c r="H892" s="5"/>
      <c r="I892" s="5" t="n">
        <v>100</v>
      </c>
      <c r="J892" s="8"/>
      <c r="K892" s="8"/>
      <c r="L892" s="9"/>
      <c r="M892" s="7"/>
      <c r="N892" s="6"/>
      <c r="O892" s="8"/>
      <c r="P892" s="9"/>
      <c r="Q892" s="9"/>
      <c r="R892" s="7"/>
      <c r="S892" s="7"/>
      <c r="T892" s="10" t="str">
        <f aca="false">IF($C892="","",IFERROR(INDEX(Listas!$B$2:$B$20,MATCH($D892,Listas!$A$2:$A$20,0)),""))</f>
        <v/>
      </c>
      <c r="U892" s="10" t="str">
        <f aca="false">IF($C892="","",IFERROR(INDEX(Listas!$C$2:$C$20,MATCH($D892,Listas!$A$2:$A$20,0)),""))</f>
        <v/>
      </c>
      <c r="V892" s="10" t="str">
        <f aca="false">IF($C892="","",IFERROR(INDEX(Listas!$D$2:$D$20,MATCH($D892,Listas!$A$2:$A$20,0)),""))</f>
        <v/>
      </c>
      <c r="W892" s="11" t="str">
        <f aca="false">IF(OR($C892="",$B892="",$G892=""),"",$G892-$B892)</f>
        <v/>
      </c>
      <c r="X892" s="11" t="str">
        <f aca="true">IF(OR($C892="",$B892=""),"",IF($N892&lt;&gt;"",$N892,TODAY())-$B892)</f>
        <v/>
      </c>
      <c r="Y892" s="11" t="str">
        <f aca="true">IF(OR($C892="",$M892&lt;&gt;"Abierta",$G892=""),"",MAX($G892-TODAY(),0))</f>
        <v/>
      </c>
      <c r="Z892" s="12" t="str">
        <f aca="false">IF($C892="","",N($K892)*N($H892)*N($I892)*IF($U892="Débito",-1,1))</f>
        <v/>
      </c>
      <c r="AA892" s="13" t="str">
        <f aca="false">IF($C892="","",IF(AND($U892="Débito",$F892&lt;&gt;""),$F892,$E892))</f>
        <v/>
      </c>
      <c r="AB892" s="13" t="str">
        <f aca="false">IF(OR($C892="",$T892="Mixta",$AA892=""),"",IF($V892="Subyacente",IF($J892="","",$J892-$K892),IF($T892="Put",$AA892-$K892,$AA892+$K892)))</f>
        <v/>
      </c>
      <c r="AC892" s="14" t="str">
        <f aca="false">IF(OR($C892="",$T892="Mixta",$J892="",$AA892=""),"",IF($T892="Put",($J892-$AA892)/$J892,($AA892-$J892)/$J892))</f>
        <v/>
      </c>
      <c r="AD892" s="12" t="str">
        <f aca="false">IF($C892="","",IF($Q892&lt;&gt;"",$Q892,IF($V892="Strike",N($E892)*$H892*$I892,IF($V892="Subyacente",IF($J892="","",$J892*$H892*$I892),IF($V892="Ancho",IF($F892="","",ABS($E892-$F892)*$H892*$I892-$K892*$H892*$I892),IF($V892="Prima",$K892*$H892*$I892,""))))))</f>
        <v/>
      </c>
      <c r="AE892" s="12" t="str">
        <f aca="false">IF(OR($C892="",$M892="Abierta",$M892=""),"",(N($K892)-IF(OR($M892="Cerrada",$M892="Rolada"),N($O892),0))*$H892*$I892*IF($U892="Débito",-1,1)-N($L892)-N($P892))</f>
        <v/>
      </c>
      <c r="AF892" s="14" t="str">
        <f aca="false">IF(OR($AE892="",$AD892=""),"",IF($AD892&lt;=0,"",$AE892/$AD892))</f>
        <v/>
      </c>
      <c r="AG892" s="14" t="str">
        <f aca="false">IF($AF892="","",$AF892*365/MAX(N($X892),1))</f>
        <v/>
      </c>
      <c r="AH892" s="14" t="str">
        <f aca="false">IF(OR($C892="",$U892&lt;&gt;"Crédito",$AD892=""),"",IF($AD892&lt;=0,"",($Z892-N($L892))/$AD892))</f>
        <v/>
      </c>
      <c r="AI892" s="14" t="str">
        <f aca="false">IF(OR($AH892="",$W892=""),"",$AH892*365/MAX($W892,1))</f>
        <v/>
      </c>
      <c r="AJ892" s="14" t="str">
        <f aca="false">IF(OR($AE892="",$U892&lt;&gt;"Crédito",N($K892)=0),"",(N($K892)-IF(OR($M892="Cerrada",$M892="Rolada"),N($O892),0))/$K892)</f>
        <v/>
      </c>
      <c r="AK892" s="15" t="str">
        <f aca="false">IF(OR($C892="",$N892=""),"",DATE(YEAR($N892),MONTH($N892),1))</f>
        <v/>
      </c>
      <c r="AL892" s="11" t="str">
        <f aca="false">IF($C892="","",IF($M892="Abierta",0,1))</f>
        <v/>
      </c>
      <c r="AM892" s="16" t="str">
        <f aca="false">IF(OR($AE892="",$AD892=""),"",$AD892*MAX(N($X892),1))</f>
        <v/>
      </c>
      <c r="AN892" s="10" t="str">
        <f aca="false">IF($C892="","",IF(OR($B892="",$D892="",$H892="",$K892="",$M892=""),"Faltan datos obligatorios",IF($T892="","Estrategia no reconocida",IF(AND($M892&lt;&gt;"Abierta",$N892=""),"Falta fecha cierre",IF(AND(OR($M892="Cerrada",$M892="Rolada"),$O892=""),"Falta prima cierre",IF(AND($N892&lt;&gt;"",$N892&lt;$B892),"Cierre anterior a apertura",IF(AND($M892="Asignada",$R892=""),"Asignada: falta ID lote acciones",IF(AND($R892&lt;&gt;"",ISNA(MATCH($R892,Acciones!$A$2:$A$201,0))),"El ID lote no existe en Acciones",IF($AD892="","Revisa capital en riesgo","OK")))))))))</f>
        <v/>
      </c>
    </row>
    <row r="893" customFormat="false" ht="15" hidden="false" customHeight="true" outlineLevel="0" collapsed="false">
      <c r="A893" s="5"/>
      <c r="B893" s="6"/>
      <c r="C893" s="7"/>
      <c r="D893" s="7"/>
      <c r="E893" s="8"/>
      <c r="F893" s="8"/>
      <c r="G893" s="6"/>
      <c r="H893" s="5"/>
      <c r="I893" s="5" t="n">
        <v>100</v>
      </c>
      <c r="J893" s="8"/>
      <c r="K893" s="8"/>
      <c r="L893" s="9"/>
      <c r="M893" s="7"/>
      <c r="N893" s="6"/>
      <c r="O893" s="8"/>
      <c r="P893" s="9"/>
      <c r="Q893" s="9"/>
      <c r="R893" s="7"/>
      <c r="S893" s="7"/>
      <c r="T893" s="10" t="str">
        <f aca="false">IF($C893="","",IFERROR(INDEX(Listas!$B$2:$B$20,MATCH($D893,Listas!$A$2:$A$20,0)),""))</f>
        <v/>
      </c>
      <c r="U893" s="10" t="str">
        <f aca="false">IF($C893="","",IFERROR(INDEX(Listas!$C$2:$C$20,MATCH($D893,Listas!$A$2:$A$20,0)),""))</f>
        <v/>
      </c>
      <c r="V893" s="10" t="str">
        <f aca="false">IF($C893="","",IFERROR(INDEX(Listas!$D$2:$D$20,MATCH($D893,Listas!$A$2:$A$20,0)),""))</f>
        <v/>
      </c>
      <c r="W893" s="11" t="str">
        <f aca="false">IF(OR($C893="",$B893="",$G893=""),"",$G893-$B893)</f>
        <v/>
      </c>
      <c r="X893" s="11" t="str">
        <f aca="true">IF(OR($C893="",$B893=""),"",IF($N893&lt;&gt;"",$N893,TODAY())-$B893)</f>
        <v/>
      </c>
      <c r="Y893" s="11" t="str">
        <f aca="true">IF(OR($C893="",$M893&lt;&gt;"Abierta",$G893=""),"",MAX($G893-TODAY(),0))</f>
        <v/>
      </c>
      <c r="Z893" s="12" t="str">
        <f aca="false">IF($C893="","",N($K893)*N($H893)*N($I893)*IF($U893="Débito",-1,1))</f>
        <v/>
      </c>
      <c r="AA893" s="13" t="str">
        <f aca="false">IF($C893="","",IF(AND($U893="Débito",$F893&lt;&gt;""),$F893,$E893))</f>
        <v/>
      </c>
      <c r="AB893" s="13" t="str">
        <f aca="false">IF(OR($C893="",$T893="Mixta",$AA893=""),"",IF($V893="Subyacente",IF($J893="","",$J893-$K893),IF($T893="Put",$AA893-$K893,$AA893+$K893)))</f>
        <v/>
      </c>
      <c r="AC893" s="14" t="str">
        <f aca="false">IF(OR($C893="",$T893="Mixta",$J893="",$AA893=""),"",IF($T893="Put",($J893-$AA893)/$J893,($AA893-$J893)/$J893))</f>
        <v/>
      </c>
      <c r="AD893" s="12" t="str">
        <f aca="false">IF($C893="","",IF($Q893&lt;&gt;"",$Q893,IF($V893="Strike",N($E893)*$H893*$I893,IF($V893="Subyacente",IF($J893="","",$J893*$H893*$I893),IF($V893="Ancho",IF($F893="","",ABS($E893-$F893)*$H893*$I893-$K893*$H893*$I893),IF($V893="Prima",$K893*$H893*$I893,""))))))</f>
        <v/>
      </c>
      <c r="AE893" s="12" t="str">
        <f aca="false">IF(OR($C893="",$M893="Abierta",$M893=""),"",(N($K893)-IF(OR($M893="Cerrada",$M893="Rolada"),N($O893),0))*$H893*$I893*IF($U893="Débito",-1,1)-N($L893)-N($P893))</f>
        <v/>
      </c>
      <c r="AF893" s="14" t="str">
        <f aca="false">IF(OR($AE893="",$AD893=""),"",IF($AD893&lt;=0,"",$AE893/$AD893))</f>
        <v/>
      </c>
      <c r="AG893" s="14" t="str">
        <f aca="false">IF($AF893="","",$AF893*365/MAX(N($X893),1))</f>
        <v/>
      </c>
      <c r="AH893" s="14" t="str">
        <f aca="false">IF(OR($C893="",$U893&lt;&gt;"Crédito",$AD893=""),"",IF($AD893&lt;=0,"",($Z893-N($L893))/$AD893))</f>
        <v/>
      </c>
      <c r="AI893" s="14" t="str">
        <f aca="false">IF(OR($AH893="",$W893=""),"",$AH893*365/MAX($W893,1))</f>
        <v/>
      </c>
      <c r="AJ893" s="14" t="str">
        <f aca="false">IF(OR($AE893="",$U893&lt;&gt;"Crédito",N($K893)=0),"",(N($K893)-IF(OR($M893="Cerrada",$M893="Rolada"),N($O893),0))/$K893)</f>
        <v/>
      </c>
      <c r="AK893" s="15" t="str">
        <f aca="false">IF(OR($C893="",$N893=""),"",DATE(YEAR($N893),MONTH($N893),1))</f>
        <v/>
      </c>
      <c r="AL893" s="11" t="str">
        <f aca="false">IF($C893="","",IF($M893="Abierta",0,1))</f>
        <v/>
      </c>
      <c r="AM893" s="16" t="str">
        <f aca="false">IF(OR($AE893="",$AD893=""),"",$AD893*MAX(N($X893),1))</f>
        <v/>
      </c>
      <c r="AN893" s="10" t="str">
        <f aca="false">IF($C893="","",IF(OR($B893="",$D893="",$H893="",$K893="",$M893=""),"Faltan datos obligatorios",IF($T893="","Estrategia no reconocida",IF(AND($M893&lt;&gt;"Abierta",$N893=""),"Falta fecha cierre",IF(AND(OR($M893="Cerrada",$M893="Rolada"),$O893=""),"Falta prima cierre",IF(AND($N893&lt;&gt;"",$N893&lt;$B893),"Cierre anterior a apertura",IF(AND($M893="Asignada",$R893=""),"Asignada: falta ID lote acciones",IF(AND($R893&lt;&gt;"",ISNA(MATCH($R893,Acciones!$A$2:$A$201,0))),"El ID lote no existe en Acciones",IF($AD893="","Revisa capital en riesgo","OK")))))))))</f>
        <v/>
      </c>
    </row>
    <row r="894" customFormat="false" ht="15" hidden="false" customHeight="true" outlineLevel="0" collapsed="false">
      <c r="A894" s="5"/>
      <c r="B894" s="6"/>
      <c r="C894" s="7"/>
      <c r="D894" s="7"/>
      <c r="E894" s="8"/>
      <c r="F894" s="8"/>
      <c r="G894" s="6"/>
      <c r="H894" s="5"/>
      <c r="I894" s="5" t="n">
        <v>100</v>
      </c>
      <c r="J894" s="8"/>
      <c r="K894" s="8"/>
      <c r="L894" s="9"/>
      <c r="M894" s="7"/>
      <c r="N894" s="6"/>
      <c r="O894" s="8"/>
      <c r="P894" s="9"/>
      <c r="Q894" s="9"/>
      <c r="R894" s="7"/>
      <c r="S894" s="7"/>
      <c r="T894" s="10" t="str">
        <f aca="false">IF($C894="","",IFERROR(INDEX(Listas!$B$2:$B$20,MATCH($D894,Listas!$A$2:$A$20,0)),""))</f>
        <v/>
      </c>
      <c r="U894" s="10" t="str">
        <f aca="false">IF($C894="","",IFERROR(INDEX(Listas!$C$2:$C$20,MATCH($D894,Listas!$A$2:$A$20,0)),""))</f>
        <v/>
      </c>
      <c r="V894" s="10" t="str">
        <f aca="false">IF($C894="","",IFERROR(INDEX(Listas!$D$2:$D$20,MATCH($D894,Listas!$A$2:$A$20,0)),""))</f>
        <v/>
      </c>
      <c r="W894" s="11" t="str">
        <f aca="false">IF(OR($C894="",$B894="",$G894=""),"",$G894-$B894)</f>
        <v/>
      </c>
      <c r="X894" s="11" t="str">
        <f aca="true">IF(OR($C894="",$B894=""),"",IF($N894&lt;&gt;"",$N894,TODAY())-$B894)</f>
        <v/>
      </c>
      <c r="Y894" s="11" t="str">
        <f aca="true">IF(OR($C894="",$M894&lt;&gt;"Abierta",$G894=""),"",MAX($G894-TODAY(),0))</f>
        <v/>
      </c>
      <c r="Z894" s="12" t="str">
        <f aca="false">IF($C894="","",N($K894)*N($H894)*N($I894)*IF($U894="Débito",-1,1))</f>
        <v/>
      </c>
      <c r="AA894" s="13" t="str">
        <f aca="false">IF($C894="","",IF(AND($U894="Débito",$F894&lt;&gt;""),$F894,$E894))</f>
        <v/>
      </c>
      <c r="AB894" s="13" t="str">
        <f aca="false">IF(OR($C894="",$T894="Mixta",$AA894=""),"",IF($V894="Subyacente",IF($J894="","",$J894-$K894),IF($T894="Put",$AA894-$K894,$AA894+$K894)))</f>
        <v/>
      </c>
      <c r="AC894" s="14" t="str">
        <f aca="false">IF(OR($C894="",$T894="Mixta",$J894="",$AA894=""),"",IF($T894="Put",($J894-$AA894)/$J894,($AA894-$J894)/$J894))</f>
        <v/>
      </c>
      <c r="AD894" s="12" t="str">
        <f aca="false">IF($C894="","",IF($Q894&lt;&gt;"",$Q894,IF($V894="Strike",N($E894)*$H894*$I894,IF($V894="Subyacente",IF($J894="","",$J894*$H894*$I894),IF($V894="Ancho",IF($F894="","",ABS($E894-$F894)*$H894*$I894-$K894*$H894*$I894),IF($V894="Prima",$K894*$H894*$I894,""))))))</f>
        <v/>
      </c>
      <c r="AE894" s="12" t="str">
        <f aca="false">IF(OR($C894="",$M894="Abierta",$M894=""),"",(N($K894)-IF(OR($M894="Cerrada",$M894="Rolada"),N($O894),0))*$H894*$I894*IF($U894="Débito",-1,1)-N($L894)-N($P894))</f>
        <v/>
      </c>
      <c r="AF894" s="14" t="str">
        <f aca="false">IF(OR($AE894="",$AD894=""),"",IF($AD894&lt;=0,"",$AE894/$AD894))</f>
        <v/>
      </c>
      <c r="AG894" s="14" t="str">
        <f aca="false">IF($AF894="","",$AF894*365/MAX(N($X894),1))</f>
        <v/>
      </c>
      <c r="AH894" s="14" t="str">
        <f aca="false">IF(OR($C894="",$U894&lt;&gt;"Crédito",$AD894=""),"",IF($AD894&lt;=0,"",($Z894-N($L894))/$AD894))</f>
        <v/>
      </c>
      <c r="AI894" s="14" t="str">
        <f aca="false">IF(OR($AH894="",$W894=""),"",$AH894*365/MAX($W894,1))</f>
        <v/>
      </c>
      <c r="AJ894" s="14" t="str">
        <f aca="false">IF(OR($AE894="",$U894&lt;&gt;"Crédito",N($K894)=0),"",(N($K894)-IF(OR($M894="Cerrada",$M894="Rolada"),N($O894),0))/$K894)</f>
        <v/>
      </c>
      <c r="AK894" s="15" t="str">
        <f aca="false">IF(OR($C894="",$N894=""),"",DATE(YEAR($N894),MONTH($N894),1))</f>
        <v/>
      </c>
      <c r="AL894" s="11" t="str">
        <f aca="false">IF($C894="","",IF($M894="Abierta",0,1))</f>
        <v/>
      </c>
      <c r="AM894" s="16" t="str">
        <f aca="false">IF(OR($AE894="",$AD894=""),"",$AD894*MAX(N($X894),1))</f>
        <v/>
      </c>
      <c r="AN894" s="10" t="str">
        <f aca="false">IF($C894="","",IF(OR($B894="",$D894="",$H894="",$K894="",$M894=""),"Faltan datos obligatorios",IF($T894="","Estrategia no reconocida",IF(AND($M894&lt;&gt;"Abierta",$N894=""),"Falta fecha cierre",IF(AND(OR($M894="Cerrada",$M894="Rolada"),$O894=""),"Falta prima cierre",IF(AND($N894&lt;&gt;"",$N894&lt;$B894),"Cierre anterior a apertura",IF(AND($M894="Asignada",$R894=""),"Asignada: falta ID lote acciones",IF(AND($R894&lt;&gt;"",ISNA(MATCH($R894,Acciones!$A$2:$A$201,0))),"El ID lote no existe en Acciones",IF($AD894="","Revisa capital en riesgo","OK")))))))))</f>
        <v/>
      </c>
    </row>
    <row r="895" customFormat="false" ht="15" hidden="false" customHeight="true" outlineLevel="0" collapsed="false">
      <c r="A895" s="5"/>
      <c r="B895" s="6"/>
      <c r="C895" s="7"/>
      <c r="D895" s="7"/>
      <c r="E895" s="8"/>
      <c r="F895" s="8"/>
      <c r="G895" s="6"/>
      <c r="H895" s="5"/>
      <c r="I895" s="5" t="n">
        <v>100</v>
      </c>
      <c r="J895" s="8"/>
      <c r="K895" s="8"/>
      <c r="L895" s="9"/>
      <c r="M895" s="7"/>
      <c r="N895" s="6"/>
      <c r="O895" s="8"/>
      <c r="P895" s="9"/>
      <c r="Q895" s="9"/>
      <c r="R895" s="7"/>
      <c r="S895" s="7"/>
      <c r="T895" s="10" t="str">
        <f aca="false">IF($C895="","",IFERROR(INDEX(Listas!$B$2:$B$20,MATCH($D895,Listas!$A$2:$A$20,0)),""))</f>
        <v/>
      </c>
      <c r="U895" s="10" t="str">
        <f aca="false">IF($C895="","",IFERROR(INDEX(Listas!$C$2:$C$20,MATCH($D895,Listas!$A$2:$A$20,0)),""))</f>
        <v/>
      </c>
      <c r="V895" s="10" t="str">
        <f aca="false">IF($C895="","",IFERROR(INDEX(Listas!$D$2:$D$20,MATCH($D895,Listas!$A$2:$A$20,0)),""))</f>
        <v/>
      </c>
      <c r="W895" s="11" t="str">
        <f aca="false">IF(OR($C895="",$B895="",$G895=""),"",$G895-$B895)</f>
        <v/>
      </c>
      <c r="X895" s="11" t="str">
        <f aca="true">IF(OR($C895="",$B895=""),"",IF($N895&lt;&gt;"",$N895,TODAY())-$B895)</f>
        <v/>
      </c>
      <c r="Y895" s="11" t="str">
        <f aca="true">IF(OR($C895="",$M895&lt;&gt;"Abierta",$G895=""),"",MAX($G895-TODAY(),0))</f>
        <v/>
      </c>
      <c r="Z895" s="12" t="str">
        <f aca="false">IF($C895="","",N($K895)*N($H895)*N($I895)*IF($U895="Débito",-1,1))</f>
        <v/>
      </c>
      <c r="AA895" s="13" t="str">
        <f aca="false">IF($C895="","",IF(AND($U895="Débito",$F895&lt;&gt;""),$F895,$E895))</f>
        <v/>
      </c>
      <c r="AB895" s="13" t="str">
        <f aca="false">IF(OR($C895="",$T895="Mixta",$AA895=""),"",IF($V895="Subyacente",IF($J895="","",$J895-$K895),IF($T895="Put",$AA895-$K895,$AA895+$K895)))</f>
        <v/>
      </c>
      <c r="AC895" s="14" t="str">
        <f aca="false">IF(OR($C895="",$T895="Mixta",$J895="",$AA895=""),"",IF($T895="Put",($J895-$AA895)/$J895,($AA895-$J895)/$J895))</f>
        <v/>
      </c>
      <c r="AD895" s="12" t="str">
        <f aca="false">IF($C895="","",IF($Q895&lt;&gt;"",$Q895,IF($V895="Strike",N($E895)*$H895*$I895,IF($V895="Subyacente",IF($J895="","",$J895*$H895*$I895),IF($V895="Ancho",IF($F895="","",ABS($E895-$F895)*$H895*$I895-$K895*$H895*$I895),IF($V895="Prima",$K895*$H895*$I895,""))))))</f>
        <v/>
      </c>
      <c r="AE895" s="12" t="str">
        <f aca="false">IF(OR($C895="",$M895="Abierta",$M895=""),"",(N($K895)-IF(OR($M895="Cerrada",$M895="Rolada"),N($O895),0))*$H895*$I895*IF($U895="Débito",-1,1)-N($L895)-N($P895))</f>
        <v/>
      </c>
      <c r="AF895" s="14" t="str">
        <f aca="false">IF(OR($AE895="",$AD895=""),"",IF($AD895&lt;=0,"",$AE895/$AD895))</f>
        <v/>
      </c>
      <c r="AG895" s="14" t="str">
        <f aca="false">IF($AF895="","",$AF895*365/MAX(N($X895),1))</f>
        <v/>
      </c>
      <c r="AH895" s="14" t="str">
        <f aca="false">IF(OR($C895="",$U895&lt;&gt;"Crédito",$AD895=""),"",IF($AD895&lt;=0,"",($Z895-N($L895))/$AD895))</f>
        <v/>
      </c>
      <c r="AI895" s="14" t="str">
        <f aca="false">IF(OR($AH895="",$W895=""),"",$AH895*365/MAX($W895,1))</f>
        <v/>
      </c>
      <c r="AJ895" s="14" t="str">
        <f aca="false">IF(OR($AE895="",$U895&lt;&gt;"Crédito",N($K895)=0),"",(N($K895)-IF(OR($M895="Cerrada",$M895="Rolada"),N($O895),0))/$K895)</f>
        <v/>
      </c>
      <c r="AK895" s="15" t="str">
        <f aca="false">IF(OR($C895="",$N895=""),"",DATE(YEAR($N895),MONTH($N895),1))</f>
        <v/>
      </c>
      <c r="AL895" s="11" t="str">
        <f aca="false">IF($C895="","",IF($M895="Abierta",0,1))</f>
        <v/>
      </c>
      <c r="AM895" s="16" t="str">
        <f aca="false">IF(OR($AE895="",$AD895=""),"",$AD895*MAX(N($X895),1))</f>
        <v/>
      </c>
      <c r="AN895" s="10" t="str">
        <f aca="false">IF($C895="","",IF(OR($B895="",$D895="",$H895="",$K895="",$M895=""),"Faltan datos obligatorios",IF($T895="","Estrategia no reconocida",IF(AND($M895&lt;&gt;"Abierta",$N895=""),"Falta fecha cierre",IF(AND(OR($M895="Cerrada",$M895="Rolada"),$O895=""),"Falta prima cierre",IF(AND($N895&lt;&gt;"",$N895&lt;$B895),"Cierre anterior a apertura",IF(AND($M895="Asignada",$R895=""),"Asignada: falta ID lote acciones",IF(AND($R895&lt;&gt;"",ISNA(MATCH($R895,Acciones!$A$2:$A$201,0))),"El ID lote no existe en Acciones",IF($AD895="","Revisa capital en riesgo","OK")))))))))</f>
        <v/>
      </c>
    </row>
    <row r="896" customFormat="false" ht="15" hidden="false" customHeight="true" outlineLevel="0" collapsed="false">
      <c r="A896" s="5"/>
      <c r="B896" s="6"/>
      <c r="C896" s="7"/>
      <c r="D896" s="7"/>
      <c r="E896" s="8"/>
      <c r="F896" s="8"/>
      <c r="G896" s="6"/>
      <c r="H896" s="5"/>
      <c r="I896" s="5" t="n">
        <v>100</v>
      </c>
      <c r="J896" s="8"/>
      <c r="K896" s="8"/>
      <c r="L896" s="9"/>
      <c r="M896" s="7"/>
      <c r="N896" s="6"/>
      <c r="O896" s="8"/>
      <c r="P896" s="9"/>
      <c r="Q896" s="9"/>
      <c r="R896" s="7"/>
      <c r="S896" s="7"/>
      <c r="T896" s="10" t="str">
        <f aca="false">IF($C896="","",IFERROR(INDEX(Listas!$B$2:$B$20,MATCH($D896,Listas!$A$2:$A$20,0)),""))</f>
        <v/>
      </c>
      <c r="U896" s="10" t="str">
        <f aca="false">IF($C896="","",IFERROR(INDEX(Listas!$C$2:$C$20,MATCH($D896,Listas!$A$2:$A$20,0)),""))</f>
        <v/>
      </c>
      <c r="V896" s="10" t="str">
        <f aca="false">IF($C896="","",IFERROR(INDEX(Listas!$D$2:$D$20,MATCH($D896,Listas!$A$2:$A$20,0)),""))</f>
        <v/>
      </c>
      <c r="W896" s="11" t="str">
        <f aca="false">IF(OR($C896="",$B896="",$G896=""),"",$G896-$B896)</f>
        <v/>
      </c>
      <c r="X896" s="11" t="str">
        <f aca="true">IF(OR($C896="",$B896=""),"",IF($N896&lt;&gt;"",$N896,TODAY())-$B896)</f>
        <v/>
      </c>
      <c r="Y896" s="11" t="str">
        <f aca="true">IF(OR($C896="",$M896&lt;&gt;"Abierta",$G896=""),"",MAX($G896-TODAY(),0))</f>
        <v/>
      </c>
      <c r="Z896" s="12" t="str">
        <f aca="false">IF($C896="","",N($K896)*N($H896)*N($I896)*IF($U896="Débito",-1,1))</f>
        <v/>
      </c>
      <c r="AA896" s="13" t="str">
        <f aca="false">IF($C896="","",IF(AND($U896="Débito",$F896&lt;&gt;""),$F896,$E896))</f>
        <v/>
      </c>
      <c r="AB896" s="13" t="str">
        <f aca="false">IF(OR($C896="",$T896="Mixta",$AA896=""),"",IF($V896="Subyacente",IF($J896="","",$J896-$K896),IF($T896="Put",$AA896-$K896,$AA896+$K896)))</f>
        <v/>
      </c>
      <c r="AC896" s="14" t="str">
        <f aca="false">IF(OR($C896="",$T896="Mixta",$J896="",$AA896=""),"",IF($T896="Put",($J896-$AA896)/$J896,($AA896-$J896)/$J896))</f>
        <v/>
      </c>
      <c r="AD896" s="12" t="str">
        <f aca="false">IF($C896="","",IF($Q896&lt;&gt;"",$Q896,IF($V896="Strike",N($E896)*$H896*$I896,IF($V896="Subyacente",IF($J896="","",$J896*$H896*$I896),IF($V896="Ancho",IF($F896="","",ABS($E896-$F896)*$H896*$I896-$K896*$H896*$I896),IF($V896="Prima",$K896*$H896*$I896,""))))))</f>
        <v/>
      </c>
      <c r="AE896" s="12" t="str">
        <f aca="false">IF(OR($C896="",$M896="Abierta",$M896=""),"",(N($K896)-IF(OR($M896="Cerrada",$M896="Rolada"),N($O896),0))*$H896*$I896*IF($U896="Débito",-1,1)-N($L896)-N($P896))</f>
        <v/>
      </c>
      <c r="AF896" s="14" t="str">
        <f aca="false">IF(OR($AE896="",$AD896=""),"",IF($AD896&lt;=0,"",$AE896/$AD896))</f>
        <v/>
      </c>
      <c r="AG896" s="14" t="str">
        <f aca="false">IF($AF896="","",$AF896*365/MAX(N($X896),1))</f>
        <v/>
      </c>
      <c r="AH896" s="14" t="str">
        <f aca="false">IF(OR($C896="",$U896&lt;&gt;"Crédito",$AD896=""),"",IF($AD896&lt;=0,"",($Z896-N($L896))/$AD896))</f>
        <v/>
      </c>
      <c r="AI896" s="14" t="str">
        <f aca="false">IF(OR($AH896="",$W896=""),"",$AH896*365/MAX($W896,1))</f>
        <v/>
      </c>
      <c r="AJ896" s="14" t="str">
        <f aca="false">IF(OR($AE896="",$U896&lt;&gt;"Crédito",N($K896)=0),"",(N($K896)-IF(OR($M896="Cerrada",$M896="Rolada"),N($O896),0))/$K896)</f>
        <v/>
      </c>
      <c r="AK896" s="15" t="str">
        <f aca="false">IF(OR($C896="",$N896=""),"",DATE(YEAR($N896),MONTH($N896),1))</f>
        <v/>
      </c>
      <c r="AL896" s="11" t="str">
        <f aca="false">IF($C896="","",IF($M896="Abierta",0,1))</f>
        <v/>
      </c>
      <c r="AM896" s="16" t="str">
        <f aca="false">IF(OR($AE896="",$AD896=""),"",$AD896*MAX(N($X896),1))</f>
        <v/>
      </c>
      <c r="AN896" s="10" t="str">
        <f aca="false">IF($C896="","",IF(OR($B896="",$D896="",$H896="",$K896="",$M896=""),"Faltan datos obligatorios",IF($T896="","Estrategia no reconocida",IF(AND($M896&lt;&gt;"Abierta",$N896=""),"Falta fecha cierre",IF(AND(OR($M896="Cerrada",$M896="Rolada"),$O896=""),"Falta prima cierre",IF(AND($N896&lt;&gt;"",$N896&lt;$B896),"Cierre anterior a apertura",IF(AND($M896="Asignada",$R896=""),"Asignada: falta ID lote acciones",IF(AND($R896&lt;&gt;"",ISNA(MATCH($R896,Acciones!$A$2:$A$201,0))),"El ID lote no existe en Acciones",IF($AD896="","Revisa capital en riesgo","OK")))))))))</f>
        <v/>
      </c>
    </row>
    <row r="897" customFormat="false" ht="15" hidden="false" customHeight="true" outlineLevel="0" collapsed="false">
      <c r="A897" s="5"/>
      <c r="B897" s="6"/>
      <c r="C897" s="7"/>
      <c r="D897" s="7"/>
      <c r="E897" s="8"/>
      <c r="F897" s="8"/>
      <c r="G897" s="6"/>
      <c r="H897" s="5"/>
      <c r="I897" s="5" t="n">
        <v>100</v>
      </c>
      <c r="J897" s="8"/>
      <c r="K897" s="8"/>
      <c r="L897" s="9"/>
      <c r="M897" s="7"/>
      <c r="N897" s="6"/>
      <c r="O897" s="8"/>
      <c r="P897" s="9"/>
      <c r="Q897" s="9"/>
      <c r="R897" s="7"/>
      <c r="S897" s="7"/>
      <c r="T897" s="10" t="str">
        <f aca="false">IF($C897="","",IFERROR(INDEX(Listas!$B$2:$B$20,MATCH($D897,Listas!$A$2:$A$20,0)),""))</f>
        <v/>
      </c>
      <c r="U897" s="10" t="str">
        <f aca="false">IF($C897="","",IFERROR(INDEX(Listas!$C$2:$C$20,MATCH($D897,Listas!$A$2:$A$20,0)),""))</f>
        <v/>
      </c>
      <c r="V897" s="10" t="str">
        <f aca="false">IF($C897="","",IFERROR(INDEX(Listas!$D$2:$D$20,MATCH($D897,Listas!$A$2:$A$20,0)),""))</f>
        <v/>
      </c>
      <c r="W897" s="11" t="str">
        <f aca="false">IF(OR($C897="",$B897="",$G897=""),"",$G897-$B897)</f>
        <v/>
      </c>
      <c r="X897" s="11" t="str">
        <f aca="true">IF(OR($C897="",$B897=""),"",IF($N897&lt;&gt;"",$N897,TODAY())-$B897)</f>
        <v/>
      </c>
      <c r="Y897" s="11" t="str">
        <f aca="true">IF(OR($C897="",$M897&lt;&gt;"Abierta",$G897=""),"",MAX($G897-TODAY(),0))</f>
        <v/>
      </c>
      <c r="Z897" s="12" t="str">
        <f aca="false">IF($C897="","",N($K897)*N($H897)*N($I897)*IF($U897="Débito",-1,1))</f>
        <v/>
      </c>
      <c r="AA897" s="13" t="str">
        <f aca="false">IF($C897="","",IF(AND($U897="Débito",$F897&lt;&gt;""),$F897,$E897))</f>
        <v/>
      </c>
      <c r="AB897" s="13" t="str">
        <f aca="false">IF(OR($C897="",$T897="Mixta",$AA897=""),"",IF($V897="Subyacente",IF($J897="","",$J897-$K897),IF($T897="Put",$AA897-$K897,$AA897+$K897)))</f>
        <v/>
      </c>
      <c r="AC897" s="14" t="str">
        <f aca="false">IF(OR($C897="",$T897="Mixta",$J897="",$AA897=""),"",IF($T897="Put",($J897-$AA897)/$J897,($AA897-$J897)/$J897))</f>
        <v/>
      </c>
      <c r="AD897" s="12" t="str">
        <f aca="false">IF($C897="","",IF($Q897&lt;&gt;"",$Q897,IF($V897="Strike",N($E897)*$H897*$I897,IF($V897="Subyacente",IF($J897="","",$J897*$H897*$I897),IF($V897="Ancho",IF($F897="","",ABS($E897-$F897)*$H897*$I897-$K897*$H897*$I897),IF($V897="Prima",$K897*$H897*$I897,""))))))</f>
        <v/>
      </c>
      <c r="AE897" s="12" t="str">
        <f aca="false">IF(OR($C897="",$M897="Abierta",$M897=""),"",(N($K897)-IF(OR($M897="Cerrada",$M897="Rolada"),N($O897),0))*$H897*$I897*IF($U897="Débito",-1,1)-N($L897)-N($P897))</f>
        <v/>
      </c>
      <c r="AF897" s="14" t="str">
        <f aca="false">IF(OR($AE897="",$AD897=""),"",IF($AD897&lt;=0,"",$AE897/$AD897))</f>
        <v/>
      </c>
      <c r="AG897" s="14" t="str">
        <f aca="false">IF($AF897="","",$AF897*365/MAX(N($X897),1))</f>
        <v/>
      </c>
      <c r="AH897" s="14" t="str">
        <f aca="false">IF(OR($C897="",$U897&lt;&gt;"Crédito",$AD897=""),"",IF($AD897&lt;=0,"",($Z897-N($L897))/$AD897))</f>
        <v/>
      </c>
      <c r="AI897" s="14" t="str">
        <f aca="false">IF(OR($AH897="",$W897=""),"",$AH897*365/MAX($W897,1))</f>
        <v/>
      </c>
      <c r="AJ897" s="14" t="str">
        <f aca="false">IF(OR($AE897="",$U897&lt;&gt;"Crédito",N($K897)=0),"",(N($K897)-IF(OR($M897="Cerrada",$M897="Rolada"),N($O897),0))/$K897)</f>
        <v/>
      </c>
      <c r="AK897" s="15" t="str">
        <f aca="false">IF(OR($C897="",$N897=""),"",DATE(YEAR($N897),MONTH($N897),1))</f>
        <v/>
      </c>
      <c r="AL897" s="11" t="str">
        <f aca="false">IF($C897="","",IF($M897="Abierta",0,1))</f>
        <v/>
      </c>
      <c r="AM897" s="16" t="str">
        <f aca="false">IF(OR($AE897="",$AD897=""),"",$AD897*MAX(N($X897),1))</f>
        <v/>
      </c>
      <c r="AN897" s="10" t="str">
        <f aca="false">IF($C897="","",IF(OR($B897="",$D897="",$H897="",$K897="",$M897=""),"Faltan datos obligatorios",IF($T897="","Estrategia no reconocida",IF(AND($M897&lt;&gt;"Abierta",$N897=""),"Falta fecha cierre",IF(AND(OR($M897="Cerrada",$M897="Rolada"),$O897=""),"Falta prima cierre",IF(AND($N897&lt;&gt;"",$N897&lt;$B897),"Cierre anterior a apertura",IF(AND($M897="Asignada",$R897=""),"Asignada: falta ID lote acciones",IF(AND($R897&lt;&gt;"",ISNA(MATCH($R897,Acciones!$A$2:$A$201,0))),"El ID lote no existe en Acciones",IF($AD897="","Revisa capital en riesgo","OK")))))))))</f>
        <v/>
      </c>
    </row>
    <row r="898" customFormat="false" ht="15" hidden="false" customHeight="true" outlineLevel="0" collapsed="false">
      <c r="A898" s="5"/>
      <c r="B898" s="6"/>
      <c r="C898" s="7"/>
      <c r="D898" s="7"/>
      <c r="E898" s="8"/>
      <c r="F898" s="8"/>
      <c r="G898" s="6"/>
      <c r="H898" s="5"/>
      <c r="I898" s="5" t="n">
        <v>100</v>
      </c>
      <c r="J898" s="8"/>
      <c r="K898" s="8"/>
      <c r="L898" s="9"/>
      <c r="M898" s="7"/>
      <c r="N898" s="6"/>
      <c r="O898" s="8"/>
      <c r="P898" s="9"/>
      <c r="Q898" s="9"/>
      <c r="R898" s="7"/>
      <c r="S898" s="7"/>
      <c r="T898" s="10" t="str">
        <f aca="false">IF($C898="","",IFERROR(INDEX(Listas!$B$2:$B$20,MATCH($D898,Listas!$A$2:$A$20,0)),""))</f>
        <v/>
      </c>
      <c r="U898" s="10" t="str">
        <f aca="false">IF($C898="","",IFERROR(INDEX(Listas!$C$2:$C$20,MATCH($D898,Listas!$A$2:$A$20,0)),""))</f>
        <v/>
      </c>
      <c r="V898" s="10" t="str">
        <f aca="false">IF($C898="","",IFERROR(INDEX(Listas!$D$2:$D$20,MATCH($D898,Listas!$A$2:$A$20,0)),""))</f>
        <v/>
      </c>
      <c r="W898" s="11" t="str">
        <f aca="false">IF(OR($C898="",$B898="",$G898=""),"",$G898-$B898)</f>
        <v/>
      </c>
      <c r="X898" s="11" t="str">
        <f aca="true">IF(OR($C898="",$B898=""),"",IF($N898&lt;&gt;"",$N898,TODAY())-$B898)</f>
        <v/>
      </c>
      <c r="Y898" s="11" t="str">
        <f aca="true">IF(OR($C898="",$M898&lt;&gt;"Abierta",$G898=""),"",MAX($G898-TODAY(),0))</f>
        <v/>
      </c>
      <c r="Z898" s="12" t="str">
        <f aca="false">IF($C898="","",N($K898)*N($H898)*N($I898)*IF($U898="Débito",-1,1))</f>
        <v/>
      </c>
      <c r="AA898" s="13" t="str">
        <f aca="false">IF($C898="","",IF(AND($U898="Débito",$F898&lt;&gt;""),$F898,$E898))</f>
        <v/>
      </c>
      <c r="AB898" s="13" t="str">
        <f aca="false">IF(OR($C898="",$T898="Mixta",$AA898=""),"",IF($V898="Subyacente",IF($J898="","",$J898-$K898),IF($T898="Put",$AA898-$K898,$AA898+$K898)))</f>
        <v/>
      </c>
      <c r="AC898" s="14" t="str">
        <f aca="false">IF(OR($C898="",$T898="Mixta",$J898="",$AA898=""),"",IF($T898="Put",($J898-$AA898)/$J898,($AA898-$J898)/$J898))</f>
        <v/>
      </c>
      <c r="AD898" s="12" t="str">
        <f aca="false">IF($C898="","",IF($Q898&lt;&gt;"",$Q898,IF($V898="Strike",N($E898)*$H898*$I898,IF($V898="Subyacente",IF($J898="","",$J898*$H898*$I898),IF($V898="Ancho",IF($F898="","",ABS($E898-$F898)*$H898*$I898-$K898*$H898*$I898),IF($V898="Prima",$K898*$H898*$I898,""))))))</f>
        <v/>
      </c>
      <c r="AE898" s="12" t="str">
        <f aca="false">IF(OR($C898="",$M898="Abierta",$M898=""),"",(N($K898)-IF(OR($M898="Cerrada",$M898="Rolada"),N($O898),0))*$H898*$I898*IF($U898="Débito",-1,1)-N($L898)-N($P898))</f>
        <v/>
      </c>
      <c r="AF898" s="14" t="str">
        <f aca="false">IF(OR($AE898="",$AD898=""),"",IF($AD898&lt;=0,"",$AE898/$AD898))</f>
        <v/>
      </c>
      <c r="AG898" s="14" t="str">
        <f aca="false">IF($AF898="","",$AF898*365/MAX(N($X898),1))</f>
        <v/>
      </c>
      <c r="AH898" s="14" t="str">
        <f aca="false">IF(OR($C898="",$U898&lt;&gt;"Crédito",$AD898=""),"",IF($AD898&lt;=0,"",($Z898-N($L898))/$AD898))</f>
        <v/>
      </c>
      <c r="AI898" s="14" t="str">
        <f aca="false">IF(OR($AH898="",$W898=""),"",$AH898*365/MAX($W898,1))</f>
        <v/>
      </c>
      <c r="AJ898" s="14" t="str">
        <f aca="false">IF(OR($AE898="",$U898&lt;&gt;"Crédito",N($K898)=0),"",(N($K898)-IF(OR($M898="Cerrada",$M898="Rolada"),N($O898),0))/$K898)</f>
        <v/>
      </c>
      <c r="AK898" s="15" t="str">
        <f aca="false">IF(OR($C898="",$N898=""),"",DATE(YEAR($N898),MONTH($N898),1))</f>
        <v/>
      </c>
      <c r="AL898" s="11" t="str">
        <f aca="false">IF($C898="","",IF($M898="Abierta",0,1))</f>
        <v/>
      </c>
      <c r="AM898" s="16" t="str">
        <f aca="false">IF(OR($AE898="",$AD898=""),"",$AD898*MAX(N($X898),1))</f>
        <v/>
      </c>
      <c r="AN898" s="10" t="str">
        <f aca="false">IF($C898="","",IF(OR($B898="",$D898="",$H898="",$K898="",$M898=""),"Faltan datos obligatorios",IF($T898="","Estrategia no reconocida",IF(AND($M898&lt;&gt;"Abierta",$N898=""),"Falta fecha cierre",IF(AND(OR($M898="Cerrada",$M898="Rolada"),$O898=""),"Falta prima cierre",IF(AND($N898&lt;&gt;"",$N898&lt;$B898),"Cierre anterior a apertura",IF(AND($M898="Asignada",$R898=""),"Asignada: falta ID lote acciones",IF(AND($R898&lt;&gt;"",ISNA(MATCH($R898,Acciones!$A$2:$A$201,0))),"El ID lote no existe en Acciones",IF($AD898="","Revisa capital en riesgo","OK")))))))))</f>
        <v/>
      </c>
    </row>
    <row r="899" customFormat="false" ht="15" hidden="false" customHeight="true" outlineLevel="0" collapsed="false">
      <c r="A899" s="5"/>
      <c r="B899" s="6"/>
      <c r="C899" s="7"/>
      <c r="D899" s="7"/>
      <c r="E899" s="8"/>
      <c r="F899" s="8"/>
      <c r="G899" s="6"/>
      <c r="H899" s="5"/>
      <c r="I899" s="5" t="n">
        <v>100</v>
      </c>
      <c r="J899" s="8"/>
      <c r="K899" s="8"/>
      <c r="L899" s="9"/>
      <c r="M899" s="7"/>
      <c r="N899" s="6"/>
      <c r="O899" s="8"/>
      <c r="P899" s="9"/>
      <c r="Q899" s="9"/>
      <c r="R899" s="7"/>
      <c r="S899" s="7"/>
      <c r="T899" s="10" t="str">
        <f aca="false">IF($C899="","",IFERROR(INDEX(Listas!$B$2:$B$20,MATCH($D899,Listas!$A$2:$A$20,0)),""))</f>
        <v/>
      </c>
      <c r="U899" s="10" t="str">
        <f aca="false">IF($C899="","",IFERROR(INDEX(Listas!$C$2:$C$20,MATCH($D899,Listas!$A$2:$A$20,0)),""))</f>
        <v/>
      </c>
      <c r="V899" s="10" t="str">
        <f aca="false">IF($C899="","",IFERROR(INDEX(Listas!$D$2:$D$20,MATCH($D899,Listas!$A$2:$A$20,0)),""))</f>
        <v/>
      </c>
      <c r="W899" s="11" t="str">
        <f aca="false">IF(OR($C899="",$B899="",$G899=""),"",$G899-$B899)</f>
        <v/>
      </c>
      <c r="X899" s="11" t="str">
        <f aca="true">IF(OR($C899="",$B899=""),"",IF($N899&lt;&gt;"",$N899,TODAY())-$B899)</f>
        <v/>
      </c>
      <c r="Y899" s="11" t="str">
        <f aca="true">IF(OR($C899="",$M899&lt;&gt;"Abierta",$G899=""),"",MAX($G899-TODAY(),0))</f>
        <v/>
      </c>
      <c r="Z899" s="12" t="str">
        <f aca="false">IF($C899="","",N($K899)*N($H899)*N($I899)*IF($U899="Débito",-1,1))</f>
        <v/>
      </c>
      <c r="AA899" s="13" t="str">
        <f aca="false">IF($C899="","",IF(AND($U899="Débito",$F899&lt;&gt;""),$F899,$E899))</f>
        <v/>
      </c>
      <c r="AB899" s="13" t="str">
        <f aca="false">IF(OR($C899="",$T899="Mixta",$AA899=""),"",IF($V899="Subyacente",IF($J899="","",$J899-$K899),IF($T899="Put",$AA899-$K899,$AA899+$K899)))</f>
        <v/>
      </c>
      <c r="AC899" s="14" t="str">
        <f aca="false">IF(OR($C899="",$T899="Mixta",$J899="",$AA899=""),"",IF($T899="Put",($J899-$AA899)/$J899,($AA899-$J899)/$J899))</f>
        <v/>
      </c>
      <c r="AD899" s="12" t="str">
        <f aca="false">IF($C899="","",IF($Q899&lt;&gt;"",$Q899,IF($V899="Strike",N($E899)*$H899*$I899,IF($V899="Subyacente",IF($J899="","",$J899*$H899*$I899),IF($V899="Ancho",IF($F899="","",ABS($E899-$F899)*$H899*$I899-$K899*$H899*$I899),IF($V899="Prima",$K899*$H899*$I899,""))))))</f>
        <v/>
      </c>
      <c r="AE899" s="12" t="str">
        <f aca="false">IF(OR($C899="",$M899="Abierta",$M899=""),"",(N($K899)-IF(OR($M899="Cerrada",$M899="Rolada"),N($O899),0))*$H899*$I899*IF($U899="Débito",-1,1)-N($L899)-N($P899))</f>
        <v/>
      </c>
      <c r="AF899" s="14" t="str">
        <f aca="false">IF(OR($AE899="",$AD899=""),"",IF($AD899&lt;=0,"",$AE899/$AD899))</f>
        <v/>
      </c>
      <c r="AG899" s="14" t="str">
        <f aca="false">IF($AF899="","",$AF899*365/MAX(N($X899),1))</f>
        <v/>
      </c>
      <c r="AH899" s="14" t="str">
        <f aca="false">IF(OR($C899="",$U899&lt;&gt;"Crédito",$AD899=""),"",IF($AD899&lt;=0,"",($Z899-N($L899))/$AD899))</f>
        <v/>
      </c>
      <c r="AI899" s="14" t="str">
        <f aca="false">IF(OR($AH899="",$W899=""),"",$AH899*365/MAX($W899,1))</f>
        <v/>
      </c>
      <c r="AJ899" s="14" t="str">
        <f aca="false">IF(OR($AE899="",$U899&lt;&gt;"Crédito",N($K899)=0),"",(N($K899)-IF(OR($M899="Cerrada",$M899="Rolada"),N($O899),0))/$K899)</f>
        <v/>
      </c>
      <c r="AK899" s="15" t="str">
        <f aca="false">IF(OR($C899="",$N899=""),"",DATE(YEAR($N899),MONTH($N899),1))</f>
        <v/>
      </c>
      <c r="AL899" s="11" t="str">
        <f aca="false">IF($C899="","",IF($M899="Abierta",0,1))</f>
        <v/>
      </c>
      <c r="AM899" s="16" t="str">
        <f aca="false">IF(OR($AE899="",$AD899=""),"",$AD899*MAX(N($X899),1))</f>
        <v/>
      </c>
      <c r="AN899" s="10" t="str">
        <f aca="false">IF($C899="","",IF(OR($B899="",$D899="",$H899="",$K899="",$M899=""),"Faltan datos obligatorios",IF($T899="","Estrategia no reconocida",IF(AND($M899&lt;&gt;"Abierta",$N899=""),"Falta fecha cierre",IF(AND(OR($M899="Cerrada",$M899="Rolada"),$O899=""),"Falta prima cierre",IF(AND($N899&lt;&gt;"",$N899&lt;$B899),"Cierre anterior a apertura",IF(AND($M899="Asignada",$R899=""),"Asignada: falta ID lote acciones",IF(AND($R899&lt;&gt;"",ISNA(MATCH($R899,Acciones!$A$2:$A$201,0))),"El ID lote no existe en Acciones",IF($AD899="","Revisa capital en riesgo","OK")))))))))</f>
        <v/>
      </c>
    </row>
    <row r="900" customFormat="false" ht="15" hidden="false" customHeight="true" outlineLevel="0" collapsed="false">
      <c r="A900" s="5"/>
      <c r="B900" s="6"/>
      <c r="C900" s="7"/>
      <c r="D900" s="7"/>
      <c r="E900" s="8"/>
      <c r="F900" s="8"/>
      <c r="G900" s="6"/>
      <c r="H900" s="5"/>
      <c r="I900" s="5" t="n">
        <v>100</v>
      </c>
      <c r="J900" s="8"/>
      <c r="K900" s="8"/>
      <c r="L900" s="9"/>
      <c r="M900" s="7"/>
      <c r="N900" s="6"/>
      <c r="O900" s="8"/>
      <c r="P900" s="9"/>
      <c r="Q900" s="9"/>
      <c r="R900" s="7"/>
      <c r="S900" s="7"/>
      <c r="T900" s="10" t="str">
        <f aca="false">IF($C900="","",IFERROR(INDEX(Listas!$B$2:$B$20,MATCH($D900,Listas!$A$2:$A$20,0)),""))</f>
        <v/>
      </c>
      <c r="U900" s="10" t="str">
        <f aca="false">IF($C900="","",IFERROR(INDEX(Listas!$C$2:$C$20,MATCH($D900,Listas!$A$2:$A$20,0)),""))</f>
        <v/>
      </c>
      <c r="V900" s="10" t="str">
        <f aca="false">IF($C900="","",IFERROR(INDEX(Listas!$D$2:$D$20,MATCH($D900,Listas!$A$2:$A$20,0)),""))</f>
        <v/>
      </c>
      <c r="W900" s="11" t="str">
        <f aca="false">IF(OR($C900="",$B900="",$G900=""),"",$G900-$B900)</f>
        <v/>
      </c>
      <c r="X900" s="11" t="str">
        <f aca="true">IF(OR($C900="",$B900=""),"",IF($N900&lt;&gt;"",$N900,TODAY())-$B900)</f>
        <v/>
      </c>
      <c r="Y900" s="11" t="str">
        <f aca="true">IF(OR($C900="",$M900&lt;&gt;"Abierta",$G900=""),"",MAX($G900-TODAY(),0))</f>
        <v/>
      </c>
      <c r="Z900" s="12" t="str">
        <f aca="false">IF($C900="","",N($K900)*N($H900)*N($I900)*IF($U900="Débito",-1,1))</f>
        <v/>
      </c>
      <c r="AA900" s="13" t="str">
        <f aca="false">IF($C900="","",IF(AND($U900="Débito",$F900&lt;&gt;""),$F900,$E900))</f>
        <v/>
      </c>
      <c r="AB900" s="13" t="str">
        <f aca="false">IF(OR($C900="",$T900="Mixta",$AA900=""),"",IF($V900="Subyacente",IF($J900="","",$J900-$K900),IF($T900="Put",$AA900-$K900,$AA900+$K900)))</f>
        <v/>
      </c>
      <c r="AC900" s="14" t="str">
        <f aca="false">IF(OR($C900="",$T900="Mixta",$J900="",$AA900=""),"",IF($T900="Put",($J900-$AA900)/$J900,($AA900-$J900)/$J900))</f>
        <v/>
      </c>
      <c r="AD900" s="12" t="str">
        <f aca="false">IF($C900="","",IF($Q900&lt;&gt;"",$Q900,IF($V900="Strike",N($E900)*$H900*$I900,IF($V900="Subyacente",IF($J900="","",$J900*$H900*$I900),IF($V900="Ancho",IF($F900="","",ABS($E900-$F900)*$H900*$I900-$K900*$H900*$I900),IF($V900="Prima",$K900*$H900*$I900,""))))))</f>
        <v/>
      </c>
      <c r="AE900" s="12" t="str">
        <f aca="false">IF(OR($C900="",$M900="Abierta",$M900=""),"",(N($K900)-IF(OR($M900="Cerrada",$M900="Rolada"),N($O900),0))*$H900*$I900*IF($U900="Débito",-1,1)-N($L900)-N($P900))</f>
        <v/>
      </c>
      <c r="AF900" s="14" t="str">
        <f aca="false">IF(OR($AE900="",$AD900=""),"",IF($AD900&lt;=0,"",$AE900/$AD900))</f>
        <v/>
      </c>
      <c r="AG900" s="14" t="str">
        <f aca="false">IF($AF900="","",$AF900*365/MAX(N($X900),1))</f>
        <v/>
      </c>
      <c r="AH900" s="14" t="str">
        <f aca="false">IF(OR($C900="",$U900&lt;&gt;"Crédito",$AD900=""),"",IF($AD900&lt;=0,"",($Z900-N($L900))/$AD900))</f>
        <v/>
      </c>
      <c r="AI900" s="14" t="str">
        <f aca="false">IF(OR($AH900="",$W900=""),"",$AH900*365/MAX($W900,1))</f>
        <v/>
      </c>
      <c r="AJ900" s="14" t="str">
        <f aca="false">IF(OR($AE900="",$U900&lt;&gt;"Crédito",N($K900)=0),"",(N($K900)-IF(OR($M900="Cerrada",$M900="Rolada"),N($O900),0))/$K900)</f>
        <v/>
      </c>
      <c r="AK900" s="15" t="str">
        <f aca="false">IF(OR($C900="",$N900=""),"",DATE(YEAR($N900),MONTH($N900),1))</f>
        <v/>
      </c>
      <c r="AL900" s="11" t="str">
        <f aca="false">IF($C900="","",IF($M900="Abierta",0,1))</f>
        <v/>
      </c>
      <c r="AM900" s="16" t="str">
        <f aca="false">IF(OR($AE900="",$AD900=""),"",$AD900*MAX(N($X900),1))</f>
        <v/>
      </c>
      <c r="AN900" s="10" t="str">
        <f aca="false">IF($C900="","",IF(OR($B900="",$D900="",$H900="",$K900="",$M900=""),"Faltan datos obligatorios",IF($T900="","Estrategia no reconocida",IF(AND($M900&lt;&gt;"Abierta",$N900=""),"Falta fecha cierre",IF(AND(OR($M900="Cerrada",$M900="Rolada"),$O900=""),"Falta prima cierre",IF(AND($N900&lt;&gt;"",$N900&lt;$B900),"Cierre anterior a apertura",IF(AND($M900="Asignada",$R900=""),"Asignada: falta ID lote acciones",IF(AND($R900&lt;&gt;"",ISNA(MATCH($R900,Acciones!$A$2:$A$201,0))),"El ID lote no existe en Acciones",IF($AD900="","Revisa capital en riesgo","OK")))))))))</f>
        <v/>
      </c>
    </row>
    <row r="901" customFormat="false" ht="15" hidden="false" customHeight="true" outlineLevel="0" collapsed="false">
      <c r="A901" s="5"/>
      <c r="B901" s="6"/>
      <c r="C901" s="7"/>
      <c r="D901" s="7"/>
      <c r="E901" s="8"/>
      <c r="F901" s="8"/>
      <c r="G901" s="6"/>
      <c r="H901" s="5"/>
      <c r="I901" s="5" t="n">
        <v>100</v>
      </c>
      <c r="J901" s="8"/>
      <c r="K901" s="8"/>
      <c r="L901" s="9"/>
      <c r="M901" s="7"/>
      <c r="N901" s="6"/>
      <c r="O901" s="8"/>
      <c r="P901" s="9"/>
      <c r="Q901" s="9"/>
      <c r="R901" s="7"/>
      <c r="S901" s="7"/>
      <c r="T901" s="10" t="str">
        <f aca="false">IF($C901="","",IFERROR(INDEX(Listas!$B$2:$B$20,MATCH($D901,Listas!$A$2:$A$20,0)),""))</f>
        <v/>
      </c>
      <c r="U901" s="10" t="str">
        <f aca="false">IF($C901="","",IFERROR(INDEX(Listas!$C$2:$C$20,MATCH($D901,Listas!$A$2:$A$20,0)),""))</f>
        <v/>
      </c>
      <c r="V901" s="10" t="str">
        <f aca="false">IF($C901="","",IFERROR(INDEX(Listas!$D$2:$D$20,MATCH($D901,Listas!$A$2:$A$20,0)),""))</f>
        <v/>
      </c>
      <c r="W901" s="11" t="str">
        <f aca="false">IF(OR($C901="",$B901="",$G901=""),"",$G901-$B901)</f>
        <v/>
      </c>
      <c r="X901" s="11" t="str">
        <f aca="true">IF(OR($C901="",$B901=""),"",IF($N901&lt;&gt;"",$N901,TODAY())-$B901)</f>
        <v/>
      </c>
      <c r="Y901" s="11" t="str">
        <f aca="true">IF(OR($C901="",$M901&lt;&gt;"Abierta",$G901=""),"",MAX($G901-TODAY(),0))</f>
        <v/>
      </c>
      <c r="Z901" s="12" t="str">
        <f aca="false">IF($C901="","",N($K901)*N($H901)*N($I901)*IF($U901="Débito",-1,1))</f>
        <v/>
      </c>
      <c r="AA901" s="13" t="str">
        <f aca="false">IF($C901="","",IF(AND($U901="Débito",$F901&lt;&gt;""),$F901,$E901))</f>
        <v/>
      </c>
      <c r="AB901" s="13" t="str">
        <f aca="false">IF(OR($C901="",$T901="Mixta",$AA901=""),"",IF($V901="Subyacente",IF($J901="","",$J901-$K901),IF($T901="Put",$AA901-$K901,$AA901+$K901)))</f>
        <v/>
      </c>
      <c r="AC901" s="14" t="str">
        <f aca="false">IF(OR($C901="",$T901="Mixta",$J901="",$AA901=""),"",IF($T901="Put",($J901-$AA901)/$J901,($AA901-$J901)/$J901))</f>
        <v/>
      </c>
      <c r="AD901" s="12" t="str">
        <f aca="false">IF($C901="","",IF($Q901&lt;&gt;"",$Q901,IF($V901="Strike",N($E901)*$H901*$I901,IF($V901="Subyacente",IF($J901="","",$J901*$H901*$I901),IF($V901="Ancho",IF($F901="","",ABS($E901-$F901)*$H901*$I901-$K901*$H901*$I901),IF($V901="Prima",$K901*$H901*$I901,""))))))</f>
        <v/>
      </c>
      <c r="AE901" s="12" t="str">
        <f aca="false">IF(OR($C901="",$M901="Abierta",$M901=""),"",(N($K901)-IF(OR($M901="Cerrada",$M901="Rolada"),N($O901),0))*$H901*$I901*IF($U901="Débito",-1,1)-N($L901)-N($P901))</f>
        <v/>
      </c>
      <c r="AF901" s="14" t="str">
        <f aca="false">IF(OR($AE901="",$AD901=""),"",IF($AD901&lt;=0,"",$AE901/$AD901))</f>
        <v/>
      </c>
      <c r="AG901" s="14" t="str">
        <f aca="false">IF($AF901="","",$AF901*365/MAX(N($X901),1))</f>
        <v/>
      </c>
      <c r="AH901" s="14" t="str">
        <f aca="false">IF(OR($C901="",$U901&lt;&gt;"Crédito",$AD901=""),"",IF($AD901&lt;=0,"",($Z901-N($L901))/$AD901))</f>
        <v/>
      </c>
      <c r="AI901" s="14" t="str">
        <f aca="false">IF(OR($AH901="",$W901=""),"",$AH901*365/MAX($W901,1))</f>
        <v/>
      </c>
      <c r="AJ901" s="14" t="str">
        <f aca="false">IF(OR($AE901="",$U901&lt;&gt;"Crédito",N($K901)=0),"",(N($K901)-IF(OR($M901="Cerrada",$M901="Rolada"),N($O901),0))/$K901)</f>
        <v/>
      </c>
      <c r="AK901" s="15" t="str">
        <f aca="false">IF(OR($C901="",$N901=""),"",DATE(YEAR($N901),MONTH($N901),1))</f>
        <v/>
      </c>
      <c r="AL901" s="11" t="str">
        <f aca="false">IF($C901="","",IF($M901="Abierta",0,1))</f>
        <v/>
      </c>
      <c r="AM901" s="16" t="str">
        <f aca="false">IF(OR($AE901="",$AD901=""),"",$AD901*MAX(N($X901),1))</f>
        <v/>
      </c>
      <c r="AN901" s="10" t="str">
        <f aca="false">IF($C901="","",IF(OR($B901="",$D901="",$H901="",$K901="",$M901=""),"Faltan datos obligatorios",IF($T901="","Estrategia no reconocida",IF(AND($M901&lt;&gt;"Abierta",$N901=""),"Falta fecha cierre",IF(AND(OR($M901="Cerrada",$M901="Rolada"),$O901=""),"Falta prima cierre",IF(AND($N901&lt;&gt;"",$N901&lt;$B901),"Cierre anterior a apertura",IF(AND($M901="Asignada",$R901=""),"Asignada: falta ID lote acciones",IF(AND($R901&lt;&gt;"",ISNA(MATCH($R901,Acciones!$A$2:$A$201,0))),"El ID lote no existe en Acciones",IF($AD901="","Revisa capital en riesgo","OK")))))))))</f>
        <v/>
      </c>
    </row>
    <row r="902" customFormat="false" ht="15" hidden="false" customHeight="true" outlineLevel="0" collapsed="false">
      <c r="A902" s="5"/>
      <c r="B902" s="6"/>
      <c r="C902" s="7"/>
      <c r="D902" s="7"/>
      <c r="E902" s="8"/>
      <c r="F902" s="8"/>
      <c r="G902" s="6"/>
      <c r="H902" s="5"/>
      <c r="I902" s="5" t="n">
        <v>100</v>
      </c>
      <c r="J902" s="8"/>
      <c r="K902" s="8"/>
      <c r="L902" s="9"/>
      <c r="M902" s="7"/>
      <c r="N902" s="6"/>
      <c r="O902" s="8"/>
      <c r="P902" s="9"/>
      <c r="Q902" s="9"/>
      <c r="R902" s="7"/>
      <c r="S902" s="7"/>
      <c r="T902" s="10" t="str">
        <f aca="false">IF($C902="","",IFERROR(INDEX(Listas!$B$2:$B$20,MATCH($D902,Listas!$A$2:$A$20,0)),""))</f>
        <v/>
      </c>
      <c r="U902" s="10" t="str">
        <f aca="false">IF($C902="","",IFERROR(INDEX(Listas!$C$2:$C$20,MATCH($D902,Listas!$A$2:$A$20,0)),""))</f>
        <v/>
      </c>
      <c r="V902" s="10" t="str">
        <f aca="false">IF($C902="","",IFERROR(INDEX(Listas!$D$2:$D$20,MATCH($D902,Listas!$A$2:$A$20,0)),""))</f>
        <v/>
      </c>
      <c r="W902" s="11" t="str">
        <f aca="false">IF(OR($C902="",$B902="",$G902=""),"",$G902-$B902)</f>
        <v/>
      </c>
      <c r="X902" s="11" t="str">
        <f aca="true">IF(OR($C902="",$B902=""),"",IF($N902&lt;&gt;"",$N902,TODAY())-$B902)</f>
        <v/>
      </c>
      <c r="Y902" s="11" t="str">
        <f aca="true">IF(OR($C902="",$M902&lt;&gt;"Abierta",$G902=""),"",MAX($G902-TODAY(),0))</f>
        <v/>
      </c>
      <c r="Z902" s="12" t="str">
        <f aca="false">IF($C902="","",N($K902)*N($H902)*N($I902)*IF($U902="Débito",-1,1))</f>
        <v/>
      </c>
      <c r="AA902" s="13" t="str">
        <f aca="false">IF($C902="","",IF(AND($U902="Débito",$F902&lt;&gt;""),$F902,$E902))</f>
        <v/>
      </c>
      <c r="AB902" s="13" t="str">
        <f aca="false">IF(OR($C902="",$T902="Mixta",$AA902=""),"",IF($V902="Subyacente",IF($J902="","",$J902-$K902),IF($T902="Put",$AA902-$K902,$AA902+$K902)))</f>
        <v/>
      </c>
      <c r="AC902" s="14" t="str">
        <f aca="false">IF(OR($C902="",$T902="Mixta",$J902="",$AA902=""),"",IF($T902="Put",($J902-$AA902)/$J902,($AA902-$J902)/$J902))</f>
        <v/>
      </c>
      <c r="AD902" s="12" t="str">
        <f aca="false">IF($C902="","",IF($Q902&lt;&gt;"",$Q902,IF($V902="Strike",N($E902)*$H902*$I902,IF($V902="Subyacente",IF($J902="","",$J902*$H902*$I902),IF($V902="Ancho",IF($F902="","",ABS($E902-$F902)*$H902*$I902-$K902*$H902*$I902),IF($V902="Prima",$K902*$H902*$I902,""))))))</f>
        <v/>
      </c>
      <c r="AE902" s="12" t="str">
        <f aca="false">IF(OR($C902="",$M902="Abierta",$M902=""),"",(N($K902)-IF(OR($M902="Cerrada",$M902="Rolada"),N($O902),0))*$H902*$I902*IF($U902="Débito",-1,1)-N($L902)-N($P902))</f>
        <v/>
      </c>
      <c r="AF902" s="14" t="str">
        <f aca="false">IF(OR($AE902="",$AD902=""),"",IF($AD902&lt;=0,"",$AE902/$AD902))</f>
        <v/>
      </c>
      <c r="AG902" s="14" t="str">
        <f aca="false">IF($AF902="","",$AF902*365/MAX(N($X902),1))</f>
        <v/>
      </c>
      <c r="AH902" s="14" t="str">
        <f aca="false">IF(OR($C902="",$U902&lt;&gt;"Crédito",$AD902=""),"",IF($AD902&lt;=0,"",($Z902-N($L902))/$AD902))</f>
        <v/>
      </c>
      <c r="AI902" s="14" t="str">
        <f aca="false">IF(OR($AH902="",$W902=""),"",$AH902*365/MAX($W902,1))</f>
        <v/>
      </c>
      <c r="AJ902" s="14" t="str">
        <f aca="false">IF(OR($AE902="",$U902&lt;&gt;"Crédito",N($K902)=0),"",(N($K902)-IF(OR($M902="Cerrada",$M902="Rolada"),N($O902),0))/$K902)</f>
        <v/>
      </c>
      <c r="AK902" s="15" t="str">
        <f aca="false">IF(OR($C902="",$N902=""),"",DATE(YEAR($N902),MONTH($N902),1))</f>
        <v/>
      </c>
      <c r="AL902" s="11" t="str">
        <f aca="false">IF($C902="","",IF($M902="Abierta",0,1))</f>
        <v/>
      </c>
      <c r="AM902" s="16" t="str">
        <f aca="false">IF(OR($AE902="",$AD902=""),"",$AD902*MAX(N($X902),1))</f>
        <v/>
      </c>
      <c r="AN902" s="10" t="str">
        <f aca="false">IF($C902="","",IF(OR($B902="",$D902="",$H902="",$K902="",$M902=""),"Faltan datos obligatorios",IF($T902="","Estrategia no reconocida",IF(AND($M902&lt;&gt;"Abierta",$N902=""),"Falta fecha cierre",IF(AND(OR($M902="Cerrada",$M902="Rolada"),$O902=""),"Falta prima cierre",IF(AND($N902&lt;&gt;"",$N902&lt;$B902),"Cierre anterior a apertura",IF(AND($M902="Asignada",$R902=""),"Asignada: falta ID lote acciones",IF(AND($R902&lt;&gt;"",ISNA(MATCH($R902,Acciones!$A$2:$A$201,0))),"El ID lote no existe en Acciones",IF($AD902="","Revisa capital en riesgo","OK")))))))))</f>
        <v/>
      </c>
    </row>
    <row r="903" customFormat="false" ht="15" hidden="false" customHeight="true" outlineLevel="0" collapsed="false">
      <c r="A903" s="5"/>
      <c r="B903" s="6"/>
      <c r="C903" s="7"/>
      <c r="D903" s="7"/>
      <c r="E903" s="8"/>
      <c r="F903" s="8"/>
      <c r="G903" s="6"/>
      <c r="H903" s="5"/>
      <c r="I903" s="5" t="n">
        <v>100</v>
      </c>
      <c r="J903" s="8"/>
      <c r="K903" s="8"/>
      <c r="L903" s="9"/>
      <c r="M903" s="7"/>
      <c r="N903" s="6"/>
      <c r="O903" s="8"/>
      <c r="P903" s="9"/>
      <c r="Q903" s="9"/>
      <c r="R903" s="7"/>
      <c r="S903" s="7"/>
      <c r="T903" s="10" t="str">
        <f aca="false">IF($C903="","",IFERROR(INDEX(Listas!$B$2:$B$20,MATCH($D903,Listas!$A$2:$A$20,0)),""))</f>
        <v/>
      </c>
      <c r="U903" s="10" t="str">
        <f aca="false">IF($C903="","",IFERROR(INDEX(Listas!$C$2:$C$20,MATCH($D903,Listas!$A$2:$A$20,0)),""))</f>
        <v/>
      </c>
      <c r="V903" s="10" t="str">
        <f aca="false">IF($C903="","",IFERROR(INDEX(Listas!$D$2:$D$20,MATCH($D903,Listas!$A$2:$A$20,0)),""))</f>
        <v/>
      </c>
      <c r="W903" s="11" t="str">
        <f aca="false">IF(OR($C903="",$B903="",$G903=""),"",$G903-$B903)</f>
        <v/>
      </c>
      <c r="X903" s="11" t="str">
        <f aca="true">IF(OR($C903="",$B903=""),"",IF($N903&lt;&gt;"",$N903,TODAY())-$B903)</f>
        <v/>
      </c>
      <c r="Y903" s="11" t="str">
        <f aca="true">IF(OR($C903="",$M903&lt;&gt;"Abierta",$G903=""),"",MAX($G903-TODAY(),0))</f>
        <v/>
      </c>
      <c r="Z903" s="12" t="str">
        <f aca="false">IF($C903="","",N($K903)*N($H903)*N($I903)*IF($U903="Débito",-1,1))</f>
        <v/>
      </c>
      <c r="AA903" s="13" t="str">
        <f aca="false">IF($C903="","",IF(AND($U903="Débito",$F903&lt;&gt;""),$F903,$E903))</f>
        <v/>
      </c>
      <c r="AB903" s="13" t="str">
        <f aca="false">IF(OR($C903="",$T903="Mixta",$AA903=""),"",IF($V903="Subyacente",IF($J903="","",$J903-$K903),IF($T903="Put",$AA903-$K903,$AA903+$K903)))</f>
        <v/>
      </c>
      <c r="AC903" s="14" t="str">
        <f aca="false">IF(OR($C903="",$T903="Mixta",$J903="",$AA903=""),"",IF($T903="Put",($J903-$AA903)/$J903,($AA903-$J903)/$J903))</f>
        <v/>
      </c>
      <c r="AD903" s="12" t="str">
        <f aca="false">IF($C903="","",IF($Q903&lt;&gt;"",$Q903,IF($V903="Strike",N($E903)*$H903*$I903,IF($V903="Subyacente",IF($J903="","",$J903*$H903*$I903),IF($V903="Ancho",IF($F903="","",ABS($E903-$F903)*$H903*$I903-$K903*$H903*$I903),IF($V903="Prima",$K903*$H903*$I903,""))))))</f>
        <v/>
      </c>
      <c r="AE903" s="12" t="str">
        <f aca="false">IF(OR($C903="",$M903="Abierta",$M903=""),"",(N($K903)-IF(OR($M903="Cerrada",$M903="Rolada"),N($O903),0))*$H903*$I903*IF($U903="Débito",-1,1)-N($L903)-N($P903))</f>
        <v/>
      </c>
      <c r="AF903" s="14" t="str">
        <f aca="false">IF(OR($AE903="",$AD903=""),"",IF($AD903&lt;=0,"",$AE903/$AD903))</f>
        <v/>
      </c>
      <c r="AG903" s="14" t="str">
        <f aca="false">IF($AF903="","",$AF903*365/MAX(N($X903),1))</f>
        <v/>
      </c>
      <c r="AH903" s="14" t="str">
        <f aca="false">IF(OR($C903="",$U903&lt;&gt;"Crédito",$AD903=""),"",IF($AD903&lt;=0,"",($Z903-N($L903))/$AD903))</f>
        <v/>
      </c>
      <c r="AI903" s="14" t="str">
        <f aca="false">IF(OR($AH903="",$W903=""),"",$AH903*365/MAX($W903,1))</f>
        <v/>
      </c>
      <c r="AJ903" s="14" t="str">
        <f aca="false">IF(OR($AE903="",$U903&lt;&gt;"Crédito",N($K903)=0),"",(N($K903)-IF(OR($M903="Cerrada",$M903="Rolada"),N($O903),0))/$K903)</f>
        <v/>
      </c>
      <c r="AK903" s="15" t="str">
        <f aca="false">IF(OR($C903="",$N903=""),"",DATE(YEAR($N903),MONTH($N903),1))</f>
        <v/>
      </c>
      <c r="AL903" s="11" t="str">
        <f aca="false">IF($C903="","",IF($M903="Abierta",0,1))</f>
        <v/>
      </c>
      <c r="AM903" s="16" t="str">
        <f aca="false">IF(OR($AE903="",$AD903=""),"",$AD903*MAX(N($X903),1))</f>
        <v/>
      </c>
      <c r="AN903" s="10" t="str">
        <f aca="false">IF($C903="","",IF(OR($B903="",$D903="",$H903="",$K903="",$M903=""),"Faltan datos obligatorios",IF($T903="","Estrategia no reconocida",IF(AND($M903&lt;&gt;"Abierta",$N903=""),"Falta fecha cierre",IF(AND(OR($M903="Cerrada",$M903="Rolada"),$O903=""),"Falta prima cierre",IF(AND($N903&lt;&gt;"",$N903&lt;$B903),"Cierre anterior a apertura",IF(AND($M903="Asignada",$R903=""),"Asignada: falta ID lote acciones",IF(AND($R903&lt;&gt;"",ISNA(MATCH($R903,Acciones!$A$2:$A$201,0))),"El ID lote no existe en Acciones",IF($AD903="","Revisa capital en riesgo","OK")))))))))</f>
        <v/>
      </c>
    </row>
    <row r="904" customFormat="false" ht="15" hidden="false" customHeight="true" outlineLevel="0" collapsed="false">
      <c r="A904" s="5"/>
      <c r="B904" s="6"/>
      <c r="C904" s="7"/>
      <c r="D904" s="7"/>
      <c r="E904" s="8"/>
      <c r="F904" s="8"/>
      <c r="G904" s="6"/>
      <c r="H904" s="5"/>
      <c r="I904" s="5" t="n">
        <v>100</v>
      </c>
      <c r="J904" s="8"/>
      <c r="K904" s="8"/>
      <c r="L904" s="9"/>
      <c r="M904" s="7"/>
      <c r="N904" s="6"/>
      <c r="O904" s="8"/>
      <c r="P904" s="9"/>
      <c r="Q904" s="9"/>
      <c r="R904" s="7"/>
      <c r="S904" s="7"/>
      <c r="T904" s="10" t="str">
        <f aca="false">IF($C904="","",IFERROR(INDEX(Listas!$B$2:$B$20,MATCH($D904,Listas!$A$2:$A$20,0)),""))</f>
        <v/>
      </c>
      <c r="U904" s="10" t="str">
        <f aca="false">IF($C904="","",IFERROR(INDEX(Listas!$C$2:$C$20,MATCH($D904,Listas!$A$2:$A$20,0)),""))</f>
        <v/>
      </c>
      <c r="V904" s="10" t="str">
        <f aca="false">IF($C904="","",IFERROR(INDEX(Listas!$D$2:$D$20,MATCH($D904,Listas!$A$2:$A$20,0)),""))</f>
        <v/>
      </c>
      <c r="W904" s="11" t="str">
        <f aca="false">IF(OR($C904="",$B904="",$G904=""),"",$G904-$B904)</f>
        <v/>
      </c>
      <c r="X904" s="11" t="str">
        <f aca="true">IF(OR($C904="",$B904=""),"",IF($N904&lt;&gt;"",$N904,TODAY())-$B904)</f>
        <v/>
      </c>
      <c r="Y904" s="11" t="str">
        <f aca="true">IF(OR($C904="",$M904&lt;&gt;"Abierta",$G904=""),"",MAX($G904-TODAY(),0))</f>
        <v/>
      </c>
      <c r="Z904" s="12" t="str">
        <f aca="false">IF($C904="","",N($K904)*N($H904)*N($I904)*IF($U904="Débito",-1,1))</f>
        <v/>
      </c>
      <c r="AA904" s="13" t="str">
        <f aca="false">IF($C904="","",IF(AND($U904="Débito",$F904&lt;&gt;""),$F904,$E904))</f>
        <v/>
      </c>
      <c r="AB904" s="13" t="str">
        <f aca="false">IF(OR($C904="",$T904="Mixta",$AA904=""),"",IF($V904="Subyacente",IF($J904="","",$J904-$K904),IF($T904="Put",$AA904-$K904,$AA904+$K904)))</f>
        <v/>
      </c>
      <c r="AC904" s="14" t="str">
        <f aca="false">IF(OR($C904="",$T904="Mixta",$J904="",$AA904=""),"",IF($T904="Put",($J904-$AA904)/$J904,($AA904-$J904)/$J904))</f>
        <v/>
      </c>
      <c r="AD904" s="12" t="str">
        <f aca="false">IF($C904="","",IF($Q904&lt;&gt;"",$Q904,IF($V904="Strike",N($E904)*$H904*$I904,IF($V904="Subyacente",IF($J904="","",$J904*$H904*$I904),IF($V904="Ancho",IF($F904="","",ABS($E904-$F904)*$H904*$I904-$K904*$H904*$I904),IF($V904="Prima",$K904*$H904*$I904,""))))))</f>
        <v/>
      </c>
      <c r="AE904" s="12" t="str">
        <f aca="false">IF(OR($C904="",$M904="Abierta",$M904=""),"",(N($K904)-IF(OR($M904="Cerrada",$M904="Rolada"),N($O904),0))*$H904*$I904*IF($U904="Débito",-1,1)-N($L904)-N($P904))</f>
        <v/>
      </c>
      <c r="AF904" s="14" t="str">
        <f aca="false">IF(OR($AE904="",$AD904=""),"",IF($AD904&lt;=0,"",$AE904/$AD904))</f>
        <v/>
      </c>
      <c r="AG904" s="14" t="str">
        <f aca="false">IF($AF904="","",$AF904*365/MAX(N($X904),1))</f>
        <v/>
      </c>
      <c r="AH904" s="14" t="str">
        <f aca="false">IF(OR($C904="",$U904&lt;&gt;"Crédito",$AD904=""),"",IF($AD904&lt;=0,"",($Z904-N($L904))/$AD904))</f>
        <v/>
      </c>
      <c r="AI904" s="14" t="str">
        <f aca="false">IF(OR($AH904="",$W904=""),"",$AH904*365/MAX($W904,1))</f>
        <v/>
      </c>
      <c r="AJ904" s="14" t="str">
        <f aca="false">IF(OR($AE904="",$U904&lt;&gt;"Crédito",N($K904)=0),"",(N($K904)-IF(OR($M904="Cerrada",$M904="Rolada"),N($O904),0))/$K904)</f>
        <v/>
      </c>
      <c r="AK904" s="15" t="str">
        <f aca="false">IF(OR($C904="",$N904=""),"",DATE(YEAR($N904),MONTH($N904),1))</f>
        <v/>
      </c>
      <c r="AL904" s="11" t="str">
        <f aca="false">IF($C904="","",IF($M904="Abierta",0,1))</f>
        <v/>
      </c>
      <c r="AM904" s="16" t="str">
        <f aca="false">IF(OR($AE904="",$AD904=""),"",$AD904*MAX(N($X904),1))</f>
        <v/>
      </c>
      <c r="AN904" s="10" t="str">
        <f aca="false">IF($C904="","",IF(OR($B904="",$D904="",$H904="",$K904="",$M904=""),"Faltan datos obligatorios",IF($T904="","Estrategia no reconocida",IF(AND($M904&lt;&gt;"Abierta",$N904=""),"Falta fecha cierre",IF(AND(OR($M904="Cerrada",$M904="Rolada"),$O904=""),"Falta prima cierre",IF(AND($N904&lt;&gt;"",$N904&lt;$B904),"Cierre anterior a apertura",IF(AND($M904="Asignada",$R904=""),"Asignada: falta ID lote acciones",IF(AND($R904&lt;&gt;"",ISNA(MATCH($R904,Acciones!$A$2:$A$201,0))),"El ID lote no existe en Acciones",IF($AD904="","Revisa capital en riesgo","OK")))))))))</f>
        <v/>
      </c>
    </row>
    <row r="905" customFormat="false" ht="15" hidden="false" customHeight="true" outlineLevel="0" collapsed="false">
      <c r="A905" s="5"/>
      <c r="B905" s="6"/>
      <c r="C905" s="7"/>
      <c r="D905" s="7"/>
      <c r="E905" s="8"/>
      <c r="F905" s="8"/>
      <c r="G905" s="6"/>
      <c r="H905" s="5"/>
      <c r="I905" s="5" t="n">
        <v>100</v>
      </c>
      <c r="J905" s="8"/>
      <c r="K905" s="8"/>
      <c r="L905" s="9"/>
      <c r="M905" s="7"/>
      <c r="N905" s="6"/>
      <c r="O905" s="8"/>
      <c r="P905" s="9"/>
      <c r="Q905" s="9"/>
      <c r="R905" s="7"/>
      <c r="S905" s="7"/>
      <c r="T905" s="10" t="str">
        <f aca="false">IF($C905="","",IFERROR(INDEX(Listas!$B$2:$B$20,MATCH($D905,Listas!$A$2:$A$20,0)),""))</f>
        <v/>
      </c>
      <c r="U905" s="10" t="str">
        <f aca="false">IF($C905="","",IFERROR(INDEX(Listas!$C$2:$C$20,MATCH($D905,Listas!$A$2:$A$20,0)),""))</f>
        <v/>
      </c>
      <c r="V905" s="10" t="str">
        <f aca="false">IF($C905="","",IFERROR(INDEX(Listas!$D$2:$D$20,MATCH($D905,Listas!$A$2:$A$20,0)),""))</f>
        <v/>
      </c>
      <c r="W905" s="11" t="str">
        <f aca="false">IF(OR($C905="",$B905="",$G905=""),"",$G905-$B905)</f>
        <v/>
      </c>
      <c r="X905" s="11" t="str">
        <f aca="true">IF(OR($C905="",$B905=""),"",IF($N905&lt;&gt;"",$N905,TODAY())-$B905)</f>
        <v/>
      </c>
      <c r="Y905" s="11" t="str">
        <f aca="true">IF(OR($C905="",$M905&lt;&gt;"Abierta",$G905=""),"",MAX($G905-TODAY(),0))</f>
        <v/>
      </c>
      <c r="Z905" s="12" t="str">
        <f aca="false">IF($C905="","",N($K905)*N($H905)*N($I905)*IF($U905="Débito",-1,1))</f>
        <v/>
      </c>
      <c r="AA905" s="13" t="str">
        <f aca="false">IF($C905="","",IF(AND($U905="Débito",$F905&lt;&gt;""),$F905,$E905))</f>
        <v/>
      </c>
      <c r="AB905" s="13" t="str">
        <f aca="false">IF(OR($C905="",$T905="Mixta",$AA905=""),"",IF($V905="Subyacente",IF($J905="","",$J905-$K905),IF($T905="Put",$AA905-$K905,$AA905+$K905)))</f>
        <v/>
      </c>
      <c r="AC905" s="14" t="str">
        <f aca="false">IF(OR($C905="",$T905="Mixta",$J905="",$AA905=""),"",IF($T905="Put",($J905-$AA905)/$J905,($AA905-$J905)/$J905))</f>
        <v/>
      </c>
      <c r="AD905" s="12" t="str">
        <f aca="false">IF($C905="","",IF($Q905&lt;&gt;"",$Q905,IF($V905="Strike",N($E905)*$H905*$I905,IF($V905="Subyacente",IF($J905="","",$J905*$H905*$I905),IF($V905="Ancho",IF($F905="","",ABS($E905-$F905)*$H905*$I905-$K905*$H905*$I905),IF($V905="Prima",$K905*$H905*$I905,""))))))</f>
        <v/>
      </c>
      <c r="AE905" s="12" t="str">
        <f aca="false">IF(OR($C905="",$M905="Abierta",$M905=""),"",(N($K905)-IF(OR($M905="Cerrada",$M905="Rolada"),N($O905),0))*$H905*$I905*IF($U905="Débito",-1,1)-N($L905)-N($P905))</f>
        <v/>
      </c>
      <c r="AF905" s="14" t="str">
        <f aca="false">IF(OR($AE905="",$AD905=""),"",IF($AD905&lt;=0,"",$AE905/$AD905))</f>
        <v/>
      </c>
      <c r="AG905" s="14" t="str">
        <f aca="false">IF($AF905="","",$AF905*365/MAX(N($X905),1))</f>
        <v/>
      </c>
      <c r="AH905" s="14" t="str">
        <f aca="false">IF(OR($C905="",$U905&lt;&gt;"Crédito",$AD905=""),"",IF($AD905&lt;=0,"",($Z905-N($L905))/$AD905))</f>
        <v/>
      </c>
      <c r="AI905" s="14" t="str">
        <f aca="false">IF(OR($AH905="",$W905=""),"",$AH905*365/MAX($W905,1))</f>
        <v/>
      </c>
      <c r="AJ905" s="14" t="str">
        <f aca="false">IF(OR($AE905="",$U905&lt;&gt;"Crédito",N($K905)=0),"",(N($K905)-IF(OR($M905="Cerrada",$M905="Rolada"),N($O905),0))/$K905)</f>
        <v/>
      </c>
      <c r="AK905" s="15" t="str">
        <f aca="false">IF(OR($C905="",$N905=""),"",DATE(YEAR($N905),MONTH($N905),1))</f>
        <v/>
      </c>
      <c r="AL905" s="11" t="str">
        <f aca="false">IF($C905="","",IF($M905="Abierta",0,1))</f>
        <v/>
      </c>
      <c r="AM905" s="16" t="str">
        <f aca="false">IF(OR($AE905="",$AD905=""),"",$AD905*MAX(N($X905),1))</f>
        <v/>
      </c>
      <c r="AN905" s="10" t="str">
        <f aca="false">IF($C905="","",IF(OR($B905="",$D905="",$H905="",$K905="",$M905=""),"Faltan datos obligatorios",IF($T905="","Estrategia no reconocida",IF(AND($M905&lt;&gt;"Abierta",$N905=""),"Falta fecha cierre",IF(AND(OR($M905="Cerrada",$M905="Rolada"),$O905=""),"Falta prima cierre",IF(AND($N905&lt;&gt;"",$N905&lt;$B905),"Cierre anterior a apertura",IF(AND($M905="Asignada",$R905=""),"Asignada: falta ID lote acciones",IF(AND($R905&lt;&gt;"",ISNA(MATCH($R905,Acciones!$A$2:$A$201,0))),"El ID lote no existe en Acciones",IF($AD905="","Revisa capital en riesgo","OK")))))))))</f>
        <v/>
      </c>
    </row>
    <row r="906" customFormat="false" ht="15" hidden="false" customHeight="true" outlineLevel="0" collapsed="false">
      <c r="A906" s="5"/>
      <c r="B906" s="6"/>
      <c r="C906" s="7"/>
      <c r="D906" s="7"/>
      <c r="E906" s="8"/>
      <c r="F906" s="8"/>
      <c r="G906" s="6"/>
      <c r="H906" s="5"/>
      <c r="I906" s="5" t="n">
        <v>100</v>
      </c>
      <c r="J906" s="8"/>
      <c r="K906" s="8"/>
      <c r="L906" s="9"/>
      <c r="M906" s="7"/>
      <c r="N906" s="6"/>
      <c r="O906" s="8"/>
      <c r="P906" s="9"/>
      <c r="Q906" s="9"/>
      <c r="R906" s="7"/>
      <c r="S906" s="7"/>
      <c r="T906" s="10" t="str">
        <f aca="false">IF($C906="","",IFERROR(INDEX(Listas!$B$2:$B$20,MATCH($D906,Listas!$A$2:$A$20,0)),""))</f>
        <v/>
      </c>
      <c r="U906" s="10" t="str">
        <f aca="false">IF($C906="","",IFERROR(INDEX(Listas!$C$2:$C$20,MATCH($D906,Listas!$A$2:$A$20,0)),""))</f>
        <v/>
      </c>
      <c r="V906" s="10" t="str">
        <f aca="false">IF($C906="","",IFERROR(INDEX(Listas!$D$2:$D$20,MATCH($D906,Listas!$A$2:$A$20,0)),""))</f>
        <v/>
      </c>
      <c r="W906" s="11" t="str">
        <f aca="false">IF(OR($C906="",$B906="",$G906=""),"",$G906-$B906)</f>
        <v/>
      </c>
      <c r="X906" s="11" t="str">
        <f aca="true">IF(OR($C906="",$B906=""),"",IF($N906&lt;&gt;"",$N906,TODAY())-$B906)</f>
        <v/>
      </c>
      <c r="Y906" s="11" t="str">
        <f aca="true">IF(OR($C906="",$M906&lt;&gt;"Abierta",$G906=""),"",MAX($G906-TODAY(),0))</f>
        <v/>
      </c>
      <c r="Z906" s="12" t="str">
        <f aca="false">IF($C906="","",N($K906)*N($H906)*N($I906)*IF($U906="Débito",-1,1))</f>
        <v/>
      </c>
      <c r="AA906" s="13" t="str">
        <f aca="false">IF($C906="","",IF(AND($U906="Débito",$F906&lt;&gt;""),$F906,$E906))</f>
        <v/>
      </c>
      <c r="AB906" s="13" t="str">
        <f aca="false">IF(OR($C906="",$T906="Mixta",$AA906=""),"",IF($V906="Subyacente",IF($J906="","",$J906-$K906),IF($T906="Put",$AA906-$K906,$AA906+$K906)))</f>
        <v/>
      </c>
      <c r="AC906" s="14" t="str">
        <f aca="false">IF(OR($C906="",$T906="Mixta",$J906="",$AA906=""),"",IF($T906="Put",($J906-$AA906)/$J906,($AA906-$J906)/$J906))</f>
        <v/>
      </c>
      <c r="AD906" s="12" t="str">
        <f aca="false">IF($C906="","",IF($Q906&lt;&gt;"",$Q906,IF($V906="Strike",N($E906)*$H906*$I906,IF($V906="Subyacente",IF($J906="","",$J906*$H906*$I906),IF($V906="Ancho",IF($F906="","",ABS($E906-$F906)*$H906*$I906-$K906*$H906*$I906),IF($V906="Prima",$K906*$H906*$I906,""))))))</f>
        <v/>
      </c>
      <c r="AE906" s="12" t="str">
        <f aca="false">IF(OR($C906="",$M906="Abierta",$M906=""),"",(N($K906)-IF(OR($M906="Cerrada",$M906="Rolada"),N($O906),0))*$H906*$I906*IF($U906="Débito",-1,1)-N($L906)-N($P906))</f>
        <v/>
      </c>
      <c r="AF906" s="14" t="str">
        <f aca="false">IF(OR($AE906="",$AD906=""),"",IF($AD906&lt;=0,"",$AE906/$AD906))</f>
        <v/>
      </c>
      <c r="AG906" s="14" t="str">
        <f aca="false">IF($AF906="","",$AF906*365/MAX(N($X906),1))</f>
        <v/>
      </c>
      <c r="AH906" s="14" t="str">
        <f aca="false">IF(OR($C906="",$U906&lt;&gt;"Crédito",$AD906=""),"",IF($AD906&lt;=0,"",($Z906-N($L906))/$AD906))</f>
        <v/>
      </c>
      <c r="AI906" s="14" t="str">
        <f aca="false">IF(OR($AH906="",$W906=""),"",$AH906*365/MAX($W906,1))</f>
        <v/>
      </c>
      <c r="AJ906" s="14" t="str">
        <f aca="false">IF(OR($AE906="",$U906&lt;&gt;"Crédito",N($K906)=0),"",(N($K906)-IF(OR($M906="Cerrada",$M906="Rolada"),N($O906),0))/$K906)</f>
        <v/>
      </c>
      <c r="AK906" s="15" t="str">
        <f aca="false">IF(OR($C906="",$N906=""),"",DATE(YEAR($N906),MONTH($N906),1))</f>
        <v/>
      </c>
      <c r="AL906" s="11" t="str">
        <f aca="false">IF($C906="","",IF($M906="Abierta",0,1))</f>
        <v/>
      </c>
      <c r="AM906" s="16" t="str">
        <f aca="false">IF(OR($AE906="",$AD906=""),"",$AD906*MAX(N($X906),1))</f>
        <v/>
      </c>
      <c r="AN906" s="10" t="str">
        <f aca="false">IF($C906="","",IF(OR($B906="",$D906="",$H906="",$K906="",$M906=""),"Faltan datos obligatorios",IF($T906="","Estrategia no reconocida",IF(AND($M906&lt;&gt;"Abierta",$N906=""),"Falta fecha cierre",IF(AND(OR($M906="Cerrada",$M906="Rolada"),$O906=""),"Falta prima cierre",IF(AND($N906&lt;&gt;"",$N906&lt;$B906),"Cierre anterior a apertura",IF(AND($M906="Asignada",$R906=""),"Asignada: falta ID lote acciones",IF(AND($R906&lt;&gt;"",ISNA(MATCH($R906,Acciones!$A$2:$A$201,0))),"El ID lote no existe en Acciones",IF($AD906="","Revisa capital en riesgo","OK")))))))))</f>
        <v/>
      </c>
    </row>
    <row r="907" customFormat="false" ht="15" hidden="false" customHeight="true" outlineLevel="0" collapsed="false">
      <c r="A907" s="5"/>
      <c r="B907" s="6"/>
      <c r="C907" s="7"/>
      <c r="D907" s="7"/>
      <c r="E907" s="8"/>
      <c r="F907" s="8"/>
      <c r="G907" s="6"/>
      <c r="H907" s="5"/>
      <c r="I907" s="5" t="n">
        <v>100</v>
      </c>
      <c r="J907" s="8"/>
      <c r="K907" s="8"/>
      <c r="L907" s="9"/>
      <c r="M907" s="7"/>
      <c r="N907" s="6"/>
      <c r="O907" s="8"/>
      <c r="P907" s="9"/>
      <c r="Q907" s="9"/>
      <c r="R907" s="7"/>
      <c r="S907" s="7"/>
      <c r="T907" s="10" t="str">
        <f aca="false">IF($C907="","",IFERROR(INDEX(Listas!$B$2:$B$20,MATCH($D907,Listas!$A$2:$A$20,0)),""))</f>
        <v/>
      </c>
      <c r="U907" s="10" t="str">
        <f aca="false">IF($C907="","",IFERROR(INDEX(Listas!$C$2:$C$20,MATCH($D907,Listas!$A$2:$A$20,0)),""))</f>
        <v/>
      </c>
      <c r="V907" s="10" t="str">
        <f aca="false">IF($C907="","",IFERROR(INDEX(Listas!$D$2:$D$20,MATCH($D907,Listas!$A$2:$A$20,0)),""))</f>
        <v/>
      </c>
      <c r="W907" s="11" t="str">
        <f aca="false">IF(OR($C907="",$B907="",$G907=""),"",$G907-$B907)</f>
        <v/>
      </c>
      <c r="X907" s="11" t="str">
        <f aca="true">IF(OR($C907="",$B907=""),"",IF($N907&lt;&gt;"",$N907,TODAY())-$B907)</f>
        <v/>
      </c>
      <c r="Y907" s="11" t="str">
        <f aca="true">IF(OR($C907="",$M907&lt;&gt;"Abierta",$G907=""),"",MAX($G907-TODAY(),0))</f>
        <v/>
      </c>
      <c r="Z907" s="12" t="str">
        <f aca="false">IF($C907="","",N($K907)*N($H907)*N($I907)*IF($U907="Débito",-1,1))</f>
        <v/>
      </c>
      <c r="AA907" s="13" t="str">
        <f aca="false">IF($C907="","",IF(AND($U907="Débito",$F907&lt;&gt;""),$F907,$E907))</f>
        <v/>
      </c>
      <c r="AB907" s="13" t="str">
        <f aca="false">IF(OR($C907="",$T907="Mixta",$AA907=""),"",IF($V907="Subyacente",IF($J907="","",$J907-$K907),IF($T907="Put",$AA907-$K907,$AA907+$K907)))</f>
        <v/>
      </c>
      <c r="AC907" s="14" t="str">
        <f aca="false">IF(OR($C907="",$T907="Mixta",$J907="",$AA907=""),"",IF($T907="Put",($J907-$AA907)/$J907,($AA907-$J907)/$J907))</f>
        <v/>
      </c>
      <c r="AD907" s="12" t="str">
        <f aca="false">IF($C907="","",IF($Q907&lt;&gt;"",$Q907,IF($V907="Strike",N($E907)*$H907*$I907,IF($V907="Subyacente",IF($J907="","",$J907*$H907*$I907),IF($V907="Ancho",IF($F907="","",ABS($E907-$F907)*$H907*$I907-$K907*$H907*$I907),IF($V907="Prima",$K907*$H907*$I907,""))))))</f>
        <v/>
      </c>
      <c r="AE907" s="12" t="str">
        <f aca="false">IF(OR($C907="",$M907="Abierta",$M907=""),"",(N($K907)-IF(OR($M907="Cerrada",$M907="Rolada"),N($O907),0))*$H907*$I907*IF($U907="Débito",-1,1)-N($L907)-N($P907))</f>
        <v/>
      </c>
      <c r="AF907" s="14" t="str">
        <f aca="false">IF(OR($AE907="",$AD907=""),"",IF($AD907&lt;=0,"",$AE907/$AD907))</f>
        <v/>
      </c>
      <c r="AG907" s="14" t="str">
        <f aca="false">IF($AF907="","",$AF907*365/MAX(N($X907),1))</f>
        <v/>
      </c>
      <c r="AH907" s="14" t="str">
        <f aca="false">IF(OR($C907="",$U907&lt;&gt;"Crédito",$AD907=""),"",IF($AD907&lt;=0,"",($Z907-N($L907))/$AD907))</f>
        <v/>
      </c>
      <c r="AI907" s="14" t="str">
        <f aca="false">IF(OR($AH907="",$W907=""),"",$AH907*365/MAX($W907,1))</f>
        <v/>
      </c>
      <c r="AJ907" s="14" t="str">
        <f aca="false">IF(OR($AE907="",$U907&lt;&gt;"Crédito",N($K907)=0),"",(N($K907)-IF(OR($M907="Cerrada",$M907="Rolada"),N($O907),0))/$K907)</f>
        <v/>
      </c>
      <c r="AK907" s="15" t="str">
        <f aca="false">IF(OR($C907="",$N907=""),"",DATE(YEAR($N907),MONTH($N907),1))</f>
        <v/>
      </c>
      <c r="AL907" s="11" t="str">
        <f aca="false">IF($C907="","",IF($M907="Abierta",0,1))</f>
        <v/>
      </c>
      <c r="AM907" s="16" t="str">
        <f aca="false">IF(OR($AE907="",$AD907=""),"",$AD907*MAX(N($X907),1))</f>
        <v/>
      </c>
      <c r="AN907" s="10" t="str">
        <f aca="false">IF($C907="","",IF(OR($B907="",$D907="",$H907="",$K907="",$M907=""),"Faltan datos obligatorios",IF($T907="","Estrategia no reconocida",IF(AND($M907&lt;&gt;"Abierta",$N907=""),"Falta fecha cierre",IF(AND(OR($M907="Cerrada",$M907="Rolada"),$O907=""),"Falta prima cierre",IF(AND($N907&lt;&gt;"",$N907&lt;$B907),"Cierre anterior a apertura",IF(AND($M907="Asignada",$R907=""),"Asignada: falta ID lote acciones",IF(AND($R907&lt;&gt;"",ISNA(MATCH($R907,Acciones!$A$2:$A$201,0))),"El ID lote no existe en Acciones",IF($AD907="","Revisa capital en riesgo","OK")))))))))</f>
        <v/>
      </c>
    </row>
    <row r="908" customFormat="false" ht="15" hidden="false" customHeight="true" outlineLevel="0" collapsed="false">
      <c r="A908" s="5"/>
      <c r="B908" s="6"/>
      <c r="C908" s="7"/>
      <c r="D908" s="7"/>
      <c r="E908" s="8"/>
      <c r="F908" s="8"/>
      <c r="G908" s="6"/>
      <c r="H908" s="5"/>
      <c r="I908" s="5" t="n">
        <v>100</v>
      </c>
      <c r="J908" s="8"/>
      <c r="K908" s="8"/>
      <c r="L908" s="9"/>
      <c r="M908" s="7"/>
      <c r="N908" s="6"/>
      <c r="O908" s="8"/>
      <c r="P908" s="9"/>
      <c r="Q908" s="9"/>
      <c r="R908" s="7"/>
      <c r="S908" s="7"/>
      <c r="T908" s="10" t="str">
        <f aca="false">IF($C908="","",IFERROR(INDEX(Listas!$B$2:$B$20,MATCH($D908,Listas!$A$2:$A$20,0)),""))</f>
        <v/>
      </c>
      <c r="U908" s="10" t="str">
        <f aca="false">IF($C908="","",IFERROR(INDEX(Listas!$C$2:$C$20,MATCH($D908,Listas!$A$2:$A$20,0)),""))</f>
        <v/>
      </c>
      <c r="V908" s="10" t="str">
        <f aca="false">IF($C908="","",IFERROR(INDEX(Listas!$D$2:$D$20,MATCH($D908,Listas!$A$2:$A$20,0)),""))</f>
        <v/>
      </c>
      <c r="W908" s="11" t="str">
        <f aca="false">IF(OR($C908="",$B908="",$G908=""),"",$G908-$B908)</f>
        <v/>
      </c>
      <c r="X908" s="11" t="str">
        <f aca="true">IF(OR($C908="",$B908=""),"",IF($N908&lt;&gt;"",$N908,TODAY())-$B908)</f>
        <v/>
      </c>
      <c r="Y908" s="11" t="str">
        <f aca="true">IF(OR($C908="",$M908&lt;&gt;"Abierta",$G908=""),"",MAX($G908-TODAY(),0))</f>
        <v/>
      </c>
      <c r="Z908" s="12" t="str">
        <f aca="false">IF($C908="","",N($K908)*N($H908)*N($I908)*IF($U908="Débito",-1,1))</f>
        <v/>
      </c>
      <c r="AA908" s="13" t="str">
        <f aca="false">IF($C908="","",IF(AND($U908="Débito",$F908&lt;&gt;""),$F908,$E908))</f>
        <v/>
      </c>
      <c r="AB908" s="13" t="str">
        <f aca="false">IF(OR($C908="",$T908="Mixta",$AA908=""),"",IF($V908="Subyacente",IF($J908="","",$J908-$K908),IF($T908="Put",$AA908-$K908,$AA908+$K908)))</f>
        <v/>
      </c>
      <c r="AC908" s="14" t="str">
        <f aca="false">IF(OR($C908="",$T908="Mixta",$J908="",$AA908=""),"",IF($T908="Put",($J908-$AA908)/$J908,($AA908-$J908)/$J908))</f>
        <v/>
      </c>
      <c r="AD908" s="12" t="str">
        <f aca="false">IF($C908="","",IF($Q908&lt;&gt;"",$Q908,IF($V908="Strike",N($E908)*$H908*$I908,IF($V908="Subyacente",IF($J908="","",$J908*$H908*$I908),IF($V908="Ancho",IF($F908="","",ABS($E908-$F908)*$H908*$I908-$K908*$H908*$I908),IF($V908="Prima",$K908*$H908*$I908,""))))))</f>
        <v/>
      </c>
      <c r="AE908" s="12" t="str">
        <f aca="false">IF(OR($C908="",$M908="Abierta",$M908=""),"",(N($K908)-IF(OR($M908="Cerrada",$M908="Rolada"),N($O908),0))*$H908*$I908*IF($U908="Débito",-1,1)-N($L908)-N($P908))</f>
        <v/>
      </c>
      <c r="AF908" s="14" t="str">
        <f aca="false">IF(OR($AE908="",$AD908=""),"",IF($AD908&lt;=0,"",$AE908/$AD908))</f>
        <v/>
      </c>
      <c r="AG908" s="14" t="str">
        <f aca="false">IF($AF908="","",$AF908*365/MAX(N($X908),1))</f>
        <v/>
      </c>
      <c r="AH908" s="14" t="str">
        <f aca="false">IF(OR($C908="",$U908&lt;&gt;"Crédito",$AD908=""),"",IF($AD908&lt;=0,"",($Z908-N($L908))/$AD908))</f>
        <v/>
      </c>
      <c r="AI908" s="14" t="str">
        <f aca="false">IF(OR($AH908="",$W908=""),"",$AH908*365/MAX($W908,1))</f>
        <v/>
      </c>
      <c r="AJ908" s="14" t="str">
        <f aca="false">IF(OR($AE908="",$U908&lt;&gt;"Crédito",N($K908)=0),"",(N($K908)-IF(OR($M908="Cerrada",$M908="Rolada"),N($O908),0))/$K908)</f>
        <v/>
      </c>
      <c r="AK908" s="15" t="str">
        <f aca="false">IF(OR($C908="",$N908=""),"",DATE(YEAR($N908),MONTH($N908),1))</f>
        <v/>
      </c>
      <c r="AL908" s="11" t="str">
        <f aca="false">IF($C908="","",IF($M908="Abierta",0,1))</f>
        <v/>
      </c>
      <c r="AM908" s="16" t="str">
        <f aca="false">IF(OR($AE908="",$AD908=""),"",$AD908*MAX(N($X908),1))</f>
        <v/>
      </c>
      <c r="AN908" s="10" t="str">
        <f aca="false">IF($C908="","",IF(OR($B908="",$D908="",$H908="",$K908="",$M908=""),"Faltan datos obligatorios",IF($T908="","Estrategia no reconocida",IF(AND($M908&lt;&gt;"Abierta",$N908=""),"Falta fecha cierre",IF(AND(OR($M908="Cerrada",$M908="Rolada"),$O908=""),"Falta prima cierre",IF(AND($N908&lt;&gt;"",$N908&lt;$B908),"Cierre anterior a apertura",IF(AND($M908="Asignada",$R908=""),"Asignada: falta ID lote acciones",IF(AND($R908&lt;&gt;"",ISNA(MATCH($R908,Acciones!$A$2:$A$201,0))),"El ID lote no existe en Acciones",IF($AD908="","Revisa capital en riesgo","OK")))))))))</f>
        <v/>
      </c>
    </row>
    <row r="909" customFormat="false" ht="15" hidden="false" customHeight="true" outlineLevel="0" collapsed="false">
      <c r="A909" s="5"/>
      <c r="B909" s="6"/>
      <c r="C909" s="7"/>
      <c r="D909" s="7"/>
      <c r="E909" s="8"/>
      <c r="F909" s="8"/>
      <c r="G909" s="6"/>
      <c r="H909" s="5"/>
      <c r="I909" s="5" t="n">
        <v>100</v>
      </c>
      <c r="J909" s="8"/>
      <c r="K909" s="8"/>
      <c r="L909" s="9"/>
      <c r="M909" s="7"/>
      <c r="N909" s="6"/>
      <c r="O909" s="8"/>
      <c r="P909" s="9"/>
      <c r="Q909" s="9"/>
      <c r="R909" s="7"/>
      <c r="S909" s="7"/>
      <c r="T909" s="10" t="str">
        <f aca="false">IF($C909="","",IFERROR(INDEX(Listas!$B$2:$B$20,MATCH($D909,Listas!$A$2:$A$20,0)),""))</f>
        <v/>
      </c>
      <c r="U909" s="10" t="str">
        <f aca="false">IF($C909="","",IFERROR(INDEX(Listas!$C$2:$C$20,MATCH($D909,Listas!$A$2:$A$20,0)),""))</f>
        <v/>
      </c>
      <c r="V909" s="10" t="str">
        <f aca="false">IF($C909="","",IFERROR(INDEX(Listas!$D$2:$D$20,MATCH($D909,Listas!$A$2:$A$20,0)),""))</f>
        <v/>
      </c>
      <c r="W909" s="11" t="str">
        <f aca="false">IF(OR($C909="",$B909="",$G909=""),"",$G909-$B909)</f>
        <v/>
      </c>
      <c r="X909" s="11" t="str">
        <f aca="true">IF(OR($C909="",$B909=""),"",IF($N909&lt;&gt;"",$N909,TODAY())-$B909)</f>
        <v/>
      </c>
      <c r="Y909" s="11" t="str">
        <f aca="true">IF(OR($C909="",$M909&lt;&gt;"Abierta",$G909=""),"",MAX($G909-TODAY(),0))</f>
        <v/>
      </c>
      <c r="Z909" s="12" t="str">
        <f aca="false">IF($C909="","",N($K909)*N($H909)*N($I909)*IF($U909="Débito",-1,1))</f>
        <v/>
      </c>
      <c r="AA909" s="13" t="str">
        <f aca="false">IF($C909="","",IF(AND($U909="Débito",$F909&lt;&gt;""),$F909,$E909))</f>
        <v/>
      </c>
      <c r="AB909" s="13" t="str">
        <f aca="false">IF(OR($C909="",$T909="Mixta",$AA909=""),"",IF($V909="Subyacente",IF($J909="","",$J909-$K909),IF($T909="Put",$AA909-$K909,$AA909+$K909)))</f>
        <v/>
      </c>
      <c r="AC909" s="14" t="str">
        <f aca="false">IF(OR($C909="",$T909="Mixta",$J909="",$AA909=""),"",IF($T909="Put",($J909-$AA909)/$J909,($AA909-$J909)/$J909))</f>
        <v/>
      </c>
      <c r="AD909" s="12" t="str">
        <f aca="false">IF($C909="","",IF($Q909&lt;&gt;"",$Q909,IF($V909="Strike",N($E909)*$H909*$I909,IF($V909="Subyacente",IF($J909="","",$J909*$H909*$I909),IF($V909="Ancho",IF($F909="","",ABS($E909-$F909)*$H909*$I909-$K909*$H909*$I909),IF($V909="Prima",$K909*$H909*$I909,""))))))</f>
        <v/>
      </c>
      <c r="AE909" s="12" t="str">
        <f aca="false">IF(OR($C909="",$M909="Abierta",$M909=""),"",(N($K909)-IF(OR($M909="Cerrada",$M909="Rolada"),N($O909),0))*$H909*$I909*IF($U909="Débito",-1,1)-N($L909)-N($P909))</f>
        <v/>
      </c>
      <c r="AF909" s="14" t="str">
        <f aca="false">IF(OR($AE909="",$AD909=""),"",IF($AD909&lt;=0,"",$AE909/$AD909))</f>
        <v/>
      </c>
      <c r="AG909" s="14" t="str">
        <f aca="false">IF($AF909="","",$AF909*365/MAX(N($X909),1))</f>
        <v/>
      </c>
      <c r="AH909" s="14" t="str">
        <f aca="false">IF(OR($C909="",$U909&lt;&gt;"Crédito",$AD909=""),"",IF($AD909&lt;=0,"",($Z909-N($L909))/$AD909))</f>
        <v/>
      </c>
      <c r="AI909" s="14" t="str">
        <f aca="false">IF(OR($AH909="",$W909=""),"",$AH909*365/MAX($W909,1))</f>
        <v/>
      </c>
      <c r="AJ909" s="14" t="str">
        <f aca="false">IF(OR($AE909="",$U909&lt;&gt;"Crédito",N($K909)=0),"",(N($K909)-IF(OR($M909="Cerrada",$M909="Rolada"),N($O909),0))/$K909)</f>
        <v/>
      </c>
      <c r="AK909" s="15" t="str">
        <f aca="false">IF(OR($C909="",$N909=""),"",DATE(YEAR($N909),MONTH($N909),1))</f>
        <v/>
      </c>
      <c r="AL909" s="11" t="str">
        <f aca="false">IF($C909="","",IF($M909="Abierta",0,1))</f>
        <v/>
      </c>
      <c r="AM909" s="16" t="str">
        <f aca="false">IF(OR($AE909="",$AD909=""),"",$AD909*MAX(N($X909),1))</f>
        <v/>
      </c>
      <c r="AN909" s="10" t="str">
        <f aca="false">IF($C909="","",IF(OR($B909="",$D909="",$H909="",$K909="",$M909=""),"Faltan datos obligatorios",IF($T909="","Estrategia no reconocida",IF(AND($M909&lt;&gt;"Abierta",$N909=""),"Falta fecha cierre",IF(AND(OR($M909="Cerrada",$M909="Rolada"),$O909=""),"Falta prima cierre",IF(AND($N909&lt;&gt;"",$N909&lt;$B909),"Cierre anterior a apertura",IF(AND($M909="Asignada",$R909=""),"Asignada: falta ID lote acciones",IF(AND($R909&lt;&gt;"",ISNA(MATCH($R909,Acciones!$A$2:$A$201,0))),"El ID lote no existe en Acciones",IF($AD909="","Revisa capital en riesgo","OK")))))))))</f>
        <v/>
      </c>
    </row>
    <row r="910" customFormat="false" ht="15" hidden="false" customHeight="true" outlineLevel="0" collapsed="false">
      <c r="A910" s="5"/>
      <c r="B910" s="6"/>
      <c r="C910" s="7"/>
      <c r="D910" s="7"/>
      <c r="E910" s="8"/>
      <c r="F910" s="8"/>
      <c r="G910" s="6"/>
      <c r="H910" s="5"/>
      <c r="I910" s="5" t="n">
        <v>100</v>
      </c>
      <c r="J910" s="8"/>
      <c r="K910" s="8"/>
      <c r="L910" s="9"/>
      <c r="M910" s="7"/>
      <c r="N910" s="6"/>
      <c r="O910" s="8"/>
      <c r="P910" s="9"/>
      <c r="Q910" s="9"/>
      <c r="R910" s="7"/>
      <c r="S910" s="7"/>
      <c r="T910" s="10" t="str">
        <f aca="false">IF($C910="","",IFERROR(INDEX(Listas!$B$2:$B$20,MATCH($D910,Listas!$A$2:$A$20,0)),""))</f>
        <v/>
      </c>
      <c r="U910" s="10" t="str">
        <f aca="false">IF($C910="","",IFERROR(INDEX(Listas!$C$2:$C$20,MATCH($D910,Listas!$A$2:$A$20,0)),""))</f>
        <v/>
      </c>
      <c r="V910" s="10" t="str">
        <f aca="false">IF($C910="","",IFERROR(INDEX(Listas!$D$2:$D$20,MATCH($D910,Listas!$A$2:$A$20,0)),""))</f>
        <v/>
      </c>
      <c r="W910" s="11" t="str">
        <f aca="false">IF(OR($C910="",$B910="",$G910=""),"",$G910-$B910)</f>
        <v/>
      </c>
      <c r="X910" s="11" t="str">
        <f aca="true">IF(OR($C910="",$B910=""),"",IF($N910&lt;&gt;"",$N910,TODAY())-$B910)</f>
        <v/>
      </c>
      <c r="Y910" s="11" t="str">
        <f aca="true">IF(OR($C910="",$M910&lt;&gt;"Abierta",$G910=""),"",MAX($G910-TODAY(),0))</f>
        <v/>
      </c>
      <c r="Z910" s="12" t="str">
        <f aca="false">IF($C910="","",N($K910)*N($H910)*N($I910)*IF($U910="Débito",-1,1))</f>
        <v/>
      </c>
      <c r="AA910" s="13" t="str">
        <f aca="false">IF($C910="","",IF(AND($U910="Débito",$F910&lt;&gt;""),$F910,$E910))</f>
        <v/>
      </c>
      <c r="AB910" s="13" t="str">
        <f aca="false">IF(OR($C910="",$T910="Mixta",$AA910=""),"",IF($V910="Subyacente",IF($J910="","",$J910-$K910),IF($T910="Put",$AA910-$K910,$AA910+$K910)))</f>
        <v/>
      </c>
      <c r="AC910" s="14" t="str">
        <f aca="false">IF(OR($C910="",$T910="Mixta",$J910="",$AA910=""),"",IF($T910="Put",($J910-$AA910)/$J910,($AA910-$J910)/$J910))</f>
        <v/>
      </c>
      <c r="AD910" s="12" t="str">
        <f aca="false">IF($C910="","",IF($Q910&lt;&gt;"",$Q910,IF($V910="Strike",N($E910)*$H910*$I910,IF($V910="Subyacente",IF($J910="","",$J910*$H910*$I910),IF($V910="Ancho",IF($F910="","",ABS($E910-$F910)*$H910*$I910-$K910*$H910*$I910),IF($V910="Prima",$K910*$H910*$I910,""))))))</f>
        <v/>
      </c>
      <c r="AE910" s="12" t="str">
        <f aca="false">IF(OR($C910="",$M910="Abierta",$M910=""),"",(N($K910)-IF(OR($M910="Cerrada",$M910="Rolada"),N($O910),0))*$H910*$I910*IF($U910="Débito",-1,1)-N($L910)-N($P910))</f>
        <v/>
      </c>
      <c r="AF910" s="14" t="str">
        <f aca="false">IF(OR($AE910="",$AD910=""),"",IF($AD910&lt;=0,"",$AE910/$AD910))</f>
        <v/>
      </c>
      <c r="AG910" s="14" t="str">
        <f aca="false">IF($AF910="","",$AF910*365/MAX(N($X910),1))</f>
        <v/>
      </c>
      <c r="AH910" s="14" t="str">
        <f aca="false">IF(OR($C910="",$U910&lt;&gt;"Crédito",$AD910=""),"",IF($AD910&lt;=0,"",($Z910-N($L910))/$AD910))</f>
        <v/>
      </c>
      <c r="AI910" s="14" t="str">
        <f aca="false">IF(OR($AH910="",$W910=""),"",$AH910*365/MAX($W910,1))</f>
        <v/>
      </c>
      <c r="AJ910" s="14" t="str">
        <f aca="false">IF(OR($AE910="",$U910&lt;&gt;"Crédito",N($K910)=0),"",(N($K910)-IF(OR($M910="Cerrada",$M910="Rolada"),N($O910),0))/$K910)</f>
        <v/>
      </c>
      <c r="AK910" s="15" t="str">
        <f aca="false">IF(OR($C910="",$N910=""),"",DATE(YEAR($N910),MONTH($N910),1))</f>
        <v/>
      </c>
      <c r="AL910" s="11" t="str">
        <f aca="false">IF($C910="","",IF($M910="Abierta",0,1))</f>
        <v/>
      </c>
      <c r="AM910" s="16" t="str">
        <f aca="false">IF(OR($AE910="",$AD910=""),"",$AD910*MAX(N($X910),1))</f>
        <v/>
      </c>
      <c r="AN910" s="10" t="str">
        <f aca="false">IF($C910="","",IF(OR($B910="",$D910="",$H910="",$K910="",$M910=""),"Faltan datos obligatorios",IF($T910="","Estrategia no reconocida",IF(AND($M910&lt;&gt;"Abierta",$N910=""),"Falta fecha cierre",IF(AND(OR($M910="Cerrada",$M910="Rolada"),$O910=""),"Falta prima cierre",IF(AND($N910&lt;&gt;"",$N910&lt;$B910),"Cierre anterior a apertura",IF(AND($M910="Asignada",$R910=""),"Asignada: falta ID lote acciones",IF(AND($R910&lt;&gt;"",ISNA(MATCH($R910,Acciones!$A$2:$A$201,0))),"El ID lote no existe en Acciones",IF($AD910="","Revisa capital en riesgo","OK")))))))))</f>
        <v/>
      </c>
    </row>
    <row r="911" customFormat="false" ht="15" hidden="false" customHeight="true" outlineLevel="0" collapsed="false">
      <c r="A911" s="5"/>
      <c r="B911" s="6"/>
      <c r="C911" s="7"/>
      <c r="D911" s="7"/>
      <c r="E911" s="8"/>
      <c r="F911" s="8"/>
      <c r="G911" s="6"/>
      <c r="H911" s="5"/>
      <c r="I911" s="5" t="n">
        <v>100</v>
      </c>
      <c r="J911" s="8"/>
      <c r="K911" s="8"/>
      <c r="L911" s="9"/>
      <c r="M911" s="7"/>
      <c r="N911" s="6"/>
      <c r="O911" s="8"/>
      <c r="P911" s="9"/>
      <c r="Q911" s="9"/>
      <c r="R911" s="7"/>
      <c r="S911" s="7"/>
      <c r="T911" s="10" t="str">
        <f aca="false">IF($C911="","",IFERROR(INDEX(Listas!$B$2:$B$20,MATCH($D911,Listas!$A$2:$A$20,0)),""))</f>
        <v/>
      </c>
      <c r="U911" s="10" t="str">
        <f aca="false">IF($C911="","",IFERROR(INDEX(Listas!$C$2:$C$20,MATCH($D911,Listas!$A$2:$A$20,0)),""))</f>
        <v/>
      </c>
      <c r="V911" s="10" t="str">
        <f aca="false">IF($C911="","",IFERROR(INDEX(Listas!$D$2:$D$20,MATCH($D911,Listas!$A$2:$A$20,0)),""))</f>
        <v/>
      </c>
      <c r="W911" s="11" t="str">
        <f aca="false">IF(OR($C911="",$B911="",$G911=""),"",$G911-$B911)</f>
        <v/>
      </c>
      <c r="X911" s="11" t="str">
        <f aca="true">IF(OR($C911="",$B911=""),"",IF($N911&lt;&gt;"",$N911,TODAY())-$B911)</f>
        <v/>
      </c>
      <c r="Y911" s="11" t="str">
        <f aca="true">IF(OR($C911="",$M911&lt;&gt;"Abierta",$G911=""),"",MAX($G911-TODAY(),0))</f>
        <v/>
      </c>
      <c r="Z911" s="12" t="str">
        <f aca="false">IF($C911="","",N($K911)*N($H911)*N($I911)*IF($U911="Débito",-1,1))</f>
        <v/>
      </c>
      <c r="AA911" s="13" t="str">
        <f aca="false">IF($C911="","",IF(AND($U911="Débito",$F911&lt;&gt;""),$F911,$E911))</f>
        <v/>
      </c>
      <c r="AB911" s="13" t="str">
        <f aca="false">IF(OR($C911="",$T911="Mixta",$AA911=""),"",IF($V911="Subyacente",IF($J911="","",$J911-$K911),IF($T911="Put",$AA911-$K911,$AA911+$K911)))</f>
        <v/>
      </c>
      <c r="AC911" s="14" t="str">
        <f aca="false">IF(OR($C911="",$T911="Mixta",$J911="",$AA911=""),"",IF($T911="Put",($J911-$AA911)/$J911,($AA911-$J911)/$J911))</f>
        <v/>
      </c>
      <c r="AD911" s="12" t="str">
        <f aca="false">IF($C911="","",IF($Q911&lt;&gt;"",$Q911,IF($V911="Strike",N($E911)*$H911*$I911,IF($V911="Subyacente",IF($J911="","",$J911*$H911*$I911),IF($V911="Ancho",IF($F911="","",ABS($E911-$F911)*$H911*$I911-$K911*$H911*$I911),IF($V911="Prima",$K911*$H911*$I911,""))))))</f>
        <v/>
      </c>
      <c r="AE911" s="12" t="str">
        <f aca="false">IF(OR($C911="",$M911="Abierta",$M911=""),"",(N($K911)-IF(OR($M911="Cerrada",$M911="Rolada"),N($O911),0))*$H911*$I911*IF($U911="Débito",-1,1)-N($L911)-N($P911))</f>
        <v/>
      </c>
      <c r="AF911" s="14" t="str">
        <f aca="false">IF(OR($AE911="",$AD911=""),"",IF($AD911&lt;=0,"",$AE911/$AD911))</f>
        <v/>
      </c>
      <c r="AG911" s="14" t="str">
        <f aca="false">IF($AF911="","",$AF911*365/MAX(N($X911),1))</f>
        <v/>
      </c>
      <c r="AH911" s="14" t="str">
        <f aca="false">IF(OR($C911="",$U911&lt;&gt;"Crédito",$AD911=""),"",IF($AD911&lt;=0,"",($Z911-N($L911))/$AD911))</f>
        <v/>
      </c>
      <c r="AI911" s="14" t="str">
        <f aca="false">IF(OR($AH911="",$W911=""),"",$AH911*365/MAX($W911,1))</f>
        <v/>
      </c>
      <c r="AJ911" s="14" t="str">
        <f aca="false">IF(OR($AE911="",$U911&lt;&gt;"Crédito",N($K911)=0),"",(N($K911)-IF(OR($M911="Cerrada",$M911="Rolada"),N($O911),0))/$K911)</f>
        <v/>
      </c>
      <c r="AK911" s="15" t="str">
        <f aca="false">IF(OR($C911="",$N911=""),"",DATE(YEAR($N911),MONTH($N911),1))</f>
        <v/>
      </c>
      <c r="AL911" s="11" t="str">
        <f aca="false">IF($C911="","",IF($M911="Abierta",0,1))</f>
        <v/>
      </c>
      <c r="AM911" s="16" t="str">
        <f aca="false">IF(OR($AE911="",$AD911=""),"",$AD911*MAX(N($X911),1))</f>
        <v/>
      </c>
      <c r="AN911" s="10" t="str">
        <f aca="false">IF($C911="","",IF(OR($B911="",$D911="",$H911="",$K911="",$M911=""),"Faltan datos obligatorios",IF($T911="","Estrategia no reconocida",IF(AND($M911&lt;&gt;"Abierta",$N911=""),"Falta fecha cierre",IF(AND(OR($M911="Cerrada",$M911="Rolada"),$O911=""),"Falta prima cierre",IF(AND($N911&lt;&gt;"",$N911&lt;$B911),"Cierre anterior a apertura",IF(AND($M911="Asignada",$R911=""),"Asignada: falta ID lote acciones",IF(AND($R911&lt;&gt;"",ISNA(MATCH($R911,Acciones!$A$2:$A$201,0))),"El ID lote no existe en Acciones",IF($AD911="","Revisa capital en riesgo","OK")))))))))</f>
        <v/>
      </c>
    </row>
    <row r="912" customFormat="false" ht="15" hidden="false" customHeight="true" outlineLevel="0" collapsed="false">
      <c r="A912" s="5"/>
      <c r="B912" s="6"/>
      <c r="C912" s="7"/>
      <c r="D912" s="7"/>
      <c r="E912" s="8"/>
      <c r="F912" s="8"/>
      <c r="G912" s="6"/>
      <c r="H912" s="5"/>
      <c r="I912" s="5" t="n">
        <v>100</v>
      </c>
      <c r="J912" s="8"/>
      <c r="K912" s="8"/>
      <c r="L912" s="9"/>
      <c r="M912" s="7"/>
      <c r="N912" s="6"/>
      <c r="O912" s="8"/>
      <c r="P912" s="9"/>
      <c r="Q912" s="9"/>
      <c r="R912" s="7"/>
      <c r="S912" s="7"/>
      <c r="T912" s="10" t="str">
        <f aca="false">IF($C912="","",IFERROR(INDEX(Listas!$B$2:$B$20,MATCH($D912,Listas!$A$2:$A$20,0)),""))</f>
        <v/>
      </c>
      <c r="U912" s="10" t="str">
        <f aca="false">IF($C912="","",IFERROR(INDEX(Listas!$C$2:$C$20,MATCH($D912,Listas!$A$2:$A$20,0)),""))</f>
        <v/>
      </c>
      <c r="V912" s="10" t="str">
        <f aca="false">IF($C912="","",IFERROR(INDEX(Listas!$D$2:$D$20,MATCH($D912,Listas!$A$2:$A$20,0)),""))</f>
        <v/>
      </c>
      <c r="W912" s="11" t="str">
        <f aca="false">IF(OR($C912="",$B912="",$G912=""),"",$G912-$B912)</f>
        <v/>
      </c>
      <c r="X912" s="11" t="str">
        <f aca="true">IF(OR($C912="",$B912=""),"",IF($N912&lt;&gt;"",$N912,TODAY())-$B912)</f>
        <v/>
      </c>
      <c r="Y912" s="11" t="str">
        <f aca="true">IF(OR($C912="",$M912&lt;&gt;"Abierta",$G912=""),"",MAX($G912-TODAY(),0))</f>
        <v/>
      </c>
      <c r="Z912" s="12" t="str">
        <f aca="false">IF($C912="","",N($K912)*N($H912)*N($I912)*IF($U912="Débito",-1,1))</f>
        <v/>
      </c>
      <c r="AA912" s="13" t="str">
        <f aca="false">IF($C912="","",IF(AND($U912="Débito",$F912&lt;&gt;""),$F912,$E912))</f>
        <v/>
      </c>
      <c r="AB912" s="13" t="str">
        <f aca="false">IF(OR($C912="",$T912="Mixta",$AA912=""),"",IF($V912="Subyacente",IF($J912="","",$J912-$K912),IF($T912="Put",$AA912-$K912,$AA912+$K912)))</f>
        <v/>
      </c>
      <c r="AC912" s="14" t="str">
        <f aca="false">IF(OR($C912="",$T912="Mixta",$J912="",$AA912=""),"",IF($T912="Put",($J912-$AA912)/$J912,($AA912-$J912)/$J912))</f>
        <v/>
      </c>
      <c r="AD912" s="12" t="str">
        <f aca="false">IF($C912="","",IF($Q912&lt;&gt;"",$Q912,IF($V912="Strike",N($E912)*$H912*$I912,IF($V912="Subyacente",IF($J912="","",$J912*$H912*$I912),IF($V912="Ancho",IF($F912="","",ABS($E912-$F912)*$H912*$I912-$K912*$H912*$I912),IF($V912="Prima",$K912*$H912*$I912,""))))))</f>
        <v/>
      </c>
      <c r="AE912" s="12" t="str">
        <f aca="false">IF(OR($C912="",$M912="Abierta",$M912=""),"",(N($K912)-IF(OR($M912="Cerrada",$M912="Rolada"),N($O912),0))*$H912*$I912*IF($U912="Débito",-1,1)-N($L912)-N($P912))</f>
        <v/>
      </c>
      <c r="AF912" s="14" t="str">
        <f aca="false">IF(OR($AE912="",$AD912=""),"",IF($AD912&lt;=0,"",$AE912/$AD912))</f>
        <v/>
      </c>
      <c r="AG912" s="14" t="str">
        <f aca="false">IF($AF912="","",$AF912*365/MAX(N($X912),1))</f>
        <v/>
      </c>
      <c r="AH912" s="14" t="str">
        <f aca="false">IF(OR($C912="",$U912&lt;&gt;"Crédito",$AD912=""),"",IF($AD912&lt;=0,"",($Z912-N($L912))/$AD912))</f>
        <v/>
      </c>
      <c r="AI912" s="14" t="str">
        <f aca="false">IF(OR($AH912="",$W912=""),"",$AH912*365/MAX($W912,1))</f>
        <v/>
      </c>
      <c r="AJ912" s="14" t="str">
        <f aca="false">IF(OR($AE912="",$U912&lt;&gt;"Crédito",N($K912)=0),"",(N($K912)-IF(OR($M912="Cerrada",$M912="Rolada"),N($O912),0))/$K912)</f>
        <v/>
      </c>
      <c r="AK912" s="15" t="str">
        <f aca="false">IF(OR($C912="",$N912=""),"",DATE(YEAR($N912),MONTH($N912),1))</f>
        <v/>
      </c>
      <c r="AL912" s="11" t="str">
        <f aca="false">IF($C912="","",IF($M912="Abierta",0,1))</f>
        <v/>
      </c>
      <c r="AM912" s="16" t="str">
        <f aca="false">IF(OR($AE912="",$AD912=""),"",$AD912*MAX(N($X912),1))</f>
        <v/>
      </c>
      <c r="AN912" s="10" t="str">
        <f aca="false">IF($C912="","",IF(OR($B912="",$D912="",$H912="",$K912="",$M912=""),"Faltan datos obligatorios",IF($T912="","Estrategia no reconocida",IF(AND($M912&lt;&gt;"Abierta",$N912=""),"Falta fecha cierre",IF(AND(OR($M912="Cerrada",$M912="Rolada"),$O912=""),"Falta prima cierre",IF(AND($N912&lt;&gt;"",$N912&lt;$B912),"Cierre anterior a apertura",IF(AND($M912="Asignada",$R912=""),"Asignada: falta ID lote acciones",IF(AND($R912&lt;&gt;"",ISNA(MATCH($R912,Acciones!$A$2:$A$201,0))),"El ID lote no existe en Acciones",IF($AD912="","Revisa capital en riesgo","OK")))))))))</f>
        <v/>
      </c>
    </row>
    <row r="913" customFormat="false" ht="15" hidden="false" customHeight="true" outlineLevel="0" collapsed="false">
      <c r="A913" s="5"/>
      <c r="B913" s="6"/>
      <c r="C913" s="7"/>
      <c r="D913" s="7"/>
      <c r="E913" s="8"/>
      <c r="F913" s="8"/>
      <c r="G913" s="6"/>
      <c r="H913" s="5"/>
      <c r="I913" s="5" t="n">
        <v>100</v>
      </c>
      <c r="J913" s="8"/>
      <c r="K913" s="8"/>
      <c r="L913" s="9"/>
      <c r="M913" s="7"/>
      <c r="N913" s="6"/>
      <c r="O913" s="8"/>
      <c r="P913" s="9"/>
      <c r="Q913" s="9"/>
      <c r="R913" s="7"/>
      <c r="S913" s="7"/>
      <c r="T913" s="10" t="str">
        <f aca="false">IF($C913="","",IFERROR(INDEX(Listas!$B$2:$B$20,MATCH($D913,Listas!$A$2:$A$20,0)),""))</f>
        <v/>
      </c>
      <c r="U913" s="10" t="str">
        <f aca="false">IF($C913="","",IFERROR(INDEX(Listas!$C$2:$C$20,MATCH($D913,Listas!$A$2:$A$20,0)),""))</f>
        <v/>
      </c>
      <c r="V913" s="10" t="str">
        <f aca="false">IF($C913="","",IFERROR(INDEX(Listas!$D$2:$D$20,MATCH($D913,Listas!$A$2:$A$20,0)),""))</f>
        <v/>
      </c>
      <c r="W913" s="11" t="str">
        <f aca="false">IF(OR($C913="",$B913="",$G913=""),"",$G913-$B913)</f>
        <v/>
      </c>
      <c r="X913" s="11" t="str">
        <f aca="true">IF(OR($C913="",$B913=""),"",IF($N913&lt;&gt;"",$N913,TODAY())-$B913)</f>
        <v/>
      </c>
      <c r="Y913" s="11" t="str">
        <f aca="true">IF(OR($C913="",$M913&lt;&gt;"Abierta",$G913=""),"",MAX($G913-TODAY(),0))</f>
        <v/>
      </c>
      <c r="Z913" s="12" t="str">
        <f aca="false">IF($C913="","",N($K913)*N($H913)*N($I913)*IF($U913="Débito",-1,1))</f>
        <v/>
      </c>
      <c r="AA913" s="13" t="str">
        <f aca="false">IF($C913="","",IF(AND($U913="Débito",$F913&lt;&gt;""),$F913,$E913))</f>
        <v/>
      </c>
      <c r="AB913" s="13" t="str">
        <f aca="false">IF(OR($C913="",$T913="Mixta",$AA913=""),"",IF($V913="Subyacente",IF($J913="","",$J913-$K913),IF($T913="Put",$AA913-$K913,$AA913+$K913)))</f>
        <v/>
      </c>
      <c r="AC913" s="14" t="str">
        <f aca="false">IF(OR($C913="",$T913="Mixta",$J913="",$AA913=""),"",IF($T913="Put",($J913-$AA913)/$J913,($AA913-$J913)/$J913))</f>
        <v/>
      </c>
      <c r="AD913" s="12" t="str">
        <f aca="false">IF($C913="","",IF($Q913&lt;&gt;"",$Q913,IF($V913="Strike",N($E913)*$H913*$I913,IF($V913="Subyacente",IF($J913="","",$J913*$H913*$I913),IF($V913="Ancho",IF($F913="","",ABS($E913-$F913)*$H913*$I913-$K913*$H913*$I913),IF($V913="Prima",$K913*$H913*$I913,""))))))</f>
        <v/>
      </c>
      <c r="AE913" s="12" t="str">
        <f aca="false">IF(OR($C913="",$M913="Abierta",$M913=""),"",(N($K913)-IF(OR($M913="Cerrada",$M913="Rolada"),N($O913),0))*$H913*$I913*IF($U913="Débito",-1,1)-N($L913)-N($P913))</f>
        <v/>
      </c>
      <c r="AF913" s="14" t="str">
        <f aca="false">IF(OR($AE913="",$AD913=""),"",IF($AD913&lt;=0,"",$AE913/$AD913))</f>
        <v/>
      </c>
      <c r="AG913" s="14" t="str">
        <f aca="false">IF($AF913="","",$AF913*365/MAX(N($X913),1))</f>
        <v/>
      </c>
      <c r="AH913" s="14" t="str">
        <f aca="false">IF(OR($C913="",$U913&lt;&gt;"Crédito",$AD913=""),"",IF($AD913&lt;=0,"",($Z913-N($L913))/$AD913))</f>
        <v/>
      </c>
      <c r="AI913" s="14" t="str">
        <f aca="false">IF(OR($AH913="",$W913=""),"",$AH913*365/MAX($W913,1))</f>
        <v/>
      </c>
      <c r="AJ913" s="14" t="str">
        <f aca="false">IF(OR($AE913="",$U913&lt;&gt;"Crédito",N($K913)=0),"",(N($K913)-IF(OR($M913="Cerrada",$M913="Rolada"),N($O913),0))/$K913)</f>
        <v/>
      </c>
      <c r="AK913" s="15" t="str">
        <f aca="false">IF(OR($C913="",$N913=""),"",DATE(YEAR($N913),MONTH($N913),1))</f>
        <v/>
      </c>
      <c r="AL913" s="11" t="str">
        <f aca="false">IF($C913="","",IF($M913="Abierta",0,1))</f>
        <v/>
      </c>
      <c r="AM913" s="16" t="str">
        <f aca="false">IF(OR($AE913="",$AD913=""),"",$AD913*MAX(N($X913),1))</f>
        <v/>
      </c>
      <c r="AN913" s="10" t="str">
        <f aca="false">IF($C913="","",IF(OR($B913="",$D913="",$H913="",$K913="",$M913=""),"Faltan datos obligatorios",IF($T913="","Estrategia no reconocida",IF(AND($M913&lt;&gt;"Abierta",$N913=""),"Falta fecha cierre",IF(AND(OR($M913="Cerrada",$M913="Rolada"),$O913=""),"Falta prima cierre",IF(AND($N913&lt;&gt;"",$N913&lt;$B913),"Cierre anterior a apertura",IF(AND($M913="Asignada",$R913=""),"Asignada: falta ID lote acciones",IF(AND($R913&lt;&gt;"",ISNA(MATCH($R913,Acciones!$A$2:$A$201,0))),"El ID lote no existe en Acciones",IF($AD913="","Revisa capital en riesgo","OK")))))))))</f>
        <v/>
      </c>
    </row>
    <row r="914" customFormat="false" ht="15" hidden="false" customHeight="true" outlineLevel="0" collapsed="false">
      <c r="A914" s="5"/>
      <c r="B914" s="6"/>
      <c r="C914" s="7"/>
      <c r="D914" s="7"/>
      <c r="E914" s="8"/>
      <c r="F914" s="8"/>
      <c r="G914" s="6"/>
      <c r="H914" s="5"/>
      <c r="I914" s="5" t="n">
        <v>100</v>
      </c>
      <c r="J914" s="8"/>
      <c r="K914" s="8"/>
      <c r="L914" s="9"/>
      <c r="M914" s="7"/>
      <c r="N914" s="6"/>
      <c r="O914" s="8"/>
      <c r="P914" s="9"/>
      <c r="Q914" s="9"/>
      <c r="R914" s="7"/>
      <c r="S914" s="7"/>
      <c r="T914" s="10" t="str">
        <f aca="false">IF($C914="","",IFERROR(INDEX(Listas!$B$2:$B$20,MATCH($D914,Listas!$A$2:$A$20,0)),""))</f>
        <v/>
      </c>
      <c r="U914" s="10" t="str">
        <f aca="false">IF($C914="","",IFERROR(INDEX(Listas!$C$2:$C$20,MATCH($D914,Listas!$A$2:$A$20,0)),""))</f>
        <v/>
      </c>
      <c r="V914" s="10" t="str">
        <f aca="false">IF($C914="","",IFERROR(INDEX(Listas!$D$2:$D$20,MATCH($D914,Listas!$A$2:$A$20,0)),""))</f>
        <v/>
      </c>
      <c r="W914" s="11" t="str">
        <f aca="false">IF(OR($C914="",$B914="",$G914=""),"",$G914-$B914)</f>
        <v/>
      </c>
      <c r="X914" s="11" t="str">
        <f aca="true">IF(OR($C914="",$B914=""),"",IF($N914&lt;&gt;"",$N914,TODAY())-$B914)</f>
        <v/>
      </c>
      <c r="Y914" s="11" t="str">
        <f aca="true">IF(OR($C914="",$M914&lt;&gt;"Abierta",$G914=""),"",MAX($G914-TODAY(),0))</f>
        <v/>
      </c>
      <c r="Z914" s="12" t="str">
        <f aca="false">IF($C914="","",N($K914)*N($H914)*N($I914)*IF($U914="Débito",-1,1))</f>
        <v/>
      </c>
      <c r="AA914" s="13" t="str">
        <f aca="false">IF($C914="","",IF(AND($U914="Débito",$F914&lt;&gt;""),$F914,$E914))</f>
        <v/>
      </c>
      <c r="AB914" s="13" t="str">
        <f aca="false">IF(OR($C914="",$T914="Mixta",$AA914=""),"",IF($V914="Subyacente",IF($J914="","",$J914-$K914),IF($T914="Put",$AA914-$K914,$AA914+$K914)))</f>
        <v/>
      </c>
      <c r="AC914" s="14" t="str">
        <f aca="false">IF(OR($C914="",$T914="Mixta",$J914="",$AA914=""),"",IF($T914="Put",($J914-$AA914)/$J914,($AA914-$J914)/$J914))</f>
        <v/>
      </c>
      <c r="AD914" s="12" t="str">
        <f aca="false">IF($C914="","",IF($Q914&lt;&gt;"",$Q914,IF($V914="Strike",N($E914)*$H914*$I914,IF($V914="Subyacente",IF($J914="","",$J914*$H914*$I914),IF($V914="Ancho",IF($F914="","",ABS($E914-$F914)*$H914*$I914-$K914*$H914*$I914),IF($V914="Prima",$K914*$H914*$I914,""))))))</f>
        <v/>
      </c>
      <c r="AE914" s="12" t="str">
        <f aca="false">IF(OR($C914="",$M914="Abierta",$M914=""),"",(N($K914)-IF(OR($M914="Cerrada",$M914="Rolada"),N($O914),0))*$H914*$I914*IF($U914="Débito",-1,1)-N($L914)-N($P914))</f>
        <v/>
      </c>
      <c r="AF914" s="14" t="str">
        <f aca="false">IF(OR($AE914="",$AD914=""),"",IF($AD914&lt;=0,"",$AE914/$AD914))</f>
        <v/>
      </c>
      <c r="AG914" s="14" t="str">
        <f aca="false">IF($AF914="","",$AF914*365/MAX(N($X914),1))</f>
        <v/>
      </c>
      <c r="AH914" s="14" t="str">
        <f aca="false">IF(OR($C914="",$U914&lt;&gt;"Crédito",$AD914=""),"",IF($AD914&lt;=0,"",($Z914-N($L914))/$AD914))</f>
        <v/>
      </c>
      <c r="AI914" s="14" t="str">
        <f aca="false">IF(OR($AH914="",$W914=""),"",$AH914*365/MAX($W914,1))</f>
        <v/>
      </c>
      <c r="AJ914" s="14" t="str">
        <f aca="false">IF(OR($AE914="",$U914&lt;&gt;"Crédito",N($K914)=0),"",(N($K914)-IF(OR($M914="Cerrada",$M914="Rolada"),N($O914),0))/$K914)</f>
        <v/>
      </c>
      <c r="AK914" s="15" t="str">
        <f aca="false">IF(OR($C914="",$N914=""),"",DATE(YEAR($N914),MONTH($N914),1))</f>
        <v/>
      </c>
      <c r="AL914" s="11" t="str">
        <f aca="false">IF($C914="","",IF($M914="Abierta",0,1))</f>
        <v/>
      </c>
      <c r="AM914" s="16" t="str">
        <f aca="false">IF(OR($AE914="",$AD914=""),"",$AD914*MAX(N($X914),1))</f>
        <v/>
      </c>
      <c r="AN914" s="10" t="str">
        <f aca="false">IF($C914="","",IF(OR($B914="",$D914="",$H914="",$K914="",$M914=""),"Faltan datos obligatorios",IF($T914="","Estrategia no reconocida",IF(AND($M914&lt;&gt;"Abierta",$N914=""),"Falta fecha cierre",IF(AND(OR($M914="Cerrada",$M914="Rolada"),$O914=""),"Falta prima cierre",IF(AND($N914&lt;&gt;"",$N914&lt;$B914),"Cierre anterior a apertura",IF(AND($M914="Asignada",$R914=""),"Asignada: falta ID lote acciones",IF(AND($R914&lt;&gt;"",ISNA(MATCH($R914,Acciones!$A$2:$A$201,0))),"El ID lote no existe en Acciones",IF($AD914="","Revisa capital en riesgo","OK")))))))))</f>
        <v/>
      </c>
    </row>
    <row r="915" customFormat="false" ht="15" hidden="false" customHeight="true" outlineLevel="0" collapsed="false">
      <c r="A915" s="5"/>
      <c r="B915" s="6"/>
      <c r="C915" s="7"/>
      <c r="D915" s="7"/>
      <c r="E915" s="8"/>
      <c r="F915" s="8"/>
      <c r="G915" s="6"/>
      <c r="H915" s="5"/>
      <c r="I915" s="5" t="n">
        <v>100</v>
      </c>
      <c r="J915" s="8"/>
      <c r="K915" s="8"/>
      <c r="L915" s="9"/>
      <c r="M915" s="7"/>
      <c r="N915" s="6"/>
      <c r="O915" s="8"/>
      <c r="P915" s="9"/>
      <c r="Q915" s="9"/>
      <c r="R915" s="7"/>
      <c r="S915" s="7"/>
      <c r="T915" s="10" t="str">
        <f aca="false">IF($C915="","",IFERROR(INDEX(Listas!$B$2:$B$20,MATCH($D915,Listas!$A$2:$A$20,0)),""))</f>
        <v/>
      </c>
      <c r="U915" s="10" t="str">
        <f aca="false">IF($C915="","",IFERROR(INDEX(Listas!$C$2:$C$20,MATCH($D915,Listas!$A$2:$A$20,0)),""))</f>
        <v/>
      </c>
      <c r="V915" s="10" t="str">
        <f aca="false">IF($C915="","",IFERROR(INDEX(Listas!$D$2:$D$20,MATCH($D915,Listas!$A$2:$A$20,0)),""))</f>
        <v/>
      </c>
      <c r="W915" s="11" t="str">
        <f aca="false">IF(OR($C915="",$B915="",$G915=""),"",$G915-$B915)</f>
        <v/>
      </c>
      <c r="X915" s="11" t="str">
        <f aca="true">IF(OR($C915="",$B915=""),"",IF($N915&lt;&gt;"",$N915,TODAY())-$B915)</f>
        <v/>
      </c>
      <c r="Y915" s="11" t="str">
        <f aca="true">IF(OR($C915="",$M915&lt;&gt;"Abierta",$G915=""),"",MAX($G915-TODAY(),0))</f>
        <v/>
      </c>
      <c r="Z915" s="12" t="str">
        <f aca="false">IF($C915="","",N($K915)*N($H915)*N($I915)*IF($U915="Débito",-1,1))</f>
        <v/>
      </c>
      <c r="AA915" s="13" t="str">
        <f aca="false">IF($C915="","",IF(AND($U915="Débito",$F915&lt;&gt;""),$F915,$E915))</f>
        <v/>
      </c>
      <c r="AB915" s="13" t="str">
        <f aca="false">IF(OR($C915="",$T915="Mixta",$AA915=""),"",IF($V915="Subyacente",IF($J915="","",$J915-$K915),IF($T915="Put",$AA915-$K915,$AA915+$K915)))</f>
        <v/>
      </c>
      <c r="AC915" s="14" t="str">
        <f aca="false">IF(OR($C915="",$T915="Mixta",$J915="",$AA915=""),"",IF($T915="Put",($J915-$AA915)/$J915,($AA915-$J915)/$J915))</f>
        <v/>
      </c>
      <c r="AD915" s="12" t="str">
        <f aca="false">IF($C915="","",IF($Q915&lt;&gt;"",$Q915,IF($V915="Strike",N($E915)*$H915*$I915,IF($V915="Subyacente",IF($J915="","",$J915*$H915*$I915),IF($V915="Ancho",IF($F915="","",ABS($E915-$F915)*$H915*$I915-$K915*$H915*$I915),IF($V915="Prima",$K915*$H915*$I915,""))))))</f>
        <v/>
      </c>
      <c r="AE915" s="12" t="str">
        <f aca="false">IF(OR($C915="",$M915="Abierta",$M915=""),"",(N($K915)-IF(OR($M915="Cerrada",$M915="Rolada"),N($O915),0))*$H915*$I915*IF($U915="Débito",-1,1)-N($L915)-N($P915))</f>
        <v/>
      </c>
      <c r="AF915" s="14" t="str">
        <f aca="false">IF(OR($AE915="",$AD915=""),"",IF($AD915&lt;=0,"",$AE915/$AD915))</f>
        <v/>
      </c>
      <c r="AG915" s="14" t="str">
        <f aca="false">IF($AF915="","",$AF915*365/MAX(N($X915),1))</f>
        <v/>
      </c>
      <c r="AH915" s="14" t="str">
        <f aca="false">IF(OR($C915="",$U915&lt;&gt;"Crédito",$AD915=""),"",IF($AD915&lt;=0,"",($Z915-N($L915))/$AD915))</f>
        <v/>
      </c>
      <c r="AI915" s="14" t="str">
        <f aca="false">IF(OR($AH915="",$W915=""),"",$AH915*365/MAX($W915,1))</f>
        <v/>
      </c>
      <c r="AJ915" s="14" t="str">
        <f aca="false">IF(OR($AE915="",$U915&lt;&gt;"Crédito",N($K915)=0),"",(N($K915)-IF(OR($M915="Cerrada",$M915="Rolada"),N($O915),0))/$K915)</f>
        <v/>
      </c>
      <c r="AK915" s="15" t="str">
        <f aca="false">IF(OR($C915="",$N915=""),"",DATE(YEAR($N915),MONTH($N915),1))</f>
        <v/>
      </c>
      <c r="AL915" s="11" t="str">
        <f aca="false">IF($C915="","",IF($M915="Abierta",0,1))</f>
        <v/>
      </c>
      <c r="AM915" s="16" t="str">
        <f aca="false">IF(OR($AE915="",$AD915=""),"",$AD915*MAX(N($X915),1))</f>
        <v/>
      </c>
      <c r="AN915" s="10" t="str">
        <f aca="false">IF($C915="","",IF(OR($B915="",$D915="",$H915="",$K915="",$M915=""),"Faltan datos obligatorios",IF($T915="","Estrategia no reconocida",IF(AND($M915&lt;&gt;"Abierta",$N915=""),"Falta fecha cierre",IF(AND(OR($M915="Cerrada",$M915="Rolada"),$O915=""),"Falta prima cierre",IF(AND($N915&lt;&gt;"",$N915&lt;$B915),"Cierre anterior a apertura",IF(AND($M915="Asignada",$R915=""),"Asignada: falta ID lote acciones",IF(AND($R915&lt;&gt;"",ISNA(MATCH($R915,Acciones!$A$2:$A$201,0))),"El ID lote no existe en Acciones",IF($AD915="","Revisa capital en riesgo","OK")))))))))</f>
        <v/>
      </c>
    </row>
    <row r="916" customFormat="false" ht="15" hidden="false" customHeight="true" outlineLevel="0" collapsed="false">
      <c r="A916" s="5"/>
      <c r="B916" s="6"/>
      <c r="C916" s="7"/>
      <c r="D916" s="7"/>
      <c r="E916" s="8"/>
      <c r="F916" s="8"/>
      <c r="G916" s="6"/>
      <c r="H916" s="5"/>
      <c r="I916" s="5" t="n">
        <v>100</v>
      </c>
      <c r="J916" s="8"/>
      <c r="K916" s="8"/>
      <c r="L916" s="9"/>
      <c r="M916" s="7"/>
      <c r="N916" s="6"/>
      <c r="O916" s="8"/>
      <c r="P916" s="9"/>
      <c r="Q916" s="9"/>
      <c r="R916" s="7"/>
      <c r="S916" s="7"/>
      <c r="T916" s="10" t="str">
        <f aca="false">IF($C916="","",IFERROR(INDEX(Listas!$B$2:$B$20,MATCH($D916,Listas!$A$2:$A$20,0)),""))</f>
        <v/>
      </c>
      <c r="U916" s="10" t="str">
        <f aca="false">IF($C916="","",IFERROR(INDEX(Listas!$C$2:$C$20,MATCH($D916,Listas!$A$2:$A$20,0)),""))</f>
        <v/>
      </c>
      <c r="V916" s="10" t="str">
        <f aca="false">IF($C916="","",IFERROR(INDEX(Listas!$D$2:$D$20,MATCH($D916,Listas!$A$2:$A$20,0)),""))</f>
        <v/>
      </c>
      <c r="W916" s="11" t="str">
        <f aca="false">IF(OR($C916="",$B916="",$G916=""),"",$G916-$B916)</f>
        <v/>
      </c>
      <c r="X916" s="11" t="str">
        <f aca="true">IF(OR($C916="",$B916=""),"",IF($N916&lt;&gt;"",$N916,TODAY())-$B916)</f>
        <v/>
      </c>
      <c r="Y916" s="11" t="str">
        <f aca="true">IF(OR($C916="",$M916&lt;&gt;"Abierta",$G916=""),"",MAX($G916-TODAY(),0))</f>
        <v/>
      </c>
      <c r="Z916" s="12" t="str">
        <f aca="false">IF($C916="","",N($K916)*N($H916)*N($I916)*IF($U916="Débito",-1,1))</f>
        <v/>
      </c>
      <c r="AA916" s="13" t="str">
        <f aca="false">IF($C916="","",IF(AND($U916="Débito",$F916&lt;&gt;""),$F916,$E916))</f>
        <v/>
      </c>
      <c r="AB916" s="13" t="str">
        <f aca="false">IF(OR($C916="",$T916="Mixta",$AA916=""),"",IF($V916="Subyacente",IF($J916="","",$J916-$K916),IF($T916="Put",$AA916-$K916,$AA916+$K916)))</f>
        <v/>
      </c>
      <c r="AC916" s="14" t="str">
        <f aca="false">IF(OR($C916="",$T916="Mixta",$J916="",$AA916=""),"",IF($T916="Put",($J916-$AA916)/$J916,($AA916-$J916)/$J916))</f>
        <v/>
      </c>
      <c r="AD916" s="12" t="str">
        <f aca="false">IF($C916="","",IF($Q916&lt;&gt;"",$Q916,IF($V916="Strike",N($E916)*$H916*$I916,IF($V916="Subyacente",IF($J916="","",$J916*$H916*$I916),IF($V916="Ancho",IF($F916="","",ABS($E916-$F916)*$H916*$I916-$K916*$H916*$I916),IF($V916="Prima",$K916*$H916*$I916,""))))))</f>
        <v/>
      </c>
      <c r="AE916" s="12" t="str">
        <f aca="false">IF(OR($C916="",$M916="Abierta",$M916=""),"",(N($K916)-IF(OR($M916="Cerrada",$M916="Rolada"),N($O916),0))*$H916*$I916*IF($U916="Débito",-1,1)-N($L916)-N($P916))</f>
        <v/>
      </c>
      <c r="AF916" s="14" t="str">
        <f aca="false">IF(OR($AE916="",$AD916=""),"",IF($AD916&lt;=0,"",$AE916/$AD916))</f>
        <v/>
      </c>
      <c r="AG916" s="14" t="str">
        <f aca="false">IF($AF916="","",$AF916*365/MAX(N($X916),1))</f>
        <v/>
      </c>
      <c r="AH916" s="14" t="str">
        <f aca="false">IF(OR($C916="",$U916&lt;&gt;"Crédito",$AD916=""),"",IF($AD916&lt;=0,"",($Z916-N($L916))/$AD916))</f>
        <v/>
      </c>
      <c r="AI916" s="14" t="str">
        <f aca="false">IF(OR($AH916="",$W916=""),"",$AH916*365/MAX($W916,1))</f>
        <v/>
      </c>
      <c r="AJ916" s="14" t="str">
        <f aca="false">IF(OR($AE916="",$U916&lt;&gt;"Crédito",N($K916)=0),"",(N($K916)-IF(OR($M916="Cerrada",$M916="Rolada"),N($O916),0))/$K916)</f>
        <v/>
      </c>
      <c r="AK916" s="15" t="str">
        <f aca="false">IF(OR($C916="",$N916=""),"",DATE(YEAR($N916),MONTH($N916),1))</f>
        <v/>
      </c>
      <c r="AL916" s="11" t="str">
        <f aca="false">IF($C916="","",IF($M916="Abierta",0,1))</f>
        <v/>
      </c>
      <c r="AM916" s="16" t="str">
        <f aca="false">IF(OR($AE916="",$AD916=""),"",$AD916*MAX(N($X916),1))</f>
        <v/>
      </c>
      <c r="AN916" s="10" t="str">
        <f aca="false">IF($C916="","",IF(OR($B916="",$D916="",$H916="",$K916="",$M916=""),"Faltan datos obligatorios",IF($T916="","Estrategia no reconocida",IF(AND($M916&lt;&gt;"Abierta",$N916=""),"Falta fecha cierre",IF(AND(OR($M916="Cerrada",$M916="Rolada"),$O916=""),"Falta prima cierre",IF(AND($N916&lt;&gt;"",$N916&lt;$B916),"Cierre anterior a apertura",IF(AND($M916="Asignada",$R916=""),"Asignada: falta ID lote acciones",IF(AND($R916&lt;&gt;"",ISNA(MATCH($R916,Acciones!$A$2:$A$201,0))),"El ID lote no existe en Acciones",IF($AD916="","Revisa capital en riesgo","OK")))))))))</f>
        <v/>
      </c>
    </row>
    <row r="917" customFormat="false" ht="15" hidden="false" customHeight="true" outlineLevel="0" collapsed="false">
      <c r="A917" s="5"/>
      <c r="B917" s="6"/>
      <c r="C917" s="7"/>
      <c r="D917" s="7"/>
      <c r="E917" s="8"/>
      <c r="F917" s="8"/>
      <c r="G917" s="6"/>
      <c r="H917" s="5"/>
      <c r="I917" s="5" t="n">
        <v>100</v>
      </c>
      <c r="J917" s="8"/>
      <c r="K917" s="8"/>
      <c r="L917" s="9"/>
      <c r="M917" s="7"/>
      <c r="N917" s="6"/>
      <c r="O917" s="8"/>
      <c r="P917" s="9"/>
      <c r="Q917" s="9"/>
      <c r="R917" s="7"/>
      <c r="S917" s="7"/>
      <c r="T917" s="10" t="str">
        <f aca="false">IF($C917="","",IFERROR(INDEX(Listas!$B$2:$B$20,MATCH($D917,Listas!$A$2:$A$20,0)),""))</f>
        <v/>
      </c>
      <c r="U917" s="10" t="str">
        <f aca="false">IF($C917="","",IFERROR(INDEX(Listas!$C$2:$C$20,MATCH($D917,Listas!$A$2:$A$20,0)),""))</f>
        <v/>
      </c>
      <c r="V917" s="10" t="str">
        <f aca="false">IF($C917="","",IFERROR(INDEX(Listas!$D$2:$D$20,MATCH($D917,Listas!$A$2:$A$20,0)),""))</f>
        <v/>
      </c>
      <c r="W917" s="11" t="str">
        <f aca="false">IF(OR($C917="",$B917="",$G917=""),"",$G917-$B917)</f>
        <v/>
      </c>
      <c r="X917" s="11" t="str">
        <f aca="true">IF(OR($C917="",$B917=""),"",IF($N917&lt;&gt;"",$N917,TODAY())-$B917)</f>
        <v/>
      </c>
      <c r="Y917" s="11" t="str">
        <f aca="true">IF(OR($C917="",$M917&lt;&gt;"Abierta",$G917=""),"",MAX($G917-TODAY(),0))</f>
        <v/>
      </c>
      <c r="Z917" s="12" t="str">
        <f aca="false">IF($C917="","",N($K917)*N($H917)*N($I917)*IF($U917="Débito",-1,1))</f>
        <v/>
      </c>
      <c r="AA917" s="13" t="str">
        <f aca="false">IF($C917="","",IF(AND($U917="Débito",$F917&lt;&gt;""),$F917,$E917))</f>
        <v/>
      </c>
      <c r="AB917" s="13" t="str">
        <f aca="false">IF(OR($C917="",$T917="Mixta",$AA917=""),"",IF($V917="Subyacente",IF($J917="","",$J917-$K917),IF($T917="Put",$AA917-$K917,$AA917+$K917)))</f>
        <v/>
      </c>
      <c r="AC917" s="14" t="str">
        <f aca="false">IF(OR($C917="",$T917="Mixta",$J917="",$AA917=""),"",IF($T917="Put",($J917-$AA917)/$J917,($AA917-$J917)/$J917))</f>
        <v/>
      </c>
      <c r="AD917" s="12" t="str">
        <f aca="false">IF($C917="","",IF($Q917&lt;&gt;"",$Q917,IF($V917="Strike",N($E917)*$H917*$I917,IF($V917="Subyacente",IF($J917="","",$J917*$H917*$I917),IF($V917="Ancho",IF($F917="","",ABS($E917-$F917)*$H917*$I917-$K917*$H917*$I917),IF($V917="Prima",$K917*$H917*$I917,""))))))</f>
        <v/>
      </c>
      <c r="AE917" s="12" t="str">
        <f aca="false">IF(OR($C917="",$M917="Abierta",$M917=""),"",(N($K917)-IF(OR($M917="Cerrada",$M917="Rolada"),N($O917),0))*$H917*$I917*IF($U917="Débito",-1,1)-N($L917)-N($P917))</f>
        <v/>
      </c>
      <c r="AF917" s="14" t="str">
        <f aca="false">IF(OR($AE917="",$AD917=""),"",IF($AD917&lt;=0,"",$AE917/$AD917))</f>
        <v/>
      </c>
      <c r="AG917" s="14" t="str">
        <f aca="false">IF($AF917="","",$AF917*365/MAX(N($X917),1))</f>
        <v/>
      </c>
      <c r="AH917" s="14" t="str">
        <f aca="false">IF(OR($C917="",$U917&lt;&gt;"Crédito",$AD917=""),"",IF($AD917&lt;=0,"",($Z917-N($L917))/$AD917))</f>
        <v/>
      </c>
      <c r="AI917" s="14" t="str">
        <f aca="false">IF(OR($AH917="",$W917=""),"",$AH917*365/MAX($W917,1))</f>
        <v/>
      </c>
      <c r="AJ917" s="14" t="str">
        <f aca="false">IF(OR($AE917="",$U917&lt;&gt;"Crédito",N($K917)=0),"",(N($K917)-IF(OR($M917="Cerrada",$M917="Rolada"),N($O917),0))/$K917)</f>
        <v/>
      </c>
      <c r="AK917" s="15" t="str">
        <f aca="false">IF(OR($C917="",$N917=""),"",DATE(YEAR($N917),MONTH($N917),1))</f>
        <v/>
      </c>
      <c r="AL917" s="11" t="str">
        <f aca="false">IF($C917="","",IF($M917="Abierta",0,1))</f>
        <v/>
      </c>
      <c r="AM917" s="16" t="str">
        <f aca="false">IF(OR($AE917="",$AD917=""),"",$AD917*MAX(N($X917),1))</f>
        <v/>
      </c>
      <c r="AN917" s="10" t="str">
        <f aca="false">IF($C917="","",IF(OR($B917="",$D917="",$H917="",$K917="",$M917=""),"Faltan datos obligatorios",IF($T917="","Estrategia no reconocida",IF(AND($M917&lt;&gt;"Abierta",$N917=""),"Falta fecha cierre",IF(AND(OR($M917="Cerrada",$M917="Rolada"),$O917=""),"Falta prima cierre",IF(AND($N917&lt;&gt;"",$N917&lt;$B917),"Cierre anterior a apertura",IF(AND($M917="Asignada",$R917=""),"Asignada: falta ID lote acciones",IF(AND($R917&lt;&gt;"",ISNA(MATCH($R917,Acciones!$A$2:$A$201,0))),"El ID lote no existe en Acciones",IF($AD917="","Revisa capital en riesgo","OK")))))))))</f>
        <v/>
      </c>
    </row>
    <row r="918" customFormat="false" ht="15" hidden="false" customHeight="true" outlineLevel="0" collapsed="false">
      <c r="A918" s="5"/>
      <c r="B918" s="6"/>
      <c r="C918" s="7"/>
      <c r="D918" s="7"/>
      <c r="E918" s="8"/>
      <c r="F918" s="8"/>
      <c r="G918" s="6"/>
      <c r="H918" s="5"/>
      <c r="I918" s="5" t="n">
        <v>100</v>
      </c>
      <c r="J918" s="8"/>
      <c r="K918" s="8"/>
      <c r="L918" s="9"/>
      <c r="M918" s="7"/>
      <c r="N918" s="6"/>
      <c r="O918" s="8"/>
      <c r="P918" s="9"/>
      <c r="Q918" s="9"/>
      <c r="R918" s="7"/>
      <c r="S918" s="7"/>
      <c r="T918" s="10" t="str">
        <f aca="false">IF($C918="","",IFERROR(INDEX(Listas!$B$2:$B$20,MATCH($D918,Listas!$A$2:$A$20,0)),""))</f>
        <v/>
      </c>
      <c r="U918" s="10" t="str">
        <f aca="false">IF($C918="","",IFERROR(INDEX(Listas!$C$2:$C$20,MATCH($D918,Listas!$A$2:$A$20,0)),""))</f>
        <v/>
      </c>
      <c r="V918" s="10" t="str">
        <f aca="false">IF($C918="","",IFERROR(INDEX(Listas!$D$2:$D$20,MATCH($D918,Listas!$A$2:$A$20,0)),""))</f>
        <v/>
      </c>
      <c r="W918" s="11" t="str">
        <f aca="false">IF(OR($C918="",$B918="",$G918=""),"",$G918-$B918)</f>
        <v/>
      </c>
      <c r="X918" s="11" t="str">
        <f aca="true">IF(OR($C918="",$B918=""),"",IF($N918&lt;&gt;"",$N918,TODAY())-$B918)</f>
        <v/>
      </c>
      <c r="Y918" s="11" t="str">
        <f aca="true">IF(OR($C918="",$M918&lt;&gt;"Abierta",$G918=""),"",MAX($G918-TODAY(),0))</f>
        <v/>
      </c>
      <c r="Z918" s="12" t="str">
        <f aca="false">IF($C918="","",N($K918)*N($H918)*N($I918)*IF($U918="Débito",-1,1))</f>
        <v/>
      </c>
      <c r="AA918" s="13" t="str">
        <f aca="false">IF($C918="","",IF(AND($U918="Débito",$F918&lt;&gt;""),$F918,$E918))</f>
        <v/>
      </c>
      <c r="AB918" s="13" t="str">
        <f aca="false">IF(OR($C918="",$T918="Mixta",$AA918=""),"",IF($V918="Subyacente",IF($J918="","",$J918-$K918),IF($T918="Put",$AA918-$K918,$AA918+$K918)))</f>
        <v/>
      </c>
      <c r="AC918" s="14" t="str">
        <f aca="false">IF(OR($C918="",$T918="Mixta",$J918="",$AA918=""),"",IF($T918="Put",($J918-$AA918)/$J918,($AA918-$J918)/$J918))</f>
        <v/>
      </c>
      <c r="AD918" s="12" t="str">
        <f aca="false">IF($C918="","",IF($Q918&lt;&gt;"",$Q918,IF($V918="Strike",N($E918)*$H918*$I918,IF($V918="Subyacente",IF($J918="","",$J918*$H918*$I918),IF($V918="Ancho",IF($F918="","",ABS($E918-$F918)*$H918*$I918-$K918*$H918*$I918),IF($V918="Prima",$K918*$H918*$I918,""))))))</f>
        <v/>
      </c>
      <c r="AE918" s="12" t="str">
        <f aca="false">IF(OR($C918="",$M918="Abierta",$M918=""),"",(N($K918)-IF(OR($M918="Cerrada",$M918="Rolada"),N($O918),0))*$H918*$I918*IF($U918="Débito",-1,1)-N($L918)-N($P918))</f>
        <v/>
      </c>
      <c r="AF918" s="14" t="str">
        <f aca="false">IF(OR($AE918="",$AD918=""),"",IF($AD918&lt;=0,"",$AE918/$AD918))</f>
        <v/>
      </c>
      <c r="AG918" s="14" t="str">
        <f aca="false">IF($AF918="","",$AF918*365/MAX(N($X918),1))</f>
        <v/>
      </c>
      <c r="AH918" s="14" t="str">
        <f aca="false">IF(OR($C918="",$U918&lt;&gt;"Crédito",$AD918=""),"",IF($AD918&lt;=0,"",($Z918-N($L918))/$AD918))</f>
        <v/>
      </c>
      <c r="AI918" s="14" t="str">
        <f aca="false">IF(OR($AH918="",$W918=""),"",$AH918*365/MAX($W918,1))</f>
        <v/>
      </c>
      <c r="AJ918" s="14" t="str">
        <f aca="false">IF(OR($AE918="",$U918&lt;&gt;"Crédito",N($K918)=0),"",(N($K918)-IF(OR($M918="Cerrada",$M918="Rolada"),N($O918),0))/$K918)</f>
        <v/>
      </c>
      <c r="AK918" s="15" t="str">
        <f aca="false">IF(OR($C918="",$N918=""),"",DATE(YEAR($N918),MONTH($N918),1))</f>
        <v/>
      </c>
      <c r="AL918" s="11" t="str">
        <f aca="false">IF($C918="","",IF($M918="Abierta",0,1))</f>
        <v/>
      </c>
      <c r="AM918" s="16" t="str">
        <f aca="false">IF(OR($AE918="",$AD918=""),"",$AD918*MAX(N($X918),1))</f>
        <v/>
      </c>
      <c r="AN918" s="10" t="str">
        <f aca="false">IF($C918="","",IF(OR($B918="",$D918="",$H918="",$K918="",$M918=""),"Faltan datos obligatorios",IF($T918="","Estrategia no reconocida",IF(AND($M918&lt;&gt;"Abierta",$N918=""),"Falta fecha cierre",IF(AND(OR($M918="Cerrada",$M918="Rolada"),$O918=""),"Falta prima cierre",IF(AND($N918&lt;&gt;"",$N918&lt;$B918),"Cierre anterior a apertura",IF(AND($M918="Asignada",$R918=""),"Asignada: falta ID lote acciones",IF(AND($R918&lt;&gt;"",ISNA(MATCH($R918,Acciones!$A$2:$A$201,0))),"El ID lote no existe en Acciones",IF($AD918="","Revisa capital en riesgo","OK")))))))))</f>
        <v/>
      </c>
    </row>
    <row r="919" customFormat="false" ht="15" hidden="false" customHeight="true" outlineLevel="0" collapsed="false">
      <c r="A919" s="5"/>
      <c r="B919" s="6"/>
      <c r="C919" s="7"/>
      <c r="D919" s="7"/>
      <c r="E919" s="8"/>
      <c r="F919" s="8"/>
      <c r="G919" s="6"/>
      <c r="H919" s="5"/>
      <c r="I919" s="5" t="n">
        <v>100</v>
      </c>
      <c r="J919" s="8"/>
      <c r="K919" s="8"/>
      <c r="L919" s="9"/>
      <c r="M919" s="7"/>
      <c r="N919" s="6"/>
      <c r="O919" s="8"/>
      <c r="P919" s="9"/>
      <c r="Q919" s="9"/>
      <c r="R919" s="7"/>
      <c r="S919" s="7"/>
      <c r="T919" s="10" t="str">
        <f aca="false">IF($C919="","",IFERROR(INDEX(Listas!$B$2:$B$20,MATCH($D919,Listas!$A$2:$A$20,0)),""))</f>
        <v/>
      </c>
      <c r="U919" s="10" t="str">
        <f aca="false">IF($C919="","",IFERROR(INDEX(Listas!$C$2:$C$20,MATCH($D919,Listas!$A$2:$A$20,0)),""))</f>
        <v/>
      </c>
      <c r="V919" s="10" t="str">
        <f aca="false">IF($C919="","",IFERROR(INDEX(Listas!$D$2:$D$20,MATCH($D919,Listas!$A$2:$A$20,0)),""))</f>
        <v/>
      </c>
      <c r="W919" s="11" t="str">
        <f aca="false">IF(OR($C919="",$B919="",$G919=""),"",$G919-$B919)</f>
        <v/>
      </c>
      <c r="X919" s="11" t="str">
        <f aca="true">IF(OR($C919="",$B919=""),"",IF($N919&lt;&gt;"",$N919,TODAY())-$B919)</f>
        <v/>
      </c>
      <c r="Y919" s="11" t="str">
        <f aca="true">IF(OR($C919="",$M919&lt;&gt;"Abierta",$G919=""),"",MAX($G919-TODAY(),0))</f>
        <v/>
      </c>
      <c r="Z919" s="12" t="str">
        <f aca="false">IF($C919="","",N($K919)*N($H919)*N($I919)*IF($U919="Débito",-1,1))</f>
        <v/>
      </c>
      <c r="AA919" s="13" t="str">
        <f aca="false">IF($C919="","",IF(AND($U919="Débito",$F919&lt;&gt;""),$F919,$E919))</f>
        <v/>
      </c>
      <c r="AB919" s="13" t="str">
        <f aca="false">IF(OR($C919="",$T919="Mixta",$AA919=""),"",IF($V919="Subyacente",IF($J919="","",$J919-$K919),IF($T919="Put",$AA919-$K919,$AA919+$K919)))</f>
        <v/>
      </c>
      <c r="AC919" s="14" t="str">
        <f aca="false">IF(OR($C919="",$T919="Mixta",$J919="",$AA919=""),"",IF($T919="Put",($J919-$AA919)/$J919,($AA919-$J919)/$J919))</f>
        <v/>
      </c>
      <c r="AD919" s="12" t="str">
        <f aca="false">IF($C919="","",IF($Q919&lt;&gt;"",$Q919,IF($V919="Strike",N($E919)*$H919*$I919,IF($V919="Subyacente",IF($J919="","",$J919*$H919*$I919),IF($V919="Ancho",IF($F919="","",ABS($E919-$F919)*$H919*$I919-$K919*$H919*$I919),IF($V919="Prima",$K919*$H919*$I919,""))))))</f>
        <v/>
      </c>
      <c r="AE919" s="12" t="str">
        <f aca="false">IF(OR($C919="",$M919="Abierta",$M919=""),"",(N($K919)-IF(OR($M919="Cerrada",$M919="Rolada"),N($O919),0))*$H919*$I919*IF($U919="Débito",-1,1)-N($L919)-N($P919))</f>
        <v/>
      </c>
      <c r="AF919" s="14" t="str">
        <f aca="false">IF(OR($AE919="",$AD919=""),"",IF($AD919&lt;=0,"",$AE919/$AD919))</f>
        <v/>
      </c>
      <c r="AG919" s="14" t="str">
        <f aca="false">IF($AF919="","",$AF919*365/MAX(N($X919),1))</f>
        <v/>
      </c>
      <c r="AH919" s="14" t="str">
        <f aca="false">IF(OR($C919="",$U919&lt;&gt;"Crédito",$AD919=""),"",IF($AD919&lt;=0,"",($Z919-N($L919))/$AD919))</f>
        <v/>
      </c>
      <c r="AI919" s="14" t="str">
        <f aca="false">IF(OR($AH919="",$W919=""),"",$AH919*365/MAX($W919,1))</f>
        <v/>
      </c>
      <c r="AJ919" s="14" t="str">
        <f aca="false">IF(OR($AE919="",$U919&lt;&gt;"Crédito",N($K919)=0),"",(N($K919)-IF(OR($M919="Cerrada",$M919="Rolada"),N($O919),0))/$K919)</f>
        <v/>
      </c>
      <c r="AK919" s="15" t="str">
        <f aca="false">IF(OR($C919="",$N919=""),"",DATE(YEAR($N919),MONTH($N919),1))</f>
        <v/>
      </c>
      <c r="AL919" s="11" t="str">
        <f aca="false">IF($C919="","",IF($M919="Abierta",0,1))</f>
        <v/>
      </c>
      <c r="AM919" s="16" t="str">
        <f aca="false">IF(OR($AE919="",$AD919=""),"",$AD919*MAX(N($X919),1))</f>
        <v/>
      </c>
      <c r="AN919" s="10" t="str">
        <f aca="false">IF($C919="","",IF(OR($B919="",$D919="",$H919="",$K919="",$M919=""),"Faltan datos obligatorios",IF($T919="","Estrategia no reconocida",IF(AND($M919&lt;&gt;"Abierta",$N919=""),"Falta fecha cierre",IF(AND(OR($M919="Cerrada",$M919="Rolada"),$O919=""),"Falta prima cierre",IF(AND($N919&lt;&gt;"",$N919&lt;$B919),"Cierre anterior a apertura",IF(AND($M919="Asignada",$R919=""),"Asignada: falta ID lote acciones",IF(AND($R919&lt;&gt;"",ISNA(MATCH($R919,Acciones!$A$2:$A$201,0))),"El ID lote no existe en Acciones",IF($AD919="","Revisa capital en riesgo","OK")))))))))</f>
        <v/>
      </c>
    </row>
    <row r="920" customFormat="false" ht="15" hidden="false" customHeight="true" outlineLevel="0" collapsed="false">
      <c r="A920" s="5"/>
      <c r="B920" s="6"/>
      <c r="C920" s="7"/>
      <c r="D920" s="7"/>
      <c r="E920" s="8"/>
      <c r="F920" s="8"/>
      <c r="G920" s="6"/>
      <c r="H920" s="5"/>
      <c r="I920" s="5" t="n">
        <v>100</v>
      </c>
      <c r="J920" s="8"/>
      <c r="K920" s="8"/>
      <c r="L920" s="9"/>
      <c r="M920" s="7"/>
      <c r="N920" s="6"/>
      <c r="O920" s="8"/>
      <c r="P920" s="9"/>
      <c r="Q920" s="9"/>
      <c r="R920" s="7"/>
      <c r="S920" s="7"/>
      <c r="T920" s="10" t="str">
        <f aca="false">IF($C920="","",IFERROR(INDEX(Listas!$B$2:$B$20,MATCH($D920,Listas!$A$2:$A$20,0)),""))</f>
        <v/>
      </c>
      <c r="U920" s="10" t="str">
        <f aca="false">IF($C920="","",IFERROR(INDEX(Listas!$C$2:$C$20,MATCH($D920,Listas!$A$2:$A$20,0)),""))</f>
        <v/>
      </c>
      <c r="V920" s="10" t="str">
        <f aca="false">IF($C920="","",IFERROR(INDEX(Listas!$D$2:$D$20,MATCH($D920,Listas!$A$2:$A$20,0)),""))</f>
        <v/>
      </c>
      <c r="W920" s="11" t="str">
        <f aca="false">IF(OR($C920="",$B920="",$G920=""),"",$G920-$B920)</f>
        <v/>
      </c>
      <c r="X920" s="11" t="str">
        <f aca="true">IF(OR($C920="",$B920=""),"",IF($N920&lt;&gt;"",$N920,TODAY())-$B920)</f>
        <v/>
      </c>
      <c r="Y920" s="11" t="str">
        <f aca="true">IF(OR($C920="",$M920&lt;&gt;"Abierta",$G920=""),"",MAX($G920-TODAY(),0))</f>
        <v/>
      </c>
      <c r="Z920" s="12" t="str">
        <f aca="false">IF($C920="","",N($K920)*N($H920)*N($I920)*IF($U920="Débito",-1,1))</f>
        <v/>
      </c>
      <c r="AA920" s="13" t="str">
        <f aca="false">IF($C920="","",IF(AND($U920="Débito",$F920&lt;&gt;""),$F920,$E920))</f>
        <v/>
      </c>
      <c r="AB920" s="13" t="str">
        <f aca="false">IF(OR($C920="",$T920="Mixta",$AA920=""),"",IF($V920="Subyacente",IF($J920="","",$J920-$K920),IF($T920="Put",$AA920-$K920,$AA920+$K920)))</f>
        <v/>
      </c>
      <c r="AC920" s="14" t="str">
        <f aca="false">IF(OR($C920="",$T920="Mixta",$J920="",$AA920=""),"",IF($T920="Put",($J920-$AA920)/$J920,($AA920-$J920)/$J920))</f>
        <v/>
      </c>
      <c r="AD920" s="12" t="str">
        <f aca="false">IF($C920="","",IF($Q920&lt;&gt;"",$Q920,IF($V920="Strike",N($E920)*$H920*$I920,IF($V920="Subyacente",IF($J920="","",$J920*$H920*$I920),IF($V920="Ancho",IF($F920="","",ABS($E920-$F920)*$H920*$I920-$K920*$H920*$I920),IF($V920="Prima",$K920*$H920*$I920,""))))))</f>
        <v/>
      </c>
      <c r="AE920" s="12" t="str">
        <f aca="false">IF(OR($C920="",$M920="Abierta",$M920=""),"",(N($K920)-IF(OR($M920="Cerrada",$M920="Rolada"),N($O920),0))*$H920*$I920*IF($U920="Débito",-1,1)-N($L920)-N($P920))</f>
        <v/>
      </c>
      <c r="AF920" s="14" t="str">
        <f aca="false">IF(OR($AE920="",$AD920=""),"",IF($AD920&lt;=0,"",$AE920/$AD920))</f>
        <v/>
      </c>
      <c r="AG920" s="14" t="str">
        <f aca="false">IF($AF920="","",$AF920*365/MAX(N($X920),1))</f>
        <v/>
      </c>
      <c r="AH920" s="14" t="str">
        <f aca="false">IF(OR($C920="",$U920&lt;&gt;"Crédito",$AD920=""),"",IF($AD920&lt;=0,"",($Z920-N($L920))/$AD920))</f>
        <v/>
      </c>
      <c r="AI920" s="14" t="str">
        <f aca="false">IF(OR($AH920="",$W920=""),"",$AH920*365/MAX($W920,1))</f>
        <v/>
      </c>
      <c r="AJ920" s="14" t="str">
        <f aca="false">IF(OR($AE920="",$U920&lt;&gt;"Crédito",N($K920)=0),"",(N($K920)-IF(OR($M920="Cerrada",$M920="Rolada"),N($O920),0))/$K920)</f>
        <v/>
      </c>
      <c r="AK920" s="15" t="str">
        <f aca="false">IF(OR($C920="",$N920=""),"",DATE(YEAR($N920),MONTH($N920),1))</f>
        <v/>
      </c>
      <c r="AL920" s="11" t="str">
        <f aca="false">IF($C920="","",IF($M920="Abierta",0,1))</f>
        <v/>
      </c>
      <c r="AM920" s="16" t="str">
        <f aca="false">IF(OR($AE920="",$AD920=""),"",$AD920*MAX(N($X920),1))</f>
        <v/>
      </c>
      <c r="AN920" s="10" t="str">
        <f aca="false">IF($C920="","",IF(OR($B920="",$D920="",$H920="",$K920="",$M920=""),"Faltan datos obligatorios",IF($T920="","Estrategia no reconocida",IF(AND($M920&lt;&gt;"Abierta",$N920=""),"Falta fecha cierre",IF(AND(OR($M920="Cerrada",$M920="Rolada"),$O920=""),"Falta prima cierre",IF(AND($N920&lt;&gt;"",$N920&lt;$B920),"Cierre anterior a apertura",IF(AND($M920="Asignada",$R920=""),"Asignada: falta ID lote acciones",IF(AND($R920&lt;&gt;"",ISNA(MATCH($R920,Acciones!$A$2:$A$201,0))),"El ID lote no existe en Acciones",IF($AD920="","Revisa capital en riesgo","OK")))))))))</f>
        <v/>
      </c>
    </row>
    <row r="921" customFormat="false" ht="15" hidden="false" customHeight="true" outlineLevel="0" collapsed="false">
      <c r="A921" s="5"/>
      <c r="B921" s="6"/>
      <c r="C921" s="7"/>
      <c r="D921" s="7"/>
      <c r="E921" s="8"/>
      <c r="F921" s="8"/>
      <c r="G921" s="6"/>
      <c r="H921" s="5"/>
      <c r="I921" s="5" t="n">
        <v>100</v>
      </c>
      <c r="J921" s="8"/>
      <c r="K921" s="8"/>
      <c r="L921" s="9"/>
      <c r="M921" s="7"/>
      <c r="N921" s="6"/>
      <c r="O921" s="8"/>
      <c r="P921" s="9"/>
      <c r="Q921" s="9"/>
      <c r="R921" s="7"/>
      <c r="S921" s="7"/>
      <c r="T921" s="10" t="str">
        <f aca="false">IF($C921="","",IFERROR(INDEX(Listas!$B$2:$B$20,MATCH($D921,Listas!$A$2:$A$20,0)),""))</f>
        <v/>
      </c>
      <c r="U921" s="10" t="str">
        <f aca="false">IF($C921="","",IFERROR(INDEX(Listas!$C$2:$C$20,MATCH($D921,Listas!$A$2:$A$20,0)),""))</f>
        <v/>
      </c>
      <c r="V921" s="10" t="str">
        <f aca="false">IF($C921="","",IFERROR(INDEX(Listas!$D$2:$D$20,MATCH($D921,Listas!$A$2:$A$20,0)),""))</f>
        <v/>
      </c>
      <c r="W921" s="11" t="str">
        <f aca="false">IF(OR($C921="",$B921="",$G921=""),"",$G921-$B921)</f>
        <v/>
      </c>
      <c r="X921" s="11" t="str">
        <f aca="true">IF(OR($C921="",$B921=""),"",IF($N921&lt;&gt;"",$N921,TODAY())-$B921)</f>
        <v/>
      </c>
      <c r="Y921" s="11" t="str">
        <f aca="true">IF(OR($C921="",$M921&lt;&gt;"Abierta",$G921=""),"",MAX($G921-TODAY(),0))</f>
        <v/>
      </c>
      <c r="Z921" s="12" t="str">
        <f aca="false">IF($C921="","",N($K921)*N($H921)*N($I921)*IF($U921="Débito",-1,1))</f>
        <v/>
      </c>
      <c r="AA921" s="13" t="str">
        <f aca="false">IF($C921="","",IF(AND($U921="Débito",$F921&lt;&gt;""),$F921,$E921))</f>
        <v/>
      </c>
      <c r="AB921" s="13" t="str">
        <f aca="false">IF(OR($C921="",$T921="Mixta",$AA921=""),"",IF($V921="Subyacente",IF($J921="","",$J921-$K921),IF($T921="Put",$AA921-$K921,$AA921+$K921)))</f>
        <v/>
      </c>
      <c r="AC921" s="14" t="str">
        <f aca="false">IF(OR($C921="",$T921="Mixta",$J921="",$AA921=""),"",IF($T921="Put",($J921-$AA921)/$J921,($AA921-$J921)/$J921))</f>
        <v/>
      </c>
      <c r="AD921" s="12" t="str">
        <f aca="false">IF($C921="","",IF($Q921&lt;&gt;"",$Q921,IF($V921="Strike",N($E921)*$H921*$I921,IF($V921="Subyacente",IF($J921="","",$J921*$H921*$I921),IF($V921="Ancho",IF($F921="","",ABS($E921-$F921)*$H921*$I921-$K921*$H921*$I921),IF($V921="Prima",$K921*$H921*$I921,""))))))</f>
        <v/>
      </c>
      <c r="AE921" s="12" t="str">
        <f aca="false">IF(OR($C921="",$M921="Abierta",$M921=""),"",(N($K921)-IF(OR($M921="Cerrada",$M921="Rolada"),N($O921),0))*$H921*$I921*IF($U921="Débito",-1,1)-N($L921)-N($P921))</f>
        <v/>
      </c>
      <c r="AF921" s="14" t="str">
        <f aca="false">IF(OR($AE921="",$AD921=""),"",IF($AD921&lt;=0,"",$AE921/$AD921))</f>
        <v/>
      </c>
      <c r="AG921" s="14" t="str">
        <f aca="false">IF($AF921="","",$AF921*365/MAX(N($X921),1))</f>
        <v/>
      </c>
      <c r="AH921" s="14" t="str">
        <f aca="false">IF(OR($C921="",$U921&lt;&gt;"Crédito",$AD921=""),"",IF($AD921&lt;=0,"",($Z921-N($L921))/$AD921))</f>
        <v/>
      </c>
      <c r="AI921" s="14" t="str">
        <f aca="false">IF(OR($AH921="",$W921=""),"",$AH921*365/MAX($W921,1))</f>
        <v/>
      </c>
      <c r="AJ921" s="14" t="str">
        <f aca="false">IF(OR($AE921="",$U921&lt;&gt;"Crédito",N($K921)=0),"",(N($K921)-IF(OR($M921="Cerrada",$M921="Rolada"),N($O921),0))/$K921)</f>
        <v/>
      </c>
      <c r="AK921" s="15" t="str">
        <f aca="false">IF(OR($C921="",$N921=""),"",DATE(YEAR($N921),MONTH($N921),1))</f>
        <v/>
      </c>
      <c r="AL921" s="11" t="str">
        <f aca="false">IF($C921="","",IF($M921="Abierta",0,1))</f>
        <v/>
      </c>
      <c r="AM921" s="16" t="str">
        <f aca="false">IF(OR($AE921="",$AD921=""),"",$AD921*MAX(N($X921),1))</f>
        <v/>
      </c>
      <c r="AN921" s="10" t="str">
        <f aca="false">IF($C921="","",IF(OR($B921="",$D921="",$H921="",$K921="",$M921=""),"Faltan datos obligatorios",IF($T921="","Estrategia no reconocida",IF(AND($M921&lt;&gt;"Abierta",$N921=""),"Falta fecha cierre",IF(AND(OR($M921="Cerrada",$M921="Rolada"),$O921=""),"Falta prima cierre",IF(AND($N921&lt;&gt;"",$N921&lt;$B921),"Cierre anterior a apertura",IF(AND($M921="Asignada",$R921=""),"Asignada: falta ID lote acciones",IF(AND($R921&lt;&gt;"",ISNA(MATCH($R921,Acciones!$A$2:$A$201,0))),"El ID lote no existe en Acciones",IF($AD921="","Revisa capital en riesgo","OK")))))))))</f>
        <v/>
      </c>
    </row>
    <row r="922" customFormat="false" ht="15" hidden="false" customHeight="true" outlineLevel="0" collapsed="false">
      <c r="A922" s="5"/>
      <c r="B922" s="6"/>
      <c r="C922" s="7"/>
      <c r="D922" s="7"/>
      <c r="E922" s="8"/>
      <c r="F922" s="8"/>
      <c r="G922" s="6"/>
      <c r="H922" s="5"/>
      <c r="I922" s="5" t="n">
        <v>100</v>
      </c>
      <c r="J922" s="8"/>
      <c r="K922" s="8"/>
      <c r="L922" s="9"/>
      <c r="M922" s="7"/>
      <c r="N922" s="6"/>
      <c r="O922" s="8"/>
      <c r="P922" s="9"/>
      <c r="Q922" s="9"/>
      <c r="R922" s="7"/>
      <c r="S922" s="7"/>
      <c r="T922" s="10" t="str">
        <f aca="false">IF($C922="","",IFERROR(INDEX(Listas!$B$2:$B$20,MATCH($D922,Listas!$A$2:$A$20,0)),""))</f>
        <v/>
      </c>
      <c r="U922" s="10" t="str">
        <f aca="false">IF($C922="","",IFERROR(INDEX(Listas!$C$2:$C$20,MATCH($D922,Listas!$A$2:$A$20,0)),""))</f>
        <v/>
      </c>
      <c r="V922" s="10" t="str">
        <f aca="false">IF($C922="","",IFERROR(INDEX(Listas!$D$2:$D$20,MATCH($D922,Listas!$A$2:$A$20,0)),""))</f>
        <v/>
      </c>
      <c r="W922" s="11" t="str">
        <f aca="false">IF(OR($C922="",$B922="",$G922=""),"",$G922-$B922)</f>
        <v/>
      </c>
      <c r="X922" s="11" t="str">
        <f aca="true">IF(OR($C922="",$B922=""),"",IF($N922&lt;&gt;"",$N922,TODAY())-$B922)</f>
        <v/>
      </c>
      <c r="Y922" s="11" t="str">
        <f aca="true">IF(OR($C922="",$M922&lt;&gt;"Abierta",$G922=""),"",MAX($G922-TODAY(),0))</f>
        <v/>
      </c>
      <c r="Z922" s="12" t="str">
        <f aca="false">IF($C922="","",N($K922)*N($H922)*N($I922)*IF($U922="Débito",-1,1))</f>
        <v/>
      </c>
      <c r="AA922" s="13" t="str">
        <f aca="false">IF($C922="","",IF(AND($U922="Débito",$F922&lt;&gt;""),$F922,$E922))</f>
        <v/>
      </c>
      <c r="AB922" s="13" t="str">
        <f aca="false">IF(OR($C922="",$T922="Mixta",$AA922=""),"",IF($V922="Subyacente",IF($J922="","",$J922-$K922),IF($T922="Put",$AA922-$K922,$AA922+$K922)))</f>
        <v/>
      </c>
      <c r="AC922" s="14" t="str">
        <f aca="false">IF(OR($C922="",$T922="Mixta",$J922="",$AA922=""),"",IF($T922="Put",($J922-$AA922)/$J922,($AA922-$J922)/$J922))</f>
        <v/>
      </c>
      <c r="AD922" s="12" t="str">
        <f aca="false">IF($C922="","",IF($Q922&lt;&gt;"",$Q922,IF($V922="Strike",N($E922)*$H922*$I922,IF($V922="Subyacente",IF($J922="","",$J922*$H922*$I922),IF($V922="Ancho",IF($F922="","",ABS($E922-$F922)*$H922*$I922-$K922*$H922*$I922),IF($V922="Prima",$K922*$H922*$I922,""))))))</f>
        <v/>
      </c>
      <c r="AE922" s="12" t="str">
        <f aca="false">IF(OR($C922="",$M922="Abierta",$M922=""),"",(N($K922)-IF(OR($M922="Cerrada",$M922="Rolada"),N($O922),0))*$H922*$I922*IF($U922="Débito",-1,1)-N($L922)-N($P922))</f>
        <v/>
      </c>
      <c r="AF922" s="14" t="str">
        <f aca="false">IF(OR($AE922="",$AD922=""),"",IF($AD922&lt;=0,"",$AE922/$AD922))</f>
        <v/>
      </c>
      <c r="AG922" s="14" t="str">
        <f aca="false">IF($AF922="","",$AF922*365/MAX(N($X922),1))</f>
        <v/>
      </c>
      <c r="AH922" s="14" t="str">
        <f aca="false">IF(OR($C922="",$U922&lt;&gt;"Crédito",$AD922=""),"",IF($AD922&lt;=0,"",($Z922-N($L922))/$AD922))</f>
        <v/>
      </c>
      <c r="AI922" s="14" t="str">
        <f aca="false">IF(OR($AH922="",$W922=""),"",$AH922*365/MAX($W922,1))</f>
        <v/>
      </c>
      <c r="AJ922" s="14" t="str">
        <f aca="false">IF(OR($AE922="",$U922&lt;&gt;"Crédito",N($K922)=0),"",(N($K922)-IF(OR($M922="Cerrada",$M922="Rolada"),N($O922),0))/$K922)</f>
        <v/>
      </c>
      <c r="AK922" s="15" t="str">
        <f aca="false">IF(OR($C922="",$N922=""),"",DATE(YEAR($N922),MONTH($N922),1))</f>
        <v/>
      </c>
      <c r="AL922" s="11" t="str">
        <f aca="false">IF($C922="","",IF($M922="Abierta",0,1))</f>
        <v/>
      </c>
      <c r="AM922" s="16" t="str">
        <f aca="false">IF(OR($AE922="",$AD922=""),"",$AD922*MAX(N($X922),1))</f>
        <v/>
      </c>
      <c r="AN922" s="10" t="str">
        <f aca="false">IF($C922="","",IF(OR($B922="",$D922="",$H922="",$K922="",$M922=""),"Faltan datos obligatorios",IF($T922="","Estrategia no reconocida",IF(AND($M922&lt;&gt;"Abierta",$N922=""),"Falta fecha cierre",IF(AND(OR($M922="Cerrada",$M922="Rolada"),$O922=""),"Falta prima cierre",IF(AND($N922&lt;&gt;"",$N922&lt;$B922),"Cierre anterior a apertura",IF(AND($M922="Asignada",$R922=""),"Asignada: falta ID lote acciones",IF(AND($R922&lt;&gt;"",ISNA(MATCH($R922,Acciones!$A$2:$A$201,0))),"El ID lote no existe en Acciones",IF($AD922="","Revisa capital en riesgo","OK")))))))))</f>
        <v/>
      </c>
    </row>
    <row r="923" customFormat="false" ht="15" hidden="false" customHeight="true" outlineLevel="0" collapsed="false">
      <c r="A923" s="5"/>
      <c r="B923" s="6"/>
      <c r="C923" s="7"/>
      <c r="D923" s="7"/>
      <c r="E923" s="8"/>
      <c r="F923" s="8"/>
      <c r="G923" s="6"/>
      <c r="H923" s="5"/>
      <c r="I923" s="5" t="n">
        <v>100</v>
      </c>
      <c r="J923" s="8"/>
      <c r="K923" s="8"/>
      <c r="L923" s="9"/>
      <c r="M923" s="7"/>
      <c r="N923" s="6"/>
      <c r="O923" s="8"/>
      <c r="P923" s="9"/>
      <c r="Q923" s="9"/>
      <c r="R923" s="7"/>
      <c r="S923" s="7"/>
      <c r="T923" s="10" t="str">
        <f aca="false">IF($C923="","",IFERROR(INDEX(Listas!$B$2:$B$20,MATCH($D923,Listas!$A$2:$A$20,0)),""))</f>
        <v/>
      </c>
      <c r="U923" s="10" t="str">
        <f aca="false">IF($C923="","",IFERROR(INDEX(Listas!$C$2:$C$20,MATCH($D923,Listas!$A$2:$A$20,0)),""))</f>
        <v/>
      </c>
      <c r="V923" s="10" t="str">
        <f aca="false">IF($C923="","",IFERROR(INDEX(Listas!$D$2:$D$20,MATCH($D923,Listas!$A$2:$A$20,0)),""))</f>
        <v/>
      </c>
      <c r="W923" s="11" t="str">
        <f aca="false">IF(OR($C923="",$B923="",$G923=""),"",$G923-$B923)</f>
        <v/>
      </c>
      <c r="X923" s="11" t="str">
        <f aca="true">IF(OR($C923="",$B923=""),"",IF($N923&lt;&gt;"",$N923,TODAY())-$B923)</f>
        <v/>
      </c>
      <c r="Y923" s="11" t="str">
        <f aca="true">IF(OR($C923="",$M923&lt;&gt;"Abierta",$G923=""),"",MAX($G923-TODAY(),0))</f>
        <v/>
      </c>
      <c r="Z923" s="12" t="str">
        <f aca="false">IF($C923="","",N($K923)*N($H923)*N($I923)*IF($U923="Débito",-1,1))</f>
        <v/>
      </c>
      <c r="AA923" s="13" t="str">
        <f aca="false">IF($C923="","",IF(AND($U923="Débito",$F923&lt;&gt;""),$F923,$E923))</f>
        <v/>
      </c>
      <c r="AB923" s="13" t="str">
        <f aca="false">IF(OR($C923="",$T923="Mixta",$AA923=""),"",IF($V923="Subyacente",IF($J923="","",$J923-$K923),IF($T923="Put",$AA923-$K923,$AA923+$K923)))</f>
        <v/>
      </c>
      <c r="AC923" s="14" t="str">
        <f aca="false">IF(OR($C923="",$T923="Mixta",$J923="",$AA923=""),"",IF($T923="Put",($J923-$AA923)/$J923,($AA923-$J923)/$J923))</f>
        <v/>
      </c>
      <c r="AD923" s="12" t="str">
        <f aca="false">IF($C923="","",IF($Q923&lt;&gt;"",$Q923,IF($V923="Strike",N($E923)*$H923*$I923,IF($V923="Subyacente",IF($J923="","",$J923*$H923*$I923),IF($V923="Ancho",IF($F923="","",ABS($E923-$F923)*$H923*$I923-$K923*$H923*$I923),IF($V923="Prima",$K923*$H923*$I923,""))))))</f>
        <v/>
      </c>
      <c r="AE923" s="12" t="str">
        <f aca="false">IF(OR($C923="",$M923="Abierta",$M923=""),"",(N($K923)-IF(OR($M923="Cerrada",$M923="Rolada"),N($O923),0))*$H923*$I923*IF($U923="Débito",-1,1)-N($L923)-N($P923))</f>
        <v/>
      </c>
      <c r="AF923" s="14" t="str">
        <f aca="false">IF(OR($AE923="",$AD923=""),"",IF($AD923&lt;=0,"",$AE923/$AD923))</f>
        <v/>
      </c>
      <c r="AG923" s="14" t="str">
        <f aca="false">IF($AF923="","",$AF923*365/MAX(N($X923),1))</f>
        <v/>
      </c>
      <c r="AH923" s="14" t="str">
        <f aca="false">IF(OR($C923="",$U923&lt;&gt;"Crédito",$AD923=""),"",IF($AD923&lt;=0,"",($Z923-N($L923))/$AD923))</f>
        <v/>
      </c>
      <c r="AI923" s="14" t="str">
        <f aca="false">IF(OR($AH923="",$W923=""),"",$AH923*365/MAX($W923,1))</f>
        <v/>
      </c>
      <c r="AJ923" s="14" t="str">
        <f aca="false">IF(OR($AE923="",$U923&lt;&gt;"Crédito",N($K923)=0),"",(N($K923)-IF(OR($M923="Cerrada",$M923="Rolada"),N($O923),0))/$K923)</f>
        <v/>
      </c>
      <c r="AK923" s="15" t="str">
        <f aca="false">IF(OR($C923="",$N923=""),"",DATE(YEAR($N923),MONTH($N923),1))</f>
        <v/>
      </c>
      <c r="AL923" s="11" t="str">
        <f aca="false">IF($C923="","",IF($M923="Abierta",0,1))</f>
        <v/>
      </c>
      <c r="AM923" s="16" t="str">
        <f aca="false">IF(OR($AE923="",$AD923=""),"",$AD923*MAX(N($X923),1))</f>
        <v/>
      </c>
      <c r="AN923" s="10" t="str">
        <f aca="false">IF($C923="","",IF(OR($B923="",$D923="",$H923="",$K923="",$M923=""),"Faltan datos obligatorios",IF($T923="","Estrategia no reconocida",IF(AND($M923&lt;&gt;"Abierta",$N923=""),"Falta fecha cierre",IF(AND(OR($M923="Cerrada",$M923="Rolada"),$O923=""),"Falta prima cierre",IF(AND($N923&lt;&gt;"",$N923&lt;$B923),"Cierre anterior a apertura",IF(AND($M923="Asignada",$R923=""),"Asignada: falta ID lote acciones",IF(AND($R923&lt;&gt;"",ISNA(MATCH($R923,Acciones!$A$2:$A$201,0))),"El ID lote no existe en Acciones",IF($AD923="","Revisa capital en riesgo","OK")))))))))</f>
        <v/>
      </c>
    </row>
    <row r="924" customFormat="false" ht="15" hidden="false" customHeight="true" outlineLevel="0" collapsed="false">
      <c r="A924" s="5"/>
      <c r="B924" s="6"/>
      <c r="C924" s="7"/>
      <c r="D924" s="7"/>
      <c r="E924" s="8"/>
      <c r="F924" s="8"/>
      <c r="G924" s="6"/>
      <c r="H924" s="5"/>
      <c r="I924" s="5" t="n">
        <v>100</v>
      </c>
      <c r="J924" s="8"/>
      <c r="K924" s="8"/>
      <c r="L924" s="9"/>
      <c r="M924" s="7"/>
      <c r="N924" s="6"/>
      <c r="O924" s="8"/>
      <c r="P924" s="9"/>
      <c r="Q924" s="9"/>
      <c r="R924" s="7"/>
      <c r="S924" s="7"/>
      <c r="T924" s="10" t="str">
        <f aca="false">IF($C924="","",IFERROR(INDEX(Listas!$B$2:$B$20,MATCH($D924,Listas!$A$2:$A$20,0)),""))</f>
        <v/>
      </c>
      <c r="U924" s="10" t="str">
        <f aca="false">IF($C924="","",IFERROR(INDEX(Listas!$C$2:$C$20,MATCH($D924,Listas!$A$2:$A$20,0)),""))</f>
        <v/>
      </c>
      <c r="V924" s="10" t="str">
        <f aca="false">IF($C924="","",IFERROR(INDEX(Listas!$D$2:$D$20,MATCH($D924,Listas!$A$2:$A$20,0)),""))</f>
        <v/>
      </c>
      <c r="W924" s="11" t="str">
        <f aca="false">IF(OR($C924="",$B924="",$G924=""),"",$G924-$B924)</f>
        <v/>
      </c>
      <c r="X924" s="11" t="str">
        <f aca="true">IF(OR($C924="",$B924=""),"",IF($N924&lt;&gt;"",$N924,TODAY())-$B924)</f>
        <v/>
      </c>
      <c r="Y924" s="11" t="str">
        <f aca="true">IF(OR($C924="",$M924&lt;&gt;"Abierta",$G924=""),"",MAX($G924-TODAY(),0))</f>
        <v/>
      </c>
      <c r="Z924" s="12" t="str">
        <f aca="false">IF($C924="","",N($K924)*N($H924)*N($I924)*IF($U924="Débito",-1,1))</f>
        <v/>
      </c>
      <c r="AA924" s="13" t="str">
        <f aca="false">IF($C924="","",IF(AND($U924="Débito",$F924&lt;&gt;""),$F924,$E924))</f>
        <v/>
      </c>
      <c r="AB924" s="13" t="str">
        <f aca="false">IF(OR($C924="",$T924="Mixta",$AA924=""),"",IF($V924="Subyacente",IF($J924="","",$J924-$K924),IF($T924="Put",$AA924-$K924,$AA924+$K924)))</f>
        <v/>
      </c>
      <c r="AC924" s="14" t="str">
        <f aca="false">IF(OR($C924="",$T924="Mixta",$J924="",$AA924=""),"",IF($T924="Put",($J924-$AA924)/$J924,($AA924-$J924)/$J924))</f>
        <v/>
      </c>
      <c r="AD924" s="12" t="str">
        <f aca="false">IF($C924="","",IF($Q924&lt;&gt;"",$Q924,IF($V924="Strike",N($E924)*$H924*$I924,IF($V924="Subyacente",IF($J924="","",$J924*$H924*$I924),IF($V924="Ancho",IF($F924="","",ABS($E924-$F924)*$H924*$I924-$K924*$H924*$I924),IF($V924="Prima",$K924*$H924*$I924,""))))))</f>
        <v/>
      </c>
      <c r="AE924" s="12" t="str">
        <f aca="false">IF(OR($C924="",$M924="Abierta",$M924=""),"",(N($K924)-IF(OR($M924="Cerrada",$M924="Rolada"),N($O924),0))*$H924*$I924*IF($U924="Débito",-1,1)-N($L924)-N($P924))</f>
        <v/>
      </c>
      <c r="AF924" s="14" t="str">
        <f aca="false">IF(OR($AE924="",$AD924=""),"",IF($AD924&lt;=0,"",$AE924/$AD924))</f>
        <v/>
      </c>
      <c r="AG924" s="14" t="str">
        <f aca="false">IF($AF924="","",$AF924*365/MAX(N($X924),1))</f>
        <v/>
      </c>
      <c r="AH924" s="14" t="str">
        <f aca="false">IF(OR($C924="",$U924&lt;&gt;"Crédito",$AD924=""),"",IF($AD924&lt;=0,"",($Z924-N($L924))/$AD924))</f>
        <v/>
      </c>
      <c r="AI924" s="14" t="str">
        <f aca="false">IF(OR($AH924="",$W924=""),"",$AH924*365/MAX($W924,1))</f>
        <v/>
      </c>
      <c r="AJ924" s="14" t="str">
        <f aca="false">IF(OR($AE924="",$U924&lt;&gt;"Crédito",N($K924)=0),"",(N($K924)-IF(OR($M924="Cerrada",$M924="Rolada"),N($O924),0))/$K924)</f>
        <v/>
      </c>
      <c r="AK924" s="15" t="str">
        <f aca="false">IF(OR($C924="",$N924=""),"",DATE(YEAR($N924),MONTH($N924),1))</f>
        <v/>
      </c>
      <c r="AL924" s="11" t="str">
        <f aca="false">IF($C924="","",IF($M924="Abierta",0,1))</f>
        <v/>
      </c>
      <c r="AM924" s="16" t="str">
        <f aca="false">IF(OR($AE924="",$AD924=""),"",$AD924*MAX(N($X924),1))</f>
        <v/>
      </c>
      <c r="AN924" s="10" t="str">
        <f aca="false">IF($C924="","",IF(OR($B924="",$D924="",$H924="",$K924="",$M924=""),"Faltan datos obligatorios",IF($T924="","Estrategia no reconocida",IF(AND($M924&lt;&gt;"Abierta",$N924=""),"Falta fecha cierre",IF(AND(OR($M924="Cerrada",$M924="Rolada"),$O924=""),"Falta prima cierre",IF(AND($N924&lt;&gt;"",$N924&lt;$B924),"Cierre anterior a apertura",IF(AND($M924="Asignada",$R924=""),"Asignada: falta ID lote acciones",IF(AND($R924&lt;&gt;"",ISNA(MATCH($R924,Acciones!$A$2:$A$201,0))),"El ID lote no existe en Acciones",IF($AD924="","Revisa capital en riesgo","OK")))))))))</f>
        <v/>
      </c>
    </row>
    <row r="925" customFormat="false" ht="15" hidden="false" customHeight="true" outlineLevel="0" collapsed="false">
      <c r="A925" s="5"/>
      <c r="B925" s="6"/>
      <c r="C925" s="7"/>
      <c r="D925" s="7"/>
      <c r="E925" s="8"/>
      <c r="F925" s="8"/>
      <c r="G925" s="6"/>
      <c r="H925" s="5"/>
      <c r="I925" s="5" t="n">
        <v>100</v>
      </c>
      <c r="J925" s="8"/>
      <c r="K925" s="8"/>
      <c r="L925" s="9"/>
      <c r="M925" s="7"/>
      <c r="N925" s="6"/>
      <c r="O925" s="8"/>
      <c r="P925" s="9"/>
      <c r="Q925" s="9"/>
      <c r="R925" s="7"/>
      <c r="S925" s="7"/>
      <c r="T925" s="10" t="str">
        <f aca="false">IF($C925="","",IFERROR(INDEX(Listas!$B$2:$B$20,MATCH($D925,Listas!$A$2:$A$20,0)),""))</f>
        <v/>
      </c>
      <c r="U925" s="10" t="str">
        <f aca="false">IF($C925="","",IFERROR(INDEX(Listas!$C$2:$C$20,MATCH($D925,Listas!$A$2:$A$20,0)),""))</f>
        <v/>
      </c>
      <c r="V925" s="10" t="str">
        <f aca="false">IF($C925="","",IFERROR(INDEX(Listas!$D$2:$D$20,MATCH($D925,Listas!$A$2:$A$20,0)),""))</f>
        <v/>
      </c>
      <c r="W925" s="11" t="str">
        <f aca="false">IF(OR($C925="",$B925="",$G925=""),"",$G925-$B925)</f>
        <v/>
      </c>
      <c r="X925" s="11" t="str">
        <f aca="true">IF(OR($C925="",$B925=""),"",IF($N925&lt;&gt;"",$N925,TODAY())-$B925)</f>
        <v/>
      </c>
      <c r="Y925" s="11" t="str">
        <f aca="true">IF(OR($C925="",$M925&lt;&gt;"Abierta",$G925=""),"",MAX($G925-TODAY(),0))</f>
        <v/>
      </c>
      <c r="Z925" s="12" t="str">
        <f aca="false">IF($C925="","",N($K925)*N($H925)*N($I925)*IF($U925="Débito",-1,1))</f>
        <v/>
      </c>
      <c r="AA925" s="13" t="str">
        <f aca="false">IF($C925="","",IF(AND($U925="Débito",$F925&lt;&gt;""),$F925,$E925))</f>
        <v/>
      </c>
      <c r="AB925" s="13" t="str">
        <f aca="false">IF(OR($C925="",$T925="Mixta",$AA925=""),"",IF($V925="Subyacente",IF($J925="","",$J925-$K925),IF($T925="Put",$AA925-$K925,$AA925+$K925)))</f>
        <v/>
      </c>
      <c r="AC925" s="14" t="str">
        <f aca="false">IF(OR($C925="",$T925="Mixta",$J925="",$AA925=""),"",IF($T925="Put",($J925-$AA925)/$J925,($AA925-$J925)/$J925))</f>
        <v/>
      </c>
      <c r="AD925" s="12" t="str">
        <f aca="false">IF($C925="","",IF($Q925&lt;&gt;"",$Q925,IF($V925="Strike",N($E925)*$H925*$I925,IF($V925="Subyacente",IF($J925="","",$J925*$H925*$I925),IF($V925="Ancho",IF($F925="","",ABS($E925-$F925)*$H925*$I925-$K925*$H925*$I925),IF($V925="Prima",$K925*$H925*$I925,""))))))</f>
        <v/>
      </c>
      <c r="AE925" s="12" t="str">
        <f aca="false">IF(OR($C925="",$M925="Abierta",$M925=""),"",(N($K925)-IF(OR($M925="Cerrada",$M925="Rolada"),N($O925),0))*$H925*$I925*IF($U925="Débito",-1,1)-N($L925)-N($P925))</f>
        <v/>
      </c>
      <c r="AF925" s="14" t="str">
        <f aca="false">IF(OR($AE925="",$AD925=""),"",IF($AD925&lt;=0,"",$AE925/$AD925))</f>
        <v/>
      </c>
      <c r="AG925" s="14" t="str">
        <f aca="false">IF($AF925="","",$AF925*365/MAX(N($X925),1))</f>
        <v/>
      </c>
      <c r="AH925" s="14" t="str">
        <f aca="false">IF(OR($C925="",$U925&lt;&gt;"Crédito",$AD925=""),"",IF($AD925&lt;=0,"",($Z925-N($L925))/$AD925))</f>
        <v/>
      </c>
      <c r="AI925" s="14" t="str">
        <f aca="false">IF(OR($AH925="",$W925=""),"",$AH925*365/MAX($W925,1))</f>
        <v/>
      </c>
      <c r="AJ925" s="14" t="str">
        <f aca="false">IF(OR($AE925="",$U925&lt;&gt;"Crédito",N($K925)=0),"",(N($K925)-IF(OR($M925="Cerrada",$M925="Rolada"),N($O925),0))/$K925)</f>
        <v/>
      </c>
      <c r="AK925" s="15" t="str">
        <f aca="false">IF(OR($C925="",$N925=""),"",DATE(YEAR($N925),MONTH($N925),1))</f>
        <v/>
      </c>
      <c r="AL925" s="11" t="str">
        <f aca="false">IF($C925="","",IF($M925="Abierta",0,1))</f>
        <v/>
      </c>
      <c r="AM925" s="16" t="str">
        <f aca="false">IF(OR($AE925="",$AD925=""),"",$AD925*MAX(N($X925),1))</f>
        <v/>
      </c>
      <c r="AN925" s="10" t="str">
        <f aca="false">IF($C925="","",IF(OR($B925="",$D925="",$H925="",$K925="",$M925=""),"Faltan datos obligatorios",IF($T925="","Estrategia no reconocida",IF(AND($M925&lt;&gt;"Abierta",$N925=""),"Falta fecha cierre",IF(AND(OR($M925="Cerrada",$M925="Rolada"),$O925=""),"Falta prima cierre",IF(AND($N925&lt;&gt;"",$N925&lt;$B925),"Cierre anterior a apertura",IF(AND($M925="Asignada",$R925=""),"Asignada: falta ID lote acciones",IF(AND($R925&lt;&gt;"",ISNA(MATCH($R925,Acciones!$A$2:$A$201,0))),"El ID lote no existe en Acciones",IF($AD925="","Revisa capital en riesgo","OK")))))))))</f>
        <v/>
      </c>
    </row>
    <row r="926" customFormat="false" ht="15" hidden="false" customHeight="true" outlineLevel="0" collapsed="false">
      <c r="A926" s="5"/>
      <c r="B926" s="6"/>
      <c r="C926" s="7"/>
      <c r="D926" s="7"/>
      <c r="E926" s="8"/>
      <c r="F926" s="8"/>
      <c r="G926" s="6"/>
      <c r="H926" s="5"/>
      <c r="I926" s="5" t="n">
        <v>100</v>
      </c>
      <c r="J926" s="8"/>
      <c r="K926" s="8"/>
      <c r="L926" s="9"/>
      <c r="M926" s="7"/>
      <c r="N926" s="6"/>
      <c r="O926" s="8"/>
      <c r="P926" s="9"/>
      <c r="Q926" s="9"/>
      <c r="R926" s="7"/>
      <c r="S926" s="7"/>
      <c r="T926" s="10" t="str">
        <f aca="false">IF($C926="","",IFERROR(INDEX(Listas!$B$2:$B$20,MATCH($D926,Listas!$A$2:$A$20,0)),""))</f>
        <v/>
      </c>
      <c r="U926" s="10" t="str">
        <f aca="false">IF($C926="","",IFERROR(INDEX(Listas!$C$2:$C$20,MATCH($D926,Listas!$A$2:$A$20,0)),""))</f>
        <v/>
      </c>
      <c r="V926" s="10" t="str">
        <f aca="false">IF($C926="","",IFERROR(INDEX(Listas!$D$2:$D$20,MATCH($D926,Listas!$A$2:$A$20,0)),""))</f>
        <v/>
      </c>
      <c r="W926" s="11" t="str">
        <f aca="false">IF(OR($C926="",$B926="",$G926=""),"",$G926-$B926)</f>
        <v/>
      </c>
      <c r="X926" s="11" t="str">
        <f aca="true">IF(OR($C926="",$B926=""),"",IF($N926&lt;&gt;"",$N926,TODAY())-$B926)</f>
        <v/>
      </c>
      <c r="Y926" s="11" t="str">
        <f aca="true">IF(OR($C926="",$M926&lt;&gt;"Abierta",$G926=""),"",MAX($G926-TODAY(),0))</f>
        <v/>
      </c>
      <c r="Z926" s="12" t="str">
        <f aca="false">IF($C926="","",N($K926)*N($H926)*N($I926)*IF($U926="Débito",-1,1))</f>
        <v/>
      </c>
      <c r="AA926" s="13" t="str">
        <f aca="false">IF($C926="","",IF(AND($U926="Débito",$F926&lt;&gt;""),$F926,$E926))</f>
        <v/>
      </c>
      <c r="AB926" s="13" t="str">
        <f aca="false">IF(OR($C926="",$T926="Mixta",$AA926=""),"",IF($V926="Subyacente",IF($J926="","",$J926-$K926),IF($T926="Put",$AA926-$K926,$AA926+$K926)))</f>
        <v/>
      </c>
      <c r="AC926" s="14" t="str">
        <f aca="false">IF(OR($C926="",$T926="Mixta",$J926="",$AA926=""),"",IF($T926="Put",($J926-$AA926)/$J926,($AA926-$J926)/$J926))</f>
        <v/>
      </c>
      <c r="AD926" s="12" t="str">
        <f aca="false">IF($C926="","",IF($Q926&lt;&gt;"",$Q926,IF($V926="Strike",N($E926)*$H926*$I926,IF($V926="Subyacente",IF($J926="","",$J926*$H926*$I926),IF($V926="Ancho",IF($F926="","",ABS($E926-$F926)*$H926*$I926-$K926*$H926*$I926),IF($V926="Prima",$K926*$H926*$I926,""))))))</f>
        <v/>
      </c>
      <c r="AE926" s="12" t="str">
        <f aca="false">IF(OR($C926="",$M926="Abierta",$M926=""),"",(N($K926)-IF(OR($M926="Cerrada",$M926="Rolada"),N($O926),0))*$H926*$I926*IF($U926="Débito",-1,1)-N($L926)-N($P926))</f>
        <v/>
      </c>
      <c r="AF926" s="14" t="str">
        <f aca="false">IF(OR($AE926="",$AD926=""),"",IF($AD926&lt;=0,"",$AE926/$AD926))</f>
        <v/>
      </c>
      <c r="AG926" s="14" t="str">
        <f aca="false">IF($AF926="","",$AF926*365/MAX(N($X926),1))</f>
        <v/>
      </c>
      <c r="AH926" s="14" t="str">
        <f aca="false">IF(OR($C926="",$U926&lt;&gt;"Crédito",$AD926=""),"",IF($AD926&lt;=0,"",($Z926-N($L926))/$AD926))</f>
        <v/>
      </c>
      <c r="AI926" s="14" t="str">
        <f aca="false">IF(OR($AH926="",$W926=""),"",$AH926*365/MAX($W926,1))</f>
        <v/>
      </c>
      <c r="AJ926" s="14" t="str">
        <f aca="false">IF(OR($AE926="",$U926&lt;&gt;"Crédito",N($K926)=0),"",(N($K926)-IF(OR($M926="Cerrada",$M926="Rolada"),N($O926),0))/$K926)</f>
        <v/>
      </c>
      <c r="AK926" s="15" t="str">
        <f aca="false">IF(OR($C926="",$N926=""),"",DATE(YEAR($N926),MONTH($N926),1))</f>
        <v/>
      </c>
      <c r="AL926" s="11" t="str">
        <f aca="false">IF($C926="","",IF($M926="Abierta",0,1))</f>
        <v/>
      </c>
      <c r="AM926" s="16" t="str">
        <f aca="false">IF(OR($AE926="",$AD926=""),"",$AD926*MAX(N($X926),1))</f>
        <v/>
      </c>
      <c r="AN926" s="10" t="str">
        <f aca="false">IF($C926="","",IF(OR($B926="",$D926="",$H926="",$K926="",$M926=""),"Faltan datos obligatorios",IF($T926="","Estrategia no reconocida",IF(AND($M926&lt;&gt;"Abierta",$N926=""),"Falta fecha cierre",IF(AND(OR($M926="Cerrada",$M926="Rolada"),$O926=""),"Falta prima cierre",IF(AND($N926&lt;&gt;"",$N926&lt;$B926),"Cierre anterior a apertura",IF(AND($M926="Asignada",$R926=""),"Asignada: falta ID lote acciones",IF(AND($R926&lt;&gt;"",ISNA(MATCH($R926,Acciones!$A$2:$A$201,0))),"El ID lote no existe en Acciones",IF($AD926="","Revisa capital en riesgo","OK")))))))))</f>
        <v/>
      </c>
    </row>
    <row r="927" customFormat="false" ht="15" hidden="false" customHeight="true" outlineLevel="0" collapsed="false">
      <c r="A927" s="5"/>
      <c r="B927" s="6"/>
      <c r="C927" s="7"/>
      <c r="D927" s="7"/>
      <c r="E927" s="8"/>
      <c r="F927" s="8"/>
      <c r="G927" s="6"/>
      <c r="H927" s="5"/>
      <c r="I927" s="5" t="n">
        <v>100</v>
      </c>
      <c r="J927" s="8"/>
      <c r="K927" s="8"/>
      <c r="L927" s="9"/>
      <c r="M927" s="7"/>
      <c r="N927" s="6"/>
      <c r="O927" s="8"/>
      <c r="P927" s="9"/>
      <c r="Q927" s="9"/>
      <c r="R927" s="7"/>
      <c r="S927" s="7"/>
      <c r="T927" s="10" t="str">
        <f aca="false">IF($C927="","",IFERROR(INDEX(Listas!$B$2:$B$20,MATCH($D927,Listas!$A$2:$A$20,0)),""))</f>
        <v/>
      </c>
      <c r="U927" s="10" t="str">
        <f aca="false">IF($C927="","",IFERROR(INDEX(Listas!$C$2:$C$20,MATCH($D927,Listas!$A$2:$A$20,0)),""))</f>
        <v/>
      </c>
      <c r="V927" s="10" t="str">
        <f aca="false">IF($C927="","",IFERROR(INDEX(Listas!$D$2:$D$20,MATCH($D927,Listas!$A$2:$A$20,0)),""))</f>
        <v/>
      </c>
      <c r="W927" s="11" t="str">
        <f aca="false">IF(OR($C927="",$B927="",$G927=""),"",$G927-$B927)</f>
        <v/>
      </c>
      <c r="X927" s="11" t="str">
        <f aca="true">IF(OR($C927="",$B927=""),"",IF($N927&lt;&gt;"",$N927,TODAY())-$B927)</f>
        <v/>
      </c>
      <c r="Y927" s="11" t="str">
        <f aca="true">IF(OR($C927="",$M927&lt;&gt;"Abierta",$G927=""),"",MAX($G927-TODAY(),0))</f>
        <v/>
      </c>
      <c r="Z927" s="12" t="str">
        <f aca="false">IF($C927="","",N($K927)*N($H927)*N($I927)*IF($U927="Débito",-1,1))</f>
        <v/>
      </c>
      <c r="AA927" s="13" t="str">
        <f aca="false">IF($C927="","",IF(AND($U927="Débito",$F927&lt;&gt;""),$F927,$E927))</f>
        <v/>
      </c>
      <c r="AB927" s="13" t="str">
        <f aca="false">IF(OR($C927="",$T927="Mixta",$AA927=""),"",IF($V927="Subyacente",IF($J927="","",$J927-$K927),IF($T927="Put",$AA927-$K927,$AA927+$K927)))</f>
        <v/>
      </c>
      <c r="AC927" s="14" t="str">
        <f aca="false">IF(OR($C927="",$T927="Mixta",$J927="",$AA927=""),"",IF($T927="Put",($J927-$AA927)/$J927,($AA927-$J927)/$J927))</f>
        <v/>
      </c>
      <c r="AD927" s="12" t="str">
        <f aca="false">IF($C927="","",IF($Q927&lt;&gt;"",$Q927,IF($V927="Strike",N($E927)*$H927*$I927,IF($V927="Subyacente",IF($J927="","",$J927*$H927*$I927),IF($V927="Ancho",IF($F927="","",ABS($E927-$F927)*$H927*$I927-$K927*$H927*$I927),IF($V927="Prima",$K927*$H927*$I927,""))))))</f>
        <v/>
      </c>
      <c r="AE927" s="12" t="str">
        <f aca="false">IF(OR($C927="",$M927="Abierta",$M927=""),"",(N($K927)-IF(OR($M927="Cerrada",$M927="Rolada"),N($O927),0))*$H927*$I927*IF($U927="Débito",-1,1)-N($L927)-N($P927))</f>
        <v/>
      </c>
      <c r="AF927" s="14" t="str">
        <f aca="false">IF(OR($AE927="",$AD927=""),"",IF($AD927&lt;=0,"",$AE927/$AD927))</f>
        <v/>
      </c>
      <c r="AG927" s="14" t="str">
        <f aca="false">IF($AF927="","",$AF927*365/MAX(N($X927),1))</f>
        <v/>
      </c>
      <c r="AH927" s="14" t="str">
        <f aca="false">IF(OR($C927="",$U927&lt;&gt;"Crédito",$AD927=""),"",IF($AD927&lt;=0,"",($Z927-N($L927))/$AD927))</f>
        <v/>
      </c>
      <c r="AI927" s="14" t="str">
        <f aca="false">IF(OR($AH927="",$W927=""),"",$AH927*365/MAX($W927,1))</f>
        <v/>
      </c>
      <c r="AJ927" s="14" t="str">
        <f aca="false">IF(OR($AE927="",$U927&lt;&gt;"Crédito",N($K927)=0),"",(N($K927)-IF(OR($M927="Cerrada",$M927="Rolada"),N($O927),0))/$K927)</f>
        <v/>
      </c>
      <c r="AK927" s="15" t="str">
        <f aca="false">IF(OR($C927="",$N927=""),"",DATE(YEAR($N927),MONTH($N927),1))</f>
        <v/>
      </c>
      <c r="AL927" s="11" t="str">
        <f aca="false">IF($C927="","",IF($M927="Abierta",0,1))</f>
        <v/>
      </c>
      <c r="AM927" s="16" t="str">
        <f aca="false">IF(OR($AE927="",$AD927=""),"",$AD927*MAX(N($X927),1))</f>
        <v/>
      </c>
      <c r="AN927" s="10" t="str">
        <f aca="false">IF($C927="","",IF(OR($B927="",$D927="",$H927="",$K927="",$M927=""),"Faltan datos obligatorios",IF($T927="","Estrategia no reconocida",IF(AND($M927&lt;&gt;"Abierta",$N927=""),"Falta fecha cierre",IF(AND(OR($M927="Cerrada",$M927="Rolada"),$O927=""),"Falta prima cierre",IF(AND($N927&lt;&gt;"",$N927&lt;$B927),"Cierre anterior a apertura",IF(AND($M927="Asignada",$R927=""),"Asignada: falta ID lote acciones",IF(AND($R927&lt;&gt;"",ISNA(MATCH($R927,Acciones!$A$2:$A$201,0))),"El ID lote no existe en Acciones",IF($AD927="","Revisa capital en riesgo","OK")))))))))</f>
        <v/>
      </c>
    </row>
    <row r="928" customFormat="false" ht="15" hidden="false" customHeight="true" outlineLevel="0" collapsed="false">
      <c r="A928" s="5"/>
      <c r="B928" s="6"/>
      <c r="C928" s="7"/>
      <c r="D928" s="7"/>
      <c r="E928" s="8"/>
      <c r="F928" s="8"/>
      <c r="G928" s="6"/>
      <c r="H928" s="5"/>
      <c r="I928" s="5" t="n">
        <v>100</v>
      </c>
      <c r="J928" s="8"/>
      <c r="K928" s="8"/>
      <c r="L928" s="9"/>
      <c r="M928" s="7"/>
      <c r="N928" s="6"/>
      <c r="O928" s="8"/>
      <c r="P928" s="9"/>
      <c r="Q928" s="9"/>
      <c r="R928" s="7"/>
      <c r="S928" s="7"/>
      <c r="T928" s="10" t="str">
        <f aca="false">IF($C928="","",IFERROR(INDEX(Listas!$B$2:$B$20,MATCH($D928,Listas!$A$2:$A$20,0)),""))</f>
        <v/>
      </c>
      <c r="U928" s="10" t="str">
        <f aca="false">IF($C928="","",IFERROR(INDEX(Listas!$C$2:$C$20,MATCH($D928,Listas!$A$2:$A$20,0)),""))</f>
        <v/>
      </c>
      <c r="V928" s="10" t="str">
        <f aca="false">IF($C928="","",IFERROR(INDEX(Listas!$D$2:$D$20,MATCH($D928,Listas!$A$2:$A$20,0)),""))</f>
        <v/>
      </c>
      <c r="W928" s="11" t="str">
        <f aca="false">IF(OR($C928="",$B928="",$G928=""),"",$G928-$B928)</f>
        <v/>
      </c>
      <c r="X928" s="11" t="str">
        <f aca="true">IF(OR($C928="",$B928=""),"",IF($N928&lt;&gt;"",$N928,TODAY())-$B928)</f>
        <v/>
      </c>
      <c r="Y928" s="11" t="str">
        <f aca="true">IF(OR($C928="",$M928&lt;&gt;"Abierta",$G928=""),"",MAX($G928-TODAY(),0))</f>
        <v/>
      </c>
      <c r="Z928" s="12" t="str">
        <f aca="false">IF($C928="","",N($K928)*N($H928)*N($I928)*IF($U928="Débito",-1,1))</f>
        <v/>
      </c>
      <c r="AA928" s="13" t="str">
        <f aca="false">IF($C928="","",IF(AND($U928="Débito",$F928&lt;&gt;""),$F928,$E928))</f>
        <v/>
      </c>
      <c r="AB928" s="13" t="str">
        <f aca="false">IF(OR($C928="",$T928="Mixta",$AA928=""),"",IF($V928="Subyacente",IF($J928="","",$J928-$K928),IF($T928="Put",$AA928-$K928,$AA928+$K928)))</f>
        <v/>
      </c>
      <c r="AC928" s="14" t="str">
        <f aca="false">IF(OR($C928="",$T928="Mixta",$J928="",$AA928=""),"",IF($T928="Put",($J928-$AA928)/$J928,($AA928-$J928)/$J928))</f>
        <v/>
      </c>
      <c r="AD928" s="12" t="str">
        <f aca="false">IF($C928="","",IF($Q928&lt;&gt;"",$Q928,IF($V928="Strike",N($E928)*$H928*$I928,IF($V928="Subyacente",IF($J928="","",$J928*$H928*$I928),IF($V928="Ancho",IF($F928="","",ABS($E928-$F928)*$H928*$I928-$K928*$H928*$I928),IF($V928="Prima",$K928*$H928*$I928,""))))))</f>
        <v/>
      </c>
      <c r="AE928" s="12" t="str">
        <f aca="false">IF(OR($C928="",$M928="Abierta",$M928=""),"",(N($K928)-IF(OR($M928="Cerrada",$M928="Rolada"),N($O928),0))*$H928*$I928*IF($U928="Débito",-1,1)-N($L928)-N($P928))</f>
        <v/>
      </c>
      <c r="AF928" s="14" t="str">
        <f aca="false">IF(OR($AE928="",$AD928=""),"",IF($AD928&lt;=0,"",$AE928/$AD928))</f>
        <v/>
      </c>
      <c r="AG928" s="14" t="str">
        <f aca="false">IF($AF928="","",$AF928*365/MAX(N($X928),1))</f>
        <v/>
      </c>
      <c r="AH928" s="14" t="str">
        <f aca="false">IF(OR($C928="",$U928&lt;&gt;"Crédito",$AD928=""),"",IF($AD928&lt;=0,"",($Z928-N($L928))/$AD928))</f>
        <v/>
      </c>
      <c r="AI928" s="14" t="str">
        <f aca="false">IF(OR($AH928="",$W928=""),"",$AH928*365/MAX($W928,1))</f>
        <v/>
      </c>
      <c r="AJ928" s="14" t="str">
        <f aca="false">IF(OR($AE928="",$U928&lt;&gt;"Crédito",N($K928)=0),"",(N($K928)-IF(OR($M928="Cerrada",$M928="Rolada"),N($O928),0))/$K928)</f>
        <v/>
      </c>
      <c r="AK928" s="15" t="str">
        <f aca="false">IF(OR($C928="",$N928=""),"",DATE(YEAR($N928),MONTH($N928),1))</f>
        <v/>
      </c>
      <c r="AL928" s="11" t="str">
        <f aca="false">IF($C928="","",IF($M928="Abierta",0,1))</f>
        <v/>
      </c>
      <c r="AM928" s="16" t="str">
        <f aca="false">IF(OR($AE928="",$AD928=""),"",$AD928*MAX(N($X928),1))</f>
        <v/>
      </c>
      <c r="AN928" s="10" t="str">
        <f aca="false">IF($C928="","",IF(OR($B928="",$D928="",$H928="",$K928="",$M928=""),"Faltan datos obligatorios",IF($T928="","Estrategia no reconocida",IF(AND($M928&lt;&gt;"Abierta",$N928=""),"Falta fecha cierre",IF(AND(OR($M928="Cerrada",$M928="Rolada"),$O928=""),"Falta prima cierre",IF(AND($N928&lt;&gt;"",$N928&lt;$B928),"Cierre anterior a apertura",IF(AND($M928="Asignada",$R928=""),"Asignada: falta ID lote acciones",IF(AND($R928&lt;&gt;"",ISNA(MATCH($R928,Acciones!$A$2:$A$201,0))),"El ID lote no existe en Acciones",IF($AD928="","Revisa capital en riesgo","OK")))))))))</f>
        <v/>
      </c>
    </row>
    <row r="929" customFormat="false" ht="15" hidden="false" customHeight="true" outlineLevel="0" collapsed="false">
      <c r="A929" s="5"/>
      <c r="B929" s="6"/>
      <c r="C929" s="7"/>
      <c r="D929" s="7"/>
      <c r="E929" s="8"/>
      <c r="F929" s="8"/>
      <c r="G929" s="6"/>
      <c r="H929" s="5"/>
      <c r="I929" s="5" t="n">
        <v>100</v>
      </c>
      <c r="J929" s="8"/>
      <c r="K929" s="8"/>
      <c r="L929" s="9"/>
      <c r="M929" s="7"/>
      <c r="N929" s="6"/>
      <c r="O929" s="8"/>
      <c r="P929" s="9"/>
      <c r="Q929" s="9"/>
      <c r="R929" s="7"/>
      <c r="S929" s="7"/>
      <c r="T929" s="10" t="str">
        <f aca="false">IF($C929="","",IFERROR(INDEX(Listas!$B$2:$B$20,MATCH($D929,Listas!$A$2:$A$20,0)),""))</f>
        <v/>
      </c>
      <c r="U929" s="10" t="str">
        <f aca="false">IF($C929="","",IFERROR(INDEX(Listas!$C$2:$C$20,MATCH($D929,Listas!$A$2:$A$20,0)),""))</f>
        <v/>
      </c>
      <c r="V929" s="10" t="str">
        <f aca="false">IF($C929="","",IFERROR(INDEX(Listas!$D$2:$D$20,MATCH($D929,Listas!$A$2:$A$20,0)),""))</f>
        <v/>
      </c>
      <c r="W929" s="11" t="str">
        <f aca="false">IF(OR($C929="",$B929="",$G929=""),"",$G929-$B929)</f>
        <v/>
      </c>
      <c r="X929" s="11" t="str">
        <f aca="true">IF(OR($C929="",$B929=""),"",IF($N929&lt;&gt;"",$N929,TODAY())-$B929)</f>
        <v/>
      </c>
      <c r="Y929" s="11" t="str">
        <f aca="true">IF(OR($C929="",$M929&lt;&gt;"Abierta",$G929=""),"",MAX($G929-TODAY(),0))</f>
        <v/>
      </c>
      <c r="Z929" s="12" t="str">
        <f aca="false">IF($C929="","",N($K929)*N($H929)*N($I929)*IF($U929="Débito",-1,1))</f>
        <v/>
      </c>
      <c r="AA929" s="13" t="str">
        <f aca="false">IF($C929="","",IF(AND($U929="Débito",$F929&lt;&gt;""),$F929,$E929))</f>
        <v/>
      </c>
      <c r="AB929" s="13" t="str">
        <f aca="false">IF(OR($C929="",$T929="Mixta",$AA929=""),"",IF($V929="Subyacente",IF($J929="","",$J929-$K929),IF($T929="Put",$AA929-$K929,$AA929+$K929)))</f>
        <v/>
      </c>
      <c r="AC929" s="14" t="str">
        <f aca="false">IF(OR($C929="",$T929="Mixta",$J929="",$AA929=""),"",IF($T929="Put",($J929-$AA929)/$J929,($AA929-$J929)/$J929))</f>
        <v/>
      </c>
      <c r="AD929" s="12" t="str">
        <f aca="false">IF($C929="","",IF($Q929&lt;&gt;"",$Q929,IF($V929="Strike",N($E929)*$H929*$I929,IF($V929="Subyacente",IF($J929="","",$J929*$H929*$I929),IF($V929="Ancho",IF($F929="","",ABS($E929-$F929)*$H929*$I929-$K929*$H929*$I929),IF($V929="Prima",$K929*$H929*$I929,""))))))</f>
        <v/>
      </c>
      <c r="AE929" s="12" t="str">
        <f aca="false">IF(OR($C929="",$M929="Abierta",$M929=""),"",(N($K929)-IF(OR($M929="Cerrada",$M929="Rolada"),N($O929),0))*$H929*$I929*IF($U929="Débito",-1,1)-N($L929)-N($P929))</f>
        <v/>
      </c>
      <c r="AF929" s="14" t="str">
        <f aca="false">IF(OR($AE929="",$AD929=""),"",IF($AD929&lt;=0,"",$AE929/$AD929))</f>
        <v/>
      </c>
      <c r="AG929" s="14" t="str">
        <f aca="false">IF($AF929="","",$AF929*365/MAX(N($X929),1))</f>
        <v/>
      </c>
      <c r="AH929" s="14" t="str">
        <f aca="false">IF(OR($C929="",$U929&lt;&gt;"Crédito",$AD929=""),"",IF($AD929&lt;=0,"",($Z929-N($L929))/$AD929))</f>
        <v/>
      </c>
      <c r="AI929" s="14" t="str">
        <f aca="false">IF(OR($AH929="",$W929=""),"",$AH929*365/MAX($W929,1))</f>
        <v/>
      </c>
      <c r="AJ929" s="14" t="str">
        <f aca="false">IF(OR($AE929="",$U929&lt;&gt;"Crédito",N($K929)=0),"",(N($K929)-IF(OR($M929="Cerrada",$M929="Rolada"),N($O929),0))/$K929)</f>
        <v/>
      </c>
      <c r="AK929" s="15" t="str">
        <f aca="false">IF(OR($C929="",$N929=""),"",DATE(YEAR($N929),MONTH($N929),1))</f>
        <v/>
      </c>
      <c r="AL929" s="11" t="str">
        <f aca="false">IF($C929="","",IF($M929="Abierta",0,1))</f>
        <v/>
      </c>
      <c r="AM929" s="16" t="str">
        <f aca="false">IF(OR($AE929="",$AD929=""),"",$AD929*MAX(N($X929),1))</f>
        <v/>
      </c>
      <c r="AN929" s="10" t="str">
        <f aca="false">IF($C929="","",IF(OR($B929="",$D929="",$H929="",$K929="",$M929=""),"Faltan datos obligatorios",IF($T929="","Estrategia no reconocida",IF(AND($M929&lt;&gt;"Abierta",$N929=""),"Falta fecha cierre",IF(AND(OR($M929="Cerrada",$M929="Rolada"),$O929=""),"Falta prima cierre",IF(AND($N929&lt;&gt;"",$N929&lt;$B929),"Cierre anterior a apertura",IF(AND($M929="Asignada",$R929=""),"Asignada: falta ID lote acciones",IF(AND($R929&lt;&gt;"",ISNA(MATCH($R929,Acciones!$A$2:$A$201,0))),"El ID lote no existe en Acciones",IF($AD929="","Revisa capital en riesgo","OK")))))))))</f>
        <v/>
      </c>
    </row>
    <row r="930" customFormat="false" ht="15" hidden="false" customHeight="true" outlineLevel="0" collapsed="false">
      <c r="A930" s="5"/>
      <c r="B930" s="6"/>
      <c r="C930" s="7"/>
      <c r="D930" s="7"/>
      <c r="E930" s="8"/>
      <c r="F930" s="8"/>
      <c r="G930" s="6"/>
      <c r="H930" s="5"/>
      <c r="I930" s="5" t="n">
        <v>100</v>
      </c>
      <c r="J930" s="8"/>
      <c r="K930" s="8"/>
      <c r="L930" s="9"/>
      <c r="M930" s="7"/>
      <c r="N930" s="6"/>
      <c r="O930" s="8"/>
      <c r="P930" s="9"/>
      <c r="Q930" s="9"/>
      <c r="R930" s="7"/>
      <c r="S930" s="7"/>
      <c r="T930" s="10" t="str">
        <f aca="false">IF($C930="","",IFERROR(INDEX(Listas!$B$2:$B$20,MATCH($D930,Listas!$A$2:$A$20,0)),""))</f>
        <v/>
      </c>
      <c r="U930" s="10" t="str">
        <f aca="false">IF($C930="","",IFERROR(INDEX(Listas!$C$2:$C$20,MATCH($D930,Listas!$A$2:$A$20,0)),""))</f>
        <v/>
      </c>
      <c r="V930" s="10" t="str">
        <f aca="false">IF($C930="","",IFERROR(INDEX(Listas!$D$2:$D$20,MATCH($D930,Listas!$A$2:$A$20,0)),""))</f>
        <v/>
      </c>
      <c r="W930" s="11" t="str">
        <f aca="false">IF(OR($C930="",$B930="",$G930=""),"",$G930-$B930)</f>
        <v/>
      </c>
      <c r="X930" s="11" t="str">
        <f aca="true">IF(OR($C930="",$B930=""),"",IF($N930&lt;&gt;"",$N930,TODAY())-$B930)</f>
        <v/>
      </c>
      <c r="Y930" s="11" t="str">
        <f aca="true">IF(OR($C930="",$M930&lt;&gt;"Abierta",$G930=""),"",MAX($G930-TODAY(),0))</f>
        <v/>
      </c>
      <c r="Z930" s="12" t="str">
        <f aca="false">IF($C930="","",N($K930)*N($H930)*N($I930)*IF($U930="Débito",-1,1))</f>
        <v/>
      </c>
      <c r="AA930" s="13" t="str">
        <f aca="false">IF($C930="","",IF(AND($U930="Débito",$F930&lt;&gt;""),$F930,$E930))</f>
        <v/>
      </c>
      <c r="AB930" s="13" t="str">
        <f aca="false">IF(OR($C930="",$T930="Mixta",$AA930=""),"",IF($V930="Subyacente",IF($J930="","",$J930-$K930),IF($T930="Put",$AA930-$K930,$AA930+$K930)))</f>
        <v/>
      </c>
      <c r="AC930" s="14" t="str">
        <f aca="false">IF(OR($C930="",$T930="Mixta",$J930="",$AA930=""),"",IF($T930="Put",($J930-$AA930)/$J930,($AA930-$J930)/$J930))</f>
        <v/>
      </c>
      <c r="AD930" s="12" t="str">
        <f aca="false">IF($C930="","",IF($Q930&lt;&gt;"",$Q930,IF($V930="Strike",N($E930)*$H930*$I930,IF($V930="Subyacente",IF($J930="","",$J930*$H930*$I930),IF($V930="Ancho",IF($F930="","",ABS($E930-$F930)*$H930*$I930-$K930*$H930*$I930),IF($V930="Prima",$K930*$H930*$I930,""))))))</f>
        <v/>
      </c>
      <c r="AE930" s="12" t="str">
        <f aca="false">IF(OR($C930="",$M930="Abierta",$M930=""),"",(N($K930)-IF(OR($M930="Cerrada",$M930="Rolada"),N($O930),0))*$H930*$I930*IF($U930="Débito",-1,1)-N($L930)-N($P930))</f>
        <v/>
      </c>
      <c r="AF930" s="14" t="str">
        <f aca="false">IF(OR($AE930="",$AD930=""),"",IF($AD930&lt;=0,"",$AE930/$AD930))</f>
        <v/>
      </c>
      <c r="AG930" s="14" t="str">
        <f aca="false">IF($AF930="","",$AF930*365/MAX(N($X930),1))</f>
        <v/>
      </c>
      <c r="AH930" s="14" t="str">
        <f aca="false">IF(OR($C930="",$U930&lt;&gt;"Crédito",$AD930=""),"",IF($AD930&lt;=0,"",($Z930-N($L930))/$AD930))</f>
        <v/>
      </c>
      <c r="AI930" s="14" t="str">
        <f aca="false">IF(OR($AH930="",$W930=""),"",$AH930*365/MAX($W930,1))</f>
        <v/>
      </c>
      <c r="AJ930" s="14" t="str">
        <f aca="false">IF(OR($AE930="",$U930&lt;&gt;"Crédito",N($K930)=0),"",(N($K930)-IF(OR($M930="Cerrada",$M930="Rolada"),N($O930),0))/$K930)</f>
        <v/>
      </c>
      <c r="AK930" s="15" t="str">
        <f aca="false">IF(OR($C930="",$N930=""),"",DATE(YEAR($N930),MONTH($N930),1))</f>
        <v/>
      </c>
      <c r="AL930" s="11" t="str">
        <f aca="false">IF($C930="","",IF($M930="Abierta",0,1))</f>
        <v/>
      </c>
      <c r="AM930" s="16" t="str">
        <f aca="false">IF(OR($AE930="",$AD930=""),"",$AD930*MAX(N($X930),1))</f>
        <v/>
      </c>
      <c r="AN930" s="10" t="str">
        <f aca="false">IF($C930="","",IF(OR($B930="",$D930="",$H930="",$K930="",$M930=""),"Faltan datos obligatorios",IF($T930="","Estrategia no reconocida",IF(AND($M930&lt;&gt;"Abierta",$N930=""),"Falta fecha cierre",IF(AND(OR($M930="Cerrada",$M930="Rolada"),$O930=""),"Falta prima cierre",IF(AND($N930&lt;&gt;"",$N930&lt;$B930),"Cierre anterior a apertura",IF(AND($M930="Asignada",$R930=""),"Asignada: falta ID lote acciones",IF(AND($R930&lt;&gt;"",ISNA(MATCH($R930,Acciones!$A$2:$A$201,0))),"El ID lote no existe en Acciones",IF($AD930="","Revisa capital en riesgo","OK")))))))))</f>
        <v/>
      </c>
    </row>
    <row r="931" customFormat="false" ht="15" hidden="false" customHeight="true" outlineLevel="0" collapsed="false">
      <c r="A931" s="5"/>
      <c r="B931" s="6"/>
      <c r="C931" s="7"/>
      <c r="D931" s="7"/>
      <c r="E931" s="8"/>
      <c r="F931" s="8"/>
      <c r="G931" s="6"/>
      <c r="H931" s="5"/>
      <c r="I931" s="5" t="n">
        <v>100</v>
      </c>
      <c r="J931" s="8"/>
      <c r="K931" s="8"/>
      <c r="L931" s="9"/>
      <c r="M931" s="7"/>
      <c r="N931" s="6"/>
      <c r="O931" s="8"/>
      <c r="P931" s="9"/>
      <c r="Q931" s="9"/>
      <c r="R931" s="7"/>
      <c r="S931" s="7"/>
      <c r="T931" s="10" t="str">
        <f aca="false">IF($C931="","",IFERROR(INDEX(Listas!$B$2:$B$20,MATCH($D931,Listas!$A$2:$A$20,0)),""))</f>
        <v/>
      </c>
      <c r="U931" s="10" t="str">
        <f aca="false">IF($C931="","",IFERROR(INDEX(Listas!$C$2:$C$20,MATCH($D931,Listas!$A$2:$A$20,0)),""))</f>
        <v/>
      </c>
      <c r="V931" s="10" t="str">
        <f aca="false">IF($C931="","",IFERROR(INDEX(Listas!$D$2:$D$20,MATCH($D931,Listas!$A$2:$A$20,0)),""))</f>
        <v/>
      </c>
      <c r="W931" s="11" t="str">
        <f aca="false">IF(OR($C931="",$B931="",$G931=""),"",$G931-$B931)</f>
        <v/>
      </c>
      <c r="X931" s="11" t="str">
        <f aca="true">IF(OR($C931="",$B931=""),"",IF($N931&lt;&gt;"",$N931,TODAY())-$B931)</f>
        <v/>
      </c>
      <c r="Y931" s="11" t="str">
        <f aca="true">IF(OR($C931="",$M931&lt;&gt;"Abierta",$G931=""),"",MAX($G931-TODAY(),0))</f>
        <v/>
      </c>
      <c r="Z931" s="12" t="str">
        <f aca="false">IF($C931="","",N($K931)*N($H931)*N($I931)*IF($U931="Débito",-1,1))</f>
        <v/>
      </c>
      <c r="AA931" s="13" t="str">
        <f aca="false">IF($C931="","",IF(AND($U931="Débito",$F931&lt;&gt;""),$F931,$E931))</f>
        <v/>
      </c>
      <c r="AB931" s="13" t="str">
        <f aca="false">IF(OR($C931="",$T931="Mixta",$AA931=""),"",IF($V931="Subyacente",IF($J931="","",$J931-$K931),IF($T931="Put",$AA931-$K931,$AA931+$K931)))</f>
        <v/>
      </c>
      <c r="AC931" s="14" t="str">
        <f aca="false">IF(OR($C931="",$T931="Mixta",$J931="",$AA931=""),"",IF($T931="Put",($J931-$AA931)/$J931,($AA931-$J931)/$J931))</f>
        <v/>
      </c>
      <c r="AD931" s="12" t="str">
        <f aca="false">IF($C931="","",IF($Q931&lt;&gt;"",$Q931,IF($V931="Strike",N($E931)*$H931*$I931,IF($V931="Subyacente",IF($J931="","",$J931*$H931*$I931),IF($V931="Ancho",IF($F931="","",ABS($E931-$F931)*$H931*$I931-$K931*$H931*$I931),IF($V931="Prima",$K931*$H931*$I931,""))))))</f>
        <v/>
      </c>
      <c r="AE931" s="12" t="str">
        <f aca="false">IF(OR($C931="",$M931="Abierta",$M931=""),"",(N($K931)-IF(OR($M931="Cerrada",$M931="Rolada"),N($O931),0))*$H931*$I931*IF($U931="Débito",-1,1)-N($L931)-N($P931))</f>
        <v/>
      </c>
      <c r="AF931" s="14" t="str">
        <f aca="false">IF(OR($AE931="",$AD931=""),"",IF($AD931&lt;=0,"",$AE931/$AD931))</f>
        <v/>
      </c>
      <c r="AG931" s="14" t="str">
        <f aca="false">IF($AF931="","",$AF931*365/MAX(N($X931),1))</f>
        <v/>
      </c>
      <c r="AH931" s="14" t="str">
        <f aca="false">IF(OR($C931="",$U931&lt;&gt;"Crédito",$AD931=""),"",IF($AD931&lt;=0,"",($Z931-N($L931))/$AD931))</f>
        <v/>
      </c>
      <c r="AI931" s="14" t="str">
        <f aca="false">IF(OR($AH931="",$W931=""),"",$AH931*365/MAX($W931,1))</f>
        <v/>
      </c>
      <c r="AJ931" s="14" t="str">
        <f aca="false">IF(OR($AE931="",$U931&lt;&gt;"Crédito",N($K931)=0),"",(N($K931)-IF(OR($M931="Cerrada",$M931="Rolada"),N($O931),0))/$K931)</f>
        <v/>
      </c>
      <c r="AK931" s="15" t="str">
        <f aca="false">IF(OR($C931="",$N931=""),"",DATE(YEAR($N931),MONTH($N931),1))</f>
        <v/>
      </c>
      <c r="AL931" s="11" t="str">
        <f aca="false">IF($C931="","",IF($M931="Abierta",0,1))</f>
        <v/>
      </c>
      <c r="AM931" s="16" t="str">
        <f aca="false">IF(OR($AE931="",$AD931=""),"",$AD931*MAX(N($X931),1))</f>
        <v/>
      </c>
      <c r="AN931" s="10" t="str">
        <f aca="false">IF($C931="","",IF(OR($B931="",$D931="",$H931="",$K931="",$M931=""),"Faltan datos obligatorios",IF($T931="","Estrategia no reconocida",IF(AND($M931&lt;&gt;"Abierta",$N931=""),"Falta fecha cierre",IF(AND(OR($M931="Cerrada",$M931="Rolada"),$O931=""),"Falta prima cierre",IF(AND($N931&lt;&gt;"",$N931&lt;$B931),"Cierre anterior a apertura",IF(AND($M931="Asignada",$R931=""),"Asignada: falta ID lote acciones",IF(AND($R931&lt;&gt;"",ISNA(MATCH($R931,Acciones!$A$2:$A$201,0))),"El ID lote no existe en Acciones",IF($AD931="","Revisa capital en riesgo","OK")))))))))</f>
        <v/>
      </c>
    </row>
    <row r="932" customFormat="false" ht="15" hidden="false" customHeight="true" outlineLevel="0" collapsed="false">
      <c r="A932" s="5"/>
      <c r="B932" s="6"/>
      <c r="C932" s="7"/>
      <c r="D932" s="7"/>
      <c r="E932" s="8"/>
      <c r="F932" s="8"/>
      <c r="G932" s="6"/>
      <c r="H932" s="5"/>
      <c r="I932" s="5" t="n">
        <v>100</v>
      </c>
      <c r="J932" s="8"/>
      <c r="K932" s="8"/>
      <c r="L932" s="9"/>
      <c r="M932" s="7"/>
      <c r="N932" s="6"/>
      <c r="O932" s="8"/>
      <c r="P932" s="9"/>
      <c r="Q932" s="9"/>
      <c r="R932" s="7"/>
      <c r="S932" s="7"/>
      <c r="T932" s="10" t="str">
        <f aca="false">IF($C932="","",IFERROR(INDEX(Listas!$B$2:$B$20,MATCH($D932,Listas!$A$2:$A$20,0)),""))</f>
        <v/>
      </c>
      <c r="U932" s="10" t="str">
        <f aca="false">IF($C932="","",IFERROR(INDEX(Listas!$C$2:$C$20,MATCH($D932,Listas!$A$2:$A$20,0)),""))</f>
        <v/>
      </c>
      <c r="V932" s="10" t="str">
        <f aca="false">IF($C932="","",IFERROR(INDEX(Listas!$D$2:$D$20,MATCH($D932,Listas!$A$2:$A$20,0)),""))</f>
        <v/>
      </c>
      <c r="W932" s="11" t="str">
        <f aca="false">IF(OR($C932="",$B932="",$G932=""),"",$G932-$B932)</f>
        <v/>
      </c>
      <c r="X932" s="11" t="str">
        <f aca="true">IF(OR($C932="",$B932=""),"",IF($N932&lt;&gt;"",$N932,TODAY())-$B932)</f>
        <v/>
      </c>
      <c r="Y932" s="11" t="str">
        <f aca="true">IF(OR($C932="",$M932&lt;&gt;"Abierta",$G932=""),"",MAX($G932-TODAY(),0))</f>
        <v/>
      </c>
      <c r="Z932" s="12" t="str">
        <f aca="false">IF($C932="","",N($K932)*N($H932)*N($I932)*IF($U932="Débito",-1,1))</f>
        <v/>
      </c>
      <c r="AA932" s="13" t="str">
        <f aca="false">IF($C932="","",IF(AND($U932="Débito",$F932&lt;&gt;""),$F932,$E932))</f>
        <v/>
      </c>
      <c r="AB932" s="13" t="str">
        <f aca="false">IF(OR($C932="",$T932="Mixta",$AA932=""),"",IF($V932="Subyacente",IF($J932="","",$J932-$K932),IF($T932="Put",$AA932-$K932,$AA932+$K932)))</f>
        <v/>
      </c>
      <c r="AC932" s="14" t="str">
        <f aca="false">IF(OR($C932="",$T932="Mixta",$J932="",$AA932=""),"",IF($T932="Put",($J932-$AA932)/$J932,($AA932-$J932)/$J932))</f>
        <v/>
      </c>
      <c r="AD932" s="12" t="str">
        <f aca="false">IF($C932="","",IF($Q932&lt;&gt;"",$Q932,IF($V932="Strike",N($E932)*$H932*$I932,IF($V932="Subyacente",IF($J932="","",$J932*$H932*$I932),IF($V932="Ancho",IF($F932="","",ABS($E932-$F932)*$H932*$I932-$K932*$H932*$I932),IF($V932="Prima",$K932*$H932*$I932,""))))))</f>
        <v/>
      </c>
      <c r="AE932" s="12" t="str">
        <f aca="false">IF(OR($C932="",$M932="Abierta",$M932=""),"",(N($K932)-IF(OR($M932="Cerrada",$M932="Rolada"),N($O932),0))*$H932*$I932*IF($U932="Débito",-1,1)-N($L932)-N($P932))</f>
        <v/>
      </c>
      <c r="AF932" s="14" t="str">
        <f aca="false">IF(OR($AE932="",$AD932=""),"",IF($AD932&lt;=0,"",$AE932/$AD932))</f>
        <v/>
      </c>
      <c r="AG932" s="14" t="str">
        <f aca="false">IF($AF932="","",$AF932*365/MAX(N($X932),1))</f>
        <v/>
      </c>
      <c r="AH932" s="14" t="str">
        <f aca="false">IF(OR($C932="",$U932&lt;&gt;"Crédito",$AD932=""),"",IF($AD932&lt;=0,"",($Z932-N($L932))/$AD932))</f>
        <v/>
      </c>
      <c r="AI932" s="14" t="str">
        <f aca="false">IF(OR($AH932="",$W932=""),"",$AH932*365/MAX($W932,1))</f>
        <v/>
      </c>
      <c r="AJ932" s="14" t="str">
        <f aca="false">IF(OR($AE932="",$U932&lt;&gt;"Crédito",N($K932)=0),"",(N($K932)-IF(OR($M932="Cerrada",$M932="Rolada"),N($O932),0))/$K932)</f>
        <v/>
      </c>
      <c r="AK932" s="15" t="str">
        <f aca="false">IF(OR($C932="",$N932=""),"",DATE(YEAR($N932),MONTH($N932),1))</f>
        <v/>
      </c>
      <c r="AL932" s="11" t="str">
        <f aca="false">IF($C932="","",IF($M932="Abierta",0,1))</f>
        <v/>
      </c>
      <c r="AM932" s="16" t="str">
        <f aca="false">IF(OR($AE932="",$AD932=""),"",$AD932*MAX(N($X932),1))</f>
        <v/>
      </c>
      <c r="AN932" s="10" t="str">
        <f aca="false">IF($C932="","",IF(OR($B932="",$D932="",$H932="",$K932="",$M932=""),"Faltan datos obligatorios",IF($T932="","Estrategia no reconocida",IF(AND($M932&lt;&gt;"Abierta",$N932=""),"Falta fecha cierre",IF(AND(OR($M932="Cerrada",$M932="Rolada"),$O932=""),"Falta prima cierre",IF(AND($N932&lt;&gt;"",$N932&lt;$B932),"Cierre anterior a apertura",IF(AND($M932="Asignada",$R932=""),"Asignada: falta ID lote acciones",IF(AND($R932&lt;&gt;"",ISNA(MATCH($R932,Acciones!$A$2:$A$201,0))),"El ID lote no existe en Acciones",IF($AD932="","Revisa capital en riesgo","OK")))))))))</f>
        <v/>
      </c>
    </row>
    <row r="933" customFormat="false" ht="15" hidden="false" customHeight="true" outlineLevel="0" collapsed="false">
      <c r="A933" s="5"/>
      <c r="B933" s="6"/>
      <c r="C933" s="7"/>
      <c r="D933" s="7"/>
      <c r="E933" s="8"/>
      <c r="F933" s="8"/>
      <c r="G933" s="6"/>
      <c r="H933" s="5"/>
      <c r="I933" s="5" t="n">
        <v>100</v>
      </c>
      <c r="J933" s="8"/>
      <c r="K933" s="8"/>
      <c r="L933" s="9"/>
      <c r="M933" s="7"/>
      <c r="N933" s="6"/>
      <c r="O933" s="8"/>
      <c r="P933" s="9"/>
      <c r="Q933" s="9"/>
      <c r="R933" s="7"/>
      <c r="S933" s="7"/>
      <c r="T933" s="10" t="str">
        <f aca="false">IF($C933="","",IFERROR(INDEX(Listas!$B$2:$B$20,MATCH($D933,Listas!$A$2:$A$20,0)),""))</f>
        <v/>
      </c>
      <c r="U933" s="10" t="str">
        <f aca="false">IF($C933="","",IFERROR(INDEX(Listas!$C$2:$C$20,MATCH($D933,Listas!$A$2:$A$20,0)),""))</f>
        <v/>
      </c>
      <c r="V933" s="10" t="str">
        <f aca="false">IF($C933="","",IFERROR(INDEX(Listas!$D$2:$D$20,MATCH($D933,Listas!$A$2:$A$20,0)),""))</f>
        <v/>
      </c>
      <c r="W933" s="11" t="str">
        <f aca="false">IF(OR($C933="",$B933="",$G933=""),"",$G933-$B933)</f>
        <v/>
      </c>
      <c r="X933" s="11" t="str">
        <f aca="true">IF(OR($C933="",$B933=""),"",IF($N933&lt;&gt;"",$N933,TODAY())-$B933)</f>
        <v/>
      </c>
      <c r="Y933" s="11" t="str">
        <f aca="true">IF(OR($C933="",$M933&lt;&gt;"Abierta",$G933=""),"",MAX($G933-TODAY(),0))</f>
        <v/>
      </c>
      <c r="Z933" s="12" t="str">
        <f aca="false">IF($C933="","",N($K933)*N($H933)*N($I933)*IF($U933="Débito",-1,1))</f>
        <v/>
      </c>
      <c r="AA933" s="13" t="str">
        <f aca="false">IF($C933="","",IF(AND($U933="Débito",$F933&lt;&gt;""),$F933,$E933))</f>
        <v/>
      </c>
      <c r="AB933" s="13" t="str">
        <f aca="false">IF(OR($C933="",$T933="Mixta",$AA933=""),"",IF($V933="Subyacente",IF($J933="","",$J933-$K933),IF($T933="Put",$AA933-$K933,$AA933+$K933)))</f>
        <v/>
      </c>
      <c r="AC933" s="14" t="str">
        <f aca="false">IF(OR($C933="",$T933="Mixta",$J933="",$AA933=""),"",IF($T933="Put",($J933-$AA933)/$J933,($AA933-$J933)/$J933))</f>
        <v/>
      </c>
      <c r="AD933" s="12" t="str">
        <f aca="false">IF($C933="","",IF($Q933&lt;&gt;"",$Q933,IF($V933="Strike",N($E933)*$H933*$I933,IF($V933="Subyacente",IF($J933="","",$J933*$H933*$I933),IF($V933="Ancho",IF($F933="","",ABS($E933-$F933)*$H933*$I933-$K933*$H933*$I933),IF($V933="Prima",$K933*$H933*$I933,""))))))</f>
        <v/>
      </c>
      <c r="AE933" s="12" t="str">
        <f aca="false">IF(OR($C933="",$M933="Abierta",$M933=""),"",(N($K933)-IF(OR($M933="Cerrada",$M933="Rolada"),N($O933),0))*$H933*$I933*IF($U933="Débito",-1,1)-N($L933)-N($P933))</f>
        <v/>
      </c>
      <c r="AF933" s="14" t="str">
        <f aca="false">IF(OR($AE933="",$AD933=""),"",IF($AD933&lt;=0,"",$AE933/$AD933))</f>
        <v/>
      </c>
      <c r="AG933" s="14" t="str">
        <f aca="false">IF($AF933="","",$AF933*365/MAX(N($X933),1))</f>
        <v/>
      </c>
      <c r="AH933" s="14" t="str">
        <f aca="false">IF(OR($C933="",$U933&lt;&gt;"Crédito",$AD933=""),"",IF($AD933&lt;=0,"",($Z933-N($L933))/$AD933))</f>
        <v/>
      </c>
      <c r="AI933" s="14" t="str">
        <f aca="false">IF(OR($AH933="",$W933=""),"",$AH933*365/MAX($W933,1))</f>
        <v/>
      </c>
      <c r="AJ933" s="14" t="str">
        <f aca="false">IF(OR($AE933="",$U933&lt;&gt;"Crédito",N($K933)=0),"",(N($K933)-IF(OR($M933="Cerrada",$M933="Rolada"),N($O933),0))/$K933)</f>
        <v/>
      </c>
      <c r="AK933" s="15" t="str">
        <f aca="false">IF(OR($C933="",$N933=""),"",DATE(YEAR($N933),MONTH($N933),1))</f>
        <v/>
      </c>
      <c r="AL933" s="11" t="str">
        <f aca="false">IF($C933="","",IF($M933="Abierta",0,1))</f>
        <v/>
      </c>
      <c r="AM933" s="16" t="str">
        <f aca="false">IF(OR($AE933="",$AD933=""),"",$AD933*MAX(N($X933),1))</f>
        <v/>
      </c>
      <c r="AN933" s="10" t="str">
        <f aca="false">IF($C933="","",IF(OR($B933="",$D933="",$H933="",$K933="",$M933=""),"Faltan datos obligatorios",IF($T933="","Estrategia no reconocida",IF(AND($M933&lt;&gt;"Abierta",$N933=""),"Falta fecha cierre",IF(AND(OR($M933="Cerrada",$M933="Rolada"),$O933=""),"Falta prima cierre",IF(AND($N933&lt;&gt;"",$N933&lt;$B933),"Cierre anterior a apertura",IF(AND($M933="Asignada",$R933=""),"Asignada: falta ID lote acciones",IF(AND($R933&lt;&gt;"",ISNA(MATCH($R933,Acciones!$A$2:$A$201,0))),"El ID lote no existe en Acciones",IF($AD933="","Revisa capital en riesgo","OK")))))))))</f>
        <v/>
      </c>
    </row>
    <row r="934" customFormat="false" ht="15" hidden="false" customHeight="true" outlineLevel="0" collapsed="false">
      <c r="A934" s="5"/>
      <c r="B934" s="6"/>
      <c r="C934" s="7"/>
      <c r="D934" s="7"/>
      <c r="E934" s="8"/>
      <c r="F934" s="8"/>
      <c r="G934" s="6"/>
      <c r="H934" s="5"/>
      <c r="I934" s="5" t="n">
        <v>100</v>
      </c>
      <c r="J934" s="8"/>
      <c r="K934" s="8"/>
      <c r="L934" s="9"/>
      <c r="M934" s="7"/>
      <c r="N934" s="6"/>
      <c r="O934" s="8"/>
      <c r="P934" s="9"/>
      <c r="Q934" s="9"/>
      <c r="R934" s="7"/>
      <c r="S934" s="7"/>
      <c r="T934" s="10" t="str">
        <f aca="false">IF($C934="","",IFERROR(INDEX(Listas!$B$2:$B$20,MATCH($D934,Listas!$A$2:$A$20,0)),""))</f>
        <v/>
      </c>
      <c r="U934" s="10" t="str">
        <f aca="false">IF($C934="","",IFERROR(INDEX(Listas!$C$2:$C$20,MATCH($D934,Listas!$A$2:$A$20,0)),""))</f>
        <v/>
      </c>
      <c r="V934" s="10" t="str">
        <f aca="false">IF($C934="","",IFERROR(INDEX(Listas!$D$2:$D$20,MATCH($D934,Listas!$A$2:$A$20,0)),""))</f>
        <v/>
      </c>
      <c r="W934" s="11" t="str">
        <f aca="false">IF(OR($C934="",$B934="",$G934=""),"",$G934-$B934)</f>
        <v/>
      </c>
      <c r="X934" s="11" t="str">
        <f aca="true">IF(OR($C934="",$B934=""),"",IF($N934&lt;&gt;"",$N934,TODAY())-$B934)</f>
        <v/>
      </c>
      <c r="Y934" s="11" t="str">
        <f aca="true">IF(OR($C934="",$M934&lt;&gt;"Abierta",$G934=""),"",MAX($G934-TODAY(),0))</f>
        <v/>
      </c>
      <c r="Z934" s="12" t="str">
        <f aca="false">IF($C934="","",N($K934)*N($H934)*N($I934)*IF($U934="Débito",-1,1))</f>
        <v/>
      </c>
      <c r="AA934" s="13" t="str">
        <f aca="false">IF($C934="","",IF(AND($U934="Débito",$F934&lt;&gt;""),$F934,$E934))</f>
        <v/>
      </c>
      <c r="AB934" s="13" t="str">
        <f aca="false">IF(OR($C934="",$T934="Mixta",$AA934=""),"",IF($V934="Subyacente",IF($J934="","",$J934-$K934),IF($T934="Put",$AA934-$K934,$AA934+$K934)))</f>
        <v/>
      </c>
      <c r="AC934" s="14" t="str">
        <f aca="false">IF(OR($C934="",$T934="Mixta",$J934="",$AA934=""),"",IF($T934="Put",($J934-$AA934)/$J934,($AA934-$J934)/$J934))</f>
        <v/>
      </c>
      <c r="AD934" s="12" t="str">
        <f aca="false">IF($C934="","",IF($Q934&lt;&gt;"",$Q934,IF($V934="Strike",N($E934)*$H934*$I934,IF($V934="Subyacente",IF($J934="","",$J934*$H934*$I934),IF($V934="Ancho",IF($F934="","",ABS($E934-$F934)*$H934*$I934-$K934*$H934*$I934),IF($V934="Prima",$K934*$H934*$I934,""))))))</f>
        <v/>
      </c>
      <c r="AE934" s="12" t="str">
        <f aca="false">IF(OR($C934="",$M934="Abierta",$M934=""),"",(N($K934)-IF(OR($M934="Cerrada",$M934="Rolada"),N($O934),0))*$H934*$I934*IF($U934="Débito",-1,1)-N($L934)-N($P934))</f>
        <v/>
      </c>
      <c r="AF934" s="14" t="str">
        <f aca="false">IF(OR($AE934="",$AD934=""),"",IF($AD934&lt;=0,"",$AE934/$AD934))</f>
        <v/>
      </c>
      <c r="AG934" s="14" t="str">
        <f aca="false">IF($AF934="","",$AF934*365/MAX(N($X934),1))</f>
        <v/>
      </c>
      <c r="AH934" s="14" t="str">
        <f aca="false">IF(OR($C934="",$U934&lt;&gt;"Crédito",$AD934=""),"",IF($AD934&lt;=0,"",($Z934-N($L934))/$AD934))</f>
        <v/>
      </c>
      <c r="AI934" s="14" t="str">
        <f aca="false">IF(OR($AH934="",$W934=""),"",$AH934*365/MAX($W934,1))</f>
        <v/>
      </c>
      <c r="AJ934" s="14" t="str">
        <f aca="false">IF(OR($AE934="",$U934&lt;&gt;"Crédito",N($K934)=0),"",(N($K934)-IF(OR($M934="Cerrada",$M934="Rolada"),N($O934),0))/$K934)</f>
        <v/>
      </c>
      <c r="AK934" s="15" t="str">
        <f aca="false">IF(OR($C934="",$N934=""),"",DATE(YEAR($N934),MONTH($N934),1))</f>
        <v/>
      </c>
      <c r="AL934" s="11" t="str">
        <f aca="false">IF($C934="","",IF($M934="Abierta",0,1))</f>
        <v/>
      </c>
      <c r="AM934" s="16" t="str">
        <f aca="false">IF(OR($AE934="",$AD934=""),"",$AD934*MAX(N($X934),1))</f>
        <v/>
      </c>
      <c r="AN934" s="10" t="str">
        <f aca="false">IF($C934="","",IF(OR($B934="",$D934="",$H934="",$K934="",$M934=""),"Faltan datos obligatorios",IF($T934="","Estrategia no reconocida",IF(AND($M934&lt;&gt;"Abierta",$N934=""),"Falta fecha cierre",IF(AND(OR($M934="Cerrada",$M934="Rolada"),$O934=""),"Falta prima cierre",IF(AND($N934&lt;&gt;"",$N934&lt;$B934),"Cierre anterior a apertura",IF(AND($M934="Asignada",$R934=""),"Asignada: falta ID lote acciones",IF(AND($R934&lt;&gt;"",ISNA(MATCH($R934,Acciones!$A$2:$A$201,0))),"El ID lote no existe en Acciones",IF($AD934="","Revisa capital en riesgo","OK")))))))))</f>
        <v/>
      </c>
    </row>
    <row r="935" customFormat="false" ht="15" hidden="false" customHeight="true" outlineLevel="0" collapsed="false">
      <c r="A935" s="5"/>
      <c r="B935" s="6"/>
      <c r="C935" s="7"/>
      <c r="D935" s="7"/>
      <c r="E935" s="8"/>
      <c r="F935" s="8"/>
      <c r="G935" s="6"/>
      <c r="H935" s="5"/>
      <c r="I935" s="5" t="n">
        <v>100</v>
      </c>
      <c r="J935" s="8"/>
      <c r="K935" s="8"/>
      <c r="L935" s="9"/>
      <c r="M935" s="7"/>
      <c r="N935" s="6"/>
      <c r="O935" s="8"/>
      <c r="P935" s="9"/>
      <c r="Q935" s="9"/>
      <c r="R935" s="7"/>
      <c r="S935" s="7"/>
      <c r="T935" s="10" t="str">
        <f aca="false">IF($C935="","",IFERROR(INDEX(Listas!$B$2:$B$20,MATCH($D935,Listas!$A$2:$A$20,0)),""))</f>
        <v/>
      </c>
      <c r="U935" s="10" t="str">
        <f aca="false">IF($C935="","",IFERROR(INDEX(Listas!$C$2:$C$20,MATCH($D935,Listas!$A$2:$A$20,0)),""))</f>
        <v/>
      </c>
      <c r="V935" s="10" t="str">
        <f aca="false">IF($C935="","",IFERROR(INDEX(Listas!$D$2:$D$20,MATCH($D935,Listas!$A$2:$A$20,0)),""))</f>
        <v/>
      </c>
      <c r="W935" s="11" t="str">
        <f aca="false">IF(OR($C935="",$B935="",$G935=""),"",$G935-$B935)</f>
        <v/>
      </c>
      <c r="X935" s="11" t="str">
        <f aca="true">IF(OR($C935="",$B935=""),"",IF($N935&lt;&gt;"",$N935,TODAY())-$B935)</f>
        <v/>
      </c>
      <c r="Y935" s="11" t="str">
        <f aca="true">IF(OR($C935="",$M935&lt;&gt;"Abierta",$G935=""),"",MAX($G935-TODAY(),0))</f>
        <v/>
      </c>
      <c r="Z935" s="12" t="str">
        <f aca="false">IF($C935="","",N($K935)*N($H935)*N($I935)*IF($U935="Débito",-1,1))</f>
        <v/>
      </c>
      <c r="AA935" s="13" t="str">
        <f aca="false">IF($C935="","",IF(AND($U935="Débito",$F935&lt;&gt;""),$F935,$E935))</f>
        <v/>
      </c>
      <c r="AB935" s="13" t="str">
        <f aca="false">IF(OR($C935="",$T935="Mixta",$AA935=""),"",IF($V935="Subyacente",IF($J935="","",$J935-$K935),IF($T935="Put",$AA935-$K935,$AA935+$K935)))</f>
        <v/>
      </c>
      <c r="AC935" s="14" t="str">
        <f aca="false">IF(OR($C935="",$T935="Mixta",$J935="",$AA935=""),"",IF($T935="Put",($J935-$AA935)/$J935,($AA935-$J935)/$J935))</f>
        <v/>
      </c>
      <c r="AD935" s="12" t="str">
        <f aca="false">IF($C935="","",IF($Q935&lt;&gt;"",$Q935,IF($V935="Strike",N($E935)*$H935*$I935,IF($V935="Subyacente",IF($J935="","",$J935*$H935*$I935),IF($V935="Ancho",IF($F935="","",ABS($E935-$F935)*$H935*$I935-$K935*$H935*$I935),IF($V935="Prima",$K935*$H935*$I935,""))))))</f>
        <v/>
      </c>
      <c r="AE935" s="12" t="str">
        <f aca="false">IF(OR($C935="",$M935="Abierta",$M935=""),"",(N($K935)-IF(OR($M935="Cerrada",$M935="Rolada"),N($O935),0))*$H935*$I935*IF($U935="Débito",-1,1)-N($L935)-N($P935))</f>
        <v/>
      </c>
      <c r="AF935" s="14" t="str">
        <f aca="false">IF(OR($AE935="",$AD935=""),"",IF($AD935&lt;=0,"",$AE935/$AD935))</f>
        <v/>
      </c>
      <c r="AG935" s="14" t="str">
        <f aca="false">IF($AF935="","",$AF935*365/MAX(N($X935),1))</f>
        <v/>
      </c>
      <c r="AH935" s="14" t="str">
        <f aca="false">IF(OR($C935="",$U935&lt;&gt;"Crédito",$AD935=""),"",IF($AD935&lt;=0,"",($Z935-N($L935))/$AD935))</f>
        <v/>
      </c>
      <c r="AI935" s="14" t="str">
        <f aca="false">IF(OR($AH935="",$W935=""),"",$AH935*365/MAX($W935,1))</f>
        <v/>
      </c>
      <c r="AJ935" s="14" t="str">
        <f aca="false">IF(OR($AE935="",$U935&lt;&gt;"Crédito",N($K935)=0),"",(N($K935)-IF(OR($M935="Cerrada",$M935="Rolada"),N($O935),0))/$K935)</f>
        <v/>
      </c>
      <c r="AK935" s="15" t="str">
        <f aca="false">IF(OR($C935="",$N935=""),"",DATE(YEAR($N935),MONTH($N935),1))</f>
        <v/>
      </c>
      <c r="AL935" s="11" t="str">
        <f aca="false">IF($C935="","",IF($M935="Abierta",0,1))</f>
        <v/>
      </c>
      <c r="AM935" s="16" t="str">
        <f aca="false">IF(OR($AE935="",$AD935=""),"",$AD935*MAX(N($X935),1))</f>
        <v/>
      </c>
      <c r="AN935" s="10" t="str">
        <f aca="false">IF($C935="","",IF(OR($B935="",$D935="",$H935="",$K935="",$M935=""),"Faltan datos obligatorios",IF($T935="","Estrategia no reconocida",IF(AND($M935&lt;&gt;"Abierta",$N935=""),"Falta fecha cierre",IF(AND(OR($M935="Cerrada",$M935="Rolada"),$O935=""),"Falta prima cierre",IF(AND($N935&lt;&gt;"",$N935&lt;$B935),"Cierre anterior a apertura",IF(AND($M935="Asignada",$R935=""),"Asignada: falta ID lote acciones",IF(AND($R935&lt;&gt;"",ISNA(MATCH($R935,Acciones!$A$2:$A$201,0))),"El ID lote no existe en Acciones",IF($AD935="","Revisa capital en riesgo","OK")))))))))</f>
        <v/>
      </c>
    </row>
    <row r="936" customFormat="false" ht="15" hidden="false" customHeight="true" outlineLevel="0" collapsed="false">
      <c r="A936" s="5"/>
      <c r="B936" s="6"/>
      <c r="C936" s="7"/>
      <c r="D936" s="7"/>
      <c r="E936" s="8"/>
      <c r="F936" s="8"/>
      <c r="G936" s="6"/>
      <c r="H936" s="5"/>
      <c r="I936" s="5" t="n">
        <v>100</v>
      </c>
      <c r="J936" s="8"/>
      <c r="K936" s="8"/>
      <c r="L936" s="9"/>
      <c r="M936" s="7"/>
      <c r="N936" s="6"/>
      <c r="O936" s="8"/>
      <c r="P936" s="9"/>
      <c r="Q936" s="9"/>
      <c r="R936" s="7"/>
      <c r="S936" s="7"/>
      <c r="T936" s="10" t="str">
        <f aca="false">IF($C936="","",IFERROR(INDEX(Listas!$B$2:$B$20,MATCH($D936,Listas!$A$2:$A$20,0)),""))</f>
        <v/>
      </c>
      <c r="U936" s="10" t="str">
        <f aca="false">IF($C936="","",IFERROR(INDEX(Listas!$C$2:$C$20,MATCH($D936,Listas!$A$2:$A$20,0)),""))</f>
        <v/>
      </c>
      <c r="V936" s="10" t="str">
        <f aca="false">IF($C936="","",IFERROR(INDEX(Listas!$D$2:$D$20,MATCH($D936,Listas!$A$2:$A$20,0)),""))</f>
        <v/>
      </c>
      <c r="W936" s="11" t="str">
        <f aca="false">IF(OR($C936="",$B936="",$G936=""),"",$G936-$B936)</f>
        <v/>
      </c>
      <c r="X936" s="11" t="str">
        <f aca="true">IF(OR($C936="",$B936=""),"",IF($N936&lt;&gt;"",$N936,TODAY())-$B936)</f>
        <v/>
      </c>
      <c r="Y936" s="11" t="str">
        <f aca="true">IF(OR($C936="",$M936&lt;&gt;"Abierta",$G936=""),"",MAX($G936-TODAY(),0))</f>
        <v/>
      </c>
      <c r="Z936" s="12" t="str">
        <f aca="false">IF($C936="","",N($K936)*N($H936)*N($I936)*IF($U936="Débito",-1,1))</f>
        <v/>
      </c>
      <c r="AA936" s="13" t="str">
        <f aca="false">IF($C936="","",IF(AND($U936="Débito",$F936&lt;&gt;""),$F936,$E936))</f>
        <v/>
      </c>
      <c r="AB936" s="13" t="str">
        <f aca="false">IF(OR($C936="",$T936="Mixta",$AA936=""),"",IF($V936="Subyacente",IF($J936="","",$J936-$K936),IF($T936="Put",$AA936-$K936,$AA936+$K936)))</f>
        <v/>
      </c>
      <c r="AC936" s="14" t="str">
        <f aca="false">IF(OR($C936="",$T936="Mixta",$J936="",$AA936=""),"",IF($T936="Put",($J936-$AA936)/$J936,($AA936-$J936)/$J936))</f>
        <v/>
      </c>
      <c r="AD936" s="12" t="str">
        <f aca="false">IF($C936="","",IF($Q936&lt;&gt;"",$Q936,IF($V936="Strike",N($E936)*$H936*$I936,IF($V936="Subyacente",IF($J936="","",$J936*$H936*$I936),IF($V936="Ancho",IF($F936="","",ABS($E936-$F936)*$H936*$I936-$K936*$H936*$I936),IF($V936="Prima",$K936*$H936*$I936,""))))))</f>
        <v/>
      </c>
      <c r="AE936" s="12" t="str">
        <f aca="false">IF(OR($C936="",$M936="Abierta",$M936=""),"",(N($K936)-IF(OR($M936="Cerrada",$M936="Rolada"),N($O936),0))*$H936*$I936*IF($U936="Débito",-1,1)-N($L936)-N($P936))</f>
        <v/>
      </c>
      <c r="AF936" s="14" t="str">
        <f aca="false">IF(OR($AE936="",$AD936=""),"",IF($AD936&lt;=0,"",$AE936/$AD936))</f>
        <v/>
      </c>
      <c r="AG936" s="14" t="str">
        <f aca="false">IF($AF936="","",$AF936*365/MAX(N($X936),1))</f>
        <v/>
      </c>
      <c r="AH936" s="14" t="str">
        <f aca="false">IF(OR($C936="",$U936&lt;&gt;"Crédito",$AD936=""),"",IF($AD936&lt;=0,"",($Z936-N($L936))/$AD936))</f>
        <v/>
      </c>
      <c r="AI936" s="14" t="str">
        <f aca="false">IF(OR($AH936="",$W936=""),"",$AH936*365/MAX($W936,1))</f>
        <v/>
      </c>
      <c r="AJ936" s="14" t="str">
        <f aca="false">IF(OR($AE936="",$U936&lt;&gt;"Crédito",N($K936)=0),"",(N($K936)-IF(OR($M936="Cerrada",$M936="Rolada"),N($O936),0))/$K936)</f>
        <v/>
      </c>
      <c r="AK936" s="15" t="str">
        <f aca="false">IF(OR($C936="",$N936=""),"",DATE(YEAR($N936),MONTH($N936),1))</f>
        <v/>
      </c>
      <c r="AL936" s="11" t="str">
        <f aca="false">IF($C936="","",IF($M936="Abierta",0,1))</f>
        <v/>
      </c>
      <c r="AM936" s="16" t="str">
        <f aca="false">IF(OR($AE936="",$AD936=""),"",$AD936*MAX(N($X936),1))</f>
        <v/>
      </c>
      <c r="AN936" s="10" t="str">
        <f aca="false">IF($C936="","",IF(OR($B936="",$D936="",$H936="",$K936="",$M936=""),"Faltan datos obligatorios",IF($T936="","Estrategia no reconocida",IF(AND($M936&lt;&gt;"Abierta",$N936=""),"Falta fecha cierre",IF(AND(OR($M936="Cerrada",$M936="Rolada"),$O936=""),"Falta prima cierre",IF(AND($N936&lt;&gt;"",$N936&lt;$B936),"Cierre anterior a apertura",IF(AND($M936="Asignada",$R936=""),"Asignada: falta ID lote acciones",IF(AND($R936&lt;&gt;"",ISNA(MATCH($R936,Acciones!$A$2:$A$201,0))),"El ID lote no existe en Acciones",IF($AD936="","Revisa capital en riesgo","OK")))))))))</f>
        <v/>
      </c>
    </row>
    <row r="937" customFormat="false" ht="15" hidden="false" customHeight="true" outlineLevel="0" collapsed="false">
      <c r="A937" s="5"/>
      <c r="B937" s="6"/>
      <c r="C937" s="7"/>
      <c r="D937" s="7"/>
      <c r="E937" s="8"/>
      <c r="F937" s="8"/>
      <c r="G937" s="6"/>
      <c r="H937" s="5"/>
      <c r="I937" s="5" t="n">
        <v>100</v>
      </c>
      <c r="J937" s="8"/>
      <c r="K937" s="8"/>
      <c r="L937" s="9"/>
      <c r="M937" s="7"/>
      <c r="N937" s="6"/>
      <c r="O937" s="8"/>
      <c r="P937" s="9"/>
      <c r="Q937" s="9"/>
      <c r="R937" s="7"/>
      <c r="S937" s="7"/>
      <c r="T937" s="10" t="str">
        <f aca="false">IF($C937="","",IFERROR(INDEX(Listas!$B$2:$B$20,MATCH($D937,Listas!$A$2:$A$20,0)),""))</f>
        <v/>
      </c>
      <c r="U937" s="10" t="str">
        <f aca="false">IF($C937="","",IFERROR(INDEX(Listas!$C$2:$C$20,MATCH($D937,Listas!$A$2:$A$20,0)),""))</f>
        <v/>
      </c>
      <c r="V937" s="10" t="str">
        <f aca="false">IF($C937="","",IFERROR(INDEX(Listas!$D$2:$D$20,MATCH($D937,Listas!$A$2:$A$20,0)),""))</f>
        <v/>
      </c>
      <c r="W937" s="11" t="str">
        <f aca="false">IF(OR($C937="",$B937="",$G937=""),"",$G937-$B937)</f>
        <v/>
      </c>
      <c r="X937" s="11" t="str">
        <f aca="true">IF(OR($C937="",$B937=""),"",IF($N937&lt;&gt;"",$N937,TODAY())-$B937)</f>
        <v/>
      </c>
      <c r="Y937" s="11" t="str">
        <f aca="true">IF(OR($C937="",$M937&lt;&gt;"Abierta",$G937=""),"",MAX($G937-TODAY(),0))</f>
        <v/>
      </c>
      <c r="Z937" s="12" t="str">
        <f aca="false">IF($C937="","",N($K937)*N($H937)*N($I937)*IF($U937="Débito",-1,1))</f>
        <v/>
      </c>
      <c r="AA937" s="13" t="str">
        <f aca="false">IF($C937="","",IF(AND($U937="Débito",$F937&lt;&gt;""),$F937,$E937))</f>
        <v/>
      </c>
      <c r="AB937" s="13" t="str">
        <f aca="false">IF(OR($C937="",$T937="Mixta",$AA937=""),"",IF($V937="Subyacente",IF($J937="","",$J937-$K937),IF($T937="Put",$AA937-$K937,$AA937+$K937)))</f>
        <v/>
      </c>
      <c r="AC937" s="14" t="str">
        <f aca="false">IF(OR($C937="",$T937="Mixta",$J937="",$AA937=""),"",IF($T937="Put",($J937-$AA937)/$J937,($AA937-$J937)/$J937))</f>
        <v/>
      </c>
      <c r="AD937" s="12" t="str">
        <f aca="false">IF($C937="","",IF($Q937&lt;&gt;"",$Q937,IF($V937="Strike",N($E937)*$H937*$I937,IF($V937="Subyacente",IF($J937="","",$J937*$H937*$I937),IF($V937="Ancho",IF($F937="","",ABS($E937-$F937)*$H937*$I937-$K937*$H937*$I937),IF($V937="Prima",$K937*$H937*$I937,""))))))</f>
        <v/>
      </c>
      <c r="AE937" s="12" t="str">
        <f aca="false">IF(OR($C937="",$M937="Abierta",$M937=""),"",(N($K937)-IF(OR($M937="Cerrada",$M937="Rolada"),N($O937),0))*$H937*$I937*IF($U937="Débito",-1,1)-N($L937)-N($P937))</f>
        <v/>
      </c>
      <c r="AF937" s="14" t="str">
        <f aca="false">IF(OR($AE937="",$AD937=""),"",IF($AD937&lt;=0,"",$AE937/$AD937))</f>
        <v/>
      </c>
      <c r="AG937" s="14" t="str">
        <f aca="false">IF($AF937="","",$AF937*365/MAX(N($X937),1))</f>
        <v/>
      </c>
      <c r="AH937" s="14" t="str">
        <f aca="false">IF(OR($C937="",$U937&lt;&gt;"Crédito",$AD937=""),"",IF($AD937&lt;=0,"",($Z937-N($L937))/$AD937))</f>
        <v/>
      </c>
      <c r="AI937" s="14" t="str">
        <f aca="false">IF(OR($AH937="",$W937=""),"",$AH937*365/MAX($W937,1))</f>
        <v/>
      </c>
      <c r="AJ937" s="14" t="str">
        <f aca="false">IF(OR($AE937="",$U937&lt;&gt;"Crédito",N($K937)=0),"",(N($K937)-IF(OR($M937="Cerrada",$M937="Rolada"),N($O937),0))/$K937)</f>
        <v/>
      </c>
      <c r="AK937" s="15" t="str">
        <f aca="false">IF(OR($C937="",$N937=""),"",DATE(YEAR($N937),MONTH($N937),1))</f>
        <v/>
      </c>
      <c r="AL937" s="11" t="str">
        <f aca="false">IF($C937="","",IF($M937="Abierta",0,1))</f>
        <v/>
      </c>
      <c r="AM937" s="16" t="str">
        <f aca="false">IF(OR($AE937="",$AD937=""),"",$AD937*MAX(N($X937),1))</f>
        <v/>
      </c>
      <c r="AN937" s="10" t="str">
        <f aca="false">IF($C937="","",IF(OR($B937="",$D937="",$H937="",$K937="",$M937=""),"Faltan datos obligatorios",IF($T937="","Estrategia no reconocida",IF(AND($M937&lt;&gt;"Abierta",$N937=""),"Falta fecha cierre",IF(AND(OR($M937="Cerrada",$M937="Rolada"),$O937=""),"Falta prima cierre",IF(AND($N937&lt;&gt;"",$N937&lt;$B937),"Cierre anterior a apertura",IF(AND($M937="Asignada",$R937=""),"Asignada: falta ID lote acciones",IF(AND($R937&lt;&gt;"",ISNA(MATCH($R937,Acciones!$A$2:$A$201,0))),"El ID lote no existe en Acciones",IF($AD937="","Revisa capital en riesgo","OK")))))))))</f>
        <v/>
      </c>
    </row>
    <row r="938" customFormat="false" ht="15" hidden="false" customHeight="true" outlineLevel="0" collapsed="false">
      <c r="A938" s="5"/>
      <c r="B938" s="6"/>
      <c r="C938" s="7"/>
      <c r="D938" s="7"/>
      <c r="E938" s="8"/>
      <c r="F938" s="8"/>
      <c r="G938" s="6"/>
      <c r="H938" s="5"/>
      <c r="I938" s="5" t="n">
        <v>100</v>
      </c>
      <c r="J938" s="8"/>
      <c r="K938" s="8"/>
      <c r="L938" s="9"/>
      <c r="M938" s="7"/>
      <c r="N938" s="6"/>
      <c r="O938" s="8"/>
      <c r="P938" s="9"/>
      <c r="Q938" s="9"/>
      <c r="R938" s="7"/>
      <c r="S938" s="7"/>
      <c r="T938" s="10" t="str">
        <f aca="false">IF($C938="","",IFERROR(INDEX(Listas!$B$2:$B$20,MATCH($D938,Listas!$A$2:$A$20,0)),""))</f>
        <v/>
      </c>
      <c r="U938" s="10" t="str">
        <f aca="false">IF($C938="","",IFERROR(INDEX(Listas!$C$2:$C$20,MATCH($D938,Listas!$A$2:$A$20,0)),""))</f>
        <v/>
      </c>
      <c r="V938" s="10" t="str">
        <f aca="false">IF($C938="","",IFERROR(INDEX(Listas!$D$2:$D$20,MATCH($D938,Listas!$A$2:$A$20,0)),""))</f>
        <v/>
      </c>
      <c r="W938" s="11" t="str">
        <f aca="false">IF(OR($C938="",$B938="",$G938=""),"",$G938-$B938)</f>
        <v/>
      </c>
      <c r="X938" s="11" t="str">
        <f aca="true">IF(OR($C938="",$B938=""),"",IF($N938&lt;&gt;"",$N938,TODAY())-$B938)</f>
        <v/>
      </c>
      <c r="Y938" s="11" t="str">
        <f aca="true">IF(OR($C938="",$M938&lt;&gt;"Abierta",$G938=""),"",MAX($G938-TODAY(),0))</f>
        <v/>
      </c>
      <c r="Z938" s="12" t="str">
        <f aca="false">IF($C938="","",N($K938)*N($H938)*N($I938)*IF($U938="Débito",-1,1))</f>
        <v/>
      </c>
      <c r="AA938" s="13" t="str">
        <f aca="false">IF($C938="","",IF(AND($U938="Débito",$F938&lt;&gt;""),$F938,$E938))</f>
        <v/>
      </c>
      <c r="AB938" s="13" t="str">
        <f aca="false">IF(OR($C938="",$T938="Mixta",$AA938=""),"",IF($V938="Subyacente",IF($J938="","",$J938-$K938),IF($T938="Put",$AA938-$K938,$AA938+$K938)))</f>
        <v/>
      </c>
      <c r="AC938" s="14" t="str">
        <f aca="false">IF(OR($C938="",$T938="Mixta",$J938="",$AA938=""),"",IF($T938="Put",($J938-$AA938)/$J938,($AA938-$J938)/$J938))</f>
        <v/>
      </c>
      <c r="AD938" s="12" t="str">
        <f aca="false">IF($C938="","",IF($Q938&lt;&gt;"",$Q938,IF($V938="Strike",N($E938)*$H938*$I938,IF($V938="Subyacente",IF($J938="","",$J938*$H938*$I938),IF($V938="Ancho",IF($F938="","",ABS($E938-$F938)*$H938*$I938-$K938*$H938*$I938),IF($V938="Prima",$K938*$H938*$I938,""))))))</f>
        <v/>
      </c>
      <c r="AE938" s="12" t="str">
        <f aca="false">IF(OR($C938="",$M938="Abierta",$M938=""),"",(N($K938)-IF(OR($M938="Cerrada",$M938="Rolada"),N($O938),0))*$H938*$I938*IF($U938="Débito",-1,1)-N($L938)-N($P938))</f>
        <v/>
      </c>
      <c r="AF938" s="14" t="str">
        <f aca="false">IF(OR($AE938="",$AD938=""),"",IF($AD938&lt;=0,"",$AE938/$AD938))</f>
        <v/>
      </c>
      <c r="AG938" s="14" t="str">
        <f aca="false">IF($AF938="","",$AF938*365/MAX(N($X938),1))</f>
        <v/>
      </c>
      <c r="AH938" s="14" t="str">
        <f aca="false">IF(OR($C938="",$U938&lt;&gt;"Crédito",$AD938=""),"",IF($AD938&lt;=0,"",($Z938-N($L938))/$AD938))</f>
        <v/>
      </c>
      <c r="AI938" s="14" t="str">
        <f aca="false">IF(OR($AH938="",$W938=""),"",$AH938*365/MAX($W938,1))</f>
        <v/>
      </c>
      <c r="AJ938" s="14" t="str">
        <f aca="false">IF(OR($AE938="",$U938&lt;&gt;"Crédito",N($K938)=0),"",(N($K938)-IF(OR($M938="Cerrada",$M938="Rolada"),N($O938),0))/$K938)</f>
        <v/>
      </c>
      <c r="AK938" s="15" t="str">
        <f aca="false">IF(OR($C938="",$N938=""),"",DATE(YEAR($N938),MONTH($N938),1))</f>
        <v/>
      </c>
      <c r="AL938" s="11" t="str">
        <f aca="false">IF($C938="","",IF($M938="Abierta",0,1))</f>
        <v/>
      </c>
      <c r="AM938" s="16" t="str">
        <f aca="false">IF(OR($AE938="",$AD938=""),"",$AD938*MAX(N($X938),1))</f>
        <v/>
      </c>
      <c r="AN938" s="10" t="str">
        <f aca="false">IF($C938="","",IF(OR($B938="",$D938="",$H938="",$K938="",$M938=""),"Faltan datos obligatorios",IF($T938="","Estrategia no reconocida",IF(AND($M938&lt;&gt;"Abierta",$N938=""),"Falta fecha cierre",IF(AND(OR($M938="Cerrada",$M938="Rolada"),$O938=""),"Falta prima cierre",IF(AND($N938&lt;&gt;"",$N938&lt;$B938),"Cierre anterior a apertura",IF(AND($M938="Asignada",$R938=""),"Asignada: falta ID lote acciones",IF(AND($R938&lt;&gt;"",ISNA(MATCH($R938,Acciones!$A$2:$A$201,0))),"El ID lote no existe en Acciones",IF($AD938="","Revisa capital en riesgo","OK")))))))))</f>
        <v/>
      </c>
    </row>
    <row r="939" customFormat="false" ht="15" hidden="false" customHeight="true" outlineLevel="0" collapsed="false">
      <c r="A939" s="5"/>
      <c r="B939" s="6"/>
      <c r="C939" s="7"/>
      <c r="D939" s="7"/>
      <c r="E939" s="8"/>
      <c r="F939" s="8"/>
      <c r="G939" s="6"/>
      <c r="H939" s="5"/>
      <c r="I939" s="5" t="n">
        <v>100</v>
      </c>
      <c r="J939" s="8"/>
      <c r="K939" s="8"/>
      <c r="L939" s="9"/>
      <c r="M939" s="7"/>
      <c r="N939" s="6"/>
      <c r="O939" s="8"/>
      <c r="P939" s="9"/>
      <c r="Q939" s="9"/>
      <c r="R939" s="7"/>
      <c r="S939" s="7"/>
      <c r="T939" s="10" t="str">
        <f aca="false">IF($C939="","",IFERROR(INDEX(Listas!$B$2:$B$20,MATCH($D939,Listas!$A$2:$A$20,0)),""))</f>
        <v/>
      </c>
      <c r="U939" s="10" t="str">
        <f aca="false">IF($C939="","",IFERROR(INDEX(Listas!$C$2:$C$20,MATCH($D939,Listas!$A$2:$A$20,0)),""))</f>
        <v/>
      </c>
      <c r="V939" s="10" t="str">
        <f aca="false">IF($C939="","",IFERROR(INDEX(Listas!$D$2:$D$20,MATCH($D939,Listas!$A$2:$A$20,0)),""))</f>
        <v/>
      </c>
      <c r="W939" s="11" t="str">
        <f aca="false">IF(OR($C939="",$B939="",$G939=""),"",$G939-$B939)</f>
        <v/>
      </c>
      <c r="X939" s="11" t="str">
        <f aca="true">IF(OR($C939="",$B939=""),"",IF($N939&lt;&gt;"",$N939,TODAY())-$B939)</f>
        <v/>
      </c>
      <c r="Y939" s="11" t="str">
        <f aca="true">IF(OR($C939="",$M939&lt;&gt;"Abierta",$G939=""),"",MAX($G939-TODAY(),0))</f>
        <v/>
      </c>
      <c r="Z939" s="12" t="str">
        <f aca="false">IF($C939="","",N($K939)*N($H939)*N($I939)*IF($U939="Débito",-1,1))</f>
        <v/>
      </c>
      <c r="AA939" s="13" t="str">
        <f aca="false">IF($C939="","",IF(AND($U939="Débito",$F939&lt;&gt;""),$F939,$E939))</f>
        <v/>
      </c>
      <c r="AB939" s="13" t="str">
        <f aca="false">IF(OR($C939="",$T939="Mixta",$AA939=""),"",IF($V939="Subyacente",IF($J939="","",$J939-$K939),IF($T939="Put",$AA939-$K939,$AA939+$K939)))</f>
        <v/>
      </c>
      <c r="AC939" s="14" t="str">
        <f aca="false">IF(OR($C939="",$T939="Mixta",$J939="",$AA939=""),"",IF($T939="Put",($J939-$AA939)/$J939,($AA939-$J939)/$J939))</f>
        <v/>
      </c>
      <c r="AD939" s="12" t="str">
        <f aca="false">IF($C939="","",IF($Q939&lt;&gt;"",$Q939,IF($V939="Strike",N($E939)*$H939*$I939,IF($V939="Subyacente",IF($J939="","",$J939*$H939*$I939),IF($V939="Ancho",IF($F939="","",ABS($E939-$F939)*$H939*$I939-$K939*$H939*$I939),IF($V939="Prima",$K939*$H939*$I939,""))))))</f>
        <v/>
      </c>
      <c r="AE939" s="12" t="str">
        <f aca="false">IF(OR($C939="",$M939="Abierta",$M939=""),"",(N($K939)-IF(OR($M939="Cerrada",$M939="Rolada"),N($O939),0))*$H939*$I939*IF($U939="Débito",-1,1)-N($L939)-N($P939))</f>
        <v/>
      </c>
      <c r="AF939" s="14" t="str">
        <f aca="false">IF(OR($AE939="",$AD939=""),"",IF($AD939&lt;=0,"",$AE939/$AD939))</f>
        <v/>
      </c>
      <c r="AG939" s="14" t="str">
        <f aca="false">IF($AF939="","",$AF939*365/MAX(N($X939),1))</f>
        <v/>
      </c>
      <c r="AH939" s="14" t="str">
        <f aca="false">IF(OR($C939="",$U939&lt;&gt;"Crédito",$AD939=""),"",IF($AD939&lt;=0,"",($Z939-N($L939))/$AD939))</f>
        <v/>
      </c>
      <c r="AI939" s="14" t="str">
        <f aca="false">IF(OR($AH939="",$W939=""),"",$AH939*365/MAX($W939,1))</f>
        <v/>
      </c>
      <c r="AJ939" s="14" t="str">
        <f aca="false">IF(OR($AE939="",$U939&lt;&gt;"Crédito",N($K939)=0),"",(N($K939)-IF(OR($M939="Cerrada",$M939="Rolada"),N($O939),0))/$K939)</f>
        <v/>
      </c>
      <c r="AK939" s="15" t="str">
        <f aca="false">IF(OR($C939="",$N939=""),"",DATE(YEAR($N939),MONTH($N939),1))</f>
        <v/>
      </c>
      <c r="AL939" s="11" t="str">
        <f aca="false">IF($C939="","",IF($M939="Abierta",0,1))</f>
        <v/>
      </c>
      <c r="AM939" s="16" t="str">
        <f aca="false">IF(OR($AE939="",$AD939=""),"",$AD939*MAX(N($X939),1))</f>
        <v/>
      </c>
      <c r="AN939" s="10" t="str">
        <f aca="false">IF($C939="","",IF(OR($B939="",$D939="",$H939="",$K939="",$M939=""),"Faltan datos obligatorios",IF($T939="","Estrategia no reconocida",IF(AND($M939&lt;&gt;"Abierta",$N939=""),"Falta fecha cierre",IF(AND(OR($M939="Cerrada",$M939="Rolada"),$O939=""),"Falta prima cierre",IF(AND($N939&lt;&gt;"",$N939&lt;$B939),"Cierre anterior a apertura",IF(AND($M939="Asignada",$R939=""),"Asignada: falta ID lote acciones",IF(AND($R939&lt;&gt;"",ISNA(MATCH($R939,Acciones!$A$2:$A$201,0))),"El ID lote no existe en Acciones",IF($AD939="","Revisa capital en riesgo","OK")))))))))</f>
        <v/>
      </c>
    </row>
    <row r="940" customFormat="false" ht="15" hidden="false" customHeight="true" outlineLevel="0" collapsed="false">
      <c r="A940" s="5"/>
      <c r="B940" s="6"/>
      <c r="C940" s="7"/>
      <c r="D940" s="7"/>
      <c r="E940" s="8"/>
      <c r="F940" s="8"/>
      <c r="G940" s="6"/>
      <c r="H940" s="5"/>
      <c r="I940" s="5" t="n">
        <v>100</v>
      </c>
      <c r="J940" s="8"/>
      <c r="K940" s="8"/>
      <c r="L940" s="9"/>
      <c r="M940" s="7"/>
      <c r="N940" s="6"/>
      <c r="O940" s="8"/>
      <c r="P940" s="9"/>
      <c r="Q940" s="9"/>
      <c r="R940" s="7"/>
      <c r="S940" s="7"/>
      <c r="T940" s="10" t="str">
        <f aca="false">IF($C940="","",IFERROR(INDEX(Listas!$B$2:$B$20,MATCH($D940,Listas!$A$2:$A$20,0)),""))</f>
        <v/>
      </c>
      <c r="U940" s="10" t="str">
        <f aca="false">IF($C940="","",IFERROR(INDEX(Listas!$C$2:$C$20,MATCH($D940,Listas!$A$2:$A$20,0)),""))</f>
        <v/>
      </c>
      <c r="V940" s="10" t="str">
        <f aca="false">IF($C940="","",IFERROR(INDEX(Listas!$D$2:$D$20,MATCH($D940,Listas!$A$2:$A$20,0)),""))</f>
        <v/>
      </c>
      <c r="W940" s="11" t="str">
        <f aca="false">IF(OR($C940="",$B940="",$G940=""),"",$G940-$B940)</f>
        <v/>
      </c>
      <c r="X940" s="11" t="str">
        <f aca="true">IF(OR($C940="",$B940=""),"",IF($N940&lt;&gt;"",$N940,TODAY())-$B940)</f>
        <v/>
      </c>
      <c r="Y940" s="11" t="str">
        <f aca="true">IF(OR($C940="",$M940&lt;&gt;"Abierta",$G940=""),"",MAX($G940-TODAY(),0))</f>
        <v/>
      </c>
      <c r="Z940" s="12" t="str">
        <f aca="false">IF($C940="","",N($K940)*N($H940)*N($I940)*IF($U940="Débito",-1,1))</f>
        <v/>
      </c>
      <c r="AA940" s="13" t="str">
        <f aca="false">IF($C940="","",IF(AND($U940="Débito",$F940&lt;&gt;""),$F940,$E940))</f>
        <v/>
      </c>
      <c r="AB940" s="13" t="str">
        <f aca="false">IF(OR($C940="",$T940="Mixta",$AA940=""),"",IF($V940="Subyacente",IF($J940="","",$J940-$K940),IF($T940="Put",$AA940-$K940,$AA940+$K940)))</f>
        <v/>
      </c>
      <c r="AC940" s="14" t="str">
        <f aca="false">IF(OR($C940="",$T940="Mixta",$J940="",$AA940=""),"",IF($T940="Put",($J940-$AA940)/$J940,($AA940-$J940)/$J940))</f>
        <v/>
      </c>
      <c r="AD940" s="12" t="str">
        <f aca="false">IF($C940="","",IF($Q940&lt;&gt;"",$Q940,IF($V940="Strike",N($E940)*$H940*$I940,IF($V940="Subyacente",IF($J940="","",$J940*$H940*$I940),IF($V940="Ancho",IF($F940="","",ABS($E940-$F940)*$H940*$I940-$K940*$H940*$I940),IF($V940="Prima",$K940*$H940*$I940,""))))))</f>
        <v/>
      </c>
      <c r="AE940" s="12" t="str">
        <f aca="false">IF(OR($C940="",$M940="Abierta",$M940=""),"",(N($K940)-IF(OR($M940="Cerrada",$M940="Rolada"),N($O940),0))*$H940*$I940*IF($U940="Débito",-1,1)-N($L940)-N($P940))</f>
        <v/>
      </c>
      <c r="AF940" s="14" t="str">
        <f aca="false">IF(OR($AE940="",$AD940=""),"",IF($AD940&lt;=0,"",$AE940/$AD940))</f>
        <v/>
      </c>
      <c r="AG940" s="14" t="str">
        <f aca="false">IF($AF940="","",$AF940*365/MAX(N($X940),1))</f>
        <v/>
      </c>
      <c r="AH940" s="14" t="str">
        <f aca="false">IF(OR($C940="",$U940&lt;&gt;"Crédito",$AD940=""),"",IF($AD940&lt;=0,"",($Z940-N($L940))/$AD940))</f>
        <v/>
      </c>
      <c r="AI940" s="14" t="str">
        <f aca="false">IF(OR($AH940="",$W940=""),"",$AH940*365/MAX($W940,1))</f>
        <v/>
      </c>
      <c r="AJ940" s="14" t="str">
        <f aca="false">IF(OR($AE940="",$U940&lt;&gt;"Crédito",N($K940)=0),"",(N($K940)-IF(OR($M940="Cerrada",$M940="Rolada"),N($O940),0))/$K940)</f>
        <v/>
      </c>
      <c r="AK940" s="15" t="str">
        <f aca="false">IF(OR($C940="",$N940=""),"",DATE(YEAR($N940),MONTH($N940),1))</f>
        <v/>
      </c>
      <c r="AL940" s="11" t="str">
        <f aca="false">IF($C940="","",IF($M940="Abierta",0,1))</f>
        <v/>
      </c>
      <c r="AM940" s="16" t="str">
        <f aca="false">IF(OR($AE940="",$AD940=""),"",$AD940*MAX(N($X940),1))</f>
        <v/>
      </c>
      <c r="AN940" s="10" t="str">
        <f aca="false">IF($C940="","",IF(OR($B940="",$D940="",$H940="",$K940="",$M940=""),"Faltan datos obligatorios",IF($T940="","Estrategia no reconocida",IF(AND($M940&lt;&gt;"Abierta",$N940=""),"Falta fecha cierre",IF(AND(OR($M940="Cerrada",$M940="Rolada"),$O940=""),"Falta prima cierre",IF(AND($N940&lt;&gt;"",$N940&lt;$B940),"Cierre anterior a apertura",IF(AND($M940="Asignada",$R940=""),"Asignada: falta ID lote acciones",IF(AND($R940&lt;&gt;"",ISNA(MATCH($R940,Acciones!$A$2:$A$201,0))),"El ID lote no existe en Acciones",IF($AD940="","Revisa capital en riesgo","OK")))))))))</f>
        <v/>
      </c>
    </row>
    <row r="941" customFormat="false" ht="15" hidden="false" customHeight="true" outlineLevel="0" collapsed="false">
      <c r="A941" s="5"/>
      <c r="B941" s="6"/>
      <c r="C941" s="7"/>
      <c r="D941" s="7"/>
      <c r="E941" s="8"/>
      <c r="F941" s="8"/>
      <c r="G941" s="6"/>
      <c r="H941" s="5"/>
      <c r="I941" s="5" t="n">
        <v>100</v>
      </c>
      <c r="J941" s="8"/>
      <c r="K941" s="8"/>
      <c r="L941" s="9"/>
      <c r="M941" s="7"/>
      <c r="N941" s="6"/>
      <c r="O941" s="8"/>
      <c r="P941" s="9"/>
      <c r="Q941" s="9"/>
      <c r="R941" s="7"/>
      <c r="S941" s="7"/>
      <c r="T941" s="10" t="str">
        <f aca="false">IF($C941="","",IFERROR(INDEX(Listas!$B$2:$B$20,MATCH($D941,Listas!$A$2:$A$20,0)),""))</f>
        <v/>
      </c>
      <c r="U941" s="10" t="str">
        <f aca="false">IF($C941="","",IFERROR(INDEX(Listas!$C$2:$C$20,MATCH($D941,Listas!$A$2:$A$20,0)),""))</f>
        <v/>
      </c>
      <c r="V941" s="10" t="str">
        <f aca="false">IF($C941="","",IFERROR(INDEX(Listas!$D$2:$D$20,MATCH($D941,Listas!$A$2:$A$20,0)),""))</f>
        <v/>
      </c>
      <c r="W941" s="11" t="str">
        <f aca="false">IF(OR($C941="",$B941="",$G941=""),"",$G941-$B941)</f>
        <v/>
      </c>
      <c r="X941" s="11" t="str">
        <f aca="true">IF(OR($C941="",$B941=""),"",IF($N941&lt;&gt;"",$N941,TODAY())-$B941)</f>
        <v/>
      </c>
      <c r="Y941" s="11" t="str">
        <f aca="true">IF(OR($C941="",$M941&lt;&gt;"Abierta",$G941=""),"",MAX($G941-TODAY(),0))</f>
        <v/>
      </c>
      <c r="Z941" s="12" t="str">
        <f aca="false">IF($C941="","",N($K941)*N($H941)*N($I941)*IF($U941="Débito",-1,1))</f>
        <v/>
      </c>
      <c r="AA941" s="13" t="str">
        <f aca="false">IF($C941="","",IF(AND($U941="Débito",$F941&lt;&gt;""),$F941,$E941))</f>
        <v/>
      </c>
      <c r="AB941" s="13" t="str">
        <f aca="false">IF(OR($C941="",$T941="Mixta",$AA941=""),"",IF($V941="Subyacente",IF($J941="","",$J941-$K941),IF($T941="Put",$AA941-$K941,$AA941+$K941)))</f>
        <v/>
      </c>
      <c r="AC941" s="14" t="str">
        <f aca="false">IF(OR($C941="",$T941="Mixta",$J941="",$AA941=""),"",IF($T941="Put",($J941-$AA941)/$J941,($AA941-$J941)/$J941))</f>
        <v/>
      </c>
      <c r="AD941" s="12" t="str">
        <f aca="false">IF($C941="","",IF($Q941&lt;&gt;"",$Q941,IF($V941="Strike",N($E941)*$H941*$I941,IF($V941="Subyacente",IF($J941="","",$J941*$H941*$I941),IF($V941="Ancho",IF($F941="","",ABS($E941-$F941)*$H941*$I941-$K941*$H941*$I941),IF($V941="Prima",$K941*$H941*$I941,""))))))</f>
        <v/>
      </c>
      <c r="AE941" s="12" t="str">
        <f aca="false">IF(OR($C941="",$M941="Abierta",$M941=""),"",(N($K941)-IF(OR($M941="Cerrada",$M941="Rolada"),N($O941),0))*$H941*$I941*IF($U941="Débito",-1,1)-N($L941)-N($P941))</f>
        <v/>
      </c>
      <c r="AF941" s="14" t="str">
        <f aca="false">IF(OR($AE941="",$AD941=""),"",IF($AD941&lt;=0,"",$AE941/$AD941))</f>
        <v/>
      </c>
      <c r="AG941" s="14" t="str">
        <f aca="false">IF($AF941="","",$AF941*365/MAX(N($X941),1))</f>
        <v/>
      </c>
      <c r="AH941" s="14" t="str">
        <f aca="false">IF(OR($C941="",$U941&lt;&gt;"Crédito",$AD941=""),"",IF($AD941&lt;=0,"",($Z941-N($L941))/$AD941))</f>
        <v/>
      </c>
      <c r="AI941" s="14" t="str">
        <f aca="false">IF(OR($AH941="",$W941=""),"",$AH941*365/MAX($W941,1))</f>
        <v/>
      </c>
      <c r="AJ941" s="14" t="str">
        <f aca="false">IF(OR($AE941="",$U941&lt;&gt;"Crédito",N($K941)=0),"",(N($K941)-IF(OR($M941="Cerrada",$M941="Rolada"),N($O941),0))/$K941)</f>
        <v/>
      </c>
      <c r="AK941" s="15" t="str">
        <f aca="false">IF(OR($C941="",$N941=""),"",DATE(YEAR($N941),MONTH($N941),1))</f>
        <v/>
      </c>
      <c r="AL941" s="11" t="str">
        <f aca="false">IF($C941="","",IF($M941="Abierta",0,1))</f>
        <v/>
      </c>
      <c r="AM941" s="16" t="str">
        <f aca="false">IF(OR($AE941="",$AD941=""),"",$AD941*MAX(N($X941),1))</f>
        <v/>
      </c>
      <c r="AN941" s="10" t="str">
        <f aca="false">IF($C941="","",IF(OR($B941="",$D941="",$H941="",$K941="",$M941=""),"Faltan datos obligatorios",IF($T941="","Estrategia no reconocida",IF(AND($M941&lt;&gt;"Abierta",$N941=""),"Falta fecha cierre",IF(AND(OR($M941="Cerrada",$M941="Rolada"),$O941=""),"Falta prima cierre",IF(AND($N941&lt;&gt;"",$N941&lt;$B941),"Cierre anterior a apertura",IF(AND($M941="Asignada",$R941=""),"Asignada: falta ID lote acciones",IF(AND($R941&lt;&gt;"",ISNA(MATCH($R941,Acciones!$A$2:$A$201,0))),"El ID lote no existe en Acciones",IF($AD941="","Revisa capital en riesgo","OK")))))))))</f>
        <v/>
      </c>
    </row>
    <row r="942" customFormat="false" ht="15" hidden="false" customHeight="true" outlineLevel="0" collapsed="false">
      <c r="A942" s="5"/>
      <c r="B942" s="6"/>
      <c r="C942" s="7"/>
      <c r="D942" s="7"/>
      <c r="E942" s="8"/>
      <c r="F942" s="8"/>
      <c r="G942" s="6"/>
      <c r="H942" s="5"/>
      <c r="I942" s="5" t="n">
        <v>100</v>
      </c>
      <c r="J942" s="8"/>
      <c r="K942" s="8"/>
      <c r="L942" s="9"/>
      <c r="M942" s="7"/>
      <c r="N942" s="6"/>
      <c r="O942" s="8"/>
      <c r="P942" s="9"/>
      <c r="Q942" s="9"/>
      <c r="R942" s="7"/>
      <c r="S942" s="7"/>
      <c r="T942" s="10" t="str">
        <f aca="false">IF($C942="","",IFERROR(INDEX(Listas!$B$2:$B$20,MATCH($D942,Listas!$A$2:$A$20,0)),""))</f>
        <v/>
      </c>
      <c r="U942" s="10" t="str">
        <f aca="false">IF($C942="","",IFERROR(INDEX(Listas!$C$2:$C$20,MATCH($D942,Listas!$A$2:$A$20,0)),""))</f>
        <v/>
      </c>
      <c r="V942" s="10" t="str">
        <f aca="false">IF($C942="","",IFERROR(INDEX(Listas!$D$2:$D$20,MATCH($D942,Listas!$A$2:$A$20,0)),""))</f>
        <v/>
      </c>
      <c r="W942" s="11" t="str">
        <f aca="false">IF(OR($C942="",$B942="",$G942=""),"",$G942-$B942)</f>
        <v/>
      </c>
      <c r="X942" s="11" t="str">
        <f aca="true">IF(OR($C942="",$B942=""),"",IF($N942&lt;&gt;"",$N942,TODAY())-$B942)</f>
        <v/>
      </c>
      <c r="Y942" s="11" t="str">
        <f aca="true">IF(OR($C942="",$M942&lt;&gt;"Abierta",$G942=""),"",MAX($G942-TODAY(),0))</f>
        <v/>
      </c>
      <c r="Z942" s="12" t="str">
        <f aca="false">IF($C942="","",N($K942)*N($H942)*N($I942)*IF($U942="Débito",-1,1))</f>
        <v/>
      </c>
      <c r="AA942" s="13" t="str">
        <f aca="false">IF($C942="","",IF(AND($U942="Débito",$F942&lt;&gt;""),$F942,$E942))</f>
        <v/>
      </c>
      <c r="AB942" s="13" t="str">
        <f aca="false">IF(OR($C942="",$T942="Mixta",$AA942=""),"",IF($V942="Subyacente",IF($J942="","",$J942-$K942),IF($T942="Put",$AA942-$K942,$AA942+$K942)))</f>
        <v/>
      </c>
      <c r="AC942" s="14" t="str">
        <f aca="false">IF(OR($C942="",$T942="Mixta",$J942="",$AA942=""),"",IF($T942="Put",($J942-$AA942)/$J942,($AA942-$J942)/$J942))</f>
        <v/>
      </c>
      <c r="AD942" s="12" t="str">
        <f aca="false">IF($C942="","",IF($Q942&lt;&gt;"",$Q942,IF($V942="Strike",N($E942)*$H942*$I942,IF($V942="Subyacente",IF($J942="","",$J942*$H942*$I942),IF($V942="Ancho",IF($F942="","",ABS($E942-$F942)*$H942*$I942-$K942*$H942*$I942),IF($V942="Prima",$K942*$H942*$I942,""))))))</f>
        <v/>
      </c>
      <c r="AE942" s="12" t="str">
        <f aca="false">IF(OR($C942="",$M942="Abierta",$M942=""),"",(N($K942)-IF(OR($M942="Cerrada",$M942="Rolada"),N($O942),0))*$H942*$I942*IF($U942="Débito",-1,1)-N($L942)-N($P942))</f>
        <v/>
      </c>
      <c r="AF942" s="14" t="str">
        <f aca="false">IF(OR($AE942="",$AD942=""),"",IF($AD942&lt;=0,"",$AE942/$AD942))</f>
        <v/>
      </c>
      <c r="AG942" s="14" t="str">
        <f aca="false">IF($AF942="","",$AF942*365/MAX(N($X942),1))</f>
        <v/>
      </c>
      <c r="AH942" s="14" t="str">
        <f aca="false">IF(OR($C942="",$U942&lt;&gt;"Crédito",$AD942=""),"",IF($AD942&lt;=0,"",($Z942-N($L942))/$AD942))</f>
        <v/>
      </c>
      <c r="AI942" s="14" t="str">
        <f aca="false">IF(OR($AH942="",$W942=""),"",$AH942*365/MAX($W942,1))</f>
        <v/>
      </c>
      <c r="AJ942" s="14" t="str">
        <f aca="false">IF(OR($AE942="",$U942&lt;&gt;"Crédito",N($K942)=0),"",(N($K942)-IF(OR($M942="Cerrada",$M942="Rolada"),N($O942),0))/$K942)</f>
        <v/>
      </c>
      <c r="AK942" s="15" t="str">
        <f aca="false">IF(OR($C942="",$N942=""),"",DATE(YEAR($N942),MONTH($N942),1))</f>
        <v/>
      </c>
      <c r="AL942" s="11" t="str">
        <f aca="false">IF($C942="","",IF($M942="Abierta",0,1))</f>
        <v/>
      </c>
      <c r="AM942" s="16" t="str">
        <f aca="false">IF(OR($AE942="",$AD942=""),"",$AD942*MAX(N($X942),1))</f>
        <v/>
      </c>
      <c r="AN942" s="10" t="str">
        <f aca="false">IF($C942="","",IF(OR($B942="",$D942="",$H942="",$K942="",$M942=""),"Faltan datos obligatorios",IF($T942="","Estrategia no reconocida",IF(AND($M942&lt;&gt;"Abierta",$N942=""),"Falta fecha cierre",IF(AND(OR($M942="Cerrada",$M942="Rolada"),$O942=""),"Falta prima cierre",IF(AND($N942&lt;&gt;"",$N942&lt;$B942),"Cierre anterior a apertura",IF(AND($M942="Asignada",$R942=""),"Asignada: falta ID lote acciones",IF(AND($R942&lt;&gt;"",ISNA(MATCH($R942,Acciones!$A$2:$A$201,0))),"El ID lote no existe en Acciones",IF($AD942="","Revisa capital en riesgo","OK")))))))))</f>
        <v/>
      </c>
    </row>
    <row r="943" customFormat="false" ht="15" hidden="false" customHeight="true" outlineLevel="0" collapsed="false">
      <c r="A943" s="5"/>
      <c r="B943" s="6"/>
      <c r="C943" s="7"/>
      <c r="D943" s="7"/>
      <c r="E943" s="8"/>
      <c r="F943" s="8"/>
      <c r="G943" s="6"/>
      <c r="H943" s="5"/>
      <c r="I943" s="5" t="n">
        <v>100</v>
      </c>
      <c r="J943" s="8"/>
      <c r="K943" s="8"/>
      <c r="L943" s="9"/>
      <c r="M943" s="7"/>
      <c r="N943" s="6"/>
      <c r="O943" s="8"/>
      <c r="P943" s="9"/>
      <c r="Q943" s="9"/>
      <c r="R943" s="7"/>
      <c r="S943" s="7"/>
      <c r="T943" s="10" t="str">
        <f aca="false">IF($C943="","",IFERROR(INDEX(Listas!$B$2:$B$20,MATCH($D943,Listas!$A$2:$A$20,0)),""))</f>
        <v/>
      </c>
      <c r="U943" s="10" t="str">
        <f aca="false">IF($C943="","",IFERROR(INDEX(Listas!$C$2:$C$20,MATCH($D943,Listas!$A$2:$A$20,0)),""))</f>
        <v/>
      </c>
      <c r="V943" s="10" t="str">
        <f aca="false">IF($C943="","",IFERROR(INDEX(Listas!$D$2:$D$20,MATCH($D943,Listas!$A$2:$A$20,0)),""))</f>
        <v/>
      </c>
      <c r="W943" s="11" t="str">
        <f aca="false">IF(OR($C943="",$B943="",$G943=""),"",$G943-$B943)</f>
        <v/>
      </c>
      <c r="X943" s="11" t="str">
        <f aca="true">IF(OR($C943="",$B943=""),"",IF($N943&lt;&gt;"",$N943,TODAY())-$B943)</f>
        <v/>
      </c>
      <c r="Y943" s="11" t="str">
        <f aca="true">IF(OR($C943="",$M943&lt;&gt;"Abierta",$G943=""),"",MAX($G943-TODAY(),0))</f>
        <v/>
      </c>
      <c r="Z943" s="12" t="str">
        <f aca="false">IF($C943="","",N($K943)*N($H943)*N($I943)*IF($U943="Débito",-1,1))</f>
        <v/>
      </c>
      <c r="AA943" s="13" t="str">
        <f aca="false">IF($C943="","",IF(AND($U943="Débito",$F943&lt;&gt;""),$F943,$E943))</f>
        <v/>
      </c>
      <c r="AB943" s="13" t="str">
        <f aca="false">IF(OR($C943="",$T943="Mixta",$AA943=""),"",IF($V943="Subyacente",IF($J943="","",$J943-$K943),IF($T943="Put",$AA943-$K943,$AA943+$K943)))</f>
        <v/>
      </c>
      <c r="AC943" s="14" t="str">
        <f aca="false">IF(OR($C943="",$T943="Mixta",$J943="",$AA943=""),"",IF($T943="Put",($J943-$AA943)/$J943,($AA943-$J943)/$J943))</f>
        <v/>
      </c>
      <c r="AD943" s="12" t="str">
        <f aca="false">IF($C943="","",IF($Q943&lt;&gt;"",$Q943,IF($V943="Strike",N($E943)*$H943*$I943,IF($V943="Subyacente",IF($J943="","",$J943*$H943*$I943),IF($V943="Ancho",IF($F943="","",ABS($E943-$F943)*$H943*$I943-$K943*$H943*$I943),IF($V943="Prima",$K943*$H943*$I943,""))))))</f>
        <v/>
      </c>
      <c r="AE943" s="12" t="str">
        <f aca="false">IF(OR($C943="",$M943="Abierta",$M943=""),"",(N($K943)-IF(OR($M943="Cerrada",$M943="Rolada"),N($O943),0))*$H943*$I943*IF($U943="Débito",-1,1)-N($L943)-N($P943))</f>
        <v/>
      </c>
      <c r="AF943" s="14" t="str">
        <f aca="false">IF(OR($AE943="",$AD943=""),"",IF($AD943&lt;=0,"",$AE943/$AD943))</f>
        <v/>
      </c>
      <c r="AG943" s="14" t="str">
        <f aca="false">IF($AF943="","",$AF943*365/MAX(N($X943),1))</f>
        <v/>
      </c>
      <c r="AH943" s="14" t="str">
        <f aca="false">IF(OR($C943="",$U943&lt;&gt;"Crédito",$AD943=""),"",IF($AD943&lt;=0,"",($Z943-N($L943))/$AD943))</f>
        <v/>
      </c>
      <c r="AI943" s="14" t="str">
        <f aca="false">IF(OR($AH943="",$W943=""),"",$AH943*365/MAX($W943,1))</f>
        <v/>
      </c>
      <c r="AJ943" s="14" t="str">
        <f aca="false">IF(OR($AE943="",$U943&lt;&gt;"Crédito",N($K943)=0),"",(N($K943)-IF(OR($M943="Cerrada",$M943="Rolada"),N($O943),0))/$K943)</f>
        <v/>
      </c>
      <c r="AK943" s="15" t="str">
        <f aca="false">IF(OR($C943="",$N943=""),"",DATE(YEAR($N943),MONTH($N943),1))</f>
        <v/>
      </c>
      <c r="AL943" s="11" t="str">
        <f aca="false">IF($C943="","",IF($M943="Abierta",0,1))</f>
        <v/>
      </c>
      <c r="AM943" s="16" t="str">
        <f aca="false">IF(OR($AE943="",$AD943=""),"",$AD943*MAX(N($X943),1))</f>
        <v/>
      </c>
      <c r="AN943" s="10" t="str">
        <f aca="false">IF($C943="","",IF(OR($B943="",$D943="",$H943="",$K943="",$M943=""),"Faltan datos obligatorios",IF($T943="","Estrategia no reconocida",IF(AND($M943&lt;&gt;"Abierta",$N943=""),"Falta fecha cierre",IF(AND(OR($M943="Cerrada",$M943="Rolada"),$O943=""),"Falta prima cierre",IF(AND($N943&lt;&gt;"",$N943&lt;$B943),"Cierre anterior a apertura",IF(AND($M943="Asignada",$R943=""),"Asignada: falta ID lote acciones",IF(AND($R943&lt;&gt;"",ISNA(MATCH($R943,Acciones!$A$2:$A$201,0))),"El ID lote no existe en Acciones",IF($AD943="","Revisa capital en riesgo","OK")))))))))</f>
        <v/>
      </c>
    </row>
    <row r="944" customFormat="false" ht="15" hidden="false" customHeight="true" outlineLevel="0" collapsed="false">
      <c r="A944" s="5"/>
      <c r="B944" s="6"/>
      <c r="C944" s="7"/>
      <c r="D944" s="7"/>
      <c r="E944" s="8"/>
      <c r="F944" s="8"/>
      <c r="G944" s="6"/>
      <c r="H944" s="5"/>
      <c r="I944" s="5" t="n">
        <v>100</v>
      </c>
      <c r="J944" s="8"/>
      <c r="K944" s="8"/>
      <c r="L944" s="9"/>
      <c r="M944" s="7"/>
      <c r="N944" s="6"/>
      <c r="O944" s="8"/>
      <c r="P944" s="9"/>
      <c r="Q944" s="9"/>
      <c r="R944" s="7"/>
      <c r="S944" s="7"/>
      <c r="T944" s="10" t="str">
        <f aca="false">IF($C944="","",IFERROR(INDEX(Listas!$B$2:$B$20,MATCH($D944,Listas!$A$2:$A$20,0)),""))</f>
        <v/>
      </c>
      <c r="U944" s="10" t="str">
        <f aca="false">IF($C944="","",IFERROR(INDEX(Listas!$C$2:$C$20,MATCH($D944,Listas!$A$2:$A$20,0)),""))</f>
        <v/>
      </c>
      <c r="V944" s="10" t="str">
        <f aca="false">IF($C944="","",IFERROR(INDEX(Listas!$D$2:$D$20,MATCH($D944,Listas!$A$2:$A$20,0)),""))</f>
        <v/>
      </c>
      <c r="W944" s="11" t="str">
        <f aca="false">IF(OR($C944="",$B944="",$G944=""),"",$G944-$B944)</f>
        <v/>
      </c>
      <c r="X944" s="11" t="str">
        <f aca="true">IF(OR($C944="",$B944=""),"",IF($N944&lt;&gt;"",$N944,TODAY())-$B944)</f>
        <v/>
      </c>
      <c r="Y944" s="11" t="str">
        <f aca="true">IF(OR($C944="",$M944&lt;&gt;"Abierta",$G944=""),"",MAX($G944-TODAY(),0))</f>
        <v/>
      </c>
      <c r="Z944" s="12" t="str">
        <f aca="false">IF($C944="","",N($K944)*N($H944)*N($I944)*IF($U944="Débito",-1,1))</f>
        <v/>
      </c>
      <c r="AA944" s="13" t="str">
        <f aca="false">IF($C944="","",IF(AND($U944="Débito",$F944&lt;&gt;""),$F944,$E944))</f>
        <v/>
      </c>
      <c r="AB944" s="13" t="str">
        <f aca="false">IF(OR($C944="",$T944="Mixta",$AA944=""),"",IF($V944="Subyacente",IF($J944="","",$J944-$K944),IF($T944="Put",$AA944-$K944,$AA944+$K944)))</f>
        <v/>
      </c>
      <c r="AC944" s="14" t="str">
        <f aca="false">IF(OR($C944="",$T944="Mixta",$J944="",$AA944=""),"",IF($T944="Put",($J944-$AA944)/$J944,($AA944-$J944)/$J944))</f>
        <v/>
      </c>
      <c r="AD944" s="12" t="str">
        <f aca="false">IF($C944="","",IF($Q944&lt;&gt;"",$Q944,IF($V944="Strike",N($E944)*$H944*$I944,IF($V944="Subyacente",IF($J944="","",$J944*$H944*$I944),IF($V944="Ancho",IF($F944="","",ABS($E944-$F944)*$H944*$I944-$K944*$H944*$I944),IF($V944="Prima",$K944*$H944*$I944,""))))))</f>
        <v/>
      </c>
      <c r="AE944" s="12" t="str">
        <f aca="false">IF(OR($C944="",$M944="Abierta",$M944=""),"",(N($K944)-IF(OR($M944="Cerrada",$M944="Rolada"),N($O944),0))*$H944*$I944*IF($U944="Débito",-1,1)-N($L944)-N($P944))</f>
        <v/>
      </c>
      <c r="AF944" s="14" t="str">
        <f aca="false">IF(OR($AE944="",$AD944=""),"",IF($AD944&lt;=0,"",$AE944/$AD944))</f>
        <v/>
      </c>
      <c r="AG944" s="14" t="str">
        <f aca="false">IF($AF944="","",$AF944*365/MAX(N($X944),1))</f>
        <v/>
      </c>
      <c r="AH944" s="14" t="str">
        <f aca="false">IF(OR($C944="",$U944&lt;&gt;"Crédito",$AD944=""),"",IF($AD944&lt;=0,"",($Z944-N($L944))/$AD944))</f>
        <v/>
      </c>
      <c r="AI944" s="14" t="str">
        <f aca="false">IF(OR($AH944="",$W944=""),"",$AH944*365/MAX($W944,1))</f>
        <v/>
      </c>
      <c r="AJ944" s="14" t="str">
        <f aca="false">IF(OR($AE944="",$U944&lt;&gt;"Crédito",N($K944)=0),"",(N($K944)-IF(OR($M944="Cerrada",$M944="Rolada"),N($O944),0))/$K944)</f>
        <v/>
      </c>
      <c r="AK944" s="15" t="str">
        <f aca="false">IF(OR($C944="",$N944=""),"",DATE(YEAR($N944),MONTH($N944),1))</f>
        <v/>
      </c>
      <c r="AL944" s="11" t="str">
        <f aca="false">IF($C944="","",IF($M944="Abierta",0,1))</f>
        <v/>
      </c>
      <c r="AM944" s="16" t="str">
        <f aca="false">IF(OR($AE944="",$AD944=""),"",$AD944*MAX(N($X944),1))</f>
        <v/>
      </c>
      <c r="AN944" s="10" t="str">
        <f aca="false">IF($C944="","",IF(OR($B944="",$D944="",$H944="",$K944="",$M944=""),"Faltan datos obligatorios",IF($T944="","Estrategia no reconocida",IF(AND($M944&lt;&gt;"Abierta",$N944=""),"Falta fecha cierre",IF(AND(OR($M944="Cerrada",$M944="Rolada"),$O944=""),"Falta prima cierre",IF(AND($N944&lt;&gt;"",$N944&lt;$B944),"Cierre anterior a apertura",IF(AND($M944="Asignada",$R944=""),"Asignada: falta ID lote acciones",IF(AND($R944&lt;&gt;"",ISNA(MATCH($R944,Acciones!$A$2:$A$201,0))),"El ID lote no existe en Acciones",IF($AD944="","Revisa capital en riesgo","OK")))))))))</f>
        <v/>
      </c>
    </row>
    <row r="945" customFormat="false" ht="15" hidden="false" customHeight="true" outlineLevel="0" collapsed="false">
      <c r="A945" s="5"/>
      <c r="B945" s="6"/>
      <c r="C945" s="7"/>
      <c r="D945" s="7"/>
      <c r="E945" s="8"/>
      <c r="F945" s="8"/>
      <c r="G945" s="6"/>
      <c r="H945" s="5"/>
      <c r="I945" s="5" t="n">
        <v>100</v>
      </c>
      <c r="J945" s="8"/>
      <c r="K945" s="8"/>
      <c r="L945" s="9"/>
      <c r="M945" s="7"/>
      <c r="N945" s="6"/>
      <c r="O945" s="8"/>
      <c r="P945" s="9"/>
      <c r="Q945" s="9"/>
      <c r="R945" s="7"/>
      <c r="S945" s="7"/>
      <c r="T945" s="10" t="str">
        <f aca="false">IF($C945="","",IFERROR(INDEX(Listas!$B$2:$B$20,MATCH($D945,Listas!$A$2:$A$20,0)),""))</f>
        <v/>
      </c>
      <c r="U945" s="10" t="str">
        <f aca="false">IF($C945="","",IFERROR(INDEX(Listas!$C$2:$C$20,MATCH($D945,Listas!$A$2:$A$20,0)),""))</f>
        <v/>
      </c>
      <c r="V945" s="10" t="str">
        <f aca="false">IF($C945="","",IFERROR(INDEX(Listas!$D$2:$D$20,MATCH($D945,Listas!$A$2:$A$20,0)),""))</f>
        <v/>
      </c>
      <c r="W945" s="11" t="str">
        <f aca="false">IF(OR($C945="",$B945="",$G945=""),"",$G945-$B945)</f>
        <v/>
      </c>
      <c r="X945" s="11" t="str">
        <f aca="true">IF(OR($C945="",$B945=""),"",IF($N945&lt;&gt;"",$N945,TODAY())-$B945)</f>
        <v/>
      </c>
      <c r="Y945" s="11" t="str">
        <f aca="true">IF(OR($C945="",$M945&lt;&gt;"Abierta",$G945=""),"",MAX($G945-TODAY(),0))</f>
        <v/>
      </c>
      <c r="Z945" s="12" t="str">
        <f aca="false">IF($C945="","",N($K945)*N($H945)*N($I945)*IF($U945="Débito",-1,1))</f>
        <v/>
      </c>
      <c r="AA945" s="13" t="str">
        <f aca="false">IF($C945="","",IF(AND($U945="Débito",$F945&lt;&gt;""),$F945,$E945))</f>
        <v/>
      </c>
      <c r="AB945" s="13" t="str">
        <f aca="false">IF(OR($C945="",$T945="Mixta",$AA945=""),"",IF($V945="Subyacente",IF($J945="","",$J945-$K945),IF($T945="Put",$AA945-$K945,$AA945+$K945)))</f>
        <v/>
      </c>
      <c r="AC945" s="14" t="str">
        <f aca="false">IF(OR($C945="",$T945="Mixta",$J945="",$AA945=""),"",IF($T945="Put",($J945-$AA945)/$J945,($AA945-$J945)/$J945))</f>
        <v/>
      </c>
      <c r="AD945" s="12" t="str">
        <f aca="false">IF($C945="","",IF($Q945&lt;&gt;"",$Q945,IF($V945="Strike",N($E945)*$H945*$I945,IF($V945="Subyacente",IF($J945="","",$J945*$H945*$I945),IF($V945="Ancho",IF($F945="","",ABS($E945-$F945)*$H945*$I945-$K945*$H945*$I945),IF($V945="Prima",$K945*$H945*$I945,""))))))</f>
        <v/>
      </c>
      <c r="AE945" s="12" t="str">
        <f aca="false">IF(OR($C945="",$M945="Abierta",$M945=""),"",(N($K945)-IF(OR($M945="Cerrada",$M945="Rolada"),N($O945),0))*$H945*$I945*IF($U945="Débito",-1,1)-N($L945)-N($P945))</f>
        <v/>
      </c>
      <c r="AF945" s="14" t="str">
        <f aca="false">IF(OR($AE945="",$AD945=""),"",IF($AD945&lt;=0,"",$AE945/$AD945))</f>
        <v/>
      </c>
      <c r="AG945" s="14" t="str">
        <f aca="false">IF($AF945="","",$AF945*365/MAX(N($X945),1))</f>
        <v/>
      </c>
      <c r="AH945" s="14" t="str">
        <f aca="false">IF(OR($C945="",$U945&lt;&gt;"Crédito",$AD945=""),"",IF($AD945&lt;=0,"",($Z945-N($L945))/$AD945))</f>
        <v/>
      </c>
      <c r="AI945" s="14" t="str">
        <f aca="false">IF(OR($AH945="",$W945=""),"",$AH945*365/MAX($W945,1))</f>
        <v/>
      </c>
      <c r="AJ945" s="14" t="str">
        <f aca="false">IF(OR($AE945="",$U945&lt;&gt;"Crédito",N($K945)=0),"",(N($K945)-IF(OR($M945="Cerrada",$M945="Rolada"),N($O945),0))/$K945)</f>
        <v/>
      </c>
      <c r="AK945" s="15" t="str">
        <f aca="false">IF(OR($C945="",$N945=""),"",DATE(YEAR($N945),MONTH($N945),1))</f>
        <v/>
      </c>
      <c r="AL945" s="11" t="str">
        <f aca="false">IF($C945="","",IF($M945="Abierta",0,1))</f>
        <v/>
      </c>
      <c r="AM945" s="16" t="str">
        <f aca="false">IF(OR($AE945="",$AD945=""),"",$AD945*MAX(N($X945),1))</f>
        <v/>
      </c>
      <c r="AN945" s="10" t="str">
        <f aca="false">IF($C945="","",IF(OR($B945="",$D945="",$H945="",$K945="",$M945=""),"Faltan datos obligatorios",IF($T945="","Estrategia no reconocida",IF(AND($M945&lt;&gt;"Abierta",$N945=""),"Falta fecha cierre",IF(AND(OR($M945="Cerrada",$M945="Rolada"),$O945=""),"Falta prima cierre",IF(AND($N945&lt;&gt;"",$N945&lt;$B945),"Cierre anterior a apertura",IF(AND($M945="Asignada",$R945=""),"Asignada: falta ID lote acciones",IF(AND($R945&lt;&gt;"",ISNA(MATCH($R945,Acciones!$A$2:$A$201,0))),"El ID lote no existe en Acciones",IF($AD945="","Revisa capital en riesgo","OK")))))))))</f>
        <v/>
      </c>
    </row>
    <row r="946" customFormat="false" ht="15" hidden="false" customHeight="true" outlineLevel="0" collapsed="false">
      <c r="A946" s="5"/>
      <c r="B946" s="6"/>
      <c r="C946" s="7"/>
      <c r="D946" s="7"/>
      <c r="E946" s="8"/>
      <c r="F946" s="8"/>
      <c r="G946" s="6"/>
      <c r="H946" s="5"/>
      <c r="I946" s="5" t="n">
        <v>100</v>
      </c>
      <c r="J946" s="8"/>
      <c r="K946" s="8"/>
      <c r="L946" s="9"/>
      <c r="M946" s="7"/>
      <c r="N946" s="6"/>
      <c r="O946" s="8"/>
      <c r="P946" s="9"/>
      <c r="Q946" s="9"/>
      <c r="R946" s="7"/>
      <c r="S946" s="7"/>
      <c r="T946" s="10" t="str">
        <f aca="false">IF($C946="","",IFERROR(INDEX(Listas!$B$2:$B$20,MATCH($D946,Listas!$A$2:$A$20,0)),""))</f>
        <v/>
      </c>
      <c r="U946" s="10" t="str">
        <f aca="false">IF($C946="","",IFERROR(INDEX(Listas!$C$2:$C$20,MATCH($D946,Listas!$A$2:$A$20,0)),""))</f>
        <v/>
      </c>
      <c r="V946" s="10" t="str">
        <f aca="false">IF($C946="","",IFERROR(INDEX(Listas!$D$2:$D$20,MATCH($D946,Listas!$A$2:$A$20,0)),""))</f>
        <v/>
      </c>
      <c r="W946" s="11" t="str">
        <f aca="false">IF(OR($C946="",$B946="",$G946=""),"",$G946-$B946)</f>
        <v/>
      </c>
      <c r="X946" s="11" t="str">
        <f aca="true">IF(OR($C946="",$B946=""),"",IF($N946&lt;&gt;"",$N946,TODAY())-$B946)</f>
        <v/>
      </c>
      <c r="Y946" s="11" t="str">
        <f aca="true">IF(OR($C946="",$M946&lt;&gt;"Abierta",$G946=""),"",MAX($G946-TODAY(),0))</f>
        <v/>
      </c>
      <c r="Z946" s="12" t="str">
        <f aca="false">IF($C946="","",N($K946)*N($H946)*N($I946)*IF($U946="Débito",-1,1))</f>
        <v/>
      </c>
      <c r="AA946" s="13" t="str">
        <f aca="false">IF($C946="","",IF(AND($U946="Débito",$F946&lt;&gt;""),$F946,$E946))</f>
        <v/>
      </c>
      <c r="AB946" s="13" t="str">
        <f aca="false">IF(OR($C946="",$T946="Mixta",$AA946=""),"",IF($V946="Subyacente",IF($J946="","",$J946-$K946),IF($T946="Put",$AA946-$K946,$AA946+$K946)))</f>
        <v/>
      </c>
      <c r="AC946" s="14" t="str">
        <f aca="false">IF(OR($C946="",$T946="Mixta",$J946="",$AA946=""),"",IF($T946="Put",($J946-$AA946)/$J946,($AA946-$J946)/$J946))</f>
        <v/>
      </c>
      <c r="AD946" s="12" t="str">
        <f aca="false">IF($C946="","",IF($Q946&lt;&gt;"",$Q946,IF($V946="Strike",N($E946)*$H946*$I946,IF($V946="Subyacente",IF($J946="","",$J946*$H946*$I946),IF($V946="Ancho",IF($F946="","",ABS($E946-$F946)*$H946*$I946-$K946*$H946*$I946),IF($V946="Prima",$K946*$H946*$I946,""))))))</f>
        <v/>
      </c>
      <c r="AE946" s="12" t="str">
        <f aca="false">IF(OR($C946="",$M946="Abierta",$M946=""),"",(N($K946)-IF(OR($M946="Cerrada",$M946="Rolada"),N($O946),0))*$H946*$I946*IF($U946="Débito",-1,1)-N($L946)-N($P946))</f>
        <v/>
      </c>
      <c r="AF946" s="14" t="str">
        <f aca="false">IF(OR($AE946="",$AD946=""),"",IF($AD946&lt;=0,"",$AE946/$AD946))</f>
        <v/>
      </c>
      <c r="AG946" s="14" t="str">
        <f aca="false">IF($AF946="","",$AF946*365/MAX(N($X946),1))</f>
        <v/>
      </c>
      <c r="AH946" s="14" t="str">
        <f aca="false">IF(OR($C946="",$U946&lt;&gt;"Crédito",$AD946=""),"",IF($AD946&lt;=0,"",($Z946-N($L946))/$AD946))</f>
        <v/>
      </c>
      <c r="AI946" s="14" t="str">
        <f aca="false">IF(OR($AH946="",$W946=""),"",$AH946*365/MAX($W946,1))</f>
        <v/>
      </c>
      <c r="AJ946" s="14" t="str">
        <f aca="false">IF(OR($AE946="",$U946&lt;&gt;"Crédito",N($K946)=0),"",(N($K946)-IF(OR($M946="Cerrada",$M946="Rolada"),N($O946),0))/$K946)</f>
        <v/>
      </c>
      <c r="AK946" s="15" t="str">
        <f aca="false">IF(OR($C946="",$N946=""),"",DATE(YEAR($N946),MONTH($N946),1))</f>
        <v/>
      </c>
      <c r="AL946" s="11" t="str">
        <f aca="false">IF($C946="","",IF($M946="Abierta",0,1))</f>
        <v/>
      </c>
      <c r="AM946" s="16" t="str">
        <f aca="false">IF(OR($AE946="",$AD946=""),"",$AD946*MAX(N($X946),1))</f>
        <v/>
      </c>
      <c r="AN946" s="10" t="str">
        <f aca="false">IF($C946="","",IF(OR($B946="",$D946="",$H946="",$K946="",$M946=""),"Faltan datos obligatorios",IF($T946="","Estrategia no reconocida",IF(AND($M946&lt;&gt;"Abierta",$N946=""),"Falta fecha cierre",IF(AND(OR($M946="Cerrada",$M946="Rolada"),$O946=""),"Falta prima cierre",IF(AND($N946&lt;&gt;"",$N946&lt;$B946),"Cierre anterior a apertura",IF(AND($M946="Asignada",$R946=""),"Asignada: falta ID lote acciones",IF(AND($R946&lt;&gt;"",ISNA(MATCH($R946,Acciones!$A$2:$A$201,0))),"El ID lote no existe en Acciones",IF($AD946="","Revisa capital en riesgo","OK")))))))))</f>
        <v/>
      </c>
    </row>
    <row r="947" customFormat="false" ht="15" hidden="false" customHeight="true" outlineLevel="0" collapsed="false">
      <c r="A947" s="5"/>
      <c r="B947" s="6"/>
      <c r="C947" s="7"/>
      <c r="D947" s="7"/>
      <c r="E947" s="8"/>
      <c r="F947" s="8"/>
      <c r="G947" s="6"/>
      <c r="H947" s="5"/>
      <c r="I947" s="5" t="n">
        <v>100</v>
      </c>
      <c r="J947" s="8"/>
      <c r="K947" s="8"/>
      <c r="L947" s="9"/>
      <c r="M947" s="7"/>
      <c r="N947" s="6"/>
      <c r="O947" s="8"/>
      <c r="P947" s="9"/>
      <c r="Q947" s="9"/>
      <c r="R947" s="7"/>
      <c r="S947" s="7"/>
      <c r="T947" s="10" t="str">
        <f aca="false">IF($C947="","",IFERROR(INDEX(Listas!$B$2:$B$20,MATCH($D947,Listas!$A$2:$A$20,0)),""))</f>
        <v/>
      </c>
      <c r="U947" s="10" t="str">
        <f aca="false">IF($C947="","",IFERROR(INDEX(Listas!$C$2:$C$20,MATCH($D947,Listas!$A$2:$A$20,0)),""))</f>
        <v/>
      </c>
      <c r="V947" s="10" t="str">
        <f aca="false">IF($C947="","",IFERROR(INDEX(Listas!$D$2:$D$20,MATCH($D947,Listas!$A$2:$A$20,0)),""))</f>
        <v/>
      </c>
      <c r="W947" s="11" t="str">
        <f aca="false">IF(OR($C947="",$B947="",$G947=""),"",$G947-$B947)</f>
        <v/>
      </c>
      <c r="X947" s="11" t="str">
        <f aca="true">IF(OR($C947="",$B947=""),"",IF($N947&lt;&gt;"",$N947,TODAY())-$B947)</f>
        <v/>
      </c>
      <c r="Y947" s="11" t="str">
        <f aca="true">IF(OR($C947="",$M947&lt;&gt;"Abierta",$G947=""),"",MAX($G947-TODAY(),0))</f>
        <v/>
      </c>
      <c r="Z947" s="12" t="str">
        <f aca="false">IF($C947="","",N($K947)*N($H947)*N($I947)*IF($U947="Débito",-1,1))</f>
        <v/>
      </c>
      <c r="AA947" s="13" t="str">
        <f aca="false">IF($C947="","",IF(AND($U947="Débito",$F947&lt;&gt;""),$F947,$E947))</f>
        <v/>
      </c>
      <c r="AB947" s="13" t="str">
        <f aca="false">IF(OR($C947="",$T947="Mixta",$AA947=""),"",IF($V947="Subyacente",IF($J947="","",$J947-$K947),IF($T947="Put",$AA947-$K947,$AA947+$K947)))</f>
        <v/>
      </c>
      <c r="AC947" s="14" t="str">
        <f aca="false">IF(OR($C947="",$T947="Mixta",$J947="",$AA947=""),"",IF($T947="Put",($J947-$AA947)/$J947,($AA947-$J947)/$J947))</f>
        <v/>
      </c>
      <c r="AD947" s="12" t="str">
        <f aca="false">IF($C947="","",IF($Q947&lt;&gt;"",$Q947,IF($V947="Strike",N($E947)*$H947*$I947,IF($V947="Subyacente",IF($J947="","",$J947*$H947*$I947),IF($V947="Ancho",IF($F947="","",ABS($E947-$F947)*$H947*$I947-$K947*$H947*$I947),IF($V947="Prima",$K947*$H947*$I947,""))))))</f>
        <v/>
      </c>
      <c r="AE947" s="12" t="str">
        <f aca="false">IF(OR($C947="",$M947="Abierta",$M947=""),"",(N($K947)-IF(OR($M947="Cerrada",$M947="Rolada"),N($O947),0))*$H947*$I947*IF($U947="Débito",-1,1)-N($L947)-N($P947))</f>
        <v/>
      </c>
      <c r="AF947" s="14" t="str">
        <f aca="false">IF(OR($AE947="",$AD947=""),"",IF($AD947&lt;=0,"",$AE947/$AD947))</f>
        <v/>
      </c>
      <c r="AG947" s="14" t="str">
        <f aca="false">IF($AF947="","",$AF947*365/MAX(N($X947),1))</f>
        <v/>
      </c>
      <c r="AH947" s="14" t="str">
        <f aca="false">IF(OR($C947="",$U947&lt;&gt;"Crédito",$AD947=""),"",IF($AD947&lt;=0,"",($Z947-N($L947))/$AD947))</f>
        <v/>
      </c>
      <c r="AI947" s="14" t="str">
        <f aca="false">IF(OR($AH947="",$W947=""),"",$AH947*365/MAX($W947,1))</f>
        <v/>
      </c>
      <c r="AJ947" s="14" t="str">
        <f aca="false">IF(OR($AE947="",$U947&lt;&gt;"Crédito",N($K947)=0),"",(N($K947)-IF(OR($M947="Cerrada",$M947="Rolada"),N($O947),0))/$K947)</f>
        <v/>
      </c>
      <c r="AK947" s="15" t="str">
        <f aca="false">IF(OR($C947="",$N947=""),"",DATE(YEAR($N947),MONTH($N947),1))</f>
        <v/>
      </c>
      <c r="AL947" s="11" t="str">
        <f aca="false">IF($C947="","",IF($M947="Abierta",0,1))</f>
        <v/>
      </c>
      <c r="AM947" s="16" t="str">
        <f aca="false">IF(OR($AE947="",$AD947=""),"",$AD947*MAX(N($X947),1))</f>
        <v/>
      </c>
      <c r="AN947" s="10" t="str">
        <f aca="false">IF($C947="","",IF(OR($B947="",$D947="",$H947="",$K947="",$M947=""),"Faltan datos obligatorios",IF($T947="","Estrategia no reconocida",IF(AND($M947&lt;&gt;"Abierta",$N947=""),"Falta fecha cierre",IF(AND(OR($M947="Cerrada",$M947="Rolada"),$O947=""),"Falta prima cierre",IF(AND($N947&lt;&gt;"",$N947&lt;$B947),"Cierre anterior a apertura",IF(AND($M947="Asignada",$R947=""),"Asignada: falta ID lote acciones",IF(AND($R947&lt;&gt;"",ISNA(MATCH($R947,Acciones!$A$2:$A$201,0))),"El ID lote no existe en Acciones",IF($AD947="","Revisa capital en riesgo","OK")))))))))</f>
        <v/>
      </c>
    </row>
    <row r="948" customFormat="false" ht="15" hidden="false" customHeight="true" outlineLevel="0" collapsed="false">
      <c r="A948" s="5"/>
      <c r="B948" s="6"/>
      <c r="C948" s="7"/>
      <c r="D948" s="7"/>
      <c r="E948" s="8"/>
      <c r="F948" s="8"/>
      <c r="G948" s="6"/>
      <c r="H948" s="5"/>
      <c r="I948" s="5" t="n">
        <v>100</v>
      </c>
      <c r="J948" s="8"/>
      <c r="K948" s="8"/>
      <c r="L948" s="9"/>
      <c r="M948" s="7"/>
      <c r="N948" s="6"/>
      <c r="O948" s="8"/>
      <c r="P948" s="9"/>
      <c r="Q948" s="9"/>
      <c r="R948" s="7"/>
      <c r="S948" s="7"/>
      <c r="T948" s="10" t="str">
        <f aca="false">IF($C948="","",IFERROR(INDEX(Listas!$B$2:$B$20,MATCH($D948,Listas!$A$2:$A$20,0)),""))</f>
        <v/>
      </c>
      <c r="U948" s="10" t="str">
        <f aca="false">IF($C948="","",IFERROR(INDEX(Listas!$C$2:$C$20,MATCH($D948,Listas!$A$2:$A$20,0)),""))</f>
        <v/>
      </c>
      <c r="V948" s="10" t="str">
        <f aca="false">IF($C948="","",IFERROR(INDEX(Listas!$D$2:$D$20,MATCH($D948,Listas!$A$2:$A$20,0)),""))</f>
        <v/>
      </c>
      <c r="W948" s="11" t="str">
        <f aca="false">IF(OR($C948="",$B948="",$G948=""),"",$G948-$B948)</f>
        <v/>
      </c>
      <c r="X948" s="11" t="str">
        <f aca="true">IF(OR($C948="",$B948=""),"",IF($N948&lt;&gt;"",$N948,TODAY())-$B948)</f>
        <v/>
      </c>
      <c r="Y948" s="11" t="str">
        <f aca="true">IF(OR($C948="",$M948&lt;&gt;"Abierta",$G948=""),"",MAX($G948-TODAY(),0))</f>
        <v/>
      </c>
      <c r="Z948" s="12" t="str">
        <f aca="false">IF($C948="","",N($K948)*N($H948)*N($I948)*IF($U948="Débito",-1,1))</f>
        <v/>
      </c>
      <c r="AA948" s="13" t="str">
        <f aca="false">IF($C948="","",IF(AND($U948="Débito",$F948&lt;&gt;""),$F948,$E948))</f>
        <v/>
      </c>
      <c r="AB948" s="13" t="str">
        <f aca="false">IF(OR($C948="",$T948="Mixta",$AA948=""),"",IF($V948="Subyacente",IF($J948="","",$J948-$K948),IF($T948="Put",$AA948-$K948,$AA948+$K948)))</f>
        <v/>
      </c>
      <c r="AC948" s="14" t="str">
        <f aca="false">IF(OR($C948="",$T948="Mixta",$J948="",$AA948=""),"",IF($T948="Put",($J948-$AA948)/$J948,($AA948-$J948)/$J948))</f>
        <v/>
      </c>
      <c r="AD948" s="12" t="str">
        <f aca="false">IF($C948="","",IF($Q948&lt;&gt;"",$Q948,IF($V948="Strike",N($E948)*$H948*$I948,IF($V948="Subyacente",IF($J948="","",$J948*$H948*$I948),IF($V948="Ancho",IF($F948="","",ABS($E948-$F948)*$H948*$I948-$K948*$H948*$I948),IF($V948="Prima",$K948*$H948*$I948,""))))))</f>
        <v/>
      </c>
      <c r="AE948" s="12" t="str">
        <f aca="false">IF(OR($C948="",$M948="Abierta",$M948=""),"",(N($K948)-IF(OR($M948="Cerrada",$M948="Rolada"),N($O948),0))*$H948*$I948*IF($U948="Débito",-1,1)-N($L948)-N($P948))</f>
        <v/>
      </c>
      <c r="AF948" s="14" t="str">
        <f aca="false">IF(OR($AE948="",$AD948=""),"",IF($AD948&lt;=0,"",$AE948/$AD948))</f>
        <v/>
      </c>
      <c r="AG948" s="14" t="str">
        <f aca="false">IF($AF948="","",$AF948*365/MAX(N($X948),1))</f>
        <v/>
      </c>
      <c r="AH948" s="14" t="str">
        <f aca="false">IF(OR($C948="",$U948&lt;&gt;"Crédito",$AD948=""),"",IF($AD948&lt;=0,"",($Z948-N($L948))/$AD948))</f>
        <v/>
      </c>
      <c r="AI948" s="14" t="str">
        <f aca="false">IF(OR($AH948="",$W948=""),"",$AH948*365/MAX($W948,1))</f>
        <v/>
      </c>
      <c r="AJ948" s="14" t="str">
        <f aca="false">IF(OR($AE948="",$U948&lt;&gt;"Crédito",N($K948)=0),"",(N($K948)-IF(OR($M948="Cerrada",$M948="Rolada"),N($O948),0))/$K948)</f>
        <v/>
      </c>
      <c r="AK948" s="15" t="str">
        <f aca="false">IF(OR($C948="",$N948=""),"",DATE(YEAR($N948),MONTH($N948),1))</f>
        <v/>
      </c>
      <c r="AL948" s="11" t="str">
        <f aca="false">IF($C948="","",IF($M948="Abierta",0,1))</f>
        <v/>
      </c>
      <c r="AM948" s="16" t="str">
        <f aca="false">IF(OR($AE948="",$AD948=""),"",$AD948*MAX(N($X948),1))</f>
        <v/>
      </c>
      <c r="AN948" s="10" t="str">
        <f aca="false">IF($C948="","",IF(OR($B948="",$D948="",$H948="",$K948="",$M948=""),"Faltan datos obligatorios",IF($T948="","Estrategia no reconocida",IF(AND($M948&lt;&gt;"Abierta",$N948=""),"Falta fecha cierre",IF(AND(OR($M948="Cerrada",$M948="Rolada"),$O948=""),"Falta prima cierre",IF(AND($N948&lt;&gt;"",$N948&lt;$B948),"Cierre anterior a apertura",IF(AND($M948="Asignada",$R948=""),"Asignada: falta ID lote acciones",IF(AND($R948&lt;&gt;"",ISNA(MATCH($R948,Acciones!$A$2:$A$201,0))),"El ID lote no existe en Acciones",IF($AD948="","Revisa capital en riesgo","OK")))))))))</f>
        <v/>
      </c>
    </row>
    <row r="949" customFormat="false" ht="15" hidden="false" customHeight="true" outlineLevel="0" collapsed="false">
      <c r="A949" s="5"/>
      <c r="B949" s="6"/>
      <c r="C949" s="7"/>
      <c r="D949" s="7"/>
      <c r="E949" s="8"/>
      <c r="F949" s="8"/>
      <c r="G949" s="6"/>
      <c r="H949" s="5"/>
      <c r="I949" s="5" t="n">
        <v>100</v>
      </c>
      <c r="J949" s="8"/>
      <c r="K949" s="8"/>
      <c r="L949" s="9"/>
      <c r="M949" s="7"/>
      <c r="N949" s="6"/>
      <c r="O949" s="8"/>
      <c r="P949" s="9"/>
      <c r="Q949" s="9"/>
      <c r="R949" s="7"/>
      <c r="S949" s="7"/>
      <c r="T949" s="10" t="str">
        <f aca="false">IF($C949="","",IFERROR(INDEX(Listas!$B$2:$B$20,MATCH($D949,Listas!$A$2:$A$20,0)),""))</f>
        <v/>
      </c>
      <c r="U949" s="10" t="str">
        <f aca="false">IF($C949="","",IFERROR(INDEX(Listas!$C$2:$C$20,MATCH($D949,Listas!$A$2:$A$20,0)),""))</f>
        <v/>
      </c>
      <c r="V949" s="10" t="str">
        <f aca="false">IF($C949="","",IFERROR(INDEX(Listas!$D$2:$D$20,MATCH($D949,Listas!$A$2:$A$20,0)),""))</f>
        <v/>
      </c>
      <c r="W949" s="11" t="str">
        <f aca="false">IF(OR($C949="",$B949="",$G949=""),"",$G949-$B949)</f>
        <v/>
      </c>
      <c r="X949" s="11" t="str">
        <f aca="true">IF(OR($C949="",$B949=""),"",IF($N949&lt;&gt;"",$N949,TODAY())-$B949)</f>
        <v/>
      </c>
      <c r="Y949" s="11" t="str">
        <f aca="true">IF(OR($C949="",$M949&lt;&gt;"Abierta",$G949=""),"",MAX($G949-TODAY(),0))</f>
        <v/>
      </c>
      <c r="Z949" s="12" t="str">
        <f aca="false">IF($C949="","",N($K949)*N($H949)*N($I949)*IF($U949="Débito",-1,1))</f>
        <v/>
      </c>
      <c r="AA949" s="13" t="str">
        <f aca="false">IF($C949="","",IF(AND($U949="Débito",$F949&lt;&gt;""),$F949,$E949))</f>
        <v/>
      </c>
      <c r="AB949" s="13" t="str">
        <f aca="false">IF(OR($C949="",$T949="Mixta",$AA949=""),"",IF($V949="Subyacente",IF($J949="","",$J949-$K949),IF($T949="Put",$AA949-$K949,$AA949+$K949)))</f>
        <v/>
      </c>
      <c r="AC949" s="14" t="str">
        <f aca="false">IF(OR($C949="",$T949="Mixta",$J949="",$AA949=""),"",IF($T949="Put",($J949-$AA949)/$J949,($AA949-$J949)/$J949))</f>
        <v/>
      </c>
      <c r="AD949" s="12" t="str">
        <f aca="false">IF($C949="","",IF($Q949&lt;&gt;"",$Q949,IF($V949="Strike",N($E949)*$H949*$I949,IF($V949="Subyacente",IF($J949="","",$J949*$H949*$I949),IF($V949="Ancho",IF($F949="","",ABS($E949-$F949)*$H949*$I949-$K949*$H949*$I949),IF($V949="Prima",$K949*$H949*$I949,""))))))</f>
        <v/>
      </c>
      <c r="AE949" s="12" t="str">
        <f aca="false">IF(OR($C949="",$M949="Abierta",$M949=""),"",(N($K949)-IF(OR($M949="Cerrada",$M949="Rolada"),N($O949),0))*$H949*$I949*IF($U949="Débito",-1,1)-N($L949)-N($P949))</f>
        <v/>
      </c>
      <c r="AF949" s="14" t="str">
        <f aca="false">IF(OR($AE949="",$AD949=""),"",IF($AD949&lt;=0,"",$AE949/$AD949))</f>
        <v/>
      </c>
      <c r="AG949" s="14" t="str">
        <f aca="false">IF($AF949="","",$AF949*365/MAX(N($X949),1))</f>
        <v/>
      </c>
      <c r="AH949" s="14" t="str">
        <f aca="false">IF(OR($C949="",$U949&lt;&gt;"Crédito",$AD949=""),"",IF($AD949&lt;=0,"",($Z949-N($L949))/$AD949))</f>
        <v/>
      </c>
      <c r="AI949" s="14" t="str">
        <f aca="false">IF(OR($AH949="",$W949=""),"",$AH949*365/MAX($W949,1))</f>
        <v/>
      </c>
      <c r="AJ949" s="14" t="str">
        <f aca="false">IF(OR($AE949="",$U949&lt;&gt;"Crédito",N($K949)=0),"",(N($K949)-IF(OR($M949="Cerrada",$M949="Rolada"),N($O949),0))/$K949)</f>
        <v/>
      </c>
      <c r="AK949" s="15" t="str">
        <f aca="false">IF(OR($C949="",$N949=""),"",DATE(YEAR($N949),MONTH($N949),1))</f>
        <v/>
      </c>
      <c r="AL949" s="11" t="str">
        <f aca="false">IF($C949="","",IF($M949="Abierta",0,1))</f>
        <v/>
      </c>
      <c r="AM949" s="16" t="str">
        <f aca="false">IF(OR($AE949="",$AD949=""),"",$AD949*MAX(N($X949),1))</f>
        <v/>
      </c>
      <c r="AN949" s="10" t="str">
        <f aca="false">IF($C949="","",IF(OR($B949="",$D949="",$H949="",$K949="",$M949=""),"Faltan datos obligatorios",IF($T949="","Estrategia no reconocida",IF(AND($M949&lt;&gt;"Abierta",$N949=""),"Falta fecha cierre",IF(AND(OR($M949="Cerrada",$M949="Rolada"),$O949=""),"Falta prima cierre",IF(AND($N949&lt;&gt;"",$N949&lt;$B949),"Cierre anterior a apertura",IF(AND($M949="Asignada",$R949=""),"Asignada: falta ID lote acciones",IF(AND($R949&lt;&gt;"",ISNA(MATCH($R949,Acciones!$A$2:$A$201,0))),"El ID lote no existe en Acciones",IF($AD949="","Revisa capital en riesgo","OK")))))))))</f>
        <v/>
      </c>
    </row>
    <row r="950" customFormat="false" ht="15" hidden="false" customHeight="true" outlineLevel="0" collapsed="false">
      <c r="A950" s="5"/>
      <c r="B950" s="6"/>
      <c r="C950" s="7"/>
      <c r="D950" s="7"/>
      <c r="E950" s="8"/>
      <c r="F950" s="8"/>
      <c r="G950" s="6"/>
      <c r="H950" s="5"/>
      <c r="I950" s="5" t="n">
        <v>100</v>
      </c>
      <c r="J950" s="8"/>
      <c r="K950" s="8"/>
      <c r="L950" s="9"/>
      <c r="M950" s="7"/>
      <c r="N950" s="6"/>
      <c r="O950" s="8"/>
      <c r="P950" s="9"/>
      <c r="Q950" s="9"/>
      <c r="R950" s="7"/>
      <c r="S950" s="7"/>
      <c r="T950" s="10" t="str">
        <f aca="false">IF($C950="","",IFERROR(INDEX(Listas!$B$2:$B$20,MATCH($D950,Listas!$A$2:$A$20,0)),""))</f>
        <v/>
      </c>
      <c r="U950" s="10" t="str">
        <f aca="false">IF($C950="","",IFERROR(INDEX(Listas!$C$2:$C$20,MATCH($D950,Listas!$A$2:$A$20,0)),""))</f>
        <v/>
      </c>
      <c r="V950" s="10" t="str">
        <f aca="false">IF($C950="","",IFERROR(INDEX(Listas!$D$2:$D$20,MATCH($D950,Listas!$A$2:$A$20,0)),""))</f>
        <v/>
      </c>
      <c r="W950" s="11" t="str">
        <f aca="false">IF(OR($C950="",$B950="",$G950=""),"",$G950-$B950)</f>
        <v/>
      </c>
      <c r="X950" s="11" t="str">
        <f aca="true">IF(OR($C950="",$B950=""),"",IF($N950&lt;&gt;"",$N950,TODAY())-$B950)</f>
        <v/>
      </c>
      <c r="Y950" s="11" t="str">
        <f aca="true">IF(OR($C950="",$M950&lt;&gt;"Abierta",$G950=""),"",MAX($G950-TODAY(),0))</f>
        <v/>
      </c>
      <c r="Z950" s="12" t="str">
        <f aca="false">IF($C950="","",N($K950)*N($H950)*N($I950)*IF($U950="Débito",-1,1))</f>
        <v/>
      </c>
      <c r="AA950" s="13" t="str">
        <f aca="false">IF($C950="","",IF(AND($U950="Débito",$F950&lt;&gt;""),$F950,$E950))</f>
        <v/>
      </c>
      <c r="AB950" s="13" t="str">
        <f aca="false">IF(OR($C950="",$T950="Mixta",$AA950=""),"",IF($V950="Subyacente",IF($J950="","",$J950-$K950),IF($T950="Put",$AA950-$K950,$AA950+$K950)))</f>
        <v/>
      </c>
      <c r="AC950" s="14" t="str">
        <f aca="false">IF(OR($C950="",$T950="Mixta",$J950="",$AA950=""),"",IF($T950="Put",($J950-$AA950)/$J950,($AA950-$J950)/$J950))</f>
        <v/>
      </c>
      <c r="AD950" s="12" t="str">
        <f aca="false">IF($C950="","",IF($Q950&lt;&gt;"",$Q950,IF($V950="Strike",N($E950)*$H950*$I950,IF($V950="Subyacente",IF($J950="","",$J950*$H950*$I950),IF($V950="Ancho",IF($F950="","",ABS($E950-$F950)*$H950*$I950-$K950*$H950*$I950),IF($V950="Prima",$K950*$H950*$I950,""))))))</f>
        <v/>
      </c>
      <c r="AE950" s="12" t="str">
        <f aca="false">IF(OR($C950="",$M950="Abierta",$M950=""),"",(N($K950)-IF(OR($M950="Cerrada",$M950="Rolada"),N($O950),0))*$H950*$I950*IF($U950="Débito",-1,1)-N($L950)-N($P950))</f>
        <v/>
      </c>
      <c r="AF950" s="14" t="str">
        <f aca="false">IF(OR($AE950="",$AD950=""),"",IF($AD950&lt;=0,"",$AE950/$AD950))</f>
        <v/>
      </c>
      <c r="AG950" s="14" t="str">
        <f aca="false">IF($AF950="","",$AF950*365/MAX(N($X950),1))</f>
        <v/>
      </c>
      <c r="AH950" s="14" t="str">
        <f aca="false">IF(OR($C950="",$U950&lt;&gt;"Crédito",$AD950=""),"",IF($AD950&lt;=0,"",($Z950-N($L950))/$AD950))</f>
        <v/>
      </c>
      <c r="AI950" s="14" t="str">
        <f aca="false">IF(OR($AH950="",$W950=""),"",$AH950*365/MAX($W950,1))</f>
        <v/>
      </c>
      <c r="AJ950" s="14" t="str">
        <f aca="false">IF(OR($AE950="",$U950&lt;&gt;"Crédito",N($K950)=0),"",(N($K950)-IF(OR($M950="Cerrada",$M950="Rolada"),N($O950),0))/$K950)</f>
        <v/>
      </c>
      <c r="AK950" s="15" t="str">
        <f aca="false">IF(OR($C950="",$N950=""),"",DATE(YEAR($N950),MONTH($N950),1))</f>
        <v/>
      </c>
      <c r="AL950" s="11" t="str">
        <f aca="false">IF($C950="","",IF($M950="Abierta",0,1))</f>
        <v/>
      </c>
      <c r="AM950" s="16" t="str">
        <f aca="false">IF(OR($AE950="",$AD950=""),"",$AD950*MAX(N($X950),1))</f>
        <v/>
      </c>
      <c r="AN950" s="10" t="str">
        <f aca="false">IF($C950="","",IF(OR($B950="",$D950="",$H950="",$K950="",$M950=""),"Faltan datos obligatorios",IF($T950="","Estrategia no reconocida",IF(AND($M950&lt;&gt;"Abierta",$N950=""),"Falta fecha cierre",IF(AND(OR($M950="Cerrada",$M950="Rolada"),$O950=""),"Falta prima cierre",IF(AND($N950&lt;&gt;"",$N950&lt;$B950),"Cierre anterior a apertura",IF(AND($M950="Asignada",$R950=""),"Asignada: falta ID lote acciones",IF(AND($R950&lt;&gt;"",ISNA(MATCH($R950,Acciones!$A$2:$A$201,0))),"El ID lote no existe en Acciones",IF($AD950="","Revisa capital en riesgo","OK")))))))))</f>
        <v/>
      </c>
    </row>
    <row r="951" customFormat="false" ht="15" hidden="false" customHeight="true" outlineLevel="0" collapsed="false">
      <c r="A951" s="5"/>
      <c r="B951" s="6"/>
      <c r="C951" s="7"/>
      <c r="D951" s="7"/>
      <c r="E951" s="8"/>
      <c r="F951" s="8"/>
      <c r="G951" s="6"/>
      <c r="H951" s="5"/>
      <c r="I951" s="5" t="n">
        <v>100</v>
      </c>
      <c r="J951" s="8"/>
      <c r="K951" s="8"/>
      <c r="L951" s="9"/>
      <c r="M951" s="7"/>
      <c r="N951" s="6"/>
      <c r="O951" s="8"/>
      <c r="P951" s="9"/>
      <c r="Q951" s="9"/>
      <c r="R951" s="7"/>
      <c r="S951" s="7"/>
      <c r="T951" s="10" t="str">
        <f aca="false">IF($C951="","",IFERROR(INDEX(Listas!$B$2:$B$20,MATCH($D951,Listas!$A$2:$A$20,0)),""))</f>
        <v/>
      </c>
      <c r="U951" s="10" t="str">
        <f aca="false">IF($C951="","",IFERROR(INDEX(Listas!$C$2:$C$20,MATCH($D951,Listas!$A$2:$A$20,0)),""))</f>
        <v/>
      </c>
      <c r="V951" s="10" t="str">
        <f aca="false">IF($C951="","",IFERROR(INDEX(Listas!$D$2:$D$20,MATCH($D951,Listas!$A$2:$A$20,0)),""))</f>
        <v/>
      </c>
      <c r="W951" s="11" t="str">
        <f aca="false">IF(OR($C951="",$B951="",$G951=""),"",$G951-$B951)</f>
        <v/>
      </c>
      <c r="X951" s="11" t="str">
        <f aca="true">IF(OR($C951="",$B951=""),"",IF($N951&lt;&gt;"",$N951,TODAY())-$B951)</f>
        <v/>
      </c>
      <c r="Y951" s="11" t="str">
        <f aca="true">IF(OR($C951="",$M951&lt;&gt;"Abierta",$G951=""),"",MAX($G951-TODAY(),0))</f>
        <v/>
      </c>
      <c r="Z951" s="12" t="str">
        <f aca="false">IF($C951="","",N($K951)*N($H951)*N($I951)*IF($U951="Débito",-1,1))</f>
        <v/>
      </c>
      <c r="AA951" s="13" t="str">
        <f aca="false">IF($C951="","",IF(AND($U951="Débito",$F951&lt;&gt;""),$F951,$E951))</f>
        <v/>
      </c>
      <c r="AB951" s="13" t="str">
        <f aca="false">IF(OR($C951="",$T951="Mixta",$AA951=""),"",IF($V951="Subyacente",IF($J951="","",$J951-$K951),IF($T951="Put",$AA951-$K951,$AA951+$K951)))</f>
        <v/>
      </c>
      <c r="AC951" s="14" t="str">
        <f aca="false">IF(OR($C951="",$T951="Mixta",$J951="",$AA951=""),"",IF($T951="Put",($J951-$AA951)/$J951,($AA951-$J951)/$J951))</f>
        <v/>
      </c>
      <c r="AD951" s="12" t="str">
        <f aca="false">IF($C951="","",IF($Q951&lt;&gt;"",$Q951,IF($V951="Strike",N($E951)*$H951*$I951,IF($V951="Subyacente",IF($J951="","",$J951*$H951*$I951),IF($V951="Ancho",IF($F951="","",ABS($E951-$F951)*$H951*$I951-$K951*$H951*$I951),IF($V951="Prima",$K951*$H951*$I951,""))))))</f>
        <v/>
      </c>
      <c r="AE951" s="12" t="str">
        <f aca="false">IF(OR($C951="",$M951="Abierta",$M951=""),"",(N($K951)-IF(OR($M951="Cerrada",$M951="Rolada"),N($O951),0))*$H951*$I951*IF($U951="Débito",-1,1)-N($L951)-N($P951))</f>
        <v/>
      </c>
      <c r="AF951" s="14" t="str">
        <f aca="false">IF(OR($AE951="",$AD951=""),"",IF($AD951&lt;=0,"",$AE951/$AD951))</f>
        <v/>
      </c>
      <c r="AG951" s="14" t="str">
        <f aca="false">IF($AF951="","",$AF951*365/MAX(N($X951),1))</f>
        <v/>
      </c>
      <c r="AH951" s="14" t="str">
        <f aca="false">IF(OR($C951="",$U951&lt;&gt;"Crédito",$AD951=""),"",IF($AD951&lt;=0,"",($Z951-N($L951))/$AD951))</f>
        <v/>
      </c>
      <c r="AI951" s="14" t="str">
        <f aca="false">IF(OR($AH951="",$W951=""),"",$AH951*365/MAX($W951,1))</f>
        <v/>
      </c>
      <c r="AJ951" s="14" t="str">
        <f aca="false">IF(OR($AE951="",$U951&lt;&gt;"Crédito",N($K951)=0),"",(N($K951)-IF(OR($M951="Cerrada",$M951="Rolada"),N($O951),0))/$K951)</f>
        <v/>
      </c>
      <c r="AK951" s="15" t="str">
        <f aca="false">IF(OR($C951="",$N951=""),"",DATE(YEAR($N951),MONTH($N951),1))</f>
        <v/>
      </c>
      <c r="AL951" s="11" t="str">
        <f aca="false">IF($C951="","",IF($M951="Abierta",0,1))</f>
        <v/>
      </c>
      <c r="AM951" s="16" t="str">
        <f aca="false">IF(OR($AE951="",$AD951=""),"",$AD951*MAX(N($X951),1))</f>
        <v/>
      </c>
      <c r="AN951" s="10" t="str">
        <f aca="false">IF($C951="","",IF(OR($B951="",$D951="",$H951="",$K951="",$M951=""),"Faltan datos obligatorios",IF($T951="","Estrategia no reconocida",IF(AND($M951&lt;&gt;"Abierta",$N951=""),"Falta fecha cierre",IF(AND(OR($M951="Cerrada",$M951="Rolada"),$O951=""),"Falta prima cierre",IF(AND($N951&lt;&gt;"",$N951&lt;$B951),"Cierre anterior a apertura",IF(AND($M951="Asignada",$R951=""),"Asignada: falta ID lote acciones",IF(AND($R951&lt;&gt;"",ISNA(MATCH($R951,Acciones!$A$2:$A$201,0))),"El ID lote no existe en Acciones",IF($AD951="","Revisa capital en riesgo","OK")))))))))</f>
        <v/>
      </c>
    </row>
    <row r="952" customFormat="false" ht="15" hidden="false" customHeight="true" outlineLevel="0" collapsed="false">
      <c r="A952" s="5"/>
      <c r="B952" s="6"/>
      <c r="C952" s="7"/>
      <c r="D952" s="7"/>
      <c r="E952" s="8"/>
      <c r="F952" s="8"/>
      <c r="G952" s="6"/>
      <c r="H952" s="5"/>
      <c r="I952" s="5" t="n">
        <v>100</v>
      </c>
      <c r="J952" s="8"/>
      <c r="K952" s="8"/>
      <c r="L952" s="9"/>
      <c r="M952" s="7"/>
      <c r="N952" s="6"/>
      <c r="O952" s="8"/>
      <c r="P952" s="9"/>
      <c r="Q952" s="9"/>
      <c r="R952" s="7"/>
      <c r="S952" s="7"/>
      <c r="T952" s="10" t="str">
        <f aca="false">IF($C952="","",IFERROR(INDEX(Listas!$B$2:$B$20,MATCH($D952,Listas!$A$2:$A$20,0)),""))</f>
        <v/>
      </c>
      <c r="U952" s="10" t="str">
        <f aca="false">IF($C952="","",IFERROR(INDEX(Listas!$C$2:$C$20,MATCH($D952,Listas!$A$2:$A$20,0)),""))</f>
        <v/>
      </c>
      <c r="V952" s="10" t="str">
        <f aca="false">IF($C952="","",IFERROR(INDEX(Listas!$D$2:$D$20,MATCH($D952,Listas!$A$2:$A$20,0)),""))</f>
        <v/>
      </c>
      <c r="W952" s="11" t="str">
        <f aca="false">IF(OR($C952="",$B952="",$G952=""),"",$G952-$B952)</f>
        <v/>
      </c>
      <c r="X952" s="11" t="str">
        <f aca="true">IF(OR($C952="",$B952=""),"",IF($N952&lt;&gt;"",$N952,TODAY())-$B952)</f>
        <v/>
      </c>
      <c r="Y952" s="11" t="str">
        <f aca="true">IF(OR($C952="",$M952&lt;&gt;"Abierta",$G952=""),"",MAX($G952-TODAY(),0))</f>
        <v/>
      </c>
      <c r="Z952" s="12" t="str">
        <f aca="false">IF($C952="","",N($K952)*N($H952)*N($I952)*IF($U952="Débito",-1,1))</f>
        <v/>
      </c>
      <c r="AA952" s="13" t="str">
        <f aca="false">IF($C952="","",IF(AND($U952="Débito",$F952&lt;&gt;""),$F952,$E952))</f>
        <v/>
      </c>
      <c r="AB952" s="13" t="str">
        <f aca="false">IF(OR($C952="",$T952="Mixta",$AA952=""),"",IF($V952="Subyacente",IF($J952="","",$J952-$K952),IF($T952="Put",$AA952-$K952,$AA952+$K952)))</f>
        <v/>
      </c>
      <c r="AC952" s="14" t="str">
        <f aca="false">IF(OR($C952="",$T952="Mixta",$J952="",$AA952=""),"",IF($T952="Put",($J952-$AA952)/$J952,($AA952-$J952)/$J952))</f>
        <v/>
      </c>
      <c r="AD952" s="12" t="str">
        <f aca="false">IF($C952="","",IF($Q952&lt;&gt;"",$Q952,IF($V952="Strike",N($E952)*$H952*$I952,IF($V952="Subyacente",IF($J952="","",$J952*$H952*$I952),IF($V952="Ancho",IF($F952="","",ABS($E952-$F952)*$H952*$I952-$K952*$H952*$I952),IF($V952="Prima",$K952*$H952*$I952,""))))))</f>
        <v/>
      </c>
      <c r="AE952" s="12" t="str">
        <f aca="false">IF(OR($C952="",$M952="Abierta",$M952=""),"",(N($K952)-IF(OR($M952="Cerrada",$M952="Rolada"),N($O952),0))*$H952*$I952*IF($U952="Débito",-1,1)-N($L952)-N($P952))</f>
        <v/>
      </c>
      <c r="AF952" s="14" t="str">
        <f aca="false">IF(OR($AE952="",$AD952=""),"",IF($AD952&lt;=0,"",$AE952/$AD952))</f>
        <v/>
      </c>
      <c r="AG952" s="14" t="str">
        <f aca="false">IF($AF952="","",$AF952*365/MAX(N($X952),1))</f>
        <v/>
      </c>
      <c r="AH952" s="14" t="str">
        <f aca="false">IF(OR($C952="",$U952&lt;&gt;"Crédito",$AD952=""),"",IF($AD952&lt;=0,"",($Z952-N($L952))/$AD952))</f>
        <v/>
      </c>
      <c r="AI952" s="14" t="str">
        <f aca="false">IF(OR($AH952="",$W952=""),"",$AH952*365/MAX($W952,1))</f>
        <v/>
      </c>
      <c r="AJ952" s="14" t="str">
        <f aca="false">IF(OR($AE952="",$U952&lt;&gt;"Crédito",N($K952)=0),"",(N($K952)-IF(OR($M952="Cerrada",$M952="Rolada"),N($O952),0))/$K952)</f>
        <v/>
      </c>
      <c r="AK952" s="15" t="str">
        <f aca="false">IF(OR($C952="",$N952=""),"",DATE(YEAR($N952),MONTH($N952),1))</f>
        <v/>
      </c>
      <c r="AL952" s="11" t="str">
        <f aca="false">IF($C952="","",IF($M952="Abierta",0,1))</f>
        <v/>
      </c>
      <c r="AM952" s="16" t="str">
        <f aca="false">IF(OR($AE952="",$AD952=""),"",$AD952*MAX(N($X952),1))</f>
        <v/>
      </c>
      <c r="AN952" s="10" t="str">
        <f aca="false">IF($C952="","",IF(OR($B952="",$D952="",$H952="",$K952="",$M952=""),"Faltan datos obligatorios",IF($T952="","Estrategia no reconocida",IF(AND($M952&lt;&gt;"Abierta",$N952=""),"Falta fecha cierre",IF(AND(OR($M952="Cerrada",$M952="Rolada"),$O952=""),"Falta prima cierre",IF(AND($N952&lt;&gt;"",$N952&lt;$B952),"Cierre anterior a apertura",IF(AND($M952="Asignada",$R952=""),"Asignada: falta ID lote acciones",IF(AND($R952&lt;&gt;"",ISNA(MATCH($R952,Acciones!$A$2:$A$201,0))),"El ID lote no existe en Acciones",IF($AD952="","Revisa capital en riesgo","OK")))))))))</f>
        <v/>
      </c>
    </row>
    <row r="953" customFormat="false" ht="15" hidden="false" customHeight="true" outlineLevel="0" collapsed="false">
      <c r="A953" s="5"/>
      <c r="B953" s="6"/>
      <c r="C953" s="7"/>
      <c r="D953" s="7"/>
      <c r="E953" s="8"/>
      <c r="F953" s="8"/>
      <c r="G953" s="6"/>
      <c r="H953" s="5"/>
      <c r="I953" s="5" t="n">
        <v>100</v>
      </c>
      <c r="J953" s="8"/>
      <c r="K953" s="8"/>
      <c r="L953" s="9"/>
      <c r="M953" s="7"/>
      <c r="N953" s="6"/>
      <c r="O953" s="8"/>
      <c r="P953" s="9"/>
      <c r="Q953" s="9"/>
      <c r="R953" s="7"/>
      <c r="S953" s="7"/>
      <c r="T953" s="10" t="str">
        <f aca="false">IF($C953="","",IFERROR(INDEX(Listas!$B$2:$B$20,MATCH($D953,Listas!$A$2:$A$20,0)),""))</f>
        <v/>
      </c>
      <c r="U953" s="10" t="str">
        <f aca="false">IF($C953="","",IFERROR(INDEX(Listas!$C$2:$C$20,MATCH($D953,Listas!$A$2:$A$20,0)),""))</f>
        <v/>
      </c>
      <c r="V953" s="10" t="str">
        <f aca="false">IF($C953="","",IFERROR(INDEX(Listas!$D$2:$D$20,MATCH($D953,Listas!$A$2:$A$20,0)),""))</f>
        <v/>
      </c>
      <c r="W953" s="11" t="str">
        <f aca="false">IF(OR($C953="",$B953="",$G953=""),"",$G953-$B953)</f>
        <v/>
      </c>
      <c r="X953" s="11" t="str">
        <f aca="true">IF(OR($C953="",$B953=""),"",IF($N953&lt;&gt;"",$N953,TODAY())-$B953)</f>
        <v/>
      </c>
      <c r="Y953" s="11" t="str">
        <f aca="true">IF(OR($C953="",$M953&lt;&gt;"Abierta",$G953=""),"",MAX($G953-TODAY(),0))</f>
        <v/>
      </c>
      <c r="Z953" s="12" t="str">
        <f aca="false">IF($C953="","",N($K953)*N($H953)*N($I953)*IF($U953="Débito",-1,1))</f>
        <v/>
      </c>
      <c r="AA953" s="13" t="str">
        <f aca="false">IF($C953="","",IF(AND($U953="Débito",$F953&lt;&gt;""),$F953,$E953))</f>
        <v/>
      </c>
      <c r="AB953" s="13" t="str">
        <f aca="false">IF(OR($C953="",$T953="Mixta",$AA953=""),"",IF($V953="Subyacente",IF($J953="","",$J953-$K953),IF($T953="Put",$AA953-$K953,$AA953+$K953)))</f>
        <v/>
      </c>
      <c r="AC953" s="14" t="str">
        <f aca="false">IF(OR($C953="",$T953="Mixta",$J953="",$AA953=""),"",IF($T953="Put",($J953-$AA953)/$J953,($AA953-$J953)/$J953))</f>
        <v/>
      </c>
      <c r="AD953" s="12" t="str">
        <f aca="false">IF($C953="","",IF($Q953&lt;&gt;"",$Q953,IF($V953="Strike",N($E953)*$H953*$I953,IF($V953="Subyacente",IF($J953="","",$J953*$H953*$I953),IF($V953="Ancho",IF($F953="","",ABS($E953-$F953)*$H953*$I953-$K953*$H953*$I953),IF($V953="Prima",$K953*$H953*$I953,""))))))</f>
        <v/>
      </c>
      <c r="AE953" s="12" t="str">
        <f aca="false">IF(OR($C953="",$M953="Abierta",$M953=""),"",(N($K953)-IF(OR($M953="Cerrada",$M953="Rolada"),N($O953),0))*$H953*$I953*IF($U953="Débito",-1,1)-N($L953)-N($P953))</f>
        <v/>
      </c>
      <c r="AF953" s="14" t="str">
        <f aca="false">IF(OR($AE953="",$AD953=""),"",IF($AD953&lt;=0,"",$AE953/$AD953))</f>
        <v/>
      </c>
      <c r="AG953" s="14" t="str">
        <f aca="false">IF($AF953="","",$AF953*365/MAX(N($X953),1))</f>
        <v/>
      </c>
      <c r="AH953" s="14" t="str">
        <f aca="false">IF(OR($C953="",$U953&lt;&gt;"Crédito",$AD953=""),"",IF($AD953&lt;=0,"",($Z953-N($L953))/$AD953))</f>
        <v/>
      </c>
      <c r="AI953" s="14" t="str">
        <f aca="false">IF(OR($AH953="",$W953=""),"",$AH953*365/MAX($W953,1))</f>
        <v/>
      </c>
      <c r="AJ953" s="14" t="str">
        <f aca="false">IF(OR($AE953="",$U953&lt;&gt;"Crédito",N($K953)=0),"",(N($K953)-IF(OR($M953="Cerrada",$M953="Rolada"),N($O953),0))/$K953)</f>
        <v/>
      </c>
      <c r="AK953" s="15" t="str">
        <f aca="false">IF(OR($C953="",$N953=""),"",DATE(YEAR($N953),MONTH($N953),1))</f>
        <v/>
      </c>
      <c r="AL953" s="11" t="str">
        <f aca="false">IF($C953="","",IF($M953="Abierta",0,1))</f>
        <v/>
      </c>
      <c r="AM953" s="16" t="str">
        <f aca="false">IF(OR($AE953="",$AD953=""),"",$AD953*MAX(N($X953),1))</f>
        <v/>
      </c>
      <c r="AN953" s="10" t="str">
        <f aca="false">IF($C953="","",IF(OR($B953="",$D953="",$H953="",$K953="",$M953=""),"Faltan datos obligatorios",IF($T953="","Estrategia no reconocida",IF(AND($M953&lt;&gt;"Abierta",$N953=""),"Falta fecha cierre",IF(AND(OR($M953="Cerrada",$M953="Rolada"),$O953=""),"Falta prima cierre",IF(AND($N953&lt;&gt;"",$N953&lt;$B953),"Cierre anterior a apertura",IF(AND($M953="Asignada",$R953=""),"Asignada: falta ID lote acciones",IF(AND($R953&lt;&gt;"",ISNA(MATCH($R953,Acciones!$A$2:$A$201,0))),"El ID lote no existe en Acciones",IF($AD953="","Revisa capital en riesgo","OK")))))))))</f>
        <v/>
      </c>
    </row>
    <row r="954" customFormat="false" ht="15" hidden="false" customHeight="true" outlineLevel="0" collapsed="false">
      <c r="A954" s="5"/>
      <c r="B954" s="6"/>
      <c r="C954" s="7"/>
      <c r="D954" s="7"/>
      <c r="E954" s="8"/>
      <c r="F954" s="8"/>
      <c r="G954" s="6"/>
      <c r="H954" s="5"/>
      <c r="I954" s="5" t="n">
        <v>100</v>
      </c>
      <c r="J954" s="8"/>
      <c r="K954" s="8"/>
      <c r="L954" s="9"/>
      <c r="M954" s="7"/>
      <c r="N954" s="6"/>
      <c r="O954" s="8"/>
      <c r="P954" s="9"/>
      <c r="Q954" s="9"/>
      <c r="R954" s="7"/>
      <c r="S954" s="7"/>
      <c r="T954" s="10" t="str">
        <f aca="false">IF($C954="","",IFERROR(INDEX(Listas!$B$2:$B$20,MATCH($D954,Listas!$A$2:$A$20,0)),""))</f>
        <v/>
      </c>
      <c r="U954" s="10" t="str">
        <f aca="false">IF($C954="","",IFERROR(INDEX(Listas!$C$2:$C$20,MATCH($D954,Listas!$A$2:$A$20,0)),""))</f>
        <v/>
      </c>
      <c r="V954" s="10" t="str">
        <f aca="false">IF($C954="","",IFERROR(INDEX(Listas!$D$2:$D$20,MATCH($D954,Listas!$A$2:$A$20,0)),""))</f>
        <v/>
      </c>
      <c r="W954" s="11" t="str">
        <f aca="false">IF(OR($C954="",$B954="",$G954=""),"",$G954-$B954)</f>
        <v/>
      </c>
      <c r="X954" s="11" t="str">
        <f aca="true">IF(OR($C954="",$B954=""),"",IF($N954&lt;&gt;"",$N954,TODAY())-$B954)</f>
        <v/>
      </c>
      <c r="Y954" s="11" t="str">
        <f aca="true">IF(OR($C954="",$M954&lt;&gt;"Abierta",$G954=""),"",MAX($G954-TODAY(),0))</f>
        <v/>
      </c>
      <c r="Z954" s="12" t="str">
        <f aca="false">IF($C954="","",N($K954)*N($H954)*N($I954)*IF($U954="Débito",-1,1))</f>
        <v/>
      </c>
      <c r="AA954" s="13" t="str">
        <f aca="false">IF($C954="","",IF(AND($U954="Débito",$F954&lt;&gt;""),$F954,$E954))</f>
        <v/>
      </c>
      <c r="AB954" s="13" t="str">
        <f aca="false">IF(OR($C954="",$T954="Mixta",$AA954=""),"",IF($V954="Subyacente",IF($J954="","",$J954-$K954),IF($T954="Put",$AA954-$K954,$AA954+$K954)))</f>
        <v/>
      </c>
      <c r="AC954" s="14" t="str">
        <f aca="false">IF(OR($C954="",$T954="Mixta",$J954="",$AA954=""),"",IF($T954="Put",($J954-$AA954)/$J954,($AA954-$J954)/$J954))</f>
        <v/>
      </c>
      <c r="AD954" s="12" t="str">
        <f aca="false">IF($C954="","",IF($Q954&lt;&gt;"",$Q954,IF($V954="Strike",N($E954)*$H954*$I954,IF($V954="Subyacente",IF($J954="","",$J954*$H954*$I954),IF($V954="Ancho",IF($F954="","",ABS($E954-$F954)*$H954*$I954-$K954*$H954*$I954),IF($V954="Prima",$K954*$H954*$I954,""))))))</f>
        <v/>
      </c>
      <c r="AE954" s="12" t="str">
        <f aca="false">IF(OR($C954="",$M954="Abierta",$M954=""),"",(N($K954)-IF(OR($M954="Cerrada",$M954="Rolada"),N($O954),0))*$H954*$I954*IF($U954="Débito",-1,1)-N($L954)-N($P954))</f>
        <v/>
      </c>
      <c r="AF954" s="14" t="str">
        <f aca="false">IF(OR($AE954="",$AD954=""),"",IF($AD954&lt;=0,"",$AE954/$AD954))</f>
        <v/>
      </c>
      <c r="AG954" s="14" t="str">
        <f aca="false">IF($AF954="","",$AF954*365/MAX(N($X954),1))</f>
        <v/>
      </c>
      <c r="AH954" s="14" t="str">
        <f aca="false">IF(OR($C954="",$U954&lt;&gt;"Crédito",$AD954=""),"",IF($AD954&lt;=0,"",($Z954-N($L954))/$AD954))</f>
        <v/>
      </c>
      <c r="AI954" s="14" t="str">
        <f aca="false">IF(OR($AH954="",$W954=""),"",$AH954*365/MAX($W954,1))</f>
        <v/>
      </c>
      <c r="AJ954" s="14" t="str">
        <f aca="false">IF(OR($AE954="",$U954&lt;&gt;"Crédito",N($K954)=0),"",(N($K954)-IF(OR($M954="Cerrada",$M954="Rolada"),N($O954),0))/$K954)</f>
        <v/>
      </c>
      <c r="AK954" s="15" t="str">
        <f aca="false">IF(OR($C954="",$N954=""),"",DATE(YEAR($N954),MONTH($N954),1))</f>
        <v/>
      </c>
      <c r="AL954" s="11" t="str">
        <f aca="false">IF($C954="","",IF($M954="Abierta",0,1))</f>
        <v/>
      </c>
      <c r="AM954" s="16" t="str">
        <f aca="false">IF(OR($AE954="",$AD954=""),"",$AD954*MAX(N($X954),1))</f>
        <v/>
      </c>
      <c r="AN954" s="10" t="str">
        <f aca="false">IF($C954="","",IF(OR($B954="",$D954="",$H954="",$K954="",$M954=""),"Faltan datos obligatorios",IF($T954="","Estrategia no reconocida",IF(AND($M954&lt;&gt;"Abierta",$N954=""),"Falta fecha cierre",IF(AND(OR($M954="Cerrada",$M954="Rolada"),$O954=""),"Falta prima cierre",IF(AND($N954&lt;&gt;"",$N954&lt;$B954),"Cierre anterior a apertura",IF(AND($M954="Asignada",$R954=""),"Asignada: falta ID lote acciones",IF(AND($R954&lt;&gt;"",ISNA(MATCH($R954,Acciones!$A$2:$A$201,0))),"El ID lote no existe en Acciones",IF($AD954="","Revisa capital en riesgo","OK")))))))))</f>
        <v/>
      </c>
    </row>
    <row r="955" customFormat="false" ht="15" hidden="false" customHeight="true" outlineLevel="0" collapsed="false">
      <c r="A955" s="5"/>
      <c r="B955" s="6"/>
      <c r="C955" s="7"/>
      <c r="D955" s="7"/>
      <c r="E955" s="8"/>
      <c r="F955" s="8"/>
      <c r="G955" s="6"/>
      <c r="H955" s="5"/>
      <c r="I955" s="5" t="n">
        <v>100</v>
      </c>
      <c r="J955" s="8"/>
      <c r="K955" s="8"/>
      <c r="L955" s="9"/>
      <c r="M955" s="7"/>
      <c r="N955" s="6"/>
      <c r="O955" s="8"/>
      <c r="P955" s="9"/>
      <c r="Q955" s="9"/>
      <c r="R955" s="7"/>
      <c r="S955" s="7"/>
      <c r="T955" s="10" t="str">
        <f aca="false">IF($C955="","",IFERROR(INDEX(Listas!$B$2:$B$20,MATCH($D955,Listas!$A$2:$A$20,0)),""))</f>
        <v/>
      </c>
      <c r="U955" s="10" t="str">
        <f aca="false">IF($C955="","",IFERROR(INDEX(Listas!$C$2:$C$20,MATCH($D955,Listas!$A$2:$A$20,0)),""))</f>
        <v/>
      </c>
      <c r="V955" s="10" t="str">
        <f aca="false">IF($C955="","",IFERROR(INDEX(Listas!$D$2:$D$20,MATCH($D955,Listas!$A$2:$A$20,0)),""))</f>
        <v/>
      </c>
      <c r="W955" s="11" t="str">
        <f aca="false">IF(OR($C955="",$B955="",$G955=""),"",$G955-$B955)</f>
        <v/>
      </c>
      <c r="X955" s="11" t="str">
        <f aca="true">IF(OR($C955="",$B955=""),"",IF($N955&lt;&gt;"",$N955,TODAY())-$B955)</f>
        <v/>
      </c>
      <c r="Y955" s="11" t="str">
        <f aca="true">IF(OR($C955="",$M955&lt;&gt;"Abierta",$G955=""),"",MAX($G955-TODAY(),0))</f>
        <v/>
      </c>
      <c r="Z955" s="12" t="str">
        <f aca="false">IF($C955="","",N($K955)*N($H955)*N($I955)*IF($U955="Débito",-1,1))</f>
        <v/>
      </c>
      <c r="AA955" s="13" t="str">
        <f aca="false">IF($C955="","",IF(AND($U955="Débito",$F955&lt;&gt;""),$F955,$E955))</f>
        <v/>
      </c>
      <c r="AB955" s="13" t="str">
        <f aca="false">IF(OR($C955="",$T955="Mixta",$AA955=""),"",IF($V955="Subyacente",IF($J955="","",$J955-$K955),IF($T955="Put",$AA955-$K955,$AA955+$K955)))</f>
        <v/>
      </c>
      <c r="AC955" s="14" t="str">
        <f aca="false">IF(OR($C955="",$T955="Mixta",$J955="",$AA955=""),"",IF($T955="Put",($J955-$AA955)/$J955,($AA955-$J955)/$J955))</f>
        <v/>
      </c>
      <c r="AD955" s="12" t="str">
        <f aca="false">IF($C955="","",IF($Q955&lt;&gt;"",$Q955,IF($V955="Strike",N($E955)*$H955*$I955,IF($V955="Subyacente",IF($J955="","",$J955*$H955*$I955),IF($V955="Ancho",IF($F955="","",ABS($E955-$F955)*$H955*$I955-$K955*$H955*$I955),IF($V955="Prima",$K955*$H955*$I955,""))))))</f>
        <v/>
      </c>
      <c r="AE955" s="12" t="str">
        <f aca="false">IF(OR($C955="",$M955="Abierta",$M955=""),"",(N($K955)-IF(OR($M955="Cerrada",$M955="Rolada"),N($O955),0))*$H955*$I955*IF($U955="Débito",-1,1)-N($L955)-N($P955))</f>
        <v/>
      </c>
      <c r="AF955" s="14" t="str">
        <f aca="false">IF(OR($AE955="",$AD955=""),"",IF($AD955&lt;=0,"",$AE955/$AD955))</f>
        <v/>
      </c>
      <c r="AG955" s="14" t="str">
        <f aca="false">IF($AF955="","",$AF955*365/MAX(N($X955),1))</f>
        <v/>
      </c>
      <c r="AH955" s="14" t="str">
        <f aca="false">IF(OR($C955="",$U955&lt;&gt;"Crédito",$AD955=""),"",IF($AD955&lt;=0,"",($Z955-N($L955))/$AD955))</f>
        <v/>
      </c>
      <c r="AI955" s="14" t="str">
        <f aca="false">IF(OR($AH955="",$W955=""),"",$AH955*365/MAX($W955,1))</f>
        <v/>
      </c>
      <c r="AJ955" s="14" t="str">
        <f aca="false">IF(OR($AE955="",$U955&lt;&gt;"Crédito",N($K955)=0),"",(N($K955)-IF(OR($M955="Cerrada",$M955="Rolada"),N($O955),0))/$K955)</f>
        <v/>
      </c>
      <c r="AK955" s="15" t="str">
        <f aca="false">IF(OR($C955="",$N955=""),"",DATE(YEAR($N955),MONTH($N955),1))</f>
        <v/>
      </c>
      <c r="AL955" s="11" t="str">
        <f aca="false">IF($C955="","",IF($M955="Abierta",0,1))</f>
        <v/>
      </c>
      <c r="AM955" s="16" t="str">
        <f aca="false">IF(OR($AE955="",$AD955=""),"",$AD955*MAX(N($X955),1))</f>
        <v/>
      </c>
      <c r="AN955" s="10" t="str">
        <f aca="false">IF($C955="","",IF(OR($B955="",$D955="",$H955="",$K955="",$M955=""),"Faltan datos obligatorios",IF($T955="","Estrategia no reconocida",IF(AND($M955&lt;&gt;"Abierta",$N955=""),"Falta fecha cierre",IF(AND(OR($M955="Cerrada",$M955="Rolada"),$O955=""),"Falta prima cierre",IF(AND($N955&lt;&gt;"",$N955&lt;$B955),"Cierre anterior a apertura",IF(AND($M955="Asignada",$R955=""),"Asignada: falta ID lote acciones",IF(AND($R955&lt;&gt;"",ISNA(MATCH($R955,Acciones!$A$2:$A$201,0))),"El ID lote no existe en Acciones",IF($AD955="","Revisa capital en riesgo","OK")))))))))</f>
        <v/>
      </c>
    </row>
    <row r="956" customFormat="false" ht="15" hidden="false" customHeight="true" outlineLevel="0" collapsed="false">
      <c r="A956" s="5"/>
      <c r="B956" s="6"/>
      <c r="C956" s="7"/>
      <c r="D956" s="7"/>
      <c r="E956" s="8"/>
      <c r="F956" s="8"/>
      <c r="G956" s="6"/>
      <c r="H956" s="5"/>
      <c r="I956" s="5" t="n">
        <v>100</v>
      </c>
      <c r="J956" s="8"/>
      <c r="K956" s="8"/>
      <c r="L956" s="9"/>
      <c r="M956" s="7"/>
      <c r="N956" s="6"/>
      <c r="O956" s="8"/>
      <c r="P956" s="9"/>
      <c r="Q956" s="9"/>
      <c r="R956" s="7"/>
      <c r="S956" s="7"/>
      <c r="T956" s="10" t="str">
        <f aca="false">IF($C956="","",IFERROR(INDEX(Listas!$B$2:$B$20,MATCH($D956,Listas!$A$2:$A$20,0)),""))</f>
        <v/>
      </c>
      <c r="U956" s="10" t="str">
        <f aca="false">IF($C956="","",IFERROR(INDEX(Listas!$C$2:$C$20,MATCH($D956,Listas!$A$2:$A$20,0)),""))</f>
        <v/>
      </c>
      <c r="V956" s="10" t="str">
        <f aca="false">IF($C956="","",IFERROR(INDEX(Listas!$D$2:$D$20,MATCH($D956,Listas!$A$2:$A$20,0)),""))</f>
        <v/>
      </c>
      <c r="W956" s="11" t="str">
        <f aca="false">IF(OR($C956="",$B956="",$G956=""),"",$G956-$B956)</f>
        <v/>
      </c>
      <c r="X956" s="11" t="str">
        <f aca="true">IF(OR($C956="",$B956=""),"",IF($N956&lt;&gt;"",$N956,TODAY())-$B956)</f>
        <v/>
      </c>
      <c r="Y956" s="11" t="str">
        <f aca="true">IF(OR($C956="",$M956&lt;&gt;"Abierta",$G956=""),"",MAX($G956-TODAY(),0))</f>
        <v/>
      </c>
      <c r="Z956" s="12" t="str">
        <f aca="false">IF($C956="","",N($K956)*N($H956)*N($I956)*IF($U956="Débito",-1,1))</f>
        <v/>
      </c>
      <c r="AA956" s="13" t="str">
        <f aca="false">IF($C956="","",IF(AND($U956="Débito",$F956&lt;&gt;""),$F956,$E956))</f>
        <v/>
      </c>
      <c r="AB956" s="13" t="str">
        <f aca="false">IF(OR($C956="",$T956="Mixta",$AA956=""),"",IF($V956="Subyacente",IF($J956="","",$J956-$K956),IF($T956="Put",$AA956-$K956,$AA956+$K956)))</f>
        <v/>
      </c>
      <c r="AC956" s="14" t="str">
        <f aca="false">IF(OR($C956="",$T956="Mixta",$J956="",$AA956=""),"",IF($T956="Put",($J956-$AA956)/$J956,($AA956-$J956)/$J956))</f>
        <v/>
      </c>
      <c r="AD956" s="12" t="str">
        <f aca="false">IF($C956="","",IF($Q956&lt;&gt;"",$Q956,IF($V956="Strike",N($E956)*$H956*$I956,IF($V956="Subyacente",IF($J956="","",$J956*$H956*$I956),IF($V956="Ancho",IF($F956="","",ABS($E956-$F956)*$H956*$I956-$K956*$H956*$I956),IF($V956="Prima",$K956*$H956*$I956,""))))))</f>
        <v/>
      </c>
      <c r="AE956" s="12" t="str">
        <f aca="false">IF(OR($C956="",$M956="Abierta",$M956=""),"",(N($K956)-IF(OR($M956="Cerrada",$M956="Rolada"),N($O956),0))*$H956*$I956*IF($U956="Débito",-1,1)-N($L956)-N($P956))</f>
        <v/>
      </c>
      <c r="AF956" s="14" t="str">
        <f aca="false">IF(OR($AE956="",$AD956=""),"",IF($AD956&lt;=0,"",$AE956/$AD956))</f>
        <v/>
      </c>
      <c r="AG956" s="14" t="str">
        <f aca="false">IF($AF956="","",$AF956*365/MAX(N($X956),1))</f>
        <v/>
      </c>
      <c r="AH956" s="14" t="str">
        <f aca="false">IF(OR($C956="",$U956&lt;&gt;"Crédito",$AD956=""),"",IF($AD956&lt;=0,"",($Z956-N($L956))/$AD956))</f>
        <v/>
      </c>
      <c r="AI956" s="14" t="str">
        <f aca="false">IF(OR($AH956="",$W956=""),"",$AH956*365/MAX($W956,1))</f>
        <v/>
      </c>
      <c r="AJ956" s="14" t="str">
        <f aca="false">IF(OR($AE956="",$U956&lt;&gt;"Crédito",N($K956)=0),"",(N($K956)-IF(OR($M956="Cerrada",$M956="Rolada"),N($O956),0))/$K956)</f>
        <v/>
      </c>
      <c r="AK956" s="15" t="str">
        <f aca="false">IF(OR($C956="",$N956=""),"",DATE(YEAR($N956),MONTH($N956),1))</f>
        <v/>
      </c>
      <c r="AL956" s="11" t="str">
        <f aca="false">IF($C956="","",IF($M956="Abierta",0,1))</f>
        <v/>
      </c>
      <c r="AM956" s="16" t="str">
        <f aca="false">IF(OR($AE956="",$AD956=""),"",$AD956*MAX(N($X956),1))</f>
        <v/>
      </c>
      <c r="AN956" s="10" t="str">
        <f aca="false">IF($C956="","",IF(OR($B956="",$D956="",$H956="",$K956="",$M956=""),"Faltan datos obligatorios",IF($T956="","Estrategia no reconocida",IF(AND($M956&lt;&gt;"Abierta",$N956=""),"Falta fecha cierre",IF(AND(OR($M956="Cerrada",$M956="Rolada"),$O956=""),"Falta prima cierre",IF(AND($N956&lt;&gt;"",$N956&lt;$B956),"Cierre anterior a apertura",IF(AND($M956="Asignada",$R956=""),"Asignada: falta ID lote acciones",IF(AND($R956&lt;&gt;"",ISNA(MATCH($R956,Acciones!$A$2:$A$201,0))),"El ID lote no existe en Acciones",IF($AD956="","Revisa capital en riesgo","OK")))))))))</f>
        <v/>
      </c>
    </row>
    <row r="957" customFormat="false" ht="15" hidden="false" customHeight="true" outlineLevel="0" collapsed="false">
      <c r="A957" s="5"/>
      <c r="B957" s="6"/>
      <c r="C957" s="7"/>
      <c r="D957" s="7"/>
      <c r="E957" s="8"/>
      <c r="F957" s="8"/>
      <c r="G957" s="6"/>
      <c r="H957" s="5"/>
      <c r="I957" s="5" t="n">
        <v>100</v>
      </c>
      <c r="J957" s="8"/>
      <c r="K957" s="8"/>
      <c r="L957" s="9"/>
      <c r="M957" s="7"/>
      <c r="N957" s="6"/>
      <c r="O957" s="8"/>
      <c r="P957" s="9"/>
      <c r="Q957" s="9"/>
      <c r="R957" s="7"/>
      <c r="S957" s="7"/>
      <c r="T957" s="10" t="str">
        <f aca="false">IF($C957="","",IFERROR(INDEX(Listas!$B$2:$B$20,MATCH($D957,Listas!$A$2:$A$20,0)),""))</f>
        <v/>
      </c>
      <c r="U957" s="10" t="str">
        <f aca="false">IF($C957="","",IFERROR(INDEX(Listas!$C$2:$C$20,MATCH($D957,Listas!$A$2:$A$20,0)),""))</f>
        <v/>
      </c>
      <c r="V957" s="10" t="str">
        <f aca="false">IF($C957="","",IFERROR(INDEX(Listas!$D$2:$D$20,MATCH($D957,Listas!$A$2:$A$20,0)),""))</f>
        <v/>
      </c>
      <c r="W957" s="11" t="str">
        <f aca="false">IF(OR($C957="",$B957="",$G957=""),"",$G957-$B957)</f>
        <v/>
      </c>
      <c r="X957" s="11" t="str">
        <f aca="true">IF(OR($C957="",$B957=""),"",IF($N957&lt;&gt;"",$N957,TODAY())-$B957)</f>
        <v/>
      </c>
      <c r="Y957" s="11" t="str">
        <f aca="true">IF(OR($C957="",$M957&lt;&gt;"Abierta",$G957=""),"",MAX($G957-TODAY(),0))</f>
        <v/>
      </c>
      <c r="Z957" s="12" t="str">
        <f aca="false">IF($C957="","",N($K957)*N($H957)*N($I957)*IF($U957="Débito",-1,1))</f>
        <v/>
      </c>
      <c r="AA957" s="13" t="str">
        <f aca="false">IF($C957="","",IF(AND($U957="Débito",$F957&lt;&gt;""),$F957,$E957))</f>
        <v/>
      </c>
      <c r="AB957" s="13" t="str">
        <f aca="false">IF(OR($C957="",$T957="Mixta",$AA957=""),"",IF($V957="Subyacente",IF($J957="","",$J957-$K957),IF($T957="Put",$AA957-$K957,$AA957+$K957)))</f>
        <v/>
      </c>
      <c r="AC957" s="14" t="str">
        <f aca="false">IF(OR($C957="",$T957="Mixta",$J957="",$AA957=""),"",IF($T957="Put",($J957-$AA957)/$J957,($AA957-$J957)/$J957))</f>
        <v/>
      </c>
      <c r="AD957" s="12" t="str">
        <f aca="false">IF($C957="","",IF($Q957&lt;&gt;"",$Q957,IF($V957="Strike",N($E957)*$H957*$I957,IF($V957="Subyacente",IF($J957="","",$J957*$H957*$I957),IF($V957="Ancho",IF($F957="","",ABS($E957-$F957)*$H957*$I957-$K957*$H957*$I957),IF($V957="Prima",$K957*$H957*$I957,""))))))</f>
        <v/>
      </c>
      <c r="AE957" s="12" t="str">
        <f aca="false">IF(OR($C957="",$M957="Abierta",$M957=""),"",(N($K957)-IF(OR($M957="Cerrada",$M957="Rolada"),N($O957),0))*$H957*$I957*IF($U957="Débito",-1,1)-N($L957)-N($P957))</f>
        <v/>
      </c>
      <c r="AF957" s="14" t="str">
        <f aca="false">IF(OR($AE957="",$AD957=""),"",IF($AD957&lt;=0,"",$AE957/$AD957))</f>
        <v/>
      </c>
      <c r="AG957" s="14" t="str">
        <f aca="false">IF($AF957="","",$AF957*365/MAX(N($X957),1))</f>
        <v/>
      </c>
      <c r="AH957" s="14" t="str">
        <f aca="false">IF(OR($C957="",$U957&lt;&gt;"Crédito",$AD957=""),"",IF($AD957&lt;=0,"",($Z957-N($L957))/$AD957))</f>
        <v/>
      </c>
      <c r="AI957" s="14" t="str">
        <f aca="false">IF(OR($AH957="",$W957=""),"",$AH957*365/MAX($W957,1))</f>
        <v/>
      </c>
      <c r="AJ957" s="14" t="str">
        <f aca="false">IF(OR($AE957="",$U957&lt;&gt;"Crédito",N($K957)=0),"",(N($K957)-IF(OR($M957="Cerrada",$M957="Rolada"),N($O957),0))/$K957)</f>
        <v/>
      </c>
      <c r="AK957" s="15" t="str">
        <f aca="false">IF(OR($C957="",$N957=""),"",DATE(YEAR($N957),MONTH($N957),1))</f>
        <v/>
      </c>
      <c r="AL957" s="11" t="str">
        <f aca="false">IF($C957="","",IF($M957="Abierta",0,1))</f>
        <v/>
      </c>
      <c r="AM957" s="16" t="str">
        <f aca="false">IF(OR($AE957="",$AD957=""),"",$AD957*MAX(N($X957),1))</f>
        <v/>
      </c>
      <c r="AN957" s="10" t="str">
        <f aca="false">IF($C957="","",IF(OR($B957="",$D957="",$H957="",$K957="",$M957=""),"Faltan datos obligatorios",IF($T957="","Estrategia no reconocida",IF(AND($M957&lt;&gt;"Abierta",$N957=""),"Falta fecha cierre",IF(AND(OR($M957="Cerrada",$M957="Rolada"),$O957=""),"Falta prima cierre",IF(AND($N957&lt;&gt;"",$N957&lt;$B957),"Cierre anterior a apertura",IF(AND($M957="Asignada",$R957=""),"Asignada: falta ID lote acciones",IF(AND($R957&lt;&gt;"",ISNA(MATCH($R957,Acciones!$A$2:$A$201,0))),"El ID lote no existe en Acciones",IF($AD957="","Revisa capital en riesgo","OK")))))))))</f>
        <v/>
      </c>
    </row>
    <row r="958" customFormat="false" ht="15" hidden="false" customHeight="true" outlineLevel="0" collapsed="false">
      <c r="A958" s="5"/>
      <c r="B958" s="6"/>
      <c r="C958" s="7"/>
      <c r="D958" s="7"/>
      <c r="E958" s="8"/>
      <c r="F958" s="8"/>
      <c r="G958" s="6"/>
      <c r="H958" s="5"/>
      <c r="I958" s="5" t="n">
        <v>100</v>
      </c>
      <c r="J958" s="8"/>
      <c r="K958" s="8"/>
      <c r="L958" s="9"/>
      <c r="M958" s="7"/>
      <c r="N958" s="6"/>
      <c r="O958" s="8"/>
      <c r="P958" s="9"/>
      <c r="Q958" s="9"/>
      <c r="R958" s="7"/>
      <c r="S958" s="7"/>
      <c r="T958" s="10" t="str">
        <f aca="false">IF($C958="","",IFERROR(INDEX(Listas!$B$2:$B$20,MATCH($D958,Listas!$A$2:$A$20,0)),""))</f>
        <v/>
      </c>
      <c r="U958" s="10" t="str">
        <f aca="false">IF($C958="","",IFERROR(INDEX(Listas!$C$2:$C$20,MATCH($D958,Listas!$A$2:$A$20,0)),""))</f>
        <v/>
      </c>
      <c r="V958" s="10" t="str">
        <f aca="false">IF($C958="","",IFERROR(INDEX(Listas!$D$2:$D$20,MATCH($D958,Listas!$A$2:$A$20,0)),""))</f>
        <v/>
      </c>
      <c r="W958" s="11" t="str">
        <f aca="false">IF(OR($C958="",$B958="",$G958=""),"",$G958-$B958)</f>
        <v/>
      </c>
      <c r="X958" s="11" t="str">
        <f aca="true">IF(OR($C958="",$B958=""),"",IF($N958&lt;&gt;"",$N958,TODAY())-$B958)</f>
        <v/>
      </c>
      <c r="Y958" s="11" t="str">
        <f aca="true">IF(OR($C958="",$M958&lt;&gt;"Abierta",$G958=""),"",MAX($G958-TODAY(),0))</f>
        <v/>
      </c>
      <c r="Z958" s="12" t="str">
        <f aca="false">IF($C958="","",N($K958)*N($H958)*N($I958)*IF($U958="Débito",-1,1))</f>
        <v/>
      </c>
      <c r="AA958" s="13" t="str">
        <f aca="false">IF($C958="","",IF(AND($U958="Débito",$F958&lt;&gt;""),$F958,$E958))</f>
        <v/>
      </c>
      <c r="AB958" s="13" t="str">
        <f aca="false">IF(OR($C958="",$T958="Mixta",$AA958=""),"",IF($V958="Subyacente",IF($J958="","",$J958-$K958),IF($T958="Put",$AA958-$K958,$AA958+$K958)))</f>
        <v/>
      </c>
      <c r="AC958" s="14" t="str">
        <f aca="false">IF(OR($C958="",$T958="Mixta",$J958="",$AA958=""),"",IF($T958="Put",($J958-$AA958)/$J958,($AA958-$J958)/$J958))</f>
        <v/>
      </c>
      <c r="AD958" s="12" t="str">
        <f aca="false">IF($C958="","",IF($Q958&lt;&gt;"",$Q958,IF($V958="Strike",N($E958)*$H958*$I958,IF($V958="Subyacente",IF($J958="","",$J958*$H958*$I958),IF($V958="Ancho",IF($F958="","",ABS($E958-$F958)*$H958*$I958-$K958*$H958*$I958),IF($V958="Prima",$K958*$H958*$I958,""))))))</f>
        <v/>
      </c>
      <c r="AE958" s="12" t="str">
        <f aca="false">IF(OR($C958="",$M958="Abierta",$M958=""),"",(N($K958)-IF(OR($M958="Cerrada",$M958="Rolada"),N($O958),0))*$H958*$I958*IF($U958="Débito",-1,1)-N($L958)-N($P958))</f>
        <v/>
      </c>
      <c r="AF958" s="14" t="str">
        <f aca="false">IF(OR($AE958="",$AD958=""),"",IF($AD958&lt;=0,"",$AE958/$AD958))</f>
        <v/>
      </c>
      <c r="AG958" s="14" t="str">
        <f aca="false">IF($AF958="","",$AF958*365/MAX(N($X958),1))</f>
        <v/>
      </c>
      <c r="AH958" s="14" t="str">
        <f aca="false">IF(OR($C958="",$U958&lt;&gt;"Crédito",$AD958=""),"",IF($AD958&lt;=0,"",($Z958-N($L958))/$AD958))</f>
        <v/>
      </c>
      <c r="AI958" s="14" t="str">
        <f aca="false">IF(OR($AH958="",$W958=""),"",$AH958*365/MAX($W958,1))</f>
        <v/>
      </c>
      <c r="AJ958" s="14" t="str">
        <f aca="false">IF(OR($AE958="",$U958&lt;&gt;"Crédito",N($K958)=0),"",(N($K958)-IF(OR($M958="Cerrada",$M958="Rolada"),N($O958),0))/$K958)</f>
        <v/>
      </c>
      <c r="AK958" s="15" t="str">
        <f aca="false">IF(OR($C958="",$N958=""),"",DATE(YEAR($N958),MONTH($N958),1))</f>
        <v/>
      </c>
      <c r="AL958" s="11" t="str">
        <f aca="false">IF($C958="","",IF($M958="Abierta",0,1))</f>
        <v/>
      </c>
      <c r="AM958" s="16" t="str">
        <f aca="false">IF(OR($AE958="",$AD958=""),"",$AD958*MAX(N($X958),1))</f>
        <v/>
      </c>
      <c r="AN958" s="10" t="str">
        <f aca="false">IF($C958="","",IF(OR($B958="",$D958="",$H958="",$K958="",$M958=""),"Faltan datos obligatorios",IF($T958="","Estrategia no reconocida",IF(AND($M958&lt;&gt;"Abierta",$N958=""),"Falta fecha cierre",IF(AND(OR($M958="Cerrada",$M958="Rolada"),$O958=""),"Falta prima cierre",IF(AND($N958&lt;&gt;"",$N958&lt;$B958),"Cierre anterior a apertura",IF(AND($M958="Asignada",$R958=""),"Asignada: falta ID lote acciones",IF(AND($R958&lt;&gt;"",ISNA(MATCH($R958,Acciones!$A$2:$A$201,0))),"El ID lote no existe en Acciones",IF($AD958="","Revisa capital en riesgo","OK")))))))))</f>
        <v/>
      </c>
    </row>
    <row r="959" customFormat="false" ht="15" hidden="false" customHeight="true" outlineLevel="0" collapsed="false">
      <c r="A959" s="5"/>
      <c r="B959" s="6"/>
      <c r="C959" s="7"/>
      <c r="D959" s="7"/>
      <c r="E959" s="8"/>
      <c r="F959" s="8"/>
      <c r="G959" s="6"/>
      <c r="H959" s="5"/>
      <c r="I959" s="5" t="n">
        <v>100</v>
      </c>
      <c r="J959" s="8"/>
      <c r="K959" s="8"/>
      <c r="L959" s="9"/>
      <c r="M959" s="7"/>
      <c r="N959" s="6"/>
      <c r="O959" s="8"/>
      <c r="P959" s="9"/>
      <c r="Q959" s="9"/>
      <c r="R959" s="7"/>
      <c r="S959" s="7"/>
      <c r="T959" s="10" t="str">
        <f aca="false">IF($C959="","",IFERROR(INDEX(Listas!$B$2:$B$20,MATCH($D959,Listas!$A$2:$A$20,0)),""))</f>
        <v/>
      </c>
      <c r="U959" s="10" t="str">
        <f aca="false">IF($C959="","",IFERROR(INDEX(Listas!$C$2:$C$20,MATCH($D959,Listas!$A$2:$A$20,0)),""))</f>
        <v/>
      </c>
      <c r="V959" s="10" t="str">
        <f aca="false">IF($C959="","",IFERROR(INDEX(Listas!$D$2:$D$20,MATCH($D959,Listas!$A$2:$A$20,0)),""))</f>
        <v/>
      </c>
      <c r="W959" s="11" t="str">
        <f aca="false">IF(OR($C959="",$B959="",$G959=""),"",$G959-$B959)</f>
        <v/>
      </c>
      <c r="X959" s="11" t="str">
        <f aca="true">IF(OR($C959="",$B959=""),"",IF($N959&lt;&gt;"",$N959,TODAY())-$B959)</f>
        <v/>
      </c>
      <c r="Y959" s="11" t="str">
        <f aca="true">IF(OR($C959="",$M959&lt;&gt;"Abierta",$G959=""),"",MAX($G959-TODAY(),0))</f>
        <v/>
      </c>
      <c r="Z959" s="12" t="str">
        <f aca="false">IF($C959="","",N($K959)*N($H959)*N($I959)*IF($U959="Débito",-1,1))</f>
        <v/>
      </c>
      <c r="AA959" s="13" t="str">
        <f aca="false">IF($C959="","",IF(AND($U959="Débito",$F959&lt;&gt;""),$F959,$E959))</f>
        <v/>
      </c>
      <c r="AB959" s="13" t="str">
        <f aca="false">IF(OR($C959="",$T959="Mixta",$AA959=""),"",IF($V959="Subyacente",IF($J959="","",$J959-$K959),IF($T959="Put",$AA959-$K959,$AA959+$K959)))</f>
        <v/>
      </c>
      <c r="AC959" s="14" t="str">
        <f aca="false">IF(OR($C959="",$T959="Mixta",$J959="",$AA959=""),"",IF($T959="Put",($J959-$AA959)/$J959,($AA959-$J959)/$J959))</f>
        <v/>
      </c>
      <c r="AD959" s="12" t="str">
        <f aca="false">IF($C959="","",IF($Q959&lt;&gt;"",$Q959,IF($V959="Strike",N($E959)*$H959*$I959,IF($V959="Subyacente",IF($J959="","",$J959*$H959*$I959),IF($V959="Ancho",IF($F959="","",ABS($E959-$F959)*$H959*$I959-$K959*$H959*$I959),IF($V959="Prima",$K959*$H959*$I959,""))))))</f>
        <v/>
      </c>
      <c r="AE959" s="12" t="str">
        <f aca="false">IF(OR($C959="",$M959="Abierta",$M959=""),"",(N($K959)-IF(OR($M959="Cerrada",$M959="Rolada"),N($O959),0))*$H959*$I959*IF($U959="Débito",-1,1)-N($L959)-N($P959))</f>
        <v/>
      </c>
      <c r="AF959" s="14" t="str">
        <f aca="false">IF(OR($AE959="",$AD959=""),"",IF($AD959&lt;=0,"",$AE959/$AD959))</f>
        <v/>
      </c>
      <c r="AG959" s="14" t="str">
        <f aca="false">IF($AF959="","",$AF959*365/MAX(N($X959),1))</f>
        <v/>
      </c>
      <c r="AH959" s="14" t="str">
        <f aca="false">IF(OR($C959="",$U959&lt;&gt;"Crédito",$AD959=""),"",IF($AD959&lt;=0,"",($Z959-N($L959))/$AD959))</f>
        <v/>
      </c>
      <c r="AI959" s="14" t="str">
        <f aca="false">IF(OR($AH959="",$W959=""),"",$AH959*365/MAX($W959,1))</f>
        <v/>
      </c>
      <c r="AJ959" s="14" t="str">
        <f aca="false">IF(OR($AE959="",$U959&lt;&gt;"Crédito",N($K959)=0),"",(N($K959)-IF(OR($M959="Cerrada",$M959="Rolada"),N($O959),0))/$K959)</f>
        <v/>
      </c>
      <c r="AK959" s="15" t="str">
        <f aca="false">IF(OR($C959="",$N959=""),"",DATE(YEAR($N959),MONTH($N959),1))</f>
        <v/>
      </c>
      <c r="AL959" s="11" t="str">
        <f aca="false">IF($C959="","",IF($M959="Abierta",0,1))</f>
        <v/>
      </c>
      <c r="AM959" s="16" t="str">
        <f aca="false">IF(OR($AE959="",$AD959=""),"",$AD959*MAX(N($X959),1))</f>
        <v/>
      </c>
      <c r="AN959" s="10" t="str">
        <f aca="false">IF($C959="","",IF(OR($B959="",$D959="",$H959="",$K959="",$M959=""),"Faltan datos obligatorios",IF($T959="","Estrategia no reconocida",IF(AND($M959&lt;&gt;"Abierta",$N959=""),"Falta fecha cierre",IF(AND(OR($M959="Cerrada",$M959="Rolada"),$O959=""),"Falta prima cierre",IF(AND($N959&lt;&gt;"",$N959&lt;$B959),"Cierre anterior a apertura",IF(AND($M959="Asignada",$R959=""),"Asignada: falta ID lote acciones",IF(AND($R959&lt;&gt;"",ISNA(MATCH($R959,Acciones!$A$2:$A$201,0))),"El ID lote no existe en Acciones",IF($AD959="","Revisa capital en riesgo","OK")))))))))</f>
        <v/>
      </c>
    </row>
    <row r="960" customFormat="false" ht="15" hidden="false" customHeight="true" outlineLevel="0" collapsed="false">
      <c r="A960" s="5"/>
      <c r="B960" s="6"/>
      <c r="C960" s="7"/>
      <c r="D960" s="7"/>
      <c r="E960" s="8"/>
      <c r="F960" s="8"/>
      <c r="G960" s="6"/>
      <c r="H960" s="5"/>
      <c r="I960" s="5" t="n">
        <v>100</v>
      </c>
      <c r="J960" s="8"/>
      <c r="K960" s="8"/>
      <c r="L960" s="9"/>
      <c r="M960" s="7"/>
      <c r="N960" s="6"/>
      <c r="O960" s="8"/>
      <c r="P960" s="9"/>
      <c r="Q960" s="9"/>
      <c r="R960" s="7"/>
      <c r="S960" s="7"/>
      <c r="T960" s="10" t="str">
        <f aca="false">IF($C960="","",IFERROR(INDEX(Listas!$B$2:$B$20,MATCH($D960,Listas!$A$2:$A$20,0)),""))</f>
        <v/>
      </c>
      <c r="U960" s="10" t="str">
        <f aca="false">IF($C960="","",IFERROR(INDEX(Listas!$C$2:$C$20,MATCH($D960,Listas!$A$2:$A$20,0)),""))</f>
        <v/>
      </c>
      <c r="V960" s="10" t="str">
        <f aca="false">IF($C960="","",IFERROR(INDEX(Listas!$D$2:$D$20,MATCH($D960,Listas!$A$2:$A$20,0)),""))</f>
        <v/>
      </c>
      <c r="W960" s="11" t="str">
        <f aca="false">IF(OR($C960="",$B960="",$G960=""),"",$G960-$B960)</f>
        <v/>
      </c>
      <c r="X960" s="11" t="str">
        <f aca="true">IF(OR($C960="",$B960=""),"",IF($N960&lt;&gt;"",$N960,TODAY())-$B960)</f>
        <v/>
      </c>
      <c r="Y960" s="11" t="str">
        <f aca="true">IF(OR($C960="",$M960&lt;&gt;"Abierta",$G960=""),"",MAX($G960-TODAY(),0))</f>
        <v/>
      </c>
      <c r="Z960" s="12" t="str">
        <f aca="false">IF($C960="","",N($K960)*N($H960)*N($I960)*IF($U960="Débito",-1,1))</f>
        <v/>
      </c>
      <c r="AA960" s="13" t="str">
        <f aca="false">IF($C960="","",IF(AND($U960="Débito",$F960&lt;&gt;""),$F960,$E960))</f>
        <v/>
      </c>
      <c r="AB960" s="13" t="str">
        <f aca="false">IF(OR($C960="",$T960="Mixta",$AA960=""),"",IF($V960="Subyacente",IF($J960="","",$J960-$K960),IF($T960="Put",$AA960-$K960,$AA960+$K960)))</f>
        <v/>
      </c>
      <c r="AC960" s="14" t="str">
        <f aca="false">IF(OR($C960="",$T960="Mixta",$J960="",$AA960=""),"",IF($T960="Put",($J960-$AA960)/$J960,($AA960-$J960)/$J960))</f>
        <v/>
      </c>
      <c r="AD960" s="12" t="str">
        <f aca="false">IF($C960="","",IF($Q960&lt;&gt;"",$Q960,IF($V960="Strike",N($E960)*$H960*$I960,IF($V960="Subyacente",IF($J960="","",$J960*$H960*$I960),IF($V960="Ancho",IF($F960="","",ABS($E960-$F960)*$H960*$I960-$K960*$H960*$I960),IF($V960="Prima",$K960*$H960*$I960,""))))))</f>
        <v/>
      </c>
      <c r="AE960" s="12" t="str">
        <f aca="false">IF(OR($C960="",$M960="Abierta",$M960=""),"",(N($K960)-IF(OR($M960="Cerrada",$M960="Rolada"),N($O960),0))*$H960*$I960*IF($U960="Débito",-1,1)-N($L960)-N($P960))</f>
        <v/>
      </c>
      <c r="AF960" s="14" t="str">
        <f aca="false">IF(OR($AE960="",$AD960=""),"",IF($AD960&lt;=0,"",$AE960/$AD960))</f>
        <v/>
      </c>
      <c r="AG960" s="14" t="str">
        <f aca="false">IF($AF960="","",$AF960*365/MAX(N($X960),1))</f>
        <v/>
      </c>
      <c r="AH960" s="14" t="str">
        <f aca="false">IF(OR($C960="",$U960&lt;&gt;"Crédito",$AD960=""),"",IF($AD960&lt;=0,"",($Z960-N($L960))/$AD960))</f>
        <v/>
      </c>
      <c r="AI960" s="14" t="str">
        <f aca="false">IF(OR($AH960="",$W960=""),"",$AH960*365/MAX($W960,1))</f>
        <v/>
      </c>
      <c r="AJ960" s="14" t="str">
        <f aca="false">IF(OR($AE960="",$U960&lt;&gt;"Crédito",N($K960)=0),"",(N($K960)-IF(OR($M960="Cerrada",$M960="Rolada"),N($O960),0))/$K960)</f>
        <v/>
      </c>
      <c r="AK960" s="15" t="str">
        <f aca="false">IF(OR($C960="",$N960=""),"",DATE(YEAR($N960),MONTH($N960),1))</f>
        <v/>
      </c>
      <c r="AL960" s="11" t="str">
        <f aca="false">IF($C960="","",IF($M960="Abierta",0,1))</f>
        <v/>
      </c>
      <c r="AM960" s="16" t="str">
        <f aca="false">IF(OR($AE960="",$AD960=""),"",$AD960*MAX(N($X960),1))</f>
        <v/>
      </c>
      <c r="AN960" s="10" t="str">
        <f aca="false">IF($C960="","",IF(OR($B960="",$D960="",$H960="",$K960="",$M960=""),"Faltan datos obligatorios",IF($T960="","Estrategia no reconocida",IF(AND($M960&lt;&gt;"Abierta",$N960=""),"Falta fecha cierre",IF(AND(OR($M960="Cerrada",$M960="Rolada"),$O960=""),"Falta prima cierre",IF(AND($N960&lt;&gt;"",$N960&lt;$B960),"Cierre anterior a apertura",IF(AND($M960="Asignada",$R960=""),"Asignada: falta ID lote acciones",IF(AND($R960&lt;&gt;"",ISNA(MATCH($R960,Acciones!$A$2:$A$201,0))),"El ID lote no existe en Acciones",IF($AD960="","Revisa capital en riesgo","OK")))))))))</f>
        <v/>
      </c>
    </row>
    <row r="961" customFormat="false" ht="15" hidden="false" customHeight="true" outlineLevel="0" collapsed="false">
      <c r="A961" s="5"/>
      <c r="B961" s="6"/>
      <c r="C961" s="7"/>
      <c r="D961" s="7"/>
      <c r="E961" s="8"/>
      <c r="F961" s="8"/>
      <c r="G961" s="6"/>
      <c r="H961" s="5"/>
      <c r="I961" s="5" t="n">
        <v>100</v>
      </c>
      <c r="J961" s="8"/>
      <c r="K961" s="8"/>
      <c r="L961" s="9"/>
      <c r="M961" s="7"/>
      <c r="N961" s="6"/>
      <c r="O961" s="8"/>
      <c r="P961" s="9"/>
      <c r="Q961" s="9"/>
      <c r="R961" s="7"/>
      <c r="S961" s="7"/>
      <c r="T961" s="10" t="str">
        <f aca="false">IF($C961="","",IFERROR(INDEX(Listas!$B$2:$B$20,MATCH($D961,Listas!$A$2:$A$20,0)),""))</f>
        <v/>
      </c>
      <c r="U961" s="10" t="str">
        <f aca="false">IF($C961="","",IFERROR(INDEX(Listas!$C$2:$C$20,MATCH($D961,Listas!$A$2:$A$20,0)),""))</f>
        <v/>
      </c>
      <c r="V961" s="10" t="str">
        <f aca="false">IF($C961="","",IFERROR(INDEX(Listas!$D$2:$D$20,MATCH($D961,Listas!$A$2:$A$20,0)),""))</f>
        <v/>
      </c>
      <c r="W961" s="11" t="str">
        <f aca="false">IF(OR($C961="",$B961="",$G961=""),"",$G961-$B961)</f>
        <v/>
      </c>
      <c r="X961" s="11" t="str">
        <f aca="true">IF(OR($C961="",$B961=""),"",IF($N961&lt;&gt;"",$N961,TODAY())-$B961)</f>
        <v/>
      </c>
      <c r="Y961" s="11" t="str">
        <f aca="true">IF(OR($C961="",$M961&lt;&gt;"Abierta",$G961=""),"",MAX($G961-TODAY(),0))</f>
        <v/>
      </c>
      <c r="Z961" s="12" t="str">
        <f aca="false">IF($C961="","",N($K961)*N($H961)*N($I961)*IF($U961="Débito",-1,1))</f>
        <v/>
      </c>
      <c r="AA961" s="13" t="str">
        <f aca="false">IF($C961="","",IF(AND($U961="Débito",$F961&lt;&gt;""),$F961,$E961))</f>
        <v/>
      </c>
      <c r="AB961" s="13" t="str">
        <f aca="false">IF(OR($C961="",$T961="Mixta",$AA961=""),"",IF($V961="Subyacente",IF($J961="","",$J961-$K961),IF($T961="Put",$AA961-$K961,$AA961+$K961)))</f>
        <v/>
      </c>
      <c r="AC961" s="14" t="str">
        <f aca="false">IF(OR($C961="",$T961="Mixta",$J961="",$AA961=""),"",IF($T961="Put",($J961-$AA961)/$J961,($AA961-$J961)/$J961))</f>
        <v/>
      </c>
      <c r="AD961" s="12" t="str">
        <f aca="false">IF($C961="","",IF($Q961&lt;&gt;"",$Q961,IF($V961="Strike",N($E961)*$H961*$I961,IF($V961="Subyacente",IF($J961="","",$J961*$H961*$I961),IF($V961="Ancho",IF($F961="","",ABS($E961-$F961)*$H961*$I961-$K961*$H961*$I961),IF($V961="Prima",$K961*$H961*$I961,""))))))</f>
        <v/>
      </c>
      <c r="AE961" s="12" t="str">
        <f aca="false">IF(OR($C961="",$M961="Abierta",$M961=""),"",(N($K961)-IF(OR($M961="Cerrada",$M961="Rolada"),N($O961),0))*$H961*$I961*IF($U961="Débito",-1,1)-N($L961)-N($P961))</f>
        <v/>
      </c>
      <c r="AF961" s="14" t="str">
        <f aca="false">IF(OR($AE961="",$AD961=""),"",IF($AD961&lt;=0,"",$AE961/$AD961))</f>
        <v/>
      </c>
      <c r="AG961" s="14" t="str">
        <f aca="false">IF($AF961="","",$AF961*365/MAX(N($X961),1))</f>
        <v/>
      </c>
      <c r="AH961" s="14" t="str">
        <f aca="false">IF(OR($C961="",$U961&lt;&gt;"Crédito",$AD961=""),"",IF($AD961&lt;=0,"",($Z961-N($L961))/$AD961))</f>
        <v/>
      </c>
      <c r="AI961" s="14" t="str">
        <f aca="false">IF(OR($AH961="",$W961=""),"",$AH961*365/MAX($W961,1))</f>
        <v/>
      </c>
      <c r="AJ961" s="14" t="str">
        <f aca="false">IF(OR($AE961="",$U961&lt;&gt;"Crédito",N($K961)=0),"",(N($K961)-IF(OR($M961="Cerrada",$M961="Rolada"),N($O961),0))/$K961)</f>
        <v/>
      </c>
      <c r="AK961" s="15" t="str">
        <f aca="false">IF(OR($C961="",$N961=""),"",DATE(YEAR($N961),MONTH($N961),1))</f>
        <v/>
      </c>
      <c r="AL961" s="11" t="str">
        <f aca="false">IF($C961="","",IF($M961="Abierta",0,1))</f>
        <v/>
      </c>
      <c r="AM961" s="16" t="str">
        <f aca="false">IF(OR($AE961="",$AD961=""),"",$AD961*MAX(N($X961),1))</f>
        <v/>
      </c>
      <c r="AN961" s="10" t="str">
        <f aca="false">IF($C961="","",IF(OR($B961="",$D961="",$H961="",$K961="",$M961=""),"Faltan datos obligatorios",IF($T961="","Estrategia no reconocida",IF(AND($M961&lt;&gt;"Abierta",$N961=""),"Falta fecha cierre",IF(AND(OR($M961="Cerrada",$M961="Rolada"),$O961=""),"Falta prima cierre",IF(AND($N961&lt;&gt;"",$N961&lt;$B961),"Cierre anterior a apertura",IF(AND($M961="Asignada",$R961=""),"Asignada: falta ID lote acciones",IF(AND($R961&lt;&gt;"",ISNA(MATCH($R961,Acciones!$A$2:$A$201,0))),"El ID lote no existe en Acciones",IF($AD961="","Revisa capital en riesgo","OK")))))))))</f>
        <v/>
      </c>
    </row>
    <row r="962" customFormat="false" ht="15" hidden="false" customHeight="true" outlineLevel="0" collapsed="false">
      <c r="A962" s="5"/>
      <c r="B962" s="6"/>
      <c r="C962" s="7"/>
      <c r="D962" s="7"/>
      <c r="E962" s="8"/>
      <c r="F962" s="8"/>
      <c r="G962" s="6"/>
      <c r="H962" s="5"/>
      <c r="I962" s="5" t="n">
        <v>100</v>
      </c>
      <c r="J962" s="8"/>
      <c r="K962" s="8"/>
      <c r="L962" s="9"/>
      <c r="M962" s="7"/>
      <c r="N962" s="6"/>
      <c r="O962" s="8"/>
      <c r="P962" s="9"/>
      <c r="Q962" s="9"/>
      <c r="R962" s="7"/>
      <c r="S962" s="7"/>
      <c r="T962" s="10" t="str">
        <f aca="false">IF($C962="","",IFERROR(INDEX(Listas!$B$2:$B$20,MATCH($D962,Listas!$A$2:$A$20,0)),""))</f>
        <v/>
      </c>
      <c r="U962" s="10" t="str">
        <f aca="false">IF($C962="","",IFERROR(INDEX(Listas!$C$2:$C$20,MATCH($D962,Listas!$A$2:$A$20,0)),""))</f>
        <v/>
      </c>
      <c r="V962" s="10" t="str">
        <f aca="false">IF($C962="","",IFERROR(INDEX(Listas!$D$2:$D$20,MATCH($D962,Listas!$A$2:$A$20,0)),""))</f>
        <v/>
      </c>
      <c r="W962" s="11" t="str">
        <f aca="false">IF(OR($C962="",$B962="",$G962=""),"",$G962-$B962)</f>
        <v/>
      </c>
      <c r="X962" s="11" t="str">
        <f aca="true">IF(OR($C962="",$B962=""),"",IF($N962&lt;&gt;"",$N962,TODAY())-$B962)</f>
        <v/>
      </c>
      <c r="Y962" s="11" t="str">
        <f aca="true">IF(OR($C962="",$M962&lt;&gt;"Abierta",$G962=""),"",MAX($G962-TODAY(),0))</f>
        <v/>
      </c>
      <c r="Z962" s="12" t="str">
        <f aca="false">IF($C962="","",N($K962)*N($H962)*N($I962)*IF($U962="Débito",-1,1))</f>
        <v/>
      </c>
      <c r="AA962" s="13" t="str">
        <f aca="false">IF($C962="","",IF(AND($U962="Débito",$F962&lt;&gt;""),$F962,$E962))</f>
        <v/>
      </c>
      <c r="AB962" s="13" t="str">
        <f aca="false">IF(OR($C962="",$T962="Mixta",$AA962=""),"",IF($V962="Subyacente",IF($J962="","",$J962-$K962),IF($T962="Put",$AA962-$K962,$AA962+$K962)))</f>
        <v/>
      </c>
      <c r="AC962" s="14" t="str">
        <f aca="false">IF(OR($C962="",$T962="Mixta",$J962="",$AA962=""),"",IF($T962="Put",($J962-$AA962)/$J962,($AA962-$J962)/$J962))</f>
        <v/>
      </c>
      <c r="AD962" s="12" t="str">
        <f aca="false">IF($C962="","",IF($Q962&lt;&gt;"",$Q962,IF($V962="Strike",N($E962)*$H962*$I962,IF($V962="Subyacente",IF($J962="","",$J962*$H962*$I962),IF($V962="Ancho",IF($F962="","",ABS($E962-$F962)*$H962*$I962-$K962*$H962*$I962),IF($V962="Prima",$K962*$H962*$I962,""))))))</f>
        <v/>
      </c>
      <c r="AE962" s="12" t="str">
        <f aca="false">IF(OR($C962="",$M962="Abierta",$M962=""),"",(N($K962)-IF(OR($M962="Cerrada",$M962="Rolada"),N($O962),0))*$H962*$I962*IF($U962="Débito",-1,1)-N($L962)-N($P962))</f>
        <v/>
      </c>
      <c r="AF962" s="14" t="str">
        <f aca="false">IF(OR($AE962="",$AD962=""),"",IF($AD962&lt;=0,"",$AE962/$AD962))</f>
        <v/>
      </c>
      <c r="AG962" s="14" t="str">
        <f aca="false">IF($AF962="","",$AF962*365/MAX(N($X962),1))</f>
        <v/>
      </c>
      <c r="AH962" s="14" t="str">
        <f aca="false">IF(OR($C962="",$U962&lt;&gt;"Crédito",$AD962=""),"",IF($AD962&lt;=0,"",($Z962-N($L962))/$AD962))</f>
        <v/>
      </c>
      <c r="AI962" s="14" t="str">
        <f aca="false">IF(OR($AH962="",$W962=""),"",$AH962*365/MAX($W962,1))</f>
        <v/>
      </c>
      <c r="AJ962" s="14" t="str">
        <f aca="false">IF(OR($AE962="",$U962&lt;&gt;"Crédito",N($K962)=0),"",(N($K962)-IF(OR($M962="Cerrada",$M962="Rolada"),N($O962),0))/$K962)</f>
        <v/>
      </c>
      <c r="AK962" s="15" t="str">
        <f aca="false">IF(OR($C962="",$N962=""),"",DATE(YEAR($N962),MONTH($N962),1))</f>
        <v/>
      </c>
      <c r="AL962" s="11" t="str">
        <f aca="false">IF($C962="","",IF($M962="Abierta",0,1))</f>
        <v/>
      </c>
      <c r="AM962" s="16" t="str">
        <f aca="false">IF(OR($AE962="",$AD962=""),"",$AD962*MAX(N($X962),1))</f>
        <v/>
      </c>
      <c r="AN962" s="10" t="str">
        <f aca="false">IF($C962="","",IF(OR($B962="",$D962="",$H962="",$K962="",$M962=""),"Faltan datos obligatorios",IF($T962="","Estrategia no reconocida",IF(AND($M962&lt;&gt;"Abierta",$N962=""),"Falta fecha cierre",IF(AND(OR($M962="Cerrada",$M962="Rolada"),$O962=""),"Falta prima cierre",IF(AND($N962&lt;&gt;"",$N962&lt;$B962),"Cierre anterior a apertura",IF(AND($M962="Asignada",$R962=""),"Asignada: falta ID lote acciones",IF(AND($R962&lt;&gt;"",ISNA(MATCH($R962,Acciones!$A$2:$A$201,0))),"El ID lote no existe en Acciones",IF($AD962="","Revisa capital en riesgo","OK")))))))))</f>
        <v/>
      </c>
    </row>
    <row r="963" customFormat="false" ht="15" hidden="false" customHeight="true" outlineLevel="0" collapsed="false">
      <c r="A963" s="5"/>
      <c r="B963" s="6"/>
      <c r="C963" s="7"/>
      <c r="D963" s="7"/>
      <c r="E963" s="8"/>
      <c r="F963" s="8"/>
      <c r="G963" s="6"/>
      <c r="H963" s="5"/>
      <c r="I963" s="5" t="n">
        <v>100</v>
      </c>
      <c r="J963" s="8"/>
      <c r="K963" s="8"/>
      <c r="L963" s="9"/>
      <c r="M963" s="7"/>
      <c r="N963" s="6"/>
      <c r="O963" s="8"/>
      <c r="P963" s="9"/>
      <c r="Q963" s="9"/>
      <c r="R963" s="7"/>
      <c r="S963" s="7"/>
      <c r="T963" s="10" t="str">
        <f aca="false">IF($C963="","",IFERROR(INDEX(Listas!$B$2:$B$20,MATCH($D963,Listas!$A$2:$A$20,0)),""))</f>
        <v/>
      </c>
      <c r="U963" s="10" t="str">
        <f aca="false">IF($C963="","",IFERROR(INDEX(Listas!$C$2:$C$20,MATCH($D963,Listas!$A$2:$A$20,0)),""))</f>
        <v/>
      </c>
      <c r="V963" s="10" t="str">
        <f aca="false">IF($C963="","",IFERROR(INDEX(Listas!$D$2:$D$20,MATCH($D963,Listas!$A$2:$A$20,0)),""))</f>
        <v/>
      </c>
      <c r="W963" s="11" t="str">
        <f aca="false">IF(OR($C963="",$B963="",$G963=""),"",$G963-$B963)</f>
        <v/>
      </c>
      <c r="X963" s="11" t="str">
        <f aca="true">IF(OR($C963="",$B963=""),"",IF($N963&lt;&gt;"",$N963,TODAY())-$B963)</f>
        <v/>
      </c>
      <c r="Y963" s="11" t="str">
        <f aca="true">IF(OR($C963="",$M963&lt;&gt;"Abierta",$G963=""),"",MAX($G963-TODAY(),0))</f>
        <v/>
      </c>
      <c r="Z963" s="12" t="str">
        <f aca="false">IF($C963="","",N($K963)*N($H963)*N($I963)*IF($U963="Débito",-1,1))</f>
        <v/>
      </c>
      <c r="AA963" s="13" t="str">
        <f aca="false">IF($C963="","",IF(AND($U963="Débito",$F963&lt;&gt;""),$F963,$E963))</f>
        <v/>
      </c>
      <c r="AB963" s="13" t="str">
        <f aca="false">IF(OR($C963="",$T963="Mixta",$AA963=""),"",IF($V963="Subyacente",IF($J963="","",$J963-$K963),IF($T963="Put",$AA963-$K963,$AA963+$K963)))</f>
        <v/>
      </c>
      <c r="AC963" s="14" t="str">
        <f aca="false">IF(OR($C963="",$T963="Mixta",$J963="",$AA963=""),"",IF($T963="Put",($J963-$AA963)/$J963,($AA963-$J963)/$J963))</f>
        <v/>
      </c>
      <c r="AD963" s="12" t="str">
        <f aca="false">IF($C963="","",IF($Q963&lt;&gt;"",$Q963,IF($V963="Strike",N($E963)*$H963*$I963,IF($V963="Subyacente",IF($J963="","",$J963*$H963*$I963),IF($V963="Ancho",IF($F963="","",ABS($E963-$F963)*$H963*$I963-$K963*$H963*$I963),IF($V963="Prima",$K963*$H963*$I963,""))))))</f>
        <v/>
      </c>
      <c r="AE963" s="12" t="str">
        <f aca="false">IF(OR($C963="",$M963="Abierta",$M963=""),"",(N($K963)-IF(OR($M963="Cerrada",$M963="Rolada"),N($O963),0))*$H963*$I963*IF($U963="Débito",-1,1)-N($L963)-N($P963))</f>
        <v/>
      </c>
      <c r="AF963" s="14" t="str">
        <f aca="false">IF(OR($AE963="",$AD963=""),"",IF($AD963&lt;=0,"",$AE963/$AD963))</f>
        <v/>
      </c>
      <c r="AG963" s="14" t="str">
        <f aca="false">IF($AF963="","",$AF963*365/MAX(N($X963),1))</f>
        <v/>
      </c>
      <c r="AH963" s="14" t="str">
        <f aca="false">IF(OR($C963="",$U963&lt;&gt;"Crédito",$AD963=""),"",IF($AD963&lt;=0,"",($Z963-N($L963))/$AD963))</f>
        <v/>
      </c>
      <c r="AI963" s="14" t="str">
        <f aca="false">IF(OR($AH963="",$W963=""),"",$AH963*365/MAX($W963,1))</f>
        <v/>
      </c>
      <c r="AJ963" s="14" t="str">
        <f aca="false">IF(OR($AE963="",$U963&lt;&gt;"Crédito",N($K963)=0),"",(N($K963)-IF(OR($M963="Cerrada",$M963="Rolada"),N($O963),0))/$K963)</f>
        <v/>
      </c>
      <c r="AK963" s="15" t="str">
        <f aca="false">IF(OR($C963="",$N963=""),"",DATE(YEAR($N963),MONTH($N963),1))</f>
        <v/>
      </c>
      <c r="AL963" s="11" t="str">
        <f aca="false">IF($C963="","",IF($M963="Abierta",0,1))</f>
        <v/>
      </c>
      <c r="AM963" s="16" t="str">
        <f aca="false">IF(OR($AE963="",$AD963=""),"",$AD963*MAX(N($X963),1))</f>
        <v/>
      </c>
      <c r="AN963" s="10" t="str">
        <f aca="false">IF($C963="","",IF(OR($B963="",$D963="",$H963="",$K963="",$M963=""),"Faltan datos obligatorios",IF($T963="","Estrategia no reconocida",IF(AND($M963&lt;&gt;"Abierta",$N963=""),"Falta fecha cierre",IF(AND(OR($M963="Cerrada",$M963="Rolada"),$O963=""),"Falta prima cierre",IF(AND($N963&lt;&gt;"",$N963&lt;$B963),"Cierre anterior a apertura",IF(AND($M963="Asignada",$R963=""),"Asignada: falta ID lote acciones",IF(AND($R963&lt;&gt;"",ISNA(MATCH($R963,Acciones!$A$2:$A$201,0))),"El ID lote no existe en Acciones",IF($AD963="","Revisa capital en riesgo","OK")))))))))</f>
        <v/>
      </c>
    </row>
    <row r="964" customFormat="false" ht="15" hidden="false" customHeight="true" outlineLevel="0" collapsed="false">
      <c r="A964" s="5"/>
      <c r="B964" s="6"/>
      <c r="C964" s="7"/>
      <c r="D964" s="7"/>
      <c r="E964" s="8"/>
      <c r="F964" s="8"/>
      <c r="G964" s="6"/>
      <c r="H964" s="5"/>
      <c r="I964" s="5" t="n">
        <v>100</v>
      </c>
      <c r="J964" s="8"/>
      <c r="K964" s="8"/>
      <c r="L964" s="9"/>
      <c r="M964" s="7"/>
      <c r="N964" s="6"/>
      <c r="O964" s="8"/>
      <c r="P964" s="9"/>
      <c r="Q964" s="9"/>
      <c r="R964" s="7"/>
      <c r="S964" s="7"/>
      <c r="T964" s="10" t="str">
        <f aca="false">IF($C964="","",IFERROR(INDEX(Listas!$B$2:$B$20,MATCH($D964,Listas!$A$2:$A$20,0)),""))</f>
        <v/>
      </c>
      <c r="U964" s="10" t="str">
        <f aca="false">IF($C964="","",IFERROR(INDEX(Listas!$C$2:$C$20,MATCH($D964,Listas!$A$2:$A$20,0)),""))</f>
        <v/>
      </c>
      <c r="V964" s="10" t="str">
        <f aca="false">IF($C964="","",IFERROR(INDEX(Listas!$D$2:$D$20,MATCH($D964,Listas!$A$2:$A$20,0)),""))</f>
        <v/>
      </c>
      <c r="W964" s="11" t="str">
        <f aca="false">IF(OR($C964="",$B964="",$G964=""),"",$G964-$B964)</f>
        <v/>
      </c>
      <c r="X964" s="11" t="str">
        <f aca="true">IF(OR($C964="",$B964=""),"",IF($N964&lt;&gt;"",$N964,TODAY())-$B964)</f>
        <v/>
      </c>
      <c r="Y964" s="11" t="str">
        <f aca="true">IF(OR($C964="",$M964&lt;&gt;"Abierta",$G964=""),"",MAX($G964-TODAY(),0))</f>
        <v/>
      </c>
      <c r="Z964" s="12" t="str">
        <f aca="false">IF($C964="","",N($K964)*N($H964)*N($I964)*IF($U964="Débito",-1,1))</f>
        <v/>
      </c>
      <c r="AA964" s="13" t="str">
        <f aca="false">IF($C964="","",IF(AND($U964="Débito",$F964&lt;&gt;""),$F964,$E964))</f>
        <v/>
      </c>
      <c r="AB964" s="13" t="str">
        <f aca="false">IF(OR($C964="",$T964="Mixta",$AA964=""),"",IF($V964="Subyacente",IF($J964="","",$J964-$K964),IF($T964="Put",$AA964-$K964,$AA964+$K964)))</f>
        <v/>
      </c>
      <c r="AC964" s="14" t="str">
        <f aca="false">IF(OR($C964="",$T964="Mixta",$J964="",$AA964=""),"",IF($T964="Put",($J964-$AA964)/$J964,($AA964-$J964)/$J964))</f>
        <v/>
      </c>
      <c r="AD964" s="12" t="str">
        <f aca="false">IF($C964="","",IF($Q964&lt;&gt;"",$Q964,IF($V964="Strike",N($E964)*$H964*$I964,IF($V964="Subyacente",IF($J964="","",$J964*$H964*$I964),IF($V964="Ancho",IF($F964="","",ABS($E964-$F964)*$H964*$I964-$K964*$H964*$I964),IF($V964="Prima",$K964*$H964*$I964,""))))))</f>
        <v/>
      </c>
      <c r="AE964" s="12" t="str">
        <f aca="false">IF(OR($C964="",$M964="Abierta",$M964=""),"",(N($K964)-IF(OR($M964="Cerrada",$M964="Rolada"),N($O964),0))*$H964*$I964*IF($U964="Débito",-1,1)-N($L964)-N($P964))</f>
        <v/>
      </c>
      <c r="AF964" s="14" t="str">
        <f aca="false">IF(OR($AE964="",$AD964=""),"",IF($AD964&lt;=0,"",$AE964/$AD964))</f>
        <v/>
      </c>
      <c r="AG964" s="14" t="str">
        <f aca="false">IF($AF964="","",$AF964*365/MAX(N($X964),1))</f>
        <v/>
      </c>
      <c r="AH964" s="14" t="str">
        <f aca="false">IF(OR($C964="",$U964&lt;&gt;"Crédito",$AD964=""),"",IF($AD964&lt;=0,"",($Z964-N($L964))/$AD964))</f>
        <v/>
      </c>
      <c r="AI964" s="14" t="str">
        <f aca="false">IF(OR($AH964="",$W964=""),"",$AH964*365/MAX($W964,1))</f>
        <v/>
      </c>
      <c r="AJ964" s="14" t="str">
        <f aca="false">IF(OR($AE964="",$U964&lt;&gt;"Crédito",N($K964)=0),"",(N($K964)-IF(OR($M964="Cerrada",$M964="Rolada"),N($O964),0))/$K964)</f>
        <v/>
      </c>
      <c r="AK964" s="15" t="str">
        <f aca="false">IF(OR($C964="",$N964=""),"",DATE(YEAR($N964),MONTH($N964),1))</f>
        <v/>
      </c>
      <c r="AL964" s="11" t="str">
        <f aca="false">IF($C964="","",IF($M964="Abierta",0,1))</f>
        <v/>
      </c>
      <c r="AM964" s="16" t="str">
        <f aca="false">IF(OR($AE964="",$AD964=""),"",$AD964*MAX(N($X964),1))</f>
        <v/>
      </c>
      <c r="AN964" s="10" t="str">
        <f aca="false">IF($C964="","",IF(OR($B964="",$D964="",$H964="",$K964="",$M964=""),"Faltan datos obligatorios",IF($T964="","Estrategia no reconocida",IF(AND($M964&lt;&gt;"Abierta",$N964=""),"Falta fecha cierre",IF(AND(OR($M964="Cerrada",$M964="Rolada"),$O964=""),"Falta prima cierre",IF(AND($N964&lt;&gt;"",$N964&lt;$B964),"Cierre anterior a apertura",IF(AND($M964="Asignada",$R964=""),"Asignada: falta ID lote acciones",IF(AND($R964&lt;&gt;"",ISNA(MATCH($R964,Acciones!$A$2:$A$201,0))),"El ID lote no existe en Acciones",IF($AD964="","Revisa capital en riesgo","OK")))))))))</f>
        <v/>
      </c>
    </row>
    <row r="965" customFormat="false" ht="15" hidden="false" customHeight="true" outlineLevel="0" collapsed="false">
      <c r="A965" s="5"/>
      <c r="B965" s="6"/>
      <c r="C965" s="7"/>
      <c r="D965" s="7"/>
      <c r="E965" s="8"/>
      <c r="F965" s="8"/>
      <c r="G965" s="6"/>
      <c r="H965" s="5"/>
      <c r="I965" s="5" t="n">
        <v>100</v>
      </c>
      <c r="J965" s="8"/>
      <c r="K965" s="8"/>
      <c r="L965" s="9"/>
      <c r="M965" s="7"/>
      <c r="N965" s="6"/>
      <c r="O965" s="8"/>
      <c r="P965" s="9"/>
      <c r="Q965" s="9"/>
      <c r="R965" s="7"/>
      <c r="S965" s="7"/>
      <c r="T965" s="10" t="str">
        <f aca="false">IF($C965="","",IFERROR(INDEX(Listas!$B$2:$B$20,MATCH($D965,Listas!$A$2:$A$20,0)),""))</f>
        <v/>
      </c>
      <c r="U965" s="10" t="str">
        <f aca="false">IF($C965="","",IFERROR(INDEX(Listas!$C$2:$C$20,MATCH($D965,Listas!$A$2:$A$20,0)),""))</f>
        <v/>
      </c>
      <c r="V965" s="10" t="str">
        <f aca="false">IF($C965="","",IFERROR(INDEX(Listas!$D$2:$D$20,MATCH($D965,Listas!$A$2:$A$20,0)),""))</f>
        <v/>
      </c>
      <c r="W965" s="11" t="str">
        <f aca="false">IF(OR($C965="",$B965="",$G965=""),"",$G965-$B965)</f>
        <v/>
      </c>
      <c r="X965" s="11" t="str">
        <f aca="true">IF(OR($C965="",$B965=""),"",IF($N965&lt;&gt;"",$N965,TODAY())-$B965)</f>
        <v/>
      </c>
      <c r="Y965" s="11" t="str">
        <f aca="true">IF(OR($C965="",$M965&lt;&gt;"Abierta",$G965=""),"",MAX($G965-TODAY(),0))</f>
        <v/>
      </c>
      <c r="Z965" s="12" t="str">
        <f aca="false">IF($C965="","",N($K965)*N($H965)*N($I965)*IF($U965="Débito",-1,1))</f>
        <v/>
      </c>
      <c r="AA965" s="13" t="str">
        <f aca="false">IF($C965="","",IF(AND($U965="Débito",$F965&lt;&gt;""),$F965,$E965))</f>
        <v/>
      </c>
      <c r="AB965" s="13" t="str">
        <f aca="false">IF(OR($C965="",$T965="Mixta",$AA965=""),"",IF($V965="Subyacente",IF($J965="","",$J965-$K965),IF($T965="Put",$AA965-$K965,$AA965+$K965)))</f>
        <v/>
      </c>
      <c r="AC965" s="14" t="str">
        <f aca="false">IF(OR($C965="",$T965="Mixta",$J965="",$AA965=""),"",IF($T965="Put",($J965-$AA965)/$J965,($AA965-$J965)/$J965))</f>
        <v/>
      </c>
      <c r="AD965" s="12" t="str">
        <f aca="false">IF($C965="","",IF($Q965&lt;&gt;"",$Q965,IF($V965="Strike",N($E965)*$H965*$I965,IF($V965="Subyacente",IF($J965="","",$J965*$H965*$I965),IF($V965="Ancho",IF($F965="","",ABS($E965-$F965)*$H965*$I965-$K965*$H965*$I965),IF($V965="Prima",$K965*$H965*$I965,""))))))</f>
        <v/>
      </c>
      <c r="AE965" s="12" t="str">
        <f aca="false">IF(OR($C965="",$M965="Abierta",$M965=""),"",(N($K965)-IF(OR($M965="Cerrada",$M965="Rolada"),N($O965),0))*$H965*$I965*IF($U965="Débito",-1,1)-N($L965)-N($P965))</f>
        <v/>
      </c>
      <c r="AF965" s="14" t="str">
        <f aca="false">IF(OR($AE965="",$AD965=""),"",IF($AD965&lt;=0,"",$AE965/$AD965))</f>
        <v/>
      </c>
      <c r="AG965" s="14" t="str">
        <f aca="false">IF($AF965="","",$AF965*365/MAX(N($X965),1))</f>
        <v/>
      </c>
      <c r="AH965" s="14" t="str">
        <f aca="false">IF(OR($C965="",$U965&lt;&gt;"Crédito",$AD965=""),"",IF($AD965&lt;=0,"",($Z965-N($L965))/$AD965))</f>
        <v/>
      </c>
      <c r="AI965" s="14" t="str">
        <f aca="false">IF(OR($AH965="",$W965=""),"",$AH965*365/MAX($W965,1))</f>
        <v/>
      </c>
      <c r="AJ965" s="14" t="str">
        <f aca="false">IF(OR($AE965="",$U965&lt;&gt;"Crédito",N($K965)=0),"",(N($K965)-IF(OR($M965="Cerrada",$M965="Rolada"),N($O965),0))/$K965)</f>
        <v/>
      </c>
      <c r="AK965" s="15" t="str">
        <f aca="false">IF(OR($C965="",$N965=""),"",DATE(YEAR($N965),MONTH($N965),1))</f>
        <v/>
      </c>
      <c r="AL965" s="11" t="str">
        <f aca="false">IF($C965="","",IF($M965="Abierta",0,1))</f>
        <v/>
      </c>
      <c r="AM965" s="16" t="str">
        <f aca="false">IF(OR($AE965="",$AD965=""),"",$AD965*MAX(N($X965),1))</f>
        <v/>
      </c>
      <c r="AN965" s="10" t="str">
        <f aca="false">IF($C965="","",IF(OR($B965="",$D965="",$H965="",$K965="",$M965=""),"Faltan datos obligatorios",IF($T965="","Estrategia no reconocida",IF(AND($M965&lt;&gt;"Abierta",$N965=""),"Falta fecha cierre",IF(AND(OR($M965="Cerrada",$M965="Rolada"),$O965=""),"Falta prima cierre",IF(AND($N965&lt;&gt;"",$N965&lt;$B965),"Cierre anterior a apertura",IF(AND($M965="Asignada",$R965=""),"Asignada: falta ID lote acciones",IF(AND($R965&lt;&gt;"",ISNA(MATCH($R965,Acciones!$A$2:$A$201,0))),"El ID lote no existe en Acciones",IF($AD965="","Revisa capital en riesgo","OK")))))))))</f>
        <v/>
      </c>
    </row>
    <row r="966" customFormat="false" ht="15" hidden="false" customHeight="true" outlineLevel="0" collapsed="false">
      <c r="A966" s="5"/>
      <c r="B966" s="6"/>
      <c r="C966" s="7"/>
      <c r="D966" s="7"/>
      <c r="E966" s="8"/>
      <c r="F966" s="8"/>
      <c r="G966" s="6"/>
      <c r="H966" s="5"/>
      <c r="I966" s="5" t="n">
        <v>100</v>
      </c>
      <c r="J966" s="8"/>
      <c r="K966" s="8"/>
      <c r="L966" s="9"/>
      <c r="M966" s="7"/>
      <c r="N966" s="6"/>
      <c r="O966" s="8"/>
      <c r="P966" s="9"/>
      <c r="Q966" s="9"/>
      <c r="R966" s="7"/>
      <c r="S966" s="7"/>
      <c r="T966" s="10" t="str">
        <f aca="false">IF($C966="","",IFERROR(INDEX(Listas!$B$2:$B$20,MATCH($D966,Listas!$A$2:$A$20,0)),""))</f>
        <v/>
      </c>
      <c r="U966" s="10" t="str">
        <f aca="false">IF($C966="","",IFERROR(INDEX(Listas!$C$2:$C$20,MATCH($D966,Listas!$A$2:$A$20,0)),""))</f>
        <v/>
      </c>
      <c r="V966" s="10" t="str">
        <f aca="false">IF($C966="","",IFERROR(INDEX(Listas!$D$2:$D$20,MATCH($D966,Listas!$A$2:$A$20,0)),""))</f>
        <v/>
      </c>
      <c r="W966" s="11" t="str">
        <f aca="false">IF(OR($C966="",$B966="",$G966=""),"",$G966-$B966)</f>
        <v/>
      </c>
      <c r="X966" s="11" t="str">
        <f aca="true">IF(OR($C966="",$B966=""),"",IF($N966&lt;&gt;"",$N966,TODAY())-$B966)</f>
        <v/>
      </c>
      <c r="Y966" s="11" t="str">
        <f aca="true">IF(OR($C966="",$M966&lt;&gt;"Abierta",$G966=""),"",MAX($G966-TODAY(),0))</f>
        <v/>
      </c>
      <c r="Z966" s="12" t="str">
        <f aca="false">IF($C966="","",N($K966)*N($H966)*N($I966)*IF($U966="Débito",-1,1))</f>
        <v/>
      </c>
      <c r="AA966" s="13" t="str">
        <f aca="false">IF($C966="","",IF(AND($U966="Débito",$F966&lt;&gt;""),$F966,$E966))</f>
        <v/>
      </c>
      <c r="AB966" s="13" t="str">
        <f aca="false">IF(OR($C966="",$T966="Mixta",$AA966=""),"",IF($V966="Subyacente",IF($J966="","",$J966-$K966),IF($T966="Put",$AA966-$K966,$AA966+$K966)))</f>
        <v/>
      </c>
      <c r="AC966" s="14" t="str">
        <f aca="false">IF(OR($C966="",$T966="Mixta",$J966="",$AA966=""),"",IF($T966="Put",($J966-$AA966)/$J966,($AA966-$J966)/$J966))</f>
        <v/>
      </c>
      <c r="AD966" s="12" t="str">
        <f aca="false">IF($C966="","",IF($Q966&lt;&gt;"",$Q966,IF($V966="Strike",N($E966)*$H966*$I966,IF($V966="Subyacente",IF($J966="","",$J966*$H966*$I966),IF($V966="Ancho",IF($F966="","",ABS($E966-$F966)*$H966*$I966-$K966*$H966*$I966),IF($V966="Prima",$K966*$H966*$I966,""))))))</f>
        <v/>
      </c>
      <c r="AE966" s="12" t="str">
        <f aca="false">IF(OR($C966="",$M966="Abierta",$M966=""),"",(N($K966)-IF(OR($M966="Cerrada",$M966="Rolada"),N($O966),0))*$H966*$I966*IF($U966="Débito",-1,1)-N($L966)-N($P966))</f>
        <v/>
      </c>
      <c r="AF966" s="14" t="str">
        <f aca="false">IF(OR($AE966="",$AD966=""),"",IF($AD966&lt;=0,"",$AE966/$AD966))</f>
        <v/>
      </c>
      <c r="AG966" s="14" t="str">
        <f aca="false">IF($AF966="","",$AF966*365/MAX(N($X966),1))</f>
        <v/>
      </c>
      <c r="AH966" s="14" t="str">
        <f aca="false">IF(OR($C966="",$U966&lt;&gt;"Crédito",$AD966=""),"",IF($AD966&lt;=0,"",($Z966-N($L966))/$AD966))</f>
        <v/>
      </c>
      <c r="AI966" s="14" t="str">
        <f aca="false">IF(OR($AH966="",$W966=""),"",$AH966*365/MAX($W966,1))</f>
        <v/>
      </c>
      <c r="AJ966" s="14" t="str">
        <f aca="false">IF(OR($AE966="",$U966&lt;&gt;"Crédito",N($K966)=0),"",(N($K966)-IF(OR($M966="Cerrada",$M966="Rolada"),N($O966),0))/$K966)</f>
        <v/>
      </c>
      <c r="AK966" s="15" t="str">
        <f aca="false">IF(OR($C966="",$N966=""),"",DATE(YEAR($N966),MONTH($N966),1))</f>
        <v/>
      </c>
      <c r="AL966" s="11" t="str">
        <f aca="false">IF($C966="","",IF($M966="Abierta",0,1))</f>
        <v/>
      </c>
      <c r="AM966" s="16" t="str">
        <f aca="false">IF(OR($AE966="",$AD966=""),"",$AD966*MAX(N($X966),1))</f>
        <v/>
      </c>
      <c r="AN966" s="10" t="str">
        <f aca="false">IF($C966="","",IF(OR($B966="",$D966="",$H966="",$K966="",$M966=""),"Faltan datos obligatorios",IF($T966="","Estrategia no reconocida",IF(AND($M966&lt;&gt;"Abierta",$N966=""),"Falta fecha cierre",IF(AND(OR($M966="Cerrada",$M966="Rolada"),$O966=""),"Falta prima cierre",IF(AND($N966&lt;&gt;"",$N966&lt;$B966),"Cierre anterior a apertura",IF(AND($M966="Asignada",$R966=""),"Asignada: falta ID lote acciones",IF(AND($R966&lt;&gt;"",ISNA(MATCH($R966,Acciones!$A$2:$A$201,0))),"El ID lote no existe en Acciones",IF($AD966="","Revisa capital en riesgo","OK")))))))))</f>
        <v/>
      </c>
    </row>
    <row r="967" customFormat="false" ht="15" hidden="false" customHeight="true" outlineLevel="0" collapsed="false">
      <c r="A967" s="5"/>
      <c r="B967" s="6"/>
      <c r="C967" s="7"/>
      <c r="D967" s="7"/>
      <c r="E967" s="8"/>
      <c r="F967" s="8"/>
      <c r="G967" s="6"/>
      <c r="H967" s="5"/>
      <c r="I967" s="5" t="n">
        <v>100</v>
      </c>
      <c r="J967" s="8"/>
      <c r="K967" s="8"/>
      <c r="L967" s="9"/>
      <c r="M967" s="7"/>
      <c r="N967" s="6"/>
      <c r="O967" s="8"/>
      <c r="P967" s="9"/>
      <c r="Q967" s="9"/>
      <c r="R967" s="7"/>
      <c r="S967" s="7"/>
      <c r="T967" s="10" t="str">
        <f aca="false">IF($C967="","",IFERROR(INDEX(Listas!$B$2:$B$20,MATCH($D967,Listas!$A$2:$A$20,0)),""))</f>
        <v/>
      </c>
      <c r="U967" s="10" t="str">
        <f aca="false">IF($C967="","",IFERROR(INDEX(Listas!$C$2:$C$20,MATCH($D967,Listas!$A$2:$A$20,0)),""))</f>
        <v/>
      </c>
      <c r="V967" s="10" t="str">
        <f aca="false">IF($C967="","",IFERROR(INDEX(Listas!$D$2:$D$20,MATCH($D967,Listas!$A$2:$A$20,0)),""))</f>
        <v/>
      </c>
      <c r="W967" s="11" t="str">
        <f aca="false">IF(OR($C967="",$B967="",$G967=""),"",$G967-$B967)</f>
        <v/>
      </c>
      <c r="X967" s="11" t="str">
        <f aca="true">IF(OR($C967="",$B967=""),"",IF($N967&lt;&gt;"",$N967,TODAY())-$B967)</f>
        <v/>
      </c>
      <c r="Y967" s="11" t="str">
        <f aca="true">IF(OR($C967="",$M967&lt;&gt;"Abierta",$G967=""),"",MAX($G967-TODAY(),0))</f>
        <v/>
      </c>
      <c r="Z967" s="12" t="str">
        <f aca="false">IF($C967="","",N($K967)*N($H967)*N($I967)*IF($U967="Débito",-1,1))</f>
        <v/>
      </c>
      <c r="AA967" s="13" t="str">
        <f aca="false">IF($C967="","",IF(AND($U967="Débito",$F967&lt;&gt;""),$F967,$E967))</f>
        <v/>
      </c>
      <c r="AB967" s="13" t="str">
        <f aca="false">IF(OR($C967="",$T967="Mixta",$AA967=""),"",IF($V967="Subyacente",IF($J967="","",$J967-$K967),IF($T967="Put",$AA967-$K967,$AA967+$K967)))</f>
        <v/>
      </c>
      <c r="AC967" s="14" t="str">
        <f aca="false">IF(OR($C967="",$T967="Mixta",$J967="",$AA967=""),"",IF($T967="Put",($J967-$AA967)/$J967,($AA967-$J967)/$J967))</f>
        <v/>
      </c>
      <c r="AD967" s="12" t="str">
        <f aca="false">IF($C967="","",IF($Q967&lt;&gt;"",$Q967,IF($V967="Strike",N($E967)*$H967*$I967,IF($V967="Subyacente",IF($J967="","",$J967*$H967*$I967),IF($V967="Ancho",IF($F967="","",ABS($E967-$F967)*$H967*$I967-$K967*$H967*$I967),IF($V967="Prima",$K967*$H967*$I967,""))))))</f>
        <v/>
      </c>
      <c r="AE967" s="12" t="str">
        <f aca="false">IF(OR($C967="",$M967="Abierta",$M967=""),"",(N($K967)-IF(OR($M967="Cerrada",$M967="Rolada"),N($O967),0))*$H967*$I967*IF($U967="Débito",-1,1)-N($L967)-N($P967))</f>
        <v/>
      </c>
      <c r="AF967" s="14" t="str">
        <f aca="false">IF(OR($AE967="",$AD967=""),"",IF($AD967&lt;=0,"",$AE967/$AD967))</f>
        <v/>
      </c>
      <c r="AG967" s="14" t="str">
        <f aca="false">IF($AF967="","",$AF967*365/MAX(N($X967),1))</f>
        <v/>
      </c>
      <c r="AH967" s="14" t="str">
        <f aca="false">IF(OR($C967="",$U967&lt;&gt;"Crédito",$AD967=""),"",IF($AD967&lt;=0,"",($Z967-N($L967))/$AD967))</f>
        <v/>
      </c>
      <c r="AI967" s="14" t="str">
        <f aca="false">IF(OR($AH967="",$W967=""),"",$AH967*365/MAX($W967,1))</f>
        <v/>
      </c>
      <c r="AJ967" s="14" t="str">
        <f aca="false">IF(OR($AE967="",$U967&lt;&gt;"Crédito",N($K967)=0),"",(N($K967)-IF(OR($M967="Cerrada",$M967="Rolada"),N($O967),0))/$K967)</f>
        <v/>
      </c>
      <c r="AK967" s="15" t="str">
        <f aca="false">IF(OR($C967="",$N967=""),"",DATE(YEAR($N967),MONTH($N967),1))</f>
        <v/>
      </c>
      <c r="AL967" s="11" t="str">
        <f aca="false">IF($C967="","",IF($M967="Abierta",0,1))</f>
        <v/>
      </c>
      <c r="AM967" s="16" t="str">
        <f aca="false">IF(OR($AE967="",$AD967=""),"",$AD967*MAX(N($X967),1))</f>
        <v/>
      </c>
      <c r="AN967" s="10" t="str">
        <f aca="false">IF($C967="","",IF(OR($B967="",$D967="",$H967="",$K967="",$M967=""),"Faltan datos obligatorios",IF($T967="","Estrategia no reconocida",IF(AND($M967&lt;&gt;"Abierta",$N967=""),"Falta fecha cierre",IF(AND(OR($M967="Cerrada",$M967="Rolada"),$O967=""),"Falta prima cierre",IF(AND($N967&lt;&gt;"",$N967&lt;$B967),"Cierre anterior a apertura",IF(AND($M967="Asignada",$R967=""),"Asignada: falta ID lote acciones",IF(AND($R967&lt;&gt;"",ISNA(MATCH($R967,Acciones!$A$2:$A$201,0))),"El ID lote no existe en Acciones",IF($AD967="","Revisa capital en riesgo","OK")))))))))</f>
        <v/>
      </c>
    </row>
    <row r="968" customFormat="false" ht="15" hidden="false" customHeight="true" outlineLevel="0" collapsed="false">
      <c r="A968" s="5"/>
      <c r="B968" s="6"/>
      <c r="C968" s="7"/>
      <c r="D968" s="7"/>
      <c r="E968" s="8"/>
      <c r="F968" s="8"/>
      <c r="G968" s="6"/>
      <c r="H968" s="5"/>
      <c r="I968" s="5" t="n">
        <v>100</v>
      </c>
      <c r="J968" s="8"/>
      <c r="K968" s="8"/>
      <c r="L968" s="9"/>
      <c r="M968" s="7"/>
      <c r="N968" s="6"/>
      <c r="O968" s="8"/>
      <c r="P968" s="9"/>
      <c r="Q968" s="9"/>
      <c r="R968" s="7"/>
      <c r="S968" s="7"/>
      <c r="T968" s="10" t="str">
        <f aca="false">IF($C968="","",IFERROR(INDEX(Listas!$B$2:$B$20,MATCH($D968,Listas!$A$2:$A$20,0)),""))</f>
        <v/>
      </c>
      <c r="U968" s="10" t="str">
        <f aca="false">IF($C968="","",IFERROR(INDEX(Listas!$C$2:$C$20,MATCH($D968,Listas!$A$2:$A$20,0)),""))</f>
        <v/>
      </c>
      <c r="V968" s="10" t="str">
        <f aca="false">IF($C968="","",IFERROR(INDEX(Listas!$D$2:$D$20,MATCH($D968,Listas!$A$2:$A$20,0)),""))</f>
        <v/>
      </c>
      <c r="W968" s="11" t="str">
        <f aca="false">IF(OR($C968="",$B968="",$G968=""),"",$G968-$B968)</f>
        <v/>
      </c>
      <c r="X968" s="11" t="str">
        <f aca="true">IF(OR($C968="",$B968=""),"",IF($N968&lt;&gt;"",$N968,TODAY())-$B968)</f>
        <v/>
      </c>
      <c r="Y968" s="11" t="str">
        <f aca="true">IF(OR($C968="",$M968&lt;&gt;"Abierta",$G968=""),"",MAX($G968-TODAY(),0))</f>
        <v/>
      </c>
      <c r="Z968" s="12" t="str">
        <f aca="false">IF($C968="","",N($K968)*N($H968)*N($I968)*IF($U968="Débito",-1,1))</f>
        <v/>
      </c>
      <c r="AA968" s="13" t="str">
        <f aca="false">IF($C968="","",IF(AND($U968="Débito",$F968&lt;&gt;""),$F968,$E968))</f>
        <v/>
      </c>
      <c r="AB968" s="13" t="str">
        <f aca="false">IF(OR($C968="",$T968="Mixta",$AA968=""),"",IF($V968="Subyacente",IF($J968="","",$J968-$K968),IF($T968="Put",$AA968-$K968,$AA968+$K968)))</f>
        <v/>
      </c>
      <c r="AC968" s="14" t="str">
        <f aca="false">IF(OR($C968="",$T968="Mixta",$J968="",$AA968=""),"",IF($T968="Put",($J968-$AA968)/$J968,($AA968-$J968)/$J968))</f>
        <v/>
      </c>
      <c r="AD968" s="12" t="str">
        <f aca="false">IF($C968="","",IF($Q968&lt;&gt;"",$Q968,IF($V968="Strike",N($E968)*$H968*$I968,IF($V968="Subyacente",IF($J968="","",$J968*$H968*$I968),IF($V968="Ancho",IF($F968="","",ABS($E968-$F968)*$H968*$I968-$K968*$H968*$I968),IF($V968="Prima",$K968*$H968*$I968,""))))))</f>
        <v/>
      </c>
      <c r="AE968" s="12" t="str">
        <f aca="false">IF(OR($C968="",$M968="Abierta",$M968=""),"",(N($K968)-IF(OR($M968="Cerrada",$M968="Rolada"),N($O968),0))*$H968*$I968*IF($U968="Débito",-1,1)-N($L968)-N($P968))</f>
        <v/>
      </c>
      <c r="AF968" s="14" t="str">
        <f aca="false">IF(OR($AE968="",$AD968=""),"",IF($AD968&lt;=0,"",$AE968/$AD968))</f>
        <v/>
      </c>
      <c r="AG968" s="14" t="str">
        <f aca="false">IF($AF968="","",$AF968*365/MAX(N($X968),1))</f>
        <v/>
      </c>
      <c r="AH968" s="14" t="str">
        <f aca="false">IF(OR($C968="",$U968&lt;&gt;"Crédito",$AD968=""),"",IF($AD968&lt;=0,"",($Z968-N($L968))/$AD968))</f>
        <v/>
      </c>
      <c r="AI968" s="14" t="str">
        <f aca="false">IF(OR($AH968="",$W968=""),"",$AH968*365/MAX($W968,1))</f>
        <v/>
      </c>
      <c r="AJ968" s="14" t="str">
        <f aca="false">IF(OR($AE968="",$U968&lt;&gt;"Crédito",N($K968)=0),"",(N($K968)-IF(OR($M968="Cerrada",$M968="Rolada"),N($O968),0))/$K968)</f>
        <v/>
      </c>
      <c r="AK968" s="15" t="str">
        <f aca="false">IF(OR($C968="",$N968=""),"",DATE(YEAR($N968),MONTH($N968),1))</f>
        <v/>
      </c>
      <c r="AL968" s="11" t="str">
        <f aca="false">IF($C968="","",IF($M968="Abierta",0,1))</f>
        <v/>
      </c>
      <c r="AM968" s="16" t="str">
        <f aca="false">IF(OR($AE968="",$AD968=""),"",$AD968*MAX(N($X968),1))</f>
        <v/>
      </c>
      <c r="AN968" s="10" t="str">
        <f aca="false">IF($C968="","",IF(OR($B968="",$D968="",$H968="",$K968="",$M968=""),"Faltan datos obligatorios",IF($T968="","Estrategia no reconocida",IF(AND($M968&lt;&gt;"Abierta",$N968=""),"Falta fecha cierre",IF(AND(OR($M968="Cerrada",$M968="Rolada"),$O968=""),"Falta prima cierre",IF(AND($N968&lt;&gt;"",$N968&lt;$B968),"Cierre anterior a apertura",IF(AND($M968="Asignada",$R968=""),"Asignada: falta ID lote acciones",IF(AND($R968&lt;&gt;"",ISNA(MATCH($R968,Acciones!$A$2:$A$201,0))),"El ID lote no existe en Acciones",IF($AD968="","Revisa capital en riesgo","OK")))))))))</f>
        <v/>
      </c>
    </row>
    <row r="969" customFormat="false" ht="15" hidden="false" customHeight="true" outlineLevel="0" collapsed="false">
      <c r="A969" s="5"/>
      <c r="B969" s="6"/>
      <c r="C969" s="7"/>
      <c r="D969" s="7"/>
      <c r="E969" s="8"/>
      <c r="F969" s="8"/>
      <c r="G969" s="6"/>
      <c r="H969" s="5"/>
      <c r="I969" s="5" t="n">
        <v>100</v>
      </c>
      <c r="J969" s="8"/>
      <c r="K969" s="8"/>
      <c r="L969" s="9"/>
      <c r="M969" s="7"/>
      <c r="N969" s="6"/>
      <c r="O969" s="8"/>
      <c r="P969" s="9"/>
      <c r="Q969" s="9"/>
      <c r="R969" s="7"/>
      <c r="S969" s="7"/>
      <c r="T969" s="10" t="str">
        <f aca="false">IF($C969="","",IFERROR(INDEX(Listas!$B$2:$B$20,MATCH($D969,Listas!$A$2:$A$20,0)),""))</f>
        <v/>
      </c>
      <c r="U969" s="10" t="str">
        <f aca="false">IF($C969="","",IFERROR(INDEX(Listas!$C$2:$C$20,MATCH($D969,Listas!$A$2:$A$20,0)),""))</f>
        <v/>
      </c>
      <c r="V969" s="10" t="str">
        <f aca="false">IF($C969="","",IFERROR(INDEX(Listas!$D$2:$D$20,MATCH($D969,Listas!$A$2:$A$20,0)),""))</f>
        <v/>
      </c>
      <c r="W969" s="11" t="str">
        <f aca="false">IF(OR($C969="",$B969="",$G969=""),"",$G969-$B969)</f>
        <v/>
      </c>
      <c r="X969" s="11" t="str">
        <f aca="true">IF(OR($C969="",$B969=""),"",IF($N969&lt;&gt;"",$N969,TODAY())-$B969)</f>
        <v/>
      </c>
      <c r="Y969" s="11" t="str">
        <f aca="true">IF(OR($C969="",$M969&lt;&gt;"Abierta",$G969=""),"",MAX($G969-TODAY(),0))</f>
        <v/>
      </c>
      <c r="Z969" s="12" t="str">
        <f aca="false">IF($C969="","",N($K969)*N($H969)*N($I969)*IF($U969="Débito",-1,1))</f>
        <v/>
      </c>
      <c r="AA969" s="13" t="str">
        <f aca="false">IF($C969="","",IF(AND($U969="Débito",$F969&lt;&gt;""),$F969,$E969))</f>
        <v/>
      </c>
      <c r="AB969" s="13" t="str">
        <f aca="false">IF(OR($C969="",$T969="Mixta",$AA969=""),"",IF($V969="Subyacente",IF($J969="","",$J969-$K969),IF($T969="Put",$AA969-$K969,$AA969+$K969)))</f>
        <v/>
      </c>
      <c r="AC969" s="14" t="str">
        <f aca="false">IF(OR($C969="",$T969="Mixta",$J969="",$AA969=""),"",IF($T969="Put",($J969-$AA969)/$J969,($AA969-$J969)/$J969))</f>
        <v/>
      </c>
      <c r="AD969" s="12" t="str">
        <f aca="false">IF($C969="","",IF($Q969&lt;&gt;"",$Q969,IF($V969="Strike",N($E969)*$H969*$I969,IF($V969="Subyacente",IF($J969="","",$J969*$H969*$I969),IF($V969="Ancho",IF($F969="","",ABS($E969-$F969)*$H969*$I969-$K969*$H969*$I969),IF($V969="Prima",$K969*$H969*$I969,""))))))</f>
        <v/>
      </c>
      <c r="AE969" s="12" t="str">
        <f aca="false">IF(OR($C969="",$M969="Abierta",$M969=""),"",(N($K969)-IF(OR($M969="Cerrada",$M969="Rolada"),N($O969),0))*$H969*$I969*IF($U969="Débito",-1,1)-N($L969)-N($P969))</f>
        <v/>
      </c>
      <c r="AF969" s="14" t="str">
        <f aca="false">IF(OR($AE969="",$AD969=""),"",IF($AD969&lt;=0,"",$AE969/$AD969))</f>
        <v/>
      </c>
      <c r="AG969" s="14" t="str">
        <f aca="false">IF($AF969="","",$AF969*365/MAX(N($X969),1))</f>
        <v/>
      </c>
      <c r="AH969" s="14" t="str">
        <f aca="false">IF(OR($C969="",$U969&lt;&gt;"Crédito",$AD969=""),"",IF($AD969&lt;=0,"",($Z969-N($L969))/$AD969))</f>
        <v/>
      </c>
      <c r="AI969" s="14" t="str">
        <f aca="false">IF(OR($AH969="",$W969=""),"",$AH969*365/MAX($W969,1))</f>
        <v/>
      </c>
      <c r="AJ969" s="14" t="str">
        <f aca="false">IF(OR($AE969="",$U969&lt;&gt;"Crédito",N($K969)=0),"",(N($K969)-IF(OR($M969="Cerrada",$M969="Rolada"),N($O969),0))/$K969)</f>
        <v/>
      </c>
      <c r="AK969" s="15" t="str">
        <f aca="false">IF(OR($C969="",$N969=""),"",DATE(YEAR($N969),MONTH($N969),1))</f>
        <v/>
      </c>
      <c r="AL969" s="11" t="str">
        <f aca="false">IF($C969="","",IF($M969="Abierta",0,1))</f>
        <v/>
      </c>
      <c r="AM969" s="16" t="str">
        <f aca="false">IF(OR($AE969="",$AD969=""),"",$AD969*MAX(N($X969),1))</f>
        <v/>
      </c>
      <c r="AN969" s="10" t="str">
        <f aca="false">IF($C969="","",IF(OR($B969="",$D969="",$H969="",$K969="",$M969=""),"Faltan datos obligatorios",IF($T969="","Estrategia no reconocida",IF(AND($M969&lt;&gt;"Abierta",$N969=""),"Falta fecha cierre",IF(AND(OR($M969="Cerrada",$M969="Rolada"),$O969=""),"Falta prima cierre",IF(AND($N969&lt;&gt;"",$N969&lt;$B969),"Cierre anterior a apertura",IF(AND($M969="Asignada",$R969=""),"Asignada: falta ID lote acciones",IF(AND($R969&lt;&gt;"",ISNA(MATCH($R969,Acciones!$A$2:$A$201,0))),"El ID lote no existe en Acciones",IF($AD969="","Revisa capital en riesgo","OK")))))))))</f>
        <v/>
      </c>
    </row>
    <row r="970" customFormat="false" ht="15" hidden="false" customHeight="true" outlineLevel="0" collapsed="false">
      <c r="A970" s="5"/>
      <c r="B970" s="6"/>
      <c r="C970" s="7"/>
      <c r="D970" s="7"/>
      <c r="E970" s="8"/>
      <c r="F970" s="8"/>
      <c r="G970" s="6"/>
      <c r="H970" s="5"/>
      <c r="I970" s="5" t="n">
        <v>100</v>
      </c>
      <c r="J970" s="8"/>
      <c r="K970" s="8"/>
      <c r="L970" s="9"/>
      <c r="M970" s="7"/>
      <c r="N970" s="6"/>
      <c r="O970" s="8"/>
      <c r="P970" s="9"/>
      <c r="Q970" s="9"/>
      <c r="R970" s="7"/>
      <c r="S970" s="7"/>
      <c r="T970" s="10" t="str">
        <f aca="false">IF($C970="","",IFERROR(INDEX(Listas!$B$2:$B$20,MATCH($D970,Listas!$A$2:$A$20,0)),""))</f>
        <v/>
      </c>
      <c r="U970" s="10" t="str">
        <f aca="false">IF($C970="","",IFERROR(INDEX(Listas!$C$2:$C$20,MATCH($D970,Listas!$A$2:$A$20,0)),""))</f>
        <v/>
      </c>
      <c r="V970" s="10" t="str">
        <f aca="false">IF($C970="","",IFERROR(INDEX(Listas!$D$2:$D$20,MATCH($D970,Listas!$A$2:$A$20,0)),""))</f>
        <v/>
      </c>
      <c r="W970" s="11" t="str">
        <f aca="false">IF(OR($C970="",$B970="",$G970=""),"",$G970-$B970)</f>
        <v/>
      </c>
      <c r="X970" s="11" t="str">
        <f aca="true">IF(OR($C970="",$B970=""),"",IF($N970&lt;&gt;"",$N970,TODAY())-$B970)</f>
        <v/>
      </c>
      <c r="Y970" s="11" t="str">
        <f aca="true">IF(OR($C970="",$M970&lt;&gt;"Abierta",$G970=""),"",MAX($G970-TODAY(),0))</f>
        <v/>
      </c>
      <c r="Z970" s="12" t="str">
        <f aca="false">IF($C970="","",N($K970)*N($H970)*N($I970)*IF($U970="Débito",-1,1))</f>
        <v/>
      </c>
      <c r="AA970" s="13" t="str">
        <f aca="false">IF($C970="","",IF(AND($U970="Débito",$F970&lt;&gt;""),$F970,$E970))</f>
        <v/>
      </c>
      <c r="AB970" s="13" t="str">
        <f aca="false">IF(OR($C970="",$T970="Mixta",$AA970=""),"",IF($V970="Subyacente",IF($J970="","",$J970-$K970),IF($T970="Put",$AA970-$K970,$AA970+$K970)))</f>
        <v/>
      </c>
      <c r="AC970" s="14" t="str">
        <f aca="false">IF(OR($C970="",$T970="Mixta",$J970="",$AA970=""),"",IF($T970="Put",($J970-$AA970)/$J970,($AA970-$J970)/$J970))</f>
        <v/>
      </c>
      <c r="AD970" s="12" t="str">
        <f aca="false">IF($C970="","",IF($Q970&lt;&gt;"",$Q970,IF($V970="Strike",N($E970)*$H970*$I970,IF($V970="Subyacente",IF($J970="","",$J970*$H970*$I970),IF($V970="Ancho",IF($F970="","",ABS($E970-$F970)*$H970*$I970-$K970*$H970*$I970),IF($V970="Prima",$K970*$H970*$I970,""))))))</f>
        <v/>
      </c>
      <c r="AE970" s="12" t="str">
        <f aca="false">IF(OR($C970="",$M970="Abierta",$M970=""),"",(N($K970)-IF(OR($M970="Cerrada",$M970="Rolada"),N($O970),0))*$H970*$I970*IF($U970="Débito",-1,1)-N($L970)-N($P970))</f>
        <v/>
      </c>
      <c r="AF970" s="14" t="str">
        <f aca="false">IF(OR($AE970="",$AD970=""),"",IF($AD970&lt;=0,"",$AE970/$AD970))</f>
        <v/>
      </c>
      <c r="AG970" s="14" t="str">
        <f aca="false">IF($AF970="","",$AF970*365/MAX(N($X970),1))</f>
        <v/>
      </c>
      <c r="AH970" s="14" t="str">
        <f aca="false">IF(OR($C970="",$U970&lt;&gt;"Crédito",$AD970=""),"",IF($AD970&lt;=0,"",($Z970-N($L970))/$AD970))</f>
        <v/>
      </c>
      <c r="AI970" s="14" t="str">
        <f aca="false">IF(OR($AH970="",$W970=""),"",$AH970*365/MAX($W970,1))</f>
        <v/>
      </c>
      <c r="AJ970" s="14" t="str">
        <f aca="false">IF(OR($AE970="",$U970&lt;&gt;"Crédito",N($K970)=0),"",(N($K970)-IF(OR($M970="Cerrada",$M970="Rolada"),N($O970),0))/$K970)</f>
        <v/>
      </c>
      <c r="AK970" s="15" t="str">
        <f aca="false">IF(OR($C970="",$N970=""),"",DATE(YEAR($N970),MONTH($N970),1))</f>
        <v/>
      </c>
      <c r="AL970" s="11" t="str">
        <f aca="false">IF($C970="","",IF($M970="Abierta",0,1))</f>
        <v/>
      </c>
      <c r="AM970" s="16" t="str">
        <f aca="false">IF(OR($AE970="",$AD970=""),"",$AD970*MAX(N($X970),1))</f>
        <v/>
      </c>
      <c r="AN970" s="10" t="str">
        <f aca="false">IF($C970="","",IF(OR($B970="",$D970="",$H970="",$K970="",$M970=""),"Faltan datos obligatorios",IF($T970="","Estrategia no reconocida",IF(AND($M970&lt;&gt;"Abierta",$N970=""),"Falta fecha cierre",IF(AND(OR($M970="Cerrada",$M970="Rolada"),$O970=""),"Falta prima cierre",IF(AND($N970&lt;&gt;"",$N970&lt;$B970),"Cierre anterior a apertura",IF(AND($M970="Asignada",$R970=""),"Asignada: falta ID lote acciones",IF(AND($R970&lt;&gt;"",ISNA(MATCH($R970,Acciones!$A$2:$A$201,0))),"El ID lote no existe en Acciones",IF($AD970="","Revisa capital en riesgo","OK")))))))))</f>
        <v/>
      </c>
    </row>
    <row r="971" customFormat="false" ht="15" hidden="false" customHeight="true" outlineLevel="0" collapsed="false">
      <c r="A971" s="5"/>
      <c r="B971" s="6"/>
      <c r="C971" s="7"/>
      <c r="D971" s="7"/>
      <c r="E971" s="8"/>
      <c r="F971" s="8"/>
      <c r="G971" s="6"/>
      <c r="H971" s="5"/>
      <c r="I971" s="5" t="n">
        <v>100</v>
      </c>
      <c r="J971" s="8"/>
      <c r="K971" s="8"/>
      <c r="L971" s="9"/>
      <c r="M971" s="7"/>
      <c r="N971" s="6"/>
      <c r="O971" s="8"/>
      <c r="P971" s="9"/>
      <c r="Q971" s="9"/>
      <c r="R971" s="7"/>
      <c r="S971" s="7"/>
      <c r="T971" s="10" t="str">
        <f aca="false">IF($C971="","",IFERROR(INDEX(Listas!$B$2:$B$20,MATCH($D971,Listas!$A$2:$A$20,0)),""))</f>
        <v/>
      </c>
      <c r="U971" s="10" t="str">
        <f aca="false">IF($C971="","",IFERROR(INDEX(Listas!$C$2:$C$20,MATCH($D971,Listas!$A$2:$A$20,0)),""))</f>
        <v/>
      </c>
      <c r="V971" s="10" t="str">
        <f aca="false">IF($C971="","",IFERROR(INDEX(Listas!$D$2:$D$20,MATCH($D971,Listas!$A$2:$A$20,0)),""))</f>
        <v/>
      </c>
      <c r="W971" s="11" t="str">
        <f aca="false">IF(OR($C971="",$B971="",$G971=""),"",$G971-$B971)</f>
        <v/>
      </c>
      <c r="X971" s="11" t="str">
        <f aca="true">IF(OR($C971="",$B971=""),"",IF($N971&lt;&gt;"",$N971,TODAY())-$B971)</f>
        <v/>
      </c>
      <c r="Y971" s="11" t="str">
        <f aca="true">IF(OR($C971="",$M971&lt;&gt;"Abierta",$G971=""),"",MAX($G971-TODAY(),0))</f>
        <v/>
      </c>
      <c r="Z971" s="12" t="str">
        <f aca="false">IF($C971="","",N($K971)*N($H971)*N($I971)*IF($U971="Débito",-1,1))</f>
        <v/>
      </c>
      <c r="AA971" s="13" t="str">
        <f aca="false">IF($C971="","",IF(AND($U971="Débito",$F971&lt;&gt;""),$F971,$E971))</f>
        <v/>
      </c>
      <c r="AB971" s="13" t="str">
        <f aca="false">IF(OR($C971="",$T971="Mixta",$AA971=""),"",IF($V971="Subyacente",IF($J971="","",$J971-$K971),IF($T971="Put",$AA971-$K971,$AA971+$K971)))</f>
        <v/>
      </c>
      <c r="AC971" s="14" t="str">
        <f aca="false">IF(OR($C971="",$T971="Mixta",$J971="",$AA971=""),"",IF($T971="Put",($J971-$AA971)/$J971,($AA971-$J971)/$J971))</f>
        <v/>
      </c>
      <c r="AD971" s="12" t="str">
        <f aca="false">IF($C971="","",IF($Q971&lt;&gt;"",$Q971,IF($V971="Strike",N($E971)*$H971*$I971,IF($V971="Subyacente",IF($J971="","",$J971*$H971*$I971),IF($V971="Ancho",IF($F971="","",ABS($E971-$F971)*$H971*$I971-$K971*$H971*$I971),IF($V971="Prima",$K971*$H971*$I971,""))))))</f>
        <v/>
      </c>
      <c r="AE971" s="12" t="str">
        <f aca="false">IF(OR($C971="",$M971="Abierta",$M971=""),"",(N($K971)-IF(OR($M971="Cerrada",$M971="Rolada"),N($O971),0))*$H971*$I971*IF($U971="Débito",-1,1)-N($L971)-N($P971))</f>
        <v/>
      </c>
      <c r="AF971" s="14" t="str">
        <f aca="false">IF(OR($AE971="",$AD971=""),"",IF($AD971&lt;=0,"",$AE971/$AD971))</f>
        <v/>
      </c>
      <c r="AG971" s="14" t="str">
        <f aca="false">IF($AF971="","",$AF971*365/MAX(N($X971),1))</f>
        <v/>
      </c>
      <c r="AH971" s="14" t="str">
        <f aca="false">IF(OR($C971="",$U971&lt;&gt;"Crédito",$AD971=""),"",IF($AD971&lt;=0,"",($Z971-N($L971))/$AD971))</f>
        <v/>
      </c>
      <c r="AI971" s="14" t="str">
        <f aca="false">IF(OR($AH971="",$W971=""),"",$AH971*365/MAX($W971,1))</f>
        <v/>
      </c>
      <c r="AJ971" s="14" t="str">
        <f aca="false">IF(OR($AE971="",$U971&lt;&gt;"Crédito",N($K971)=0),"",(N($K971)-IF(OR($M971="Cerrada",$M971="Rolada"),N($O971),0))/$K971)</f>
        <v/>
      </c>
      <c r="AK971" s="15" t="str">
        <f aca="false">IF(OR($C971="",$N971=""),"",DATE(YEAR($N971),MONTH($N971),1))</f>
        <v/>
      </c>
      <c r="AL971" s="11" t="str">
        <f aca="false">IF($C971="","",IF($M971="Abierta",0,1))</f>
        <v/>
      </c>
      <c r="AM971" s="16" t="str">
        <f aca="false">IF(OR($AE971="",$AD971=""),"",$AD971*MAX(N($X971),1))</f>
        <v/>
      </c>
      <c r="AN971" s="10" t="str">
        <f aca="false">IF($C971="","",IF(OR($B971="",$D971="",$H971="",$K971="",$M971=""),"Faltan datos obligatorios",IF($T971="","Estrategia no reconocida",IF(AND($M971&lt;&gt;"Abierta",$N971=""),"Falta fecha cierre",IF(AND(OR($M971="Cerrada",$M971="Rolada"),$O971=""),"Falta prima cierre",IF(AND($N971&lt;&gt;"",$N971&lt;$B971),"Cierre anterior a apertura",IF(AND($M971="Asignada",$R971=""),"Asignada: falta ID lote acciones",IF(AND($R971&lt;&gt;"",ISNA(MATCH($R971,Acciones!$A$2:$A$201,0))),"El ID lote no existe en Acciones",IF($AD971="","Revisa capital en riesgo","OK")))))))))</f>
        <v/>
      </c>
    </row>
    <row r="972" customFormat="false" ht="15" hidden="false" customHeight="true" outlineLevel="0" collapsed="false">
      <c r="A972" s="5"/>
      <c r="B972" s="6"/>
      <c r="C972" s="7"/>
      <c r="D972" s="7"/>
      <c r="E972" s="8"/>
      <c r="F972" s="8"/>
      <c r="G972" s="6"/>
      <c r="H972" s="5"/>
      <c r="I972" s="5" t="n">
        <v>100</v>
      </c>
      <c r="J972" s="8"/>
      <c r="K972" s="8"/>
      <c r="L972" s="9"/>
      <c r="M972" s="7"/>
      <c r="N972" s="6"/>
      <c r="O972" s="8"/>
      <c r="P972" s="9"/>
      <c r="Q972" s="9"/>
      <c r="R972" s="7"/>
      <c r="S972" s="7"/>
      <c r="T972" s="10" t="str">
        <f aca="false">IF($C972="","",IFERROR(INDEX(Listas!$B$2:$B$20,MATCH($D972,Listas!$A$2:$A$20,0)),""))</f>
        <v/>
      </c>
      <c r="U972" s="10" t="str">
        <f aca="false">IF($C972="","",IFERROR(INDEX(Listas!$C$2:$C$20,MATCH($D972,Listas!$A$2:$A$20,0)),""))</f>
        <v/>
      </c>
      <c r="V972" s="10" t="str">
        <f aca="false">IF($C972="","",IFERROR(INDEX(Listas!$D$2:$D$20,MATCH($D972,Listas!$A$2:$A$20,0)),""))</f>
        <v/>
      </c>
      <c r="W972" s="11" t="str">
        <f aca="false">IF(OR($C972="",$B972="",$G972=""),"",$G972-$B972)</f>
        <v/>
      </c>
      <c r="X972" s="11" t="str">
        <f aca="true">IF(OR($C972="",$B972=""),"",IF($N972&lt;&gt;"",$N972,TODAY())-$B972)</f>
        <v/>
      </c>
      <c r="Y972" s="11" t="str">
        <f aca="true">IF(OR($C972="",$M972&lt;&gt;"Abierta",$G972=""),"",MAX($G972-TODAY(),0))</f>
        <v/>
      </c>
      <c r="Z972" s="12" t="str">
        <f aca="false">IF($C972="","",N($K972)*N($H972)*N($I972)*IF($U972="Débito",-1,1))</f>
        <v/>
      </c>
      <c r="AA972" s="13" t="str">
        <f aca="false">IF($C972="","",IF(AND($U972="Débito",$F972&lt;&gt;""),$F972,$E972))</f>
        <v/>
      </c>
      <c r="AB972" s="13" t="str">
        <f aca="false">IF(OR($C972="",$T972="Mixta",$AA972=""),"",IF($V972="Subyacente",IF($J972="","",$J972-$K972),IF($T972="Put",$AA972-$K972,$AA972+$K972)))</f>
        <v/>
      </c>
      <c r="AC972" s="14" t="str">
        <f aca="false">IF(OR($C972="",$T972="Mixta",$J972="",$AA972=""),"",IF($T972="Put",($J972-$AA972)/$J972,($AA972-$J972)/$J972))</f>
        <v/>
      </c>
      <c r="AD972" s="12" t="str">
        <f aca="false">IF($C972="","",IF($Q972&lt;&gt;"",$Q972,IF($V972="Strike",N($E972)*$H972*$I972,IF($V972="Subyacente",IF($J972="","",$J972*$H972*$I972),IF($V972="Ancho",IF($F972="","",ABS($E972-$F972)*$H972*$I972-$K972*$H972*$I972),IF($V972="Prima",$K972*$H972*$I972,""))))))</f>
        <v/>
      </c>
      <c r="AE972" s="12" t="str">
        <f aca="false">IF(OR($C972="",$M972="Abierta",$M972=""),"",(N($K972)-IF(OR($M972="Cerrada",$M972="Rolada"),N($O972),0))*$H972*$I972*IF($U972="Débito",-1,1)-N($L972)-N($P972))</f>
        <v/>
      </c>
      <c r="AF972" s="14" t="str">
        <f aca="false">IF(OR($AE972="",$AD972=""),"",IF($AD972&lt;=0,"",$AE972/$AD972))</f>
        <v/>
      </c>
      <c r="AG972" s="14" t="str">
        <f aca="false">IF($AF972="","",$AF972*365/MAX(N($X972),1))</f>
        <v/>
      </c>
      <c r="AH972" s="14" t="str">
        <f aca="false">IF(OR($C972="",$U972&lt;&gt;"Crédito",$AD972=""),"",IF($AD972&lt;=0,"",($Z972-N($L972))/$AD972))</f>
        <v/>
      </c>
      <c r="AI972" s="14" t="str">
        <f aca="false">IF(OR($AH972="",$W972=""),"",$AH972*365/MAX($W972,1))</f>
        <v/>
      </c>
      <c r="AJ972" s="14" t="str">
        <f aca="false">IF(OR($AE972="",$U972&lt;&gt;"Crédito",N($K972)=0),"",(N($K972)-IF(OR($M972="Cerrada",$M972="Rolada"),N($O972),0))/$K972)</f>
        <v/>
      </c>
      <c r="AK972" s="15" t="str">
        <f aca="false">IF(OR($C972="",$N972=""),"",DATE(YEAR($N972),MONTH($N972),1))</f>
        <v/>
      </c>
      <c r="AL972" s="11" t="str">
        <f aca="false">IF($C972="","",IF($M972="Abierta",0,1))</f>
        <v/>
      </c>
      <c r="AM972" s="16" t="str">
        <f aca="false">IF(OR($AE972="",$AD972=""),"",$AD972*MAX(N($X972),1))</f>
        <v/>
      </c>
      <c r="AN972" s="10" t="str">
        <f aca="false">IF($C972="","",IF(OR($B972="",$D972="",$H972="",$K972="",$M972=""),"Faltan datos obligatorios",IF($T972="","Estrategia no reconocida",IF(AND($M972&lt;&gt;"Abierta",$N972=""),"Falta fecha cierre",IF(AND(OR($M972="Cerrada",$M972="Rolada"),$O972=""),"Falta prima cierre",IF(AND($N972&lt;&gt;"",$N972&lt;$B972),"Cierre anterior a apertura",IF(AND($M972="Asignada",$R972=""),"Asignada: falta ID lote acciones",IF(AND($R972&lt;&gt;"",ISNA(MATCH($R972,Acciones!$A$2:$A$201,0))),"El ID lote no existe en Acciones",IF($AD972="","Revisa capital en riesgo","OK")))))))))</f>
        <v/>
      </c>
    </row>
    <row r="973" customFormat="false" ht="15" hidden="false" customHeight="true" outlineLevel="0" collapsed="false">
      <c r="A973" s="5"/>
      <c r="B973" s="6"/>
      <c r="C973" s="7"/>
      <c r="D973" s="7"/>
      <c r="E973" s="8"/>
      <c r="F973" s="8"/>
      <c r="G973" s="6"/>
      <c r="H973" s="5"/>
      <c r="I973" s="5" t="n">
        <v>100</v>
      </c>
      <c r="J973" s="8"/>
      <c r="K973" s="8"/>
      <c r="L973" s="9"/>
      <c r="M973" s="7"/>
      <c r="N973" s="6"/>
      <c r="O973" s="8"/>
      <c r="P973" s="9"/>
      <c r="Q973" s="9"/>
      <c r="R973" s="7"/>
      <c r="S973" s="7"/>
      <c r="T973" s="10" t="str">
        <f aca="false">IF($C973="","",IFERROR(INDEX(Listas!$B$2:$B$20,MATCH($D973,Listas!$A$2:$A$20,0)),""))</f>
        <v/>
      </c>
      <c r="U973" s="10" t="str">
        <f aca="false">IF($C973="","",IFERROR(INDEX(Listas!$C$2:$C$20,MATCH($D973,Listas!$A$2:$A$20,0)),""))</f>
        <v/>
      </c>
      <c r="V973" s="10" t="str">
        <f aca="false">IF($C973="","",IFERROR(INDEX(Listas!$D$2:$D$20,MATCH($D973,Listas!$A$2:$A$20,0)),""))</f>
        <v/>
      </c>
      <c r="W973" s="11" t="str">
        <f aca="false">IF(OR($C973="",$B973="",$G973=""),"",$G973-$B973)</f>
        <v/>
      </c>
      <c r="X973" s="11" t="str">
        <f aca="true">IF(OR($C973="",$B973=""),"",IF($N973&lt;&gt;"",$N973,TODAY())-$B973)</f>
        <v/>
      </c>
      <c r="Y973" s="11" t="str">
        <f aca="true">IF(OR($C973="",$M973&lt;&gt;"Abierta",$G973=""),"",MAX($G973-TODAY(),0))</f>
        <v/>
      </c>
      <c r="Z973" s="12" t="str">
        <f aca="false">IF($C973="","",N($K973)*N($H973)*N($I973)*IF($U973="Débito",-1,1))</f>
        <v/>
      </c>
      <c r="AA973" s="13" t="str">
        <f aca="false">IF($C973="","",IF(AND($U973="Débito",$F973&lt;&gt;""),$F973,$E973))</f>
        <v/>
      </c>
      <c r="AB973" s="13" t="str">
        <f aca="false">IF(OR($C973="",$T973="Mixta",$AA973=""),"",IF($V973="Subyacente",IF($J973="","",$J973-$K973),IF($T973="Put",$AA973-$K973,$AA973+$K973)))</f>
        <v/>
      </c>
      <c r="AC973" s="14" t="str">
        <f aca="false">IF(OR($C973="",$T973="Mixta",$J973="",$AA973=""),"",IF($T973="Put",($J973-$AA973)/$J973,($AA973-$J973)/$J973))</f>
        <v/>
      </c>
      <c r="AD973" s="12" t="str">
        <f aca="false">IF($C973="","",IF($Q973&lt;&gt;"",$Q973,IF($V973="Strike",N($E973)*$H973*$I973,IF($V973="Subyacente",IF($J973="","",$J973*$H973*$I973),IF($V973="Ancho",IF($F973="","",ABS($E973-$F973)*$H973*$I973-$K973*$H973*$I973),IF($V973="Prima",$K973*$H973*$I973,""))))))</f>
        <v/>
      </c>
      <c r="AE973" s="12" t="str">
        <f aca="false">IF(OR($C973="",$M973="Abierta",$M973=""),"",(N($K973)-IF(OR($M973="Cerrada",$M973="Rolada"),N($O973),0))*$H973*$I973*IF($U973="Débito",-1,1)-N($L973)-N($P973))</f>
        <v/>
      </c>
      <c r="AF973" s="14" t="str">
        <f aca="false">IF(OR($AE973="",$AD973=""),"",IF($AD973&lt;=0,"",$AE973/$AD973))</f>
        <v/>
      </c>
      <c r="AG973" s="14" t="str">
        <f aca="false">IF($AF973="","",$AF973*365/MAX(N($X973),1))</f>
        <v/>
      </c>
      <c r="AH973" s="14" t="str">
        <f aca="false">IF(OR($C973="",$U973&lt;&gt;"Crédito",$AD973=""),"",IF($AD973&lt;=0,"",($Z973-N($L973))/$AD973))</f>
        <v/>
      </c>
      <c r="AI973" s="14" t="str">
        <f aca="false">IF(OR($AH973="",$W973=""),"",$AH973*365/MAX($W973,1))</f>
        <v/>
      </c>
      <c r="AJ973" s="14" t="str">
        <f aca="false">IF(OR($AE973="",$U973&lt;&gt;"Crédito",N($K973)=0),"",(N($K973)-IF(OR($M973="Cerrada",$M973="Rolada"),N($O973),0))/$K973)</f>
        <v/>
      </c>
      <c r="AK973" s="15" t="str">
        <f aca="false">IF(OR($C973="",$N973=""),"",DATE(YEAR($N973),MONTH($N973),1))</f>
        <v/>
      </c>
      <c r="AL973" s="11" t="str">
        <f aca="false">IF($C973="","",IF($M973="Abierta",0,1))</f>
        <v/>
      </c>
      <c r="AM973" s="16" t="str">
        <f aca="false">IF(OR($AE973="",$AD973=""),"",$AD973*MAX(N($X973),1))</f>
        <v/>
      </c>
      <c r="AN973" s="10" t="str">
        <f aca="false">IF($C973="","",IF(OR($B973="",$D973="",$H973="",$K973="",$M973=""),"Faltan datos obligatorios",IF($T973="","Estrategia no reconocida",IF(AND($M973&lt;&gt;"Abierta",$N973=""),"Falta fecha cierre",IF(AND(OR($M973="Cerrada",$M973="Rolada"),$O973=""),"Falta prima cierre",IF(AND($N973&lt;&gt;"",$N973&lt;$B973),"Cierre anterior a apertura",IF(AND($M973="Asignada",$R973=""),"Asignada: falta ID lote acciones",IF(AND($R973&lt;&gt;"",ISNA(MATCH($R973,Acciones!$A$2:$A$201,0))),"El ID lote no existe en Acciones",IF($AD973="","Revisa capital en riesgo","OK")))))))))</f>
        <v/>
      </c>
    </row>
    <row r="974" customFormat="false" ht="15" hidden="false" customHeight="true" outlineLevel="0" collapsed="false">
      <c r="A974" s="5"/>
      <c r="B974" s="6"/>
      <c r="C974" s="7"/>
      <c r="D974" s="7"/>
      <c r="E974" s="8"/>
      <c r="F974" s="8"/>
      <c r="G974" s="6"/>
      <c r="H974" s="5"/>
      <c r="I974" s="5" t="n">
        <v>100</v>
      </c>
      <c r="J974" s="8"/>
      <c r="K974" s="8"/>
      <c r="L974" s="9"/>
      <c r="M974" s="7"/>
      <c r="N974" s="6"/>
      <c r="O974" s="8"/>
      <c r="P974" s="9"/>
      <c r="Q974" s="9"/>
      <c r="R974" s="7"/>
      <c r="S974" s="7"/>
      <c r="T974" s="10" t="str">
        <f aca="false">IF($C974="","",IFERROR(INDEX(Listas!$B$2:$B$20,MATCH($D974,Listas!$A$2:$A$20,0)),""))</f>
        <v/>
      </c>
      <c r="U974" s="10" t="str">
        <f aca="false">IF($C974="","",IFERROR(INDEX(Listas!$C$2:$C$20,MATCH($D974,Listas!$A$2:$A$20,0)),""))</f>
        <v/>
      </c>
      <c r="V974" s="10" t="str">
        <f aca="false">IF($C974="","",IFERROR(INDEX(Listas!$D$2:$D$20,MATCH($D974,Listas!$A$2:$A$20,0)),""))</f>
        <v/>
      </c>
      <c r="W974" s="11" t="str">
        <f aca="false">IF(OR($C974="",$B974="",$G974=""),"",$G974-$B974)</f>
        <v/>
      </c>
      <c r="X974" s="11" t="str">
        <f aca="true">IF(OR($C974="",$B974=""),"",IF($N974&lt;&gt;"",$N974,TODAY())-$B974)</f>
        <v/>
      </c>
      <c r="Y974" s="11" t="str">
        <f aca="true">IF(OR($C974="",$M974&lt;&gt;"Abierta",$G974=""),"",MAX($G974-TODAY(),0))</f>
        <v/>
      </c>
      <c r="Z974" s="12" t="str">
        <f aca="false">IF($C974="","",N($K974)*N($H974)*N($I974)*IF($U974="Débito",-1,1))</f>
        <v/>
      </c>
      <c r="AA974" s="13" t="str">
        <f aca="false">IF($C974="","",IF(AND($U974="Débito",$F974&lt;&gt;""),$F974,$E974))</f>
        <v/>
      </c>
      <c r="AB974" s="13" t="str">
        <f aca="false">IF(OR($C974="",$T974="Mixta",$AA974=""),"",IF($V974="Subyacente",IF($J974="","",$J974-$K974),IF($T974="Put",$AA974-$K974,$AA974+$K974)))</f>
        <v/>
      </c>
      <c r="AC974" s="14" t="str">
        <f aca="false">IF(OR($C974="",$T974="Mixta",$J974="",$AA974=""),"",IF($T974="Put",($J974-$AA974)/$J974,($AA974-$J974)/$J974))</f>
        <v/>
      </c>
      <c r="AD974" s="12" t="str">
        <f aca="false">IF($C974="","",IF($Q974&lt;&gt;"",$Q974,IF($V974="Strike",N($E974)*$H974*$I974,IF($V974="Subyacente",IF($J974="","",$J974*$H974*$I974),IF($V974="Ancho",IF($F974="","",ABS($E974-$F974)*$H974*$I974-$K974*$H974*$I974),IF($V974="Prima",$K974*$H974*$I974,""))))))</f>
        <v/>
      </c>
      <c r="AE974" s="12" t="str">
        <f aca="false">IF(OR($C974="",$M974="Abierta",$M974=""),"",(N($K974)-IF(OR($M974="Cerrada",$M974="Rolada"),N($O974),0))*$H974*$I974*IF($U974="Débito",-1,1)-N($L974)-N($P974))</f>
        <v/>
      </c>
      <c r="AF974" s="14" t="str">
        <f aca="false">IF(OR($AE974="",$AD974=""),"",IF($AD974&lt;=0,"",$AE974/$AD974))</f>
        <v/>
      </c>
      <c r="AG974" s="14" t="str">
        <f aca="false">IF($AF974="","",$AF974*365/MAX(N($X974),1))</f>
        <v/>
      </c>
      <c r="AH974" s="14" t="str">
        <f aca="false">IF(OR($C974="",$U974&lt;&gt;"Crédito",$AD974=""),"",IF($AD974&lt;=0,"",($Z974-N($L974))/$AD974))</f>
        <v/>
      </c>
      <c r="AI974" s="14" t="str">
        <f aca="false">IF(OR($AH974="",$W974=""),"",$AH974*365/MAX($W974,1))</f>
        <v/>
      </c>
      <c r="AJ974" s="14" t="str">
        <f aca="false">IF(OR($AE974="",$U974&lt;&gt;"Crédito",N($K974)=0),"",(N($K974)-IF(OR($M974="Cerrada",$M974="Rolada"),N($O974),0))/$K974)</f>
        <v/>
      </c>
      <c r="AK974" s="15" t="str">
        <f aca="false">IF(OR($C974="",$N974=""),"",DATE(YEAR($N974),MONTH($N974),1))</f>
        <v/>
      </c>
      <c r="AL974" s="11" t="str">
        <f aca="false">IF($C974="","",IF($M974="Abierta",0,1))</f>
        <v/>
      </c>
      <c r="AM974" s="16" t="str">
        <f aca="false">IF(OR($AE974="",$AD974=""),"",$AD974*MAX(N($X974),1))</f>
        <v/>
      </c>
      <c r="AN974" s="10" t="str">
        <f aca="false">IF($C974="","",IF(OR($B974="",$D974="",$H974="",$K974="",$M974=""),"Faltan datos obligatorios",IF($T974="","Estrategia no reconocida",IF(AND($M974&lt;&gt;"Abierta",$N974=""),"Falta fecha cierre",IF(AND(OR($M974="Cerrada",$M974="Rolada"),$O974=""),"Falta prima cierre",IF(AND($N974&lt;&gt;"",$N974&lt;$B974),"Cierre anterior a apertura",IF(AND($M974="Asignada",$R974=""),"Asignada: falta ID lote acciones",IF(AND($R974&lt;&gt;"",ISNA(MATCH($R974,Acciones!$A$2:$A$201,0))),"El ID lote no existe en Acciones",IF($AD974="","Revisa capital en riesgo","OK")))))))))</f>
        <v/>
      </c>
    </row>
    <row r="975" customFormat="false" ht="15" hidden="false" customHeight="true" outlineLevel="0" collapsed="false">
      <c r="A975" s="5"/>
      <c r="B975" s="6"/>
      <c r="C975" s="7"/>
      <c r="D975" s="7"/>
      <c r="E975" s="8"/>
      <c r="F975" s="8"/>
      <c r="G975" s="6"/>
      <c r="H975" s="5"/>
      <c r="I975" s="5" t="n">
        <v>100</v>
      </c>
      <c r="J975" s="8"/>
      <c r="K975" s="8"/>
      <c r="L975" s="9"/>
      <c r="M975" s="7"/>
      <c r="N975" s="6"/>
      <c r="O975" s="8"/>
      <c r="P975" s="9"/>
      <c r="Q975" s="9"/>
      <c r="R975" s="7"/>
      <c r="S975" s="7"/>
      <c r="T975" s="10" t="str">
        <f aca="false">IF($C975="","",IFERROR(INDEX(Listas!$B$2:$B$20,MATCH($D975,Listas!$A$2:$A$20,0)),""))</f>
        <v/>
      </c>
      <c r="U975" s="10" t="str">
        <f aca="false">IF($C975="","",IFERROR(INDEX(Listas!$C$2:$C$20,MATCH($D975,Listas!$A$2:$A$20,0)),""))</f>
        <v/>
      </c>
      <c r="V975" s="10" t="str">
        <f aca="false">IF($C975="","",IFERROR(INDEX(Listas!$D$2:$D$20,MATCH($D975,Listas!$A$2:$A$20,0)),""))</f>
        <v/>
      </c>
      <c r="W975" s="11" t="str">
        <f aca="false">IF(OR($C975="",$B975="",$G975=""),"",$G975-$B975)</f>
        <v/>
      </c>
      <c r="X975" s="11" t="str">
        <f aca="true">IF(OR($C975="",$B975=""),"",IF($N975&lt;&gt;"",$N975,TODAY())-$B975)</f>
        <v/>
      </c>
      <c r="Y975" s="11" t="str">
        <f aca="true">IF(OR($C975="",$M975&lt;&gt;"Abierta",$G975=""),"",MAX($G975-TODAY(),0))</f>
        <v/>
      </c>
      <c r="Z975" s="12" t="str">
        <f aca="false">IF($C975="","",N($K975)*N($H975)*N($I975)*IF($U975="Débito",-1,1))</f>
        <v/>
      </c>
      <c r="AA975" s="13" t="str">
        <f aca="false">IF($C975="","",IF(AND($U975="Débito",$F975&lt;&gt;""),$F975,$E975))</f>
        <v/>
      </c>
      <c r="AB975" s="13" t="str">
        <f aca="false">IF(OR($C975="",$T975="Mixta",$AA975=""),"",IF($V975="Subyacente",IF($J975="","",$J975-$K975),IF($T975="Put",$AA975-$K975,$AA975+$K975)))</f>
        <v/>
      </c>
      <c r="AC975" s="14" t="str">
        <f aca="false">IF(OR($C975="",$T975="Mixta",$J975="",$AA975=""),"",IF($T975="Put",($J975-$AA975)/$J975,($AA975-$J975)/$J975))</f>
        <v/>
      </c>
      <c r="AD975" s="12" t="str">
        <f aca="false">IF($C975="","",IF($Q975&lt;&gt;"",$Q975,IF($V975="Strike",N($E975)*$H975*$I975,IF($V975="Subyacente",IF($J975="","",$J975*$H975*$I975),IF($V975="Ancho",IF($F975="","",ABS($E975-$F975)*$H975*$I975-$K975*$H975*$I975),IF($V975="Prima",$K975*$H975*$I975,""))))))</f>
        <v/>
      </c>
      <c r="AE975" s="12" t="str">
        <f aca="false">IF(OR($C975="",$M975="Abierta",$M975=""),"",(N($K975)-IF(OR($M975="Cerrada",$M975="Rolada"),N($O975),0))*$H975*$I975*IF($U975="Débito",-1,1)-N($L975)-N($P975))</f>
        <v/>
      </c>
      <c r="AF975" s="14" t="str">
        <f aca="false">IF(OR($AE975="",$AD975=""),"",IF($AD975&lt;=0,"",$AE975/$AD975))</f>
        <v/>
      </c>
      <c r="AG975" s="14" t="str">
        <f aca="false">IF($AF975="","",$AF975*365/MAX(N($X975),1))</f>
        <v/>
      </c>
      <c r="AH975" s="14" t="str">
        <f aca="false">IF(OR($C975="",$U975&lt;&gt;"Crédito",$AD975=""),"",IF($AD975&lt;=0,"",($Z975-N($L975))/$AD975))</f>
        <v/>
      </c>
      <c r="AI975" s="14" t="str">
        <f aca="false">IF(OR($AH975="",$W975=""),"",$AH975*365/MAX($W975,1))</f>
        <v/>
      </c>
      <c r="AJ975" s="14" t="str">
        <f aca="false">IF(OR($AE975="",$U975&lt;&gt;"Crédito",N($K975)=0),"",(N($K975)-IF(OR($M975="Cerrada",$M975="Rolada"),N($O975),0))/$K975)</f>
        <v/>
      </c>
      <c r="AK975" s="15" t="str">
        <f aca="false">IF(OR($C975="",$N975=""),"",DATE(YEAR($N975),MONTH($N975),1))</f>
        <v/>
      </c>
      <c r="AL975" s="11" t="str">
        <f aca="false">IF($C975="","",IF($M975="Abierta",0,1))</f>
        <v/>
      </c>
      <c r="AM975" s="16" t="str">
        <f aca="false">IF(OR($AE975="",$AD975=""),"",$AD975*MAX(N($X975),1))</f>
        <v/>
      </c>
      <c r="AN975" s="10" t="str">
        <f aca="false">IF($C975="","",IF(OR($B975="",$D975="",$H975="",$K975="",$M975=""),"Faltan datos obligatorios",IF($T975="","Estrategia no reconocida",IF(AND($M975&lt;&gt;"Abierta",$N975=""),"Falta fecha cierre",IF(AND(OR($M975="Cerrada",$M975="Rolada"),$O975=""),"Falta prima cierre",IF(AND($N975&lt;&gt;"",$N975&lt;$B975),"Cierre anterior a apertura",IF(AND($M975="Asignada",$R975=""),"Asignada: falta ID lote acciones",IF(AND($R975&lt;&gt;"",ISNA(MATCH($R975,Acciones!$A$2:$A$201,0))),"El ID lote no existe en Acciones",IF($AD975="","Revisa capital en riesgo","OK")))))))))</f>
        <v/>
      </c>
    </row>
    <row r="976" customFormat="false" ht="15" hidden="false" customHeight="true" outlineLevel="0" collapsed="false">
      <c r="A976" s="5"/>
      <c r="B976" s="6"/>
      <c r="C976" s="7"/>
      <c r="D976" s="7"/>
      <c r="E976" s="8"/>
      <c r="F976" s="8"/>
      <c r="G976" s="6"/>
      <c r="H976" s="5"/>
      <c r="I976" s="5" t="n">
        <v>100</v>
      </c>
      <c r="J976" s="8"/>
      <c r="K976" s="8"/>
      <c r="L976" s="9"/>
      <c r="M976" s="7"/>
      <c r="N976" s="6"/>
      <c r="O976" s="8"/>
      <c r="P976" s="9"/>
      <c r="Q976" s="9"/>
      <c r="R976" s="7"/>
      <c r="S976" s="7"/>
      <c r="T976" s="10" t="str">
        <f aca="false">IF($C976="","",IFERROR(INDEX(Listas!$B$2:$B$20,MATCH($D976,Listas!$A$2:$A$20,0)),""))</f>
        <v/>
      </c>
      <c r="U976" s="10" t="str">
        <f aca="false">IF($C976="","",IFERROR(INDEX(Listas!$C$2:$C$20,MATCH($D976,Listas!$A$2:$A$20,0)),""))</f>
        <v/>
      </c>
      <c r="V976" s="10" t="str">
        <f aca="false">IF($C976="","",IFERROR(INDEX(Listas!$D$2:$D$20,MATCH($D976,Listas!$A$2:$A$20,0)),""))</f>
        <v/>
      </c>
      <c r="W976" s="11" t="str">
        <f aca="false">IF(OR($C976="",$B976="",$G976=""),"",$G976-$B976)</f>
        <v/>
      </c>
      <c r="X976" s="11" t="str">
        <f aca="true">IF(OR($C976="",$B976=""),"",IF($N976&lt;&gt;"",$N976,TODAY())-$B976)</f>
        <v/>
      </c>
      <c r="Y976" s="11" t="str">
        <f aca="true">IF(OR($C976="",$M976&lt;&gt;"Abierta",$G976=""),"",MAX($G976-TODAY(),0))</f>
        <v/>
      </c>
      <c r="Z976" s="12" t="str">
        <f aca="false">IF($C976="","",N($K976)*N($H976)*N($I976)*IF($U976="Débito",-1,1))</f>
        <v/>
      </c>
      <c r="AA976" s="13" t="str">
        <f aca="false">IF($C976="","",IF(AND($U976="Débito",$F976&lt;&gt;""),$F976,$E976))</f>
        <v/>
      </c>
      <c r="AB976" s="13" t="str">
        <f aca="false">IF(OR($C976="",$T976="Mixta",$AA976=""),"",IF($V976="Subyacente",IF($J976="","",$J976-$K976),IF($T976="Put",$AA976-$K976,$AA976+$K976)))</f>
        <v/>
      </c>
      <c r="AC976" s="14" t="str">
        <f aca="false">IF(OR($C976="",$T976="Mixta",$J976="",$AA976=""),"",IF($T976="Put",($J976-$AA976)/$J976,($AA976-$J976)/$J976))</f>
        <v/>
      </c>
      <c r="AD976" s="12" t="str">
        <f aca="false">IF($C976="","",IF($Q976&lt;&gt;"",$Q976,IF($V976="Strike",N($E976)*$H976*$I976,IF($V976="Subyacente",IF($J976="","",$J976*$H976*$I976),IF($V976="Ancho",IF($F976="","",ABS($E976-$F976)*$H976*$I976-$K976*$H976*$I976),IF($V976="Prima",$K976*$H976*$I976,""))))))</f>
        <v/>
      </c>
      <c r="AE976" s="12" t="str">
        <f aca="false">IF(OR($C976="",$M976="Abierta",$M976=""),"",(N($K976)-IF(OR($M976="Cerrada",$M976="Rolada"),N($O976),0))*$H976*$I976*IF($U976="Débito",-1,1)-N($L976)-N($P976))</f>
        <v/>
      </c>
      <c r="AF976" s="14" t="str">
        <f aca="false">IF(OR($AE976="",$AD976=""),"",IF($AD976&lt;=0,"",$AE976/$AD976))</f>
        <v/>
      </c>
      <c r="AG976" s="14" t="str">
        <f aca="false">IF($AF976="","",$AF976*365/MAX(N($X976),1))</f>
        <v/>
      </c>
      <c r="AH976" s="14" t="str">
        <f aca="false">IF(OR($C976="",$U976&lt;&gt;"Crédito",$AD976=""),"",IF($AD976&lt;=0,"",($Z976-N($L976))/$AD976))</f>
        <v/>
      </c>
      <c r="AI976" s="14" t="str">
        <f aca="false">IF(OR($AH976="",$W976=""),"",$AH976*365/MAX($W976,1))</f>
        <v/>
      </c>
      <c r="AJ976" s="14" t="str">
        <f aca="false">IF(OR($AE976="",$U976&lt;&gt;"Crédito",N($K976)=0),"",(N($K976)-IF(OR($M976="Cerrada",$M976="Rolada"),N($O976),0))/$K976)</f>
        <v/>
      </c>
      <c r="AK976" s="15" t="str">
        <f aca="false">IF(OR($C976="",$N976=""),"",DATE(YEAR($N976),MONTH($N976),1))</f>
        <v/>
      </c>
      <c r="AL976" s="11" t="str">
        <f aca="false">IF($C976="","",IF($M976="Abierta",0,1))</f>
        <v/>
      </c>
      <c r="AM976" s="16" t="str">
        <f aca="false">IF(OR($AE976="",$AD976=""),"",$AD976*MAX(N($X976),1))</f>
        <v/>
      </c>
      <c r="AN976" s="10" t="str">
        <f aca="false">IF($C976="","",IF(OR($B976="",$D976="",$H976="",$K976="",$M976=""),"Faltan datos obligatorios",IF($T976="","Estrategia no reconocida",IF(AND($M976&lt;&gt;"Abierta",$N976=""),"Falta fecha cierre",IF(AND(OR($M976="Cerrada",$M976="Rolada"),$O976=""),"Falta prima cierre",IF(AND($N976&lt;&gt;"",$N976&lt;$B976),"Cierre anterior a apertura",IF(AND($M976="Asignada",$R976=""),"Asignada: falta ID lote acciones",IF(AND($R976&lt;&gt;"",ISNA(MATCH($R976,Acciones!$A$2:$A$201,0))),"El ID lote no existe en Acciones",IF($AD976="","Revisa capital en riesgo","OK")))))))))</f>
        <v/>
      </c>
    </row>
    <row r="977" customFormat="false" ht="15" hidden="false" customHeight="true" outlineLevel="0" collapsed="false">
      <c r="A977" s="5"/>
      <c r="B977" s="6"/>
      <c r="C977" s="7"/>
      <c r="D977" s="7"/>
      <c r="E977" s="8"/>
      <c r="F977" s="8"/>
      <c r="G977" s="6"/>
      <c r="H977" s="5"/>
      <c r="I977" s="5" t="n">
        <v>100</v>
      </c>
      <c r="J977" s="8"/>
      <c r="K977" s="8"/>
      <c r="L977" s="9"/>
      <c r="M977" s="7"/>
      <c r="N977" s="6"/>
      <c r="O977" s="8"/>
      <c r="P977" s="9"/>
      <c r="Q977" s="9"/>
      <c r="R977" s="7"/>
      <c r="S977" s="7"/>
      <c r="T977" s="10" t="str">
        <f aca="false">IF($C977="","",IFERROR(INDEX(Listas!$B$2:$B$20,MATCH($D977,Listas!$A$2:$A$20,0)),""))</f>
        <v/>
      </c>
      <c r="U977" s="10" t="str">
        <f aca="false">IF($C977="","",IFERROR(INDEX(Listas!$C$2:$C$20,MATCH($D977,Listas!$A$2:$A$20,0)),""))</f>
        <v/>
      </c>
      <c r="V977" s="10" t="str">
        <f aca="false">IF($C977="","",IFERROR(INDEX(Listas!$D$2:$D$20,MATCH($D977,Listas!$A$2:$A$20,0)),""))</f>
        <v/>
      </c>
      <c r="W977" s="11" t="str">
        <f aca="false">IF(OR($C977="",$B977="",$G977=""),"",$G977-$B977)</f>
        <v/>
      </c>
      <c r="X977" s="11" t="str">
        <f aca="true">IF(OR($C977="",$B977=""),"",IF($N977&lt;&gt;"",$N977,TODAY())-$B977)</f>
        <v/>
      </c>
      <c r="Y977" s="11" t="str">
        <f aca="true">IF(OR($C977="",$M977&lt;&gt;"Abierta",$G977=""),"",MAX($G977-TODAY(),0))</f>
        <v/>
      </c>
      <c r="Z977" s="12" t="str">
        <f aca="false">IF($C977="","",N($K977)*N($H977)*N($I977)*IF($U977="Débito",-1,1))</f>
        <v/>
      </c>
      <c r="AA977" s="13" t="str">
        <f aca="false">IF($C977="","",IF(AND($U977="Débito",$F977&lt;&gt;""),$F977,$E977))</f>
        <v/>
      </c>
      <c r="AB977" s="13" t="str">
        <f aca="false">IF(OR($C977="",$T977="Mixta",$AA977=""),"",IF($V977="Subyacente",IF($J977="","",$J977-$K977),IF($T977="Put",$AA977-$K977,$AA977+$K977)))</f>
        <v/>
      </c>
      <c r="AC977" s="14" t="str">
        <f aca="false">IF(OR($C977="",$T977="Mixta",$J977="",$AA977=""),"",IF($T977="Put",($J977-$AA977)/$J977,($AA977-$J977)/$J977))</f>
        <v/>
      </c>
      <c r="AD977" s="12" t="str">
        <f aca="false">IF($C977="","",IF($Q977&lt;&gt;"",$Q977,IF($V977="Strike",N($E977)*$H977*$I977,IF($V977="Subyacente",IF($J977="","",$J977*$H977*$I977),IF($V977="Ancho",IF($F977="","",ABS($E977-$F977)*$H977*$I977-$K977*$H977*$I977),IF($V977="Prima",$K977*$H977*$I977,""))))))</f>
        <v/>
      </c>
      <c r="AE977" s="12" t="str">
        <f aca="false">IF(OR($C977="",$M977="Abierta",$M977=""),"",(N($K977)-IF(OR($M977="Cerrada",$M977="Rolada"),N($O977),0))*$H977*$I977*IF($U977="Débito",-1,1)-N($L977)-N($P977))</f>
        <v/>
      </c>
      <c r="AF977" s="14" t="str">
        <f aca="false">IF(OR($AE977="",$AD977=""),"",IF($AD977&lt;=0,"",$AE977/$AD977))</f>
        <v/>
      </c>
      <c r="AG977" s="14" t="str">
        <f aca="false">IF($AF977="","",$AF977*365/MAX(N($X977),1))</f>
        <v/>
      </c>
      <c r="AH977" s="14" t="str">
        <f aca="false">IF(OR($C977="",$U977&lt;&gt;"Crédito",$AD977=""),"",IF($AD977&lt;=0,"",($Z977-N($L977))/$AD977))</f>
        <v/>
      </c>
      <c r="AI977" s="14" t="str">
        <f aca="false">IF(OR($AH977="",$W977=""),"",$AH977*365/MAX($W977,1))</f>
        <v/>
      </c>
      <c r="AJ977" s="14" t="str">
        <f aca="false">IF(OR($AE977="",$U977&lt;&gt;"Crédito",N($K977)=0),"",(N($K977)-IF(OR($M977="Cerrada",$M977="Rolada"),N($O977),0))/$K977)</f>
        <v/>
      </c>
      <c r="AK977" s="15" t="str">
        <f aca="false">IF(OR($C977="",$N977=""),"",DATE(YEAR($N977),MONTH($N977),1))</f>
        <v/>
      </c>
      <c r="AL977" s="11" t="str">
        <f aca="false">IF($C977="","",IF($M977="Abierta",0,1))</f>
        <v/>
      </c>
      <c r="AM977" s="16" t="str">
        <f aca="false">IF(OR($AE977="",$AD977=""),"",$AD977*MAX(N($X977),1))</f>
        <v/>
      </c>
      <c r="AN977" s="10" t="str">
        <f aca="false">IF($C977="","",IF(OR($B977="",$D977="",$H977="",$K977="",$M977=""),"Faltan datos obligatorios",IF($T977="","Estrategia no reconocida",IF(AND($M977&lt;&gt;"Abierta",$N977=""),"Falta fecha cierre",IF(AND(OR($M977="Cerrada",$M977="Rolada"),$O977=""),"Falta prima cierre",IF(AND($N977&lt;&gt;"",$N977&lt;$B977),"Cierre anterior a apertura",IF(AND($M977="Asignada",$R977=""),"Asignada: falta ID lote acciones",IF(AND($R977&lt;&gt;"",ISNA(MATCH($R977,Acciones!$A$2:$A$201,0))),"El ID lote no existe en Acciones",IF($AD977="","Revisa capital en riesgo","OK")))))))))</f>
        <v/>
      </c>
    </row>
    <row r="978" customFormat="false" ht="15" hidden="false" customHeight="true" outlineLevel="0" collapsed="false">
      <c r="A978" s="5"/>
      <c r="B978" s="6"/>
      <c r="C978" s="7"/>
      <c r="D978" s="7"/>
      <c r="E978" s="8"/>
      <c r="F978" s="8"/>
      <c r="G978" s="6"/>
      <c r="H978" s="5"/>
      <c r="I978" s="5" t="n">
        <v>100</v>
      </c>
      <c r="J978" s="8"/>
      <c r="K978" s="8"/>
      <c r="L978" s="9"/>
      <c r="M978" s="7"/>
      <c r="N978" s="6"/>
      <c r="O978" s="8"/>
      <c r="P978" s="9"/>
      <c r="Q978" s="9"/>
      <c r="R978" s="7"/>
      <c r="S978" s="7"/>
      <c r="T978" s="10" t="str">
        <f aca="false">IF($C978="","",IFERROR(INDEX(Listas!$B$2:$B$20,MATCH($D978,Listas!$A$2:$A$20,0)),""))</f>
        <v/>
      </c>
      <c r="U978" s="10" t="str">
        <f aca="false">IF($C978="","",IFERROR(INDEX(Listas!$C$2:$C$20,MATCH($D978,Listas!$A$2:$A$20,0)),""))</f>
        <v/>
      </c>
      <c r="V978" s="10" t="str">
        <f aca="false">IF($C978="","",IFERROR(INDEX(Listas!$D$2:$D$20,MATCH($D978,Listas!$A$2:$A$20,0)),""))</f>
        <v/>
      </c>
      <c r="W978" s="11" t="str">
        <f aca="false">IF(OR($C978="",$B978="",$G978=""),"",$G978-$B978)</f>
        <v/>
      </c>
      <c r="X978" s="11" t="str">
        <f aca="true">IF(OR($C978="",$B978=""),"",IF($N978&lt;&gt;"",$N978,TODAY())-$B978)</f>
        <v/>
      </c>
      <c r="Y978" s="11" t="str">
        <f aca="true">IF(OR($C978="",$M978&lt;&gt;"Abierta",$G978=""),"",MAX($G978-TODAY(),0))</f>
        <v/>
      </c>
      <c r="Z978" s="12" t="str">
        <f aca="false">IF($C978="","",N($K978)*N($H978)*N($I978)*IF($U978="Débito",-1,1))</f>
        <v/>
      </c>
      <c r="AA978" s="13" t="str">
        <f aca="false">IF($C978="","",IF(AND($U978="Débito",$F978&lt;&gt;""),$F978,$E978))</f>
        <v/>
      </c>
      <c r="AB978" s="13" t="str">
        <f aca="false">IF(OR($C978="",$T978="Mixta",$AA978=""),"",IF($V978="Subyacente",IF($J978="","",$J978-$K978),IF($T978="Put",$AA978-$K978,$AA978+$K978)))</f>
        <v/>
      </c>
      <c r="AC978" s="14" t="str">
        <f aca="false">IF(OR($C978="",$T978="Mixta",$J978="",$AA978=""),"",IF($T978="Put",($J978-$AA978)/$J978,($AA978-$J978)/$J978))</f>
        <v/>
      </c>
      <c r="AD978" s="12" t="str">
        <f aca="false">IF($C978="","",IF($Q978&lt;&gt;"",$Q978,IF($V978="Strike",N($E978)*$H978*$I978,IF($V978="Subyacente",IF($J978="","",$J978*$H978*$I978),IF($V978="Ancho",IF($F978="","",ABS($E978-$F978)*$H978*$I978-$K978*$H978*$I978),IF($V978="Prima",$K978*$H978*$I978,""))))))</f>
        <v/>
      </c>
      <c r="AE978" s="12" t="str">
        <f aca="false">IF(OR($C978="",$M978="Abierta",$M978=""),"",(N($K978)-IF(OR($M978="Cerrada",$M978="Rolada"),N($O978),0))*$H978*$I978*IF($U978="Débito",-1,1)-N($L978)-N($P978))</f>
        <v/>
      </c>
      <c r="AF978" s="14" t="str">
        <f aca="false">IF(OR($AE978="",$AD978=""),"",IF($AD978&lt;=0,"",$AE978/$AD978))</f>
        <v/>
      </c>
      <c r="AG978" s="14" t="str">
        <f aca="false">IF($AF978="","",$AF978*365/MAX(N($X978),1))</f>
        <v/>
      </c>
      <c r="AH978" s="14" t="str">
        <f aca="false">IF(OR($C978="",$U978&lt;&gt;"Crédito",$AD978=""),"",IF($AD978&lt;=0,"",($Z978-N($L978))/$AD978))</f>
        <v/>
      </c>
      <c r="AI978" s="14" t="str">
        <f aca="false">IF(OR($AH978="",$W978=""),"",$AH978*365/MAX($W978,1))</f>
        <v/>
      </c>
      <c r="AJ978" s="14" t="str">
        <f aca="false">IF(OR($AE978="",$U978&lt;&gt;"Crédito",N($K978)=0),"",(N($K978)-IF(OR($M978="Cerrada",$M978="Rolada"),N($O978),0))/$K978)</f>
        <v/>
      </c>
      <c r="AK978" s="15" t="str">
        <f aca="false">IF(OR($C978="",$N978=""),"",DATE(YEAR($N978),MONTH($N978),1))</f>
        <v/>
      </c>
      <c r="AL978" s="11" t="str">
        <f aca="false">IF($C978="","",IF($M978="Abierta",0,1))</f>
        <v/>
      </c>
      <c r="AM978" s="16" t="str">
        <f aca="false">IF(OR($AE978="",$AD978=""),"",$AD978*MAX(N($X978),1))</f>
        <v/>
      </c>
      <c r="AN978" s="10" t="str">
        <f aca="false">IF($C978="","",IF(OR($B978="",$D978="",$H978="",$K978="",$M978=""),"Faltan datos obligatorios",IF($T978="","Estrategia no reconocida",IF(AND($M978&lt;&gt;"Abierta",$N978=""),"Falta fecha cierre",IF(AND(OR($M978="Cerrada",$M978="Rolada"),$O978=""),"Falta prima cierre",IF(AND($N978&lt;&gt;"",$N978&lt;$B978),"Cierre anterior a apertura",IF(AND($M978="Asignada",$R978=""),"Asignada: falta ID lote acciones",IF(AND($R978&lt;&gt;"",ISNA(MATCH($R978,Acciones!$A$2:$A$201,0))),"El ID lote no existe en Acciones",IF($AD978="","Revisa capital en riesgo","OK")))))))))</f>
        <v/>
      </c>
    </row>
    <row r="979" customFormat="false" ht="15" hidden="false" customHeight="true" outlineLevel="0" collapsed="false">
      <c r="A979" s="5"/>
      <c r="B979" s="6"/>
      <c r="C979" s="7"/>
      <c r="D979" s="7"/>
      <c r="E979" s="8"/>
      <c r="F979" s="8"/>
      <c r="G979" s="6"/>
      <c r="H979" s="5"/>
      <c r="I979" s="5" t="n">
        <v>100</v>
      </c>
      <c r="J979" s="8"/>
      <c r="K979" s="8"/>
      <c r="L979" s="9"/>
      <c r="M979" s="7"/>
      <c r="N979" s="6"/>
      <c r="O979" s="8"/>
      <c r="P979" s="9"/>
      <c r="Q979" s="9"/>
      <c r="R979" s="7"/>
      <c r="S979" s="7"/>
      <c r="T979" s="10" t="str">
        <f aca="false">IF($C979="","",IFERROR(INDEX(Listas!$B$2:$B$20,MATCH($D979,Listas!$A$2:$A$20,0)),""))</f>
        <v/>
      </c>
      <c r="U979" s="10" t="str">
        <f aca="false">IF($C979="","",IFERROR(INDEX(Listas!$C$2:$C$20,MATCH($D979,Listas!$A$2:$A$20,0)),""))</f>
        <v/>
      </c>
      <c r="V979" s="10" t="str">
        <f aca="false">IF($C979="","",IFERROR(INDEX(Listas!$D$2:$D$20,MATCH($D979,Listas!$A$2:$A$20,0)),""))</f>
        <v/>
      </c>
      <c r="W979" s="11" t="str">
        <f aca="false">IF(OR($C979="",$B979="",$G979=""),"",$G979-$B979)</f>
        <v/>
      </c>
      <c r="X979" s="11" t="str">
        <f aca="true">IF(OR($C979="",$B979=""),"",IF($N979&lt;&gt;"",$N979,TODAY())-$B979)</f>
        <v/>
      </c>
      <c r="Y979" s="11" t="str">
        <f aca="true">IF(OR($C979="",$M979&lt;&gt;"Abierta",$G979=""),"",MAX($G979-TODAY(),0))</f>
        <v/>
      </c>
      <c r="Z979" s="12" t="str">
        <f aca="false">IF($C979="","",N($K979)*N($H979)*N($I979)*IF($U979="Débito",-1,1))</f>
        <v/>
      </c>
      <c r="AA979" s="13" t="str">
        <f aca="false">IF($C979="","",IF(AND($U979="Débito",$F979&lt;&gt;""),$F979,$E979))</f>
        <v/>
      </c>
      <c r="AB979" s="13" t="str">
        <f aca="false">IF(OR($C979="",$T979="Mixta",$AA979=""),"",IF($V979="Subyacente",IF($J979="","",$J979-$K979),IF($T979="Put",$AA979-$K979,$AA979+$K979)))</f>
        <v/>
      </c>
      <c r="AC979" s="14" t="str">
        <f aca="false">IF(OR($C979="",$T979="Mixta",$J979="",$AA979=""),"",IF($T979="Put",($J979-$AA979)/$J979,($AA979-$J979)/$J979))</f>
        <v/>
      </c>
      <c r="AD979" s="12" t="str">
        <f aca="false">IF($C979="","",IF($Q979&lt;&gt;"",$Q979,IF($V979="Strike",N($E979)*$H979*$I979,IF($V979="Subyacente",IF($J979="","",$J979*$H979*$I979),IF($V979="Ancho",IF($F979="","",ABS($E979-$F979)*$H979*$I979-$K979*$H979*$I979),IF($V979="Prima",$K979*$H979*$I979,""))))))</f>
        <v/>
      </c>
      <c r="AE979" s="12" t="str">
        <f aca="false">IF(OR($C979="",$M979="Abierta",$M979=""),"",(N($K979)-IF(OR($M979="Cerrada",$M979="Rolada"),N($O979),0))*$H979*$I979*IF($U979="Débito",-1,1)-N($L979)-N($P979))</f>
        <v/>
      </c>
      <c r="AF979" s="14" t="str">
        <f aca="false">IF(OR($AE979="",$AD979=""),"",IF($AD979&lt;=0,"",$AE979/$AD979))</f>
        <v/>
      </c>
      <c r="AG979" s="14" t="str">
        <f aca="false">IF($AF979="","",$AF979*365/MAX(N($X979),1))</f>
        <v/>
      </c>
      <c r="AH979" s="14" t="str">
        <f aca="false">IF(OR($C979="",$U979&lt;&gt;"Crédito",$AD979=""),"",IF($AD979&lt;=0,"",($Z979-N($L979))/$AD979))</f>
        <v/>
      </c>
      <c r="AI979" s="14" t="str">
        <f aca="false">IF(OR($AH979="",$W979=""),"",$AH979*365/MAX($W979,1))</f>
        <v/>
      </c>
      <c r="AJ979" s="14" t="str">
        <f aca="false">IF(OR($AE979="",$U979&lt;&gt;"Crédito",N($K979)=0),"",(N($K979)-IF(OR($M979="Cerrada",$M979="Rolada"),N($O979),0))/$K979)</f>
        <v/>
      </c>
      <c r="AK979" s="15" t="str">
        <f aca="false">IF(OR($C979="",$N979=""),"",DATE(YEAR($N979),MONTH($N979),1))</f>
        <v/>
      </c>
      <c r="AL979" s="11" t="str">
        <f aca="false">IF($C979="","",IF($M979="Abierta",0,1))</f>
        <v/>
      </c>
      <c r="AM979" s="16" t="str">
        <f aca="false">IF(OR($AE979="",$AD979=""),"",$AD979*MAX(N($X979),1))</f>
        <v/>
      </c>
      <c r="AN979" s="10" t="str">
        <f aca="false">IF($C979="","",IF(OR($B979="",$D979="",$H979="",$K979="",$M979=""),"Faltan datos obligatorios",IF($T979="","Estrategia no reconocida",IF(AND($M979&lt;&gt;"Abierta",$N979=""),"Falta fecha cierre",IF(AND(OR($M979="Cerrada",$M979="Rolada"),$O979=""),"Falta prima cierre",IF(AND($N979&lt;&gt;"",$N979&lt;$B979),"Cierre anterior a apertura",IF(AND($M979="Asignada",$R979=""),"Asignada: falta ID lote acciones",IF(AND($R979&lt;&gt;"",ISNA(MATCH($R979,Acciones!$A$2:$A$201,0))),"El ID lote no existe en Acciones",IF($AD979="","Revisa capital en riesgo","OK")))))))))</f>
        <v/>
      </c>
    </row>
    <row r="980" customFormat="false" ht="15" hidden="false" customHeight="true" outlineLevel="0" collapsed="false">
      <c r="A980" s="5"/>
      <c r="B980" s="6"/>
      <c r="C980" s="7"/>
      <c r="D980" s="7"/>
      <c r="E980" s="8"/>
      <c r="F980" s="8"/>
      <c r="G980" s="6"/>
      <c r="H980" s="5"/>
      <c r="I980" s="5" t="n">
        <v>100</v>
      </c>
      <c r="J980" s="8"/>
      <c r="K980" s="8"/>
      <c r="L980" s="9"/>
      <c r="M980" s="7"/>
      <c r="N980" s="6"/>
      <c r="O980" s="8"/>
      <c r="P980" s="9"/>
      <c r="Q980" s="9"/>
      <c r="R980" s="7"/>
      <c r="S980" s="7"/>
      <c r="T980" s="10" t="str">
        <f aca="false">IF($C980="","",IFERROR(INDEX(Listas!$B$2:$B$20,MATCH($D980,Listas!$A$2:$A$20,0)),""))</f>
        <v/>
      </c>
      <c r="U980" s="10" t="str">
        <f aca="false">IF($C980="","",IFERROR(INDEX(Listas!$C$2:$C$20,MATCH($D980,Listas!$A$2:$A$20,0)),""))</f>
        <v/>
      </c>
      <c r="V980" s="10" t="str">
        <f aca="false">IF($C980="","",IFERROR(INDEX(Listas!$D$2:$D$20,MATCH($D980,Listas!$A$2:$A$20,0)),""))</f>
        <v/>
      </c>
      <c r="W980" s="11" t="str">
        <f aca="false">IF(OR($C980="",$B980="",$G980=""),"",$G980-$B980)</f>
        <v/>
      </c>
      <c r="X980" s="11" t="str">
        <f aca="true">IF(OR($C980="",$B980=""),"",IF($N980&lt;&gt;"",$N980,TODAY())-$B980)</f>
        <v/>
      </c>
      <c r="Y980" s="11" t="str">
        <f aca="true">IF(OR($C980="",$M980&lt;&gt;"Abierta",$G980=""),"",MAX($G980-TODAY(),0))</f>
        <v/>
      </c>
      <c r="Z980" s="12" t="str">
        <f aca="false">IF($C980="","",N($K980)*N($H980)*N($I980)*IF($U980="Débito",-1,1))</f>
        <v/>
      </c>
      <c r="AA980" s="13" t="str">
        <f aca="false">IF($C980="","",IF(AND($U980="Débito",$F980&lt;&gt;""),$F980,$E980))</f>
        <v/>
      </c>
      <c r="AB980" s="13" t="str">
        <f aca="false">IF(OR($C980="",$T980="Mixta",$AA980=""),"",IF($V980="Subyacente",IF($J980="","",$J980-$K980),IF($T980="Put",$AA980-$K980,$AA980+$K980)))</f>
        <v/>
      </c>
      <c r="AC980" s="14" t="str">
        <f aca="false">IF(OR($C980="",$T980="Mixta",$J980="",$AA980=""),"",IF($T980="Put",($J980-$AA980)/$J980,($AA980-$J980)/$J980))</f>
        <v/>
      </c>
      <c r="AD980" s="12" t="str">
        <f aca="false">IF($C980="","",IF($Q980&lt;&gt;"",$Q980,IF($V980="Strike",N($E980)*$H980*$I980,IF($V980="Subyacente",IF($J980="","",$J980*$H980*$I980),IF($V980="Ancho",IF($F980="","",ABS($E980-$F980)*$H980*$I980-$K980*$H980*$I980),IF($V980="Prima",$K980*$H980*$I980,""))))))</f>
        <v/>
      </c>
      <c r="AE980" s="12" t="str">
        <f aca="false">IF(OR($C980="",$M980="Abierta",$M980=""),"",(N($K980)-IF(OR($M980="Cerrada",$M980="Rolada"),N($O980),0))*$H980*$I980*IF($U980="Débito",-1,1)-N($L980)-N($P980))</f>
        <v/>
      </c>
      <c r="AF980" s="14" t="str">
        <f aca="false">IF(OR($AE980="",$AD980=""),"",IF($AD980&lt;=0,"",$AE980/$AD980))</f>
        <v/>
      </c>
      <c r="AG980" s="14" t="str">
        <f aca="false">IF($AF980="","",$AF980*365/MAX(N($X980),1))</f>
        <v/>
      </c>
      <c r="AH980" s="14" t="str">
        <f aca="false">IF(OR($C980="",$U980&lt;&gt;"Crédito",$AD980=""),"",IF($AD980&lt;=0,"",($Z980-N($L980))/$AD980))</f>
        <v/>
      </c>
      <c r="AI980" s="14" t="str">
        <f aca="false">IF(OR($AH980="",$W980=""),"",$AH980*365/MAX($W980,1))</f>
        <v/>
      </c>
      <c r="AJ980" s="14" t="str">
        <f aca="false">IF(OR($AE980="",$U980&lt;&gt;"Crédito",N($K980)=0),"",(N($K980)-IF(OR($M980="Cerrada",$M980="Rolada"),N($O980),0))/$K980)</f>
        <v/>
      </c>
      <c r="AK980" s="15" t="str">
        <f aca="false">IF(OR($C980="",$N980=""),"",DATE(YEAR($N980),MONTH($N980),1))</f>
        <v/>
      </c>
      <c r="AL980" s="11" t="str">
        <f aca="false">IF($C980="","",IF($M980="Abierta",0,1))</f>
        <v/>
      </c>
      <c r="AM980" s="16" t="str">
        <f aca="false">IF(OR($AE980="",$AD980=""),"",$AD980*MAX(N($X980),1))</f>
        <v/>
      </c>
      <c r="AN980" s="10" t="str">
        <f aca="false">IF($C980="","",IF(OR($B980="",$D980="",$H980="",$K980="",$M980=""),"Faltan datos obligatorios",IF($T980="","Estrategia no reconocida",IF(AND($M980&lt;&gt;"Abierta",$N980=""),"Falta fecha cierre",IF(AND(OR($M980="Cerrada",$M980="Rolada"),$O980=""),"Falta prima cierre",IF(AND($N980&lt;&gt;"",$N980&lt;$B980),"Cierre anterior a apertura",IF(AND($M980="Asignada",$R980=""),"Asignada: falta ID lote acciones",IF(AND($R980&lt;&gt;"",ISNA(MATCH($R980,Acciones!$A$2:$A$201,0))),"El ID lote no existe en Acciones",IF($AD980="","Revisa capital en riesgo","OK")))))))))</f>
        <v/>
      </c>
    </row>
    <row r="981" customFormat="false" ht="15" hidden="false" customHeight="true" outlineLevel="0" collapsed="false">
      <c r="A981" s="5"/>
      <c r="B981" s="6"/>
      <c r="C981" s="7"/>
      <c r="D981" s="7"/>
      <c r="E981" s="8"/>
      <c r="F981" s="8"/>
      <c r="G981" s="6"/>
      <c r="H981" s="5"/>
      <c r="I981" s="5" t="n">
        <v>100</v>
      </c>
      <c r="J981" s="8"/>
      <c r="K981" s="8"/>
      <c r="L981" s="9"/>
      <c r="M981" s="7"/>
      <c r="N981" s="6"/>
      <c r="O981" s="8"/>
      <c r="P981" s="9"/>
      <c r="Q981" s="9"/>
      <c r="R981" s="7"/>
      <c r="S981" s="7"/>
      <c r="T981" s="10" t="str">
        <f aca="false">IF($C981="","",IFERROR(INDEX(Listas!$B$2:$B$20,MATCH($D981,Listas!$A$2:$A$20,0)),""))</f>
        <v/>
      </c>
      <c r="U981" s="10" t="str">
        <f aca="false">IF($C981="","",IFERROR(INDEX(Listas!$C$2:$C$20,MATCH($D981,Listas!$A$2:$A$20,0)),""))</f>
        <v/>
      </c>
      <c r="V981" s="10" t="str">
        <f aca="false">IF($C981="","",IFERROR(INDEX(Listas!$D$2:$D$20,MATCH($D981,Listas!$A$2:$A$20,0)),""))</f>
        <v/>
      </c>
      <c r="W981" s="11" t="str">
        <f aca="false">IF(OR($C981="",$B981="",$G981=""),"",$G981-$B981)</f>
        <v/>
      </c>
      <c r="X981" s="11" t="str">
        <f aca="true">IF(OR($C981="",$B981=""),"",IF($N981&lt;&gt;"",$N981,TODAY())-$B981)</f>
        <v/>
      </c>
      <c r="Y981" s="11" t="str">
        <f aca="true">IF(OR($C981="",$M981&lt;&gt;"Abierta",$G981=""),"",MAX($G981-TODAY(),0))</f>
        <v/>
      </c>
      <c r="Z981" s="12" t="str">
        <f aca="false">IF($C981="","",N($K981)*N($H981)*N($I981)*IF($U981="Débito",-1,1))</f>
        <v/>
      </c>
      <c r="AA981" s="13" t="str">
        <f aca="false">IF($C981="","",IF(AND($U981="Débito",$F981&lt;&gt;""),$F981,$E981))</f>
        <v/>
      </c>
      <c r="AB981" s="13" t="str">
        <f aca="false">IF(OR($C981="",$T981="Mixta",$AA981=""),"",IF($V981="Subyacente",IF($J981="","",$J981-$K981),IF($T981="Put",$AA981-$K981,$AA981+$K981)))</f>
        <v/>
      </c>
      <c r="AC981" s="14" t="str">
        <f aca="false">IF(OR($C981="",$T981="Mixta",$J981="",$AA981=""),"",IF($T981="Put",($J981-$AA981)/$J981,($AA981-$J981)/$J981))</f>
        <v/>
      </c>
      <c r="AD981" s="12" t="str">
        <f aca="false">IF($C981="","",IF($Q981&lt;&gt;"",$Q981,IF($V981="Strike",N($E981)*$H981*$I981,IF($V981="Subyacente",IF($J981="","",$J981*$H981*$I981),IF($V981="Ancho",IF($F981="","",ABS($E981-$F981)*$H981*$I981-$K981*$H981*$I981),IF($V981="Prima",$K981*$H981*$I981,""))))))</f>
        <v/>
      </c>
      <c r="AE981" s="12" t="str">
        <f aca="false">IF(OR($C981="",$M981="Abierta",$M981=""),"",(N($K981)-IF(OR($M981="Cerrada",$M981="Rolada"),N($O981),0))*$H981*$I981*IF($U981="Débito",-1,1)-N($L981)-N($P981))</f>
        <v/>
      </c>
      <c r="AF981" s="14" t="str">
        <f aca="false">IF(OR($AE981="",$AD981=""),"",IF($AD981&lt;=0,"",$AE981/$AD981))</f>
        <v/>
      </c>
      <c r="AG981" s="14" t="str">
        <f aca="false">IF($AF981="","",$AF981*365/MAX(N($X981),1))</f>
        <v/>
      </c>
      <c r="AH981" s="14" t="str">
        <f aca="false">IF(OR($C981="",$U981&lt;&gt;"Crédito",$AD981=""),"",IF($AD981&lt;=0,"",($Z981-N($L981))/$AD981))</f>
        <v/>
      </c>
      <c r="AI981" s="14" t="str">
        <f aca="false">IF(OR($AH981="",$W981=""),"",$AH981*365/MAX($W981,1))</f>
        <v/>
      </c>
      <c r="AJ981" s="14" t="str">
        <f aca="false">IF(OR($AE981="",$U981&lt;&gt;"Crédito",N($K981)=0),"",(N($K981)-IF(OR($M981="Cerrada",$M981="Rolada"),N($O981),0))/$K981)</f>
        <v/>
      </c>
      <c r="AK981" s="15" t="str">
        <f aca="false">IF(OR($C981="",$N981=""),"",DATE(YEAR($N981),MONTH($N981),1))</f>
        <v/>
      </c>
      <c r="AL981" s="11" t="str">
        <f aca="false">IF($C981="","",IF($M981="Abierta",0,1))</f>
        <v/>
      </c>
      <c r="AM981" s="16" t="str">
        <f aca="false">IF(OR($AE981="",$AD981=""),"",$AD981*MAX(N($X981),1))</f>
        <v/>
      </c>
      <c r="AN981" s="10" t="str">
        <f aca="false">IF($C981="","",IF(OR($B981="",$D981="",$H981="",$K981="",$M981=""),"Faltan datos obligatorios",IF($T981="","Estrategia no reconocida",IF(AND($M981&lt;&gt;"Abierta",$N981=""),"Falta fecha cierre",IF(AND(OR($M981="Cerrada",$M981="Rolada"),$O981=""),"Falta prima cierre",IF(AND($N981&lt;&gt;"",$N981&lt;$B981),"Cierre anterior a apertura",IF(AND($M981="Asignada",$R981=""),"Asignada: falta ID lote acciones",IF(AND($R981&lt;&gt;"",ISNA(MATCH($R981,Acciones!$A$2:$A$201,0))),"El ID lote no existe en Acciones",IF($AD981="","Revisa capital en riesgo","OK")))))))))</f>
        <v/>
      </c>
    </row>
    <row r="982" customFormat="false" ht="15" hidden="false" customHeight="true" outlineLevel="0" collapsed="false">
      <c r="A982" s="5"/>
      <c r="B982" s="6"/>
      <c r="C982" s="7"/>
      <c r="D982" s="7"/>
      <c r="E982" s="8"/>
      <c r="F982" s="8"/>
      <c r="G982" s="6"/>
      <c r="H982" s="5"/>
      <c r="I982" s="5" t="n">
        <v>100</v>
      </c>
      <c r="J982" s="8"/>
      <c r="K982" s="8"/>
      <c r="L982" s="9"/>
      <c r="M982" s="7"/>
      <c r="N982" s="6"/>
      <c r="O982" s="8"/>
      <c r="P982" s="9"/>
      <c r="Q982" s="9"/>
      <c r="R982" s="7"/>
      <c r="S982" s="7"/>
      <c r="T982" s="10" t="str">
        <f aca="false">IF($C982="","",IFERROR(INDEX(Listas!$B$2:$B$20,MATCH($D982,Listas!$A$2:$A$20,0)),""))</f>
        <v/>
      </c>
      <c r="U982" s="10" t="str">
        <f aca="false">IF($C982="","",IFERROR(INDEX(Listas!$C$2:$C$20,MATCH($D982,Listas!$A$2:$A$20,0)),""))</f>
        <v/>
      </c>
      <c r="V982" s="10" t="str">
        <f aca="false">IF($C982="","",IFERROR(INDEX(Listas!$D$2:$D$20,MATCH($D982,Listas!$A$2:$A$20,0)),""))</f>
        <v/>
      </c>
      <c r="W982" s="11" t="str">
        <f aca="false">IF(OR($C982="",$B982="",$G982=""),"",$G982-$B982)</f>
        <v/>
      </c>
      <c r="X982" s="11" t="str">
        <f aca="true">IF(OR($C982="",$B982=""),"",IF($N982&lt;&gt;"",$N982,TODAY())-$B982)</f>
        <v/>
      </c>
      <c r="Y982" s="11" t="str">
        <f aca="true">IF(OR($C982="",$M982&lt;&gt;"Abierta",$G982=""),"",MAX($G982-TODAY(),0))</f>
        <v/>
      </c>
      <c r="Z982" s="12" t="str">
        <f aca="false">IF($C982="","",N($K982)*N($H982)*N($I982)*IF($U982="Débito",-1,1))</f>
        <v/>
      </c>
      <c r="AA982" s="13" t="str">
        <f aca="false">IF($C982="","",IF(AND($U982="Débito",$F982&lt;&gt;""),$F982,$E982))</f>
        <v/>
      </c>
      <c r="AB982" s="13" t="str">
        <f aca="false">IF(OR($C982="",$T982="Mixta",$AA982=""),"",IF($V982="Subyacente",IF($J982="","",$J982-$K982),IF($T982="Put",$AA982-$K982,$AA982+$K982)))</f>
        <v/>
      </c>
      <c r="AC982" s="14" t="str">
        <f aca="false">IF(OR($C982="",$T982="Mixta",$J982="",$AA982=""),"",IF($T982="Put",($J982-$AA982)/$J982,($AA982-$J982)/$J982))</f>
        <v/>
      </c>
      <c r="AD982" s="12" t="str">
        <f aca="false">IF($C982="","",IF($Q982&lt;&gt;"",$Q982,IF($V982="Strike",N($E982)*$H982*$I982,IF($V982="Subyacente",IF($J982="","",$J982*$H982*$I982),IF($V982="Ancho",IF($F982="","",ABS($E982-$F982)*$H982*$I982-$K982*$H982*$I982),IF($V982="Prima",$K982*$H982*$I982,""))))))</f>
        <v/>
      </c>
      <c r="AE982" s="12" t="str">
        <f aca="false">IF(OR($C982="",$M982="Abierta",$M982=""),"",(N($K982)-IF(OR($M982="Cerrada",$M982="Rolada"),N($O982),0))*$H982*$I982*IF($U982="Débito",-1,1)-N($L982)-N($P982))</f>
        <v/>
      </c>
      <c r="AF982" s="14" t="str">
        <f aca="false">IF(OR($AE982="",$AD982=""),"",IF($AD982&lt;=0,"",$AE982/$AD982))</f>
        <v/>
      </c>
      <c r="AG982" s="14" t="str">
        <f aca="false">IF($AF982="","",$AF982*365/MAX(N($X982),1))</f>
        <v/>
      </c>
      <c r="AH982" s="14" t="str">
        <f aca="false">IF(OR($C982="",$U982&lt;&gt;"Crédito",$AD982=""),"",IF($AD982&lt;=0,"",($Z982-N($L982))/$AD982))</f>
        <v/>
      </c>
      <c r="AI982" s="14" t="str">
        <f aca="false">IF(OR($AH982="",$W982=""),"",$AH982*365/MAX($W982,1))</f>
        <v/>
      </c>
      <c r="AJ982" s="14" t="str">
        <f aca="false">IF(OR($AE982="",$U982&lt;&gt;"Crédito",N($K982)=0),"",(N($K982)-IF(OR($M982="Cerrada",$M982="Rolada"),N($O982),0))/$K982)</f>
        <v/>
      </c>
      <c r="AK982" s="15" t="str">
        <f aca="false">IF(OR($C982="",$N982=""),"",DATE(YEAR($N982),MONTH($N982),1))</f>
        <v/>
      </c>
      <c r="AL982" s="11" t="str">
        <f aca="false">IF($C982="","",IF($M982="Abierta",0,1))</f>
        <v/>
      </c>
      <c r="AM982" s="16" t="str">
        <f aca="false">IF(OR($AE982="",$AD982=""),"",$AD982*MAX(N($X982),1))</f>
        <v/>
      </c>
      <c r="AN982" s="10" t="str">
        <f aca="false">IF($C982="","",IF(OR($B982="",$D982="",$H982="",$K982="",$M982=""),"Faltan datos obligatorios",IF($T982="","Estrategia no reconocida",IF(AND($M982&lt;&gt;"Abierta",$N982=""),"Falta fecha cierre",IF(AND(OR($M982="Cerrada",$M982="Rolada"),$O982=""),"Falta prima cierre",IF(AND($N982&lt;&gt;"",$N982&lt;$B982),"Cierre anterior a apertura",IF(AND($M982="Asignada",$R982=""),"Asignada: falta ID lote acciones",IF(AND($R982&lt;&gt;"",ISNA(MATCH($R982,Acciones!$A$2:$A$201,0))),"El ID lote no existe en Acciones",IF($AD982="","Revisa capital en riesgo","OK")))))))))</f>
        <v/>
      </c>
    </row>
    <row r="983" customFormat="false" ht="15" hidden="false" customHeight="true" outlineLevel="0" collapsed="false">
      <c r="A983" s="5"/>
      <c r="B983" s="6"/>
      <c r="C983" s="7"/>
      <c r="D983" s="7"/>
      <c r="E983" s="8"/>
      <c r="F983" s="8"/>
      <c r="G983" s="6"/>
      <c r="H983" s="5"/>
      <c r="I983" s="5" t="n">
        <v>100</v>
      </c>
      <c r="J983" s="8"/>
      <c r="K983" s="8"/>
      <c r="L983" s="9"/>
      <c r="M983" s="7"/>
      <c r="N983" s="6"/>
      <c r="O983" s="8"/>
      <c r="P983" s="9"/>
      <c r="Q983" s="9"/>
      <c r="R983" s="7"/>
      <c r="S983" s="7"/>
      <c r="T983" s="10" t="str">
        <f aca="false">IF($C983="","",IFERROR(INDEX(Listas!$B$2:$B$20,MATCH($D983,Listas!$A$2:$A$20,0)),""))</f>
        <v/>
      </c>
      <c r="U983" s="10" t="str">
        <f aca="false">IF($C983="","",IFERROR(INDEX(Listas!$C$2:$C$20,MATCH($D983,Listas!$A$2:$A$20,0)),""))</f>
        <v/>
      </c>
      <c r="V983" s="10" t="str">
        <f aca="false">IF($C983="","",IFERROR(INDEX(Listas!$D$2:$D$20,MATCH($D983,Listas!$A$2:$A$20,0)),""))</f>
        <v/>
      </c>
      <c r="W983" s="11" t="str">
        <f aca="false">IF(OR($C983="",$B983="",$G983=""),"",$G983-$B983)</f>
        <v/>
      </c>
      <c r="X983" s="11" t="str">
        <f aca="true">IF(OR($C983="",$B983=""),"",IF($N983&lt;&gt;"",$N983,TODAY())-$B983)</f>
        <v/>
      </c>
      <c r="Y983" s="11" t="str">
        <f aca="true">IF(OR($C983="",$M983&lt;&gt;"Abierta",$G983=""),"",MAX($G983-TODAY(),0))</f>
        <v/>
      </c>
      <c r="Z983" s="12" t="str">
        <f aca="false">IF($C983="","",N($K983)*N($H983)*N($I983)*IF($U983="Débito",-1,1))</f>
        <v/>
      </c>
      <c r="AA983" s="13" t="str">
        <f aca="false">IF($C983="","",IF(AND($U983="Débito",$F983&lt;&gt;""),$F983,$E983))</f>
        <v/>
      </c>
      <c r="AB983" s="13" t="str">
        <f aca="false">IF(OR($C983="",$T983="Mixta",$AA983=""),"",IF($V983="Subyacente",IF($J983="","",$J983-$K983),IF($T983="Put",$AA983-$K983,$AA983+$K983)))</f>
        <v/>
      </c>
      <c r="AC983" s="14" t="str">
        <f aca="false">IF(OR($C983="",$T983="Mixta",$J983="",$AA983=""),"",IF($T983="Put",($J983-$AA983)/$J983,($AA983-$J983)/$J983))</f>
        <v/>
      </c>
      <c r="AD983" s="12" t="str">
        <f aca="false">IF($C983="","",IF($Q983&lt;&gt;"",$Q983,IF($V983="Strike",N($E983)*$H983*$I983,IF($V983="Subyacente",IF($J983="","",$J983*$H983*$I983),IF($V983="Ancho",IF($F983="","",ABS($E983-$F983)*$H983*$I983-$K983*$H983*$I983),IF($V983="Prima",$K983*$H983*$I983,""))))))</f>
        <v/>
      </c>
      <c r="AE983" s="12" t="str">
        <f aca="false">IF(OR($C983="",$M983="Abierta",$M983=""),"",(N($K983)-IF(OR($M983="Cerrada",$M983="Rolada"),N($O983),0))*$H983*$I983*IF($U983="Débito",-1,1)-N($L983)-N($P983))</f>
        <v/>
      </c>
      <c r="AF983" s="14" t="str">
        <f aca="false">IF(OR($AE983="",$AD983=""),"",IF($AD983&lt;=0,"",$AE983/$AD983))</f>
        <v/>
      </c>
      <c r="AG983" s="14" t="str">
        <f aca="false">IF($AF983="","",$AF983*365/MAX(N($X983),1))</f>
        <v/>
      </c>
      <c r="AH983" s="14" t="str">
        <f aca="false">IF(OR($C983="",$U983&lt;&gt;"Crédito",$AD983=""),"",IF($AD983&lt;=0,"",($Z983-N($L983))/$AD983))</f>
        <v/>
      </c>
      <c r="AI983" s="14" t="str">
        <f aca="false">IF(OR($AH983="",$W983=""),"",$AH983*365/MAX($W983,1))</f>
        <v/>
      </c>
      <c r="AJ983" s="14" t="str">
        <f aca="false">IF(OR($AE983="",$U983&lt;&gt;"Crédito",N($K983)=0),"",(N($K983)-IF(OR($M983="Cerrada",$M983="Rolada"),N($O983),0))/$K983)</f>
        <v/>
      </c>
      <c r="AK983" s="15" t="str">
        <f aca="false">IF(OR($C983="",$N983=""),"",DATE(YEAR($N983),MONTH($N983),1))</f>
        <v/>
      </c>
      <c r="AL983" s="11" t="str">
        <f aca="false">IF($C983="","",IF($M983="Abierta",0,1))</f>
        <v/>
      </c>
      <c r="AM983" s="16" t="str">
        <f aca="false">IF(OR($AE983="",$AD983=""),"",$AD983*MAX(N($X983),1))</f>
        <v/>
      </c>
      <c r="AN983" s="10" t="str">
        <f aca="false">IF($C983="","",IF(OR($B983="",$D983="",$H983="",$K983="",$M983=""),"Faltan datos obligatorios",IF($T983="","Estrategia no reconocida",IF(AND($M983&lt;&gt;"Abierta",$N983=""),"Falta fecha cierre",IF(AND(OR($M983="Cerrada",$M983="Rolada"),$O983=""),"Falta prima cierre",IF(AND($N983&lt;&gt;"",$N983&lt;$B983),"Cierre anterior a apertura",IF(AND($M983="Asignada",$R983=""),"Asignada: falta ID lote acciones",IF(AND($R983&lt;&gt;"",ISNA(MATCH($R983,Acciones!$A$2:$A$201,0))),"El ID lote no existe en Acciones",IF($AD983="","Revisa capital en riesgo","OK")))))))))</f>
        <v/>
      </c>
    </row>
    <row r="984" customFormat="false" ht="15" hidden="false" customHeight="true" outlineLevel="0" collapsed="false">
      <c r="A984" s="5"/>
      <c r="B984" s="6"/>
      <c r="C984" s="7"/>
      <c r="D984" s="7"/>
      <c r="E984" s="8"/>
      <c r="F984" s="8"/>
      <c r="G984" s="6"/>
      <c r="H984" s="5"/>
      <c r="I984" s="5" t="n">
        <v>100</v>
      </c>
      <c r="J984" s="8"/>
      <c r="K984" s="8"/>
      <c r="L984" s="9"/>
      <c r="M984" s="7"/>
      <c r="N984" s="6"/>
      <c r="O984" s="8"/>
      <c r="P984" s="9"/>
      <c r="Q984" s="9"/>
      <c r="R984" s="7"/>
      <c r="S984" s="7"/>
      <c r="T984" s="10" t="str">
        <f aca="false">IF($C984="","",IFERROR(INDEX(Listas!$B$2:$B$20,MATCH($D984,Listas!$A$2:$A$20,0)),""))</f>
        <v/>
      </c>
      <c r="U984" s="10" t="str">
        <f aca="false">IF($C984="","",IFERROR(INDEX(Listas!$C$2:$C$20,MATCH($D984,Listas!$A$2:$A$20,0)),""))</f>
        <v/>
      </c>
      <c r="V984" s="10" t="str">
        <f aca="false">IF($C984="","",IFERROR(INDEX(Listas!$D$2:$D$20,MATCH($D984,Listas!$A$2:$A$20,0)),""))</f>
        <v/>
      </c>
      <c r="W984" s="11" t="str">
        <f aca="false">IF(OR($C984="",$B984="",$G984=""),"",$G984-$B984)</f>
        <v/>
      </c>
      <c r="X984" s="11" t="str">
        <f aca="true">IF(OR($C984="",$B984=""),"",IF($N984&lt;&gt;"",$N984,TODAY())-$B984)</f>
        <v/>
      </c>
      <c r="Y984" s="11" t="str">
        <f aca="true">IF(OR($C984="",$M984&lt;&gt;"Abierta",$G984=""),"",MAX($G984-TODAY(),0))</f>
        <v/>
      </c>
      <c r="Z984" s="12" t="str">
        <f aca="false">IF($C984="","",N($K984)*N($H984)*N($I984)*IF($U984="Débito",-1,1))</f>
        <v/>
      </c>
      <c r="AA984" s="13" t="str">
        <f aca="false">IF($C984="","",IF(AND($U984="Débito",$F984&lt;&gt;""),$F984,$E984))</f>
        <v/>
      </c>
      <c r="AB984" s="13" t="str">
        <f aca="false">IF(OR($C984="",$T984="Mixta",$AA984=""),"",IF($V984="Subyacente",IF($J984="","",$J984-$K984),IF($T984="Put",$AA984-$K984,$AA984+$K984)))</f>
        <v/>
      </c>
      <c r="AC984" s="14" t="str">
        <f aca="false">IF(OR($C984="",$T984="Mixta",$J984="",$AA984=""),"",IF($T984="Put",($J984-$AA984)/$J984,($AA984-$J984)/$J984))</f>
        <v/>
      </c>
      <c r="AD984" s="12" t="str">
        <f aca="false">IF($C984="","",IF($Q984&lt;&gt;"",$Q984,IF($V984="Strike",N($E984)*$H984*$I984,IF($V984="Subyacente",IF($J984="","",$J984*$H984*$I984),IF($V984="Ancho",IF($F984="","",ABS($E984-$F984)*$H984*$I984-$K984*$H984*$I984),IF($V984="Prima",$K984*$H984*$I984,""))))))</f>
        <v/>
      </c>
      <c r="AE984" s="12" t="str">
        <f aca="false">IF(OR($C984="",$M984="Abierta",$M984=""),"",(N($K984)-IF(OR($M984="Cerrada",$M984="Rolada"),N($O984),0))*$H984*$I984*IF($U984="Débito",-1,1)-N($L984)-N($P984))</f>
        <v/>
      </c>
      <c r="AF984" s="14" t="str">
        <f aca="false">IF(OR($AE984="",$AD984=""),"",IF($AD984&lt;=0,"",$AE984/$AD984))</f>
        <v/>
      </c>
      <c r="AG984" s="14" t="str">
        <f aca="false">IF($AF984="","",$AF984*365/MAX(N($X984),1))</f>
        <v/>
      </c>
      <c r="AH984" s="14" t="str">
        <f aca="false">IF(OR($C984="",$U984&lt;&gt;"Crédito",$AD984=""),"",IF($AD984&lt;=0,"",($Z984-N($L984))/$AD984))</f>
        <v/>
      </c>
      <c r="AI984" s="14" t="str">
        <f aca="false">IF(OR($AH984="",$W984=""),"",$AH984*365/MAX($W984,1))</f>
        <v/>
      </c>
      <c r="AJ984" s="14" t="str">
        <f aca="false">IF(OR($AE984="",$U984&lt;&gt;"Crédito",N($K984)=0),"",(N($K984)-IF(OR($M984="Cerrada",$M984="Rolada"),N($O984),0))/$K984)</f>
        <v/>
      </c>
      <c r="AK984" s="15" t="str">
        <f aca="false">IF(OR($C984="",$N984=""),"",DATE(YEAR($N984),MONTH($N984),1))</f>
        <v/>
      </c>
      <c r="AL984" s="11" t="str">
        <f aca="false">IF($C984="","",IF($M984="Abierta",0,1))</f>
        <v/>
      </c>
      <c r="AM984" s="16" t="str">
        <f aca="false">IF(OR($AE984="",$AD984=""),"",$AD984*MAX(N($X984),1))</f>
        <v/>
      </c>
      <c r="AN984" s="10" t="str">
        <f aca="false">IF($C984="","",IF(OR($B984="",$D984="",$H984="",$K984="",$M984=""),"Faltan datos obligatorios",IF($T984="","Estrategia no reconocida",IF(AND($M984&lt;&gt;"Abierta",$N984=""),"Falta fecha cierre",IF(AND(OR($M984="Cerrada",$M984="Rolada"),$O984=""),"Falta prima cierre",IF(AND($N984&lt;&gt;"",$N984&lt;$B984),"Cierre anterior a apertura",IF(AND($M984="Asignada",$R984=""),"Asignada: falta ID lote acciones",IF(AND($R984&lt;&gt;"",ISNA(MATCH($R984,Acciones!$A$2:$A$201,0))),"El ID lote no existe en Acciones",IF($AD984="","Revisa capital en riesgo","OK")))))))))</f>
        <v/>
      </c>
    </row>
    <row r="985" customFormat="false" ht="15" hidden="false" customHeight="true" outlineLevel="0" collapsed="false">
      <c r="A985" s="5"/>
      <c r="B985" s="6"/>
      <c r="C985" s="7"/>
      <c r="D985" s="7"/>
      <c r="E985" s="8"/>
      <c r="F985" s="8"/>
      <c r="G985" s="6"/>
      <c r="H985" s="5"/>
      <c r="I985" s="5" t="n">
        <v>100</v>
      </c>
      <c r="J985" s="8"/>
      <c r="K985" s="8"/>
      <c r="L985" s="9"/>
      <c r="M985" s="7"/>
      <c r="N985" s="6"/>
      <c r="O985" s="8"/>
      <c r="P985" s="9"/>
      <c r="Q985" s="9"/>
      <c r="R985" s="7"/>
      <c r="S985" s="7"/>
      <c r="T985" s="10" t="str">
        <f aca="false">IF($C985="","",IFERROR(INDEX(Listas!$B$2:$B$20,MATCH($D985,Listas!$A$2:$A$20,0)),""))</f>
        <v/>
      </c>
      <c r="U985" s="10" t="str">
        <f aca="false">IF($C985="","",IFERROR(INDEX(Listas!$C$2:$C$20,MATCH($D985,Listas!$A$2:$A$20,0)),""))</f>
        <v/>
      </c>
      <c r="V985" s="10" t="str">
        <f aca="false">IF($C985="","",IFERROR(INDEX(Listas!$D$2:$D$20,MATCH($D985,Listas!$A$2:$A$20,0)),""))</f>
        <v/>
      </c>
      <c r="W985" s="11" t="str">
        <f aca="false">IF(OR($C985="",$B985="",$G985=""),"",$G985-$B985)</f>
        <v/>
      </c>
      <c r="X985" s="11" t="str">
        <f aca="true">IF(OR($C985="",$B985=""),"",IF($N985&lt;&gt;"",$N985,TODAY())-$B985)</f>
        <v/>
      </c>
      <c r="Y985" s="11" t="str">
        <f aca="true">IF(OR($C985="",$M985&lt;&gt;"Abierta",$G985=""),"",MAX($G985-TODAY(),0))</f>
        <v/>
      </c>
      <c r="Z985" s="12" t="str">
        <f aca="false">IF($C985="","",N($K985)*N($H985)*N($I985)*IF($U985="Débito",-1,1))</f>
        <v/>
      </c>
      <c r="AA985" s="13" t="str">
        <f aca="false">IF($C985="","",IF(AND($U985="Débito",$F985&lt;&gt;""),$F985,$E985))</f>
        <v/>
      </c>
      <c r="AB985" s="13" t="str">
        <f aca="false">IF(OR($C985="",$T985="Mixta",$AA985=""),"",IF($V985="Subyacente",IF($J985="","",$J985-$K985),IF($T985="Put",$AA985-$K985,$AA985+$K985)))</f>
        <v/>
      </c>
      <c r="AC985" s="14" t="str">
        <f aca="false">IF(OR($C985="",$T985="Mixta",$J985="",$AA985=""),"",IF($T985="Put",($J985-$AA985)/$J985,($AA985-$J985)/$J985))</f>
        <v/>
      </c>
      <c r="AD985" s="12" t="str">
        <f aca="false">IF($C985="","",IF($Q985&lt;&gt;"",$Q985,IF($V985="Strike",N($E985)*$H985*$I985,IF($V985="Subyacente",IF($J985="","",$J985*$H985*$I985),IF($V985="Ancho",IF($F985="","",ABS($E985-$F985)*$H985*$I985-$K985*$H985*$I985),IF($V985="Prima",$K985*$H985*$I985,""))))))</f>
        <v/>
      </c>
      <c r="AE985" s="12" t="str">
        <f aca="false">IF(OR($C985="",$M985="Abierta",$M985=""),"",(N($K985)-IF(OR($M985="Cerrada",$M985="Rolada"),N($O985),0))*$H985*$I985*IF($U985="Débito",-1,1)-N($L985)-N($P985))</f>
        <v/>
      </c>
      <c r="AF985" s="14" t="str">
        <f aca="false">IF(OR($AE985="",$AD985=""),"",IF($AD985&lt;=0,"",$AE985/$AD985))</f>
        <v/>
      </c>
      <c r="AG985" s="14" t="str">
        <f aca="false">IF($AF985="","",$AF985*365/MAX(N($X985),1))</f>
        <v/>
      </c>
      <c r="AH985" s="14" t="str">
        <f aca="false">IF(OR($C985="",$U985&lt;&gt;"Crédito",$AD985=""),"",IF($AD985&lt;=0,"",($Z985-N($L985))/$AD985))</f>
        <v/>
      </c>
      <c r="AI985" s="14" t="str">
        <f aca="false">IF(OR($AH985="",$W985=""),"",$AH985*365/MAX($W985,1))</f>
        <v/>
      </c>
      <c r="AJ985" s="14" t="str">
        <f aca="false">IF(OR($AE985="",$U985&lt;&gt;"Crédito",N($K985)=0),"",(N($K985)-IF(OR($M985="Cerrada",$M985="Rolada"),N($O985),0))/$K985)</f>
        <v/>
      </c>
      <c r="AK985" s="15" t="str">
        <f aca="false">IF(OR($C985="",$N985=""),"",DATE(YEAR($N985),MONTH($N985),1))</f>
        <v/>
      </c>
      <c r="AL985" s="11" t="str">
        <f aca="false">IF($C985="","",IF($M985="Abierta",0,1))</f>
        <v/>
      </c>
      <c r="AM985" s="16" t="str">
        <f aca="false">IF(OR($AE985="",$AD985=""),"",$AD985*MAX(N($X985),1))</f>
        <v/>
      </c>
      <c r="AN985" s="10" t="str">
        <f aca="false">IF($C985="","",IF(OR($B985="",$D985="",$H985="",$K985="",$M985=""),"Faltan datos obligatorios",IF($T985="","Estrategia no reconocida",IF(AND($M985&lt;&gt;"Abierta",$N985=""),"Falta fecha cierre",IF(AND(OR($M985="Cerrada",$M985="Rolada"),$O985=""),"Falta prima cierre",IF(AND($N985&lt;&gt;"",$N985&lt;$B985),"Cierre anterior a apertura",IF(AND($M985="Asignada",$R985=""),"Asignada: falta ID lote acciones",IF(AND($R985&lt;&gt;"",ISNA(MATCH($R985,Acciones!$A$2:$A$201,0))),"El ID lote no existe en Acciones",IF($AD985="","Revisa capital en riesgo","OK")))))))))</f>
        <v/>
      </c>
    </row>
    <row r="986" customFormat="false" ht="15" hidden="false" customHeight="true" outlineLevel="0" collapsed="false">
      <c r="A986" s="5"/>
      <c r="B986" s="6"/>
      <c r="C986" s="7"/>
      <c r="D986" s="7"/>
      <c r="E986" s="8"/>
      <c r="F986" s="8"/>
      <c r="G986" s="6"/>
      <c r="H986" s="5"/>
      <c r="I986" s="5" t="n">
        <v>100</v>
      </c>
      <c r="J986" s="8"/>
      <c r="K986" s="8"/>
      <c r="L986" s="9"/>
      <c r="M986" s="7"/>
      <c r="N986" s="6"/>
      <c r="O986" s="8"/>
      <c r="P986" s="9"/>
      <c r="Q986" s="9"/>
      <c r="R986" s="7"/>
      <c r="S986" s="7"/>
      <c r="T986" s="10" t="str">
        <f aca="false">IF($C986="","",IFERROR(INDEX(Listas!$B$2:$B$20,MATCH($D986,Listas!$A$2:$A$20,0)),""))</f>
        <v/>
      </c>
      <c r="U986" s="10" t="str">
        <f aca="false">IF($C986="","",IFERROR(INDEX(Listas!$C$2:$C$20,MATCH($D986,Listas!$A$2:$A$20,0)),""))</f>
        <v/>
      </c>
      <c r="V986" s="10" t="str">
        <f aca="false">IF($C986="","",IFERROR(INDEX(Listas!$D$2:$D$20,MATCH($D986,Listas!$A$2:$A$20,0)),""))</f>
        <v/>
      </c>
      <c r="W986" s="11" t="str">
        <f aca="false">IF(OR($C986="",$B986="",$G986=""),"",$G986-$B986)</f>
        <v/>
      </c>
      <c r="X986" s="11" t="str">
        <f aca="true">IF(OR($C986="",$B986=""),"",IF($N986&lt;&gt;"",$N986,TODAY())-$B986)</f>
        <v/>
      </c>
      <c r="Y986" s="11" t="str">
        <f aca="true">IF(OR($C986="",$M986&lt;&gt;"Abierta",$G986=""),"",MAX($G986-TODAY(),0))</f>
        <v/>
      </c>
      <c r="Z986" s="12" t="str">
        <f aca="false">IF($C986="","",N($K986)*N($H986)*N($I986)*IF($U986="Débito",-1,1))</f>
        <v/>
      </c>
      <c r="AA986" s="13" t="str">
        <f aca="false">IF($C986="","",IF(AND($U986="Débito",$F986&lt;&gt;""),$F986,$E986))</f>
        <v/>
      </c>
      <c r="AB986" s="13" t="str">
        <f aca="false">IF(OR($C986="",$T986="Mixta",$AA986=""),"",IF($V986="Subyacente",IF($J986="","",$J986-$K986),IF($T986="Put",$AA986-$K986,$AA986+$K986)))</f>
        <v/>
      </c>
      <c r="AC986" s="14" t="str">
        <f aca="false">IF(OR($C986="",$T986="Mixta",$J986="",$AA986=""),"",IF($T986="Put",($J986-$AA986)/$J986,($AA986-$J986)/$J986))</f>
        <v/>
      </c>
      <c r="AD986" s="12" t="str">
        <f aca="false">IF($C986="","",IF($Q986&lt;&gt;"",$Q986,IF($V986="Strike",N($E986)*$H986*$I986,IF($V986="Subyacente",IF($J986="","",$J986*$H986*$I986),IF($V986="Ancho",IF($F986="","",ABS($E986-$F986)*$H986*$I986-$K986*$H986*$I986),IF($V986="Prima",$K986*$H986*$I986,""))))))</f>
        <v/>
      </c>
      <c r="AE986" s="12" t="str">
        <f aca="false">IF(OR($C986="",$M986="Abierta",$M986=""),"",(N($K986)-IF(OR($M986="Cerrada",$M986="Rolada"),N($O986),0))*$H986*$I986*IF($U986="Débito",-1,1)-N($L986)-N($P986))</f>
        <v/>
      </c>
      <c r="AF986" s="14" t="str">
        <f aca="false">IF(OR($AE986="",$AD986=""),"",IF($AD986&lt;=0,"",$AE986/$AD986))</f>
        <v/>
      </c>
      <c r="AG986" s="14" t="str">
        <f aca="false">IF($AF986="","",$AF986*365/MAX(N($X986),1))</f>
        <v/>
      </c>
      <c r="AH986" s="14" t="str">
        <f aca="false">IF(OR($C986="",$U986&lt;&gt;"Crédito",$AD986=""),"",IF($AD986&lt;=0,"",($Z986-N($L986))/$AD986))</f>
        <v/>
      </c>
      <c r="AI986" s="14" t="str">
        <f aca="false">IF(OR($AH986="",$W986=""),"",$AH986*365/MAX($W986,1))</f>
        <v/>
      </c>
      <c r="AJ986" s="14" t="str">
        <f aca="false">IF(OR($AE986="",$U986&lt;&gt;"Crédito",N($K986)=0),"",(N($K986)-IF(OR($M986="Cerrada",$M986="Rolada"),N($O986),0))/$K986)</f>
        <v/>
      </c>
      <c r="AK986" s="15" t="str">
        <f aca="false">IF(OR($C986="",$N986=""),"",DATE(YEAR($N986),MONTH($N986),1))</f>
        <v/>
      </c>
      <c r="AL986" s="11" t="str">
        <f aca="false">IF($C986="","",IF($M986="Abierta",0,1))</f>
        <v/>
      </c>
      <c r="AM986" s="16" t="str">
        <f aca="false">IF(OR($AE986="",$AD986=""),"",$AD986*MAX(N($X986),1))</f>
        <v/>
      </c>
      <c r="AN986" s="10" t="str">
        <f aca="false">IF($C986="","",IF(OR($B986="",$D986="",$H986="",$K986="",$M986=""),"Faltan datos obligatorios",IF($T986="","Estrategia no reconocida",IF(AND($M986&lt;&gt;"Abierta",$N986=""),"Falta fecha cierre",IF(AND(OR($M986="Cerrada",$M986="Rolada"),$O986=""),"Falta prima cierre",IF(AND($N986&lt;&gt;"",$N986&lt;$B986),"Cierre anterior a apertura",IF(AND($M986="Asignada",$R986=""),"Asignada: falta ID lote acciones",IF(AND($R986&lt;&gt;"",ISNA(MATCH($R986,Acciones!$A$2:$A$201,0))),"El ID lote no existe en Acciones",IF($AD986="","Revisa capital en riesgo","OK")))))))))</f>
        <v/>
      </c>
    </row>
    <row r="987" customFormat="false" ht="15" hidden="false" customHeight="true" outlineLevel="0" collapsed="false">
      <c r="A987" s="5"/>
      <c r="B987" s="6"/>
      <c r="C987" s="7"/>
      <c r="D987" s="7"/>
      <c r="E987" s="8"/>
      <c r="F987" s="8"/>
      <c r="G987" s="6"/>
      <c r="H987" s="5"/>
      <c r="I987" s="5" t="n">
        <v>100</v>
      </c>
      <c r="J987" s="8"/>
      <c r="K987" s="8"/>
      <c r="L987" s="9"/>
      <c r="M987" s="7"/>
      <c r="N987" s="6"/>
      <c r="O987" s="8"/>
      <c r="P987" s="9"/>
      <c r="Q987" s="9"/>
      <c r="R987" s="7"/>
      <c r="S987" s="7"/>
      <c r="T987" s="10" t="str">
        <f aca="false">IF($C987="","",IFERROR(INDEX(Listas!$B$2:$B$20,MATCH($D987,Listas!$A$2:$A$20,0)),""))</f>
        <v/>
      </c>
      <c r="U987" s="10" t="str">
        <f aca="false">IF($C987="","",IFERROR(INDEX(Listas!$C$2:$C$20,MATCH($D987,Listas!$A$2:$A$20,0)),""))</f>
        <v/>
      </c>
      <c r="V987" s="10" t="str">
        <f aca="false">IF($C987="","",IFERROR(INDEX(Listas!$D$2:$D$20,MATCH($D987,Listas!$A$2:$A$20,0)),""))</f>
        <v/>
      </c>
      <c r="W987" s="11" t="str">
        <f aca="false">IF(OR($C987="",$B987="",$G987=""),"",$G987-$B987)</f>
        <v/>
      </c>
      <c r="X987" s="11" t="str">
        <f aca="true">IF(OR($C987="",$B987=""),"",IF($N987&lt;&gt;"",$N987,TODAY())-$B987)</f>
        <v/>
      </c>
      <c r="Y987" s="11" t="str">
        <f aca="true">IF(OR($C987="",$M987&lt;&gt;"Abierta",$G987=""),"",MAX($G987-TODAY(),0))</f>
        <v/>
      </c>
      <c r="Z987" s="12" t="str">
        <f aca="false">IF($C987="","",N($K987)*N($H987)*N($I987)*IF($U987="Débito",-1,1))</f>
        <v/>
      </c>
      <c r="AA987" s="13" t="str">
        <f aca="false">IF($C987="","",IF(AND($U987="Débito",$F987&lt;&gt;""),$F987,$E987))</f>
        <v/>
      </c>
      <c r="AB987" s="13" t="str">
        <f aca="false">IF(OR($C987="",$T987="Mixta",$AA987=""),"",IF($V987="Subyacente",IF($J987="","",$J987-$K987),IF($T987="Put",$AA987-$K987,$AA987+$K987)))</f>
        <v/>
      </c>
      <c r="AC987" s="14" t="str">
        <f aca="false">IF(OR($C987="",$T987="Mixta",$J987="",$AA987=""),"",IF($T987="Put",($J987-$AA987)/$J987,($AA987-$J987)/$J987))</f>
        <v/>
      </c>
      <c r="AD987" s="12" t="str">
        <f aca="false">IF($C987="","",IF($Q987&lt;&gt;"",$Q987,IF($V987="Strike",N($E987)*$H987*$I987,IF($V987="Subyacente",IF($J987="","",$J987*$H987*$I987),IF($V987="Ancho",IF($F987="","",ABS($E987-$F987)*$H987*$I987-$K987*$H987*$I987),IF($V987="Prima",$K987*$H987*$I987,""))))))</f>
        <v/>
      </c>
      <c r="AE987" s="12" t="str">
        <f aca="false">IF(OR($C987="",$M987="Abierta",$M987=""),"",(N($K987)-IF(OR($M987="Cerrada",$M987="Rolada"),N($O987),0))*$H987*$I987*IF($U987="Débito",-1,1)-N($L987)-N($P987))</f>
        <v/>
      </c>
      <c r="AF987" s="14" t="str">
        <f aca="false">IF(OR($AE987="",$AD987=""),"",IF($AD987&lt;=0,"",$AE987/$AD987))</f>
        <v/>
      </c>
      <c r="AG987" s="14" t="str">
        <f aca="false">IF($AF987="","",$AF987*365/MAX(N($X987),1))</f>
        <v/>
      </c>
      <c r="AH987" s="14" t="str">
        <f aca="false">IF(OR($C987="",$U987&lt;&gt;"Crédito",$AD987=""),"",IF($AD987&lt;=0,"",($Z987-N($L987))/$AD987))</f>
        <v/>
      </c>
      <c r="AI987" s="14" t="str">
        <f aca="false">IF(OR($AH987="",$W987=""),"",$AH987*365/MAX($W987,1))</f>
        <v/>
      </c>
      <c r="AJ987" s="14" t="str">
        <f aca="false">IF(OR($AE987="",$U987&lt;&gt;"Crédito",N($K987)=0),"",(N($K987)-IF(OR($M987="Cerrada",$M987="Rolada"),N($O987),0))/$K987)</f>
        <v/>
      </c>
      <c r="AK987" s="15" t="str">
        <f aca="false">IF(OR($C987="",$N987=""),"",DATE(YEAR($N987),MONTH($N987),1))</f>
        <v/>
      </c>
      <c r="AL987" s="11" t="str">
        <f aca="false">IF($C987="","",IF($M987="Abierta",0,1))</f>
        <v/>
      </c>
      <c r="AM987" s="16" t="str">
        <f aca="false">IF(OR($AE987="",$AD987=""),"",$AD987*MAX(N($X987),1))</f>
        <v/>
      </c>
      <c r="AN987" s="10" t="str">
        <f aca="false">IF($C987="","",IF(OR($B987="",$D987="",$H987="",$K987="",$M987=""),"Faltan datos obligatorios",IF($T987="","Estrategia no reconocida",IF(AND($M987&lt;&gt;"Abierta",$N987=""),"Falta fecha cierre",IF(AND(OR($M987="Cerrada",$M987="Rolada"),$O987=""),"Falta prima cierre",IF(AND($N987&lt;&gt;"",$N987&lt;$B987),"Cierre anterior a apertura",IF(AND($M987="Asignada",$R987=""),"Asignada: falta ID lote acciones",IF(AND($R987&lt;&gt;"",ISNA(MATCH($R987,Acciones!$A$2:$A$201,0))),"El ID lote no existe en Acciones",IF($AD987="","Revisa capital en riesgo","OK")))))))))</f>
        <v/>
      </c>
    </row>
    <row r="988" customFormat="false" ht="15" hidden="false" customHeight="true" outlineLevel="0" collapsed="false">
      <c r="A988" s="5"/>
      <c r="B988" s="6"/>
      <c r="C988" s="7"/>
      <c r="D988" s="7"/>
      <c r="E988" s="8"/>
      <c r="F988" s="8"/>
      <c r="G988" s="6"/>
      <c r="H988" s="5"/>
      <c r="I988" s="5" t="n">
        <v>100</v>
      </c>
      <c r="J988" s="8"/>
      <c r="K988" s="8"/>
      <c r="L988" s="9"/>
      <c r="M988" s="7"/>
      <c r="N988" s="6"/>
      <c r="O988" s="8"/>
      <c r="P988" s="9"/>
      <c r="Q988" s="9"/>
      <c r="R988" s="7"/>
      <c r="S988" s="7"/>
      <c r="T988" s="10" t="str">
        <f aca="false">IF($C988="","",IFERROR(INDEX(Listas!$B$2:$B$20,MATCH($D988,Listas!$A$2:$A$20,0)),""))</f>
        <v/>
      </c>
      <c r="U988" s="10" t="str">
        <f aca="false">IF($C988="","",IFERROR(INDEX(Listas!$C$2:$C$20,MATCH($D988,Listas!$A$2:$A$20,0)),""))</f>
        <v/>
      </c>
      <c r="V988" s="10" t="str">
        <f aca="false">IF($C988="","",IFERROR(INDEX(Listas!$D$2:$D$20,MATCH($D988,Listas!$A$2:$A$20,0)),""))</f>
        <v/>
      </c>
      <c r="W988" s="11" t="str">
        <f aca="false">IF(OR($C988="",$B988="",$G988=""),"",$G988-$B988)</f>
        <v/>
      </c>
      <c r="X988" s="11" t="str">
        <f aca="true">IF(OR($C988="",$B988=""),"",IF($N988&lt;&gt;"",$N988,TODAY())-$B988)</f>
        <v/>
      </c>
      <c r="Y988" s="11" t="str">
        <f aca="true">IF(OR($C988="",$M988&lt;&gt;"Abierta",$G988=""),"",MAX($G988-TODAY(),0))</f>
        <v/>
      </c>
      <c r="Z988" s="12" t="str">
        <f aca="false">IF($C988="","",N($K988)*N($H988)*N($I988)*IF($U988="Débito",-1,1))</f>
        <v/>
      </c>
      <c r="AA988" s="13" t="str">
        <f aca="false">IF($C988="","",IF(AND($U988="Débito",$F988&lt;&gt;""),$F988,$E988))</f>
        <v/>
      </c>
      <c r="AB988" s="13" t="str">
        <f aca="false">IF(OR($C988="",$T988="Mixta",$AA988=""),"",IF($V988="Subyacente",IF($J988="","",$J988-$K988),IF($T988="Put",$AA988-$K988,$AA988+$K988)))</f>
        <v/>
      </c>
      <c r="AC988" s="14" t="str">
        <f aca="false">IF(OR($C988="",$T988="Mixta",$J988="",$AA988=""),"",IF($T988="Put",($J988-$AA988)/$J988,($AA988-$J988)/$J988))</f>
        <v/>
      </c>
      <c r="AD988" s="12" t="str">
        <f aca="false">IF($C988="","",IF($Q988&lt;&gt;"",$Q988,IF($V988="Strike",N($E988)*$H988*$I988,IF($V988="Subyacente",IF($J988="","",$J988*$H988*$I988),IF($V988="Ancho",IF($F988="","",ABS($E988-$F988)*$H988*$I988-$K988*$H988*$I988),IF($V988="Prima",$K988*$H988*$I988,""))))))</f>
        <v/>
      </c>
      <c r="AE988" s="12" t="str">
        <f aca="false">IF(OR($C988="",$M988="Abierta",$M988=""),"",(N($K988)-IF(OR($M988="Cerrada",$M988="Rolada"),N($O988),0))*$H988*$I988*IF($U988="Débito",-1,1)-N($L988)-N($P988))</f>
        <v/>
      </c>
      <c r="AF988" s="14" t="str">
        <f aca="false">IF(OR($AE988="",$AD988=""),"",IF($AD988&lt;=0,"",$AE988/$AD988))</f>
        <v/>
      </c>
      <c r="AG988" s="14" t="str">
        <f aca="false">IF($AF988="","",$AF988*365/MAX(N($X988),1))</f>
        <v/>
      </c>
      <c r="AH988" s="14" t="str">
        <f aca="false">IF(OR($C988="",$U988&lt;&gt;"Crédito",$AD988=""),"",IF($AD988&lt;=0,"",($Z988-N($L988))/$AD988))</f>
        <v/>
      </c>
      <c r="AI988" s="14" t="str">
        <f aca="false">IF(OR($AH988="",$W988=""),"",$AH988*365/MAX($W988,1))</f>
        <v/>
      </c>
      <c r="AJ988" s="14" t="str">
        <f aca="false">IF(OR($AE988="",$U988&lt;&gt;"Crédito",N($K988)=0),"",(N($K988)-IF(OR($M988="Cerrada",$M988="Rolada"),N($O988),0))/$K988)</f>
        <v/>
      </c>
      <c r="AK988" s="15" t="str">
        <f aca="false">IF(OR($C988="",$N988=""),"",DATE(YEAR($N988),MONTH($N988),1))</f>
        <v/>
      </c>
      <c r="AL988" s="11" t="str">
        <f aca="false">IF($C988="","",IF($M988="Abierta",0,1))</f>
        <v/>
      </c>
      <c r="AM988" s="16" t="str">
        <f aca="false">IF(OR($AE988="",$AD988=""),"",$AD988*MAX(N($X988),1))</f>
        <v/>
      </c>
      <c r="AN988" s="10" t="str">
        <f aca="false">IF($C988="","",IF(OR($B988="",$D988="",$H988="",$K988="",$M988=""),"Faltan datos obligatorios",IF($T988="","Estrategia no reconocida",IF(AND($M988&lt;&gt;"Abierta",$N988=""),"Falta fecha cierre",IF(AND(OR($M988="Cerrada",$M988="Rolada"),$O988=""),"Falta prima cierre",IF(AND($N988&lt;&gt;"",$N988&lt;$B988),"Cierre anterior a apertura",IF(AND($M988="Asignada",$R988=""),"Asignada: falta ID lote acciones",IF(AND($R988&lt;&gt;"",ISNA(MATCH($R988,Acciones!$A$2:$A$201,0))),"El ID lote no existe en Acciones",IF($AD988="","Revisa capital en riesgo","OK")))))))))</f>
        <v/>
      </c>
    </row>
    <row r="989" customFormat="false" ht="15" hidden="false" customHeight="true" outlineLevel="0" collapsed="false">
      <c r="A989" s="5"/>
      <c r="B989" s="6"/>
      <c r="C989" s="7"/>
      <c r="D989" s="7"/>
      <c r="E989" s="8"/>
      <c r="F989" s="8"/>
      <c r="G989" s="6"/>
      <c r="H989" s="5"/>
      <c r="I989" s="5" t="n">
        <v>100</v>
      </c>
      <c r="J989" s="8"/>
      <c r="K989" s="8"/>
      <c r="L989" s="9"/>
      <c r="M989" s="7"/>
      <c r="N989" s="6"/>
      <c r="O989" s="8"/>
      <c r="P989" s="9"/>
      <c r="Q989" s="9"/>
      <c r="R989" s="7"/>
      <c r="S989" s="7"/>
      <c r="T989" s="10" t="str">
        <f aca="false">IF($C989="","",IFERROR(INDEX(Listas!$B$2:$B$20,MATCH($D989,Listas!$A$2:$A$20,0)),""))</f>
        <v/>
      </c>
      <c r="U989" s="10" t="str">
        <f aca="false">IF($C989="","",IFERROR(INDEX(Listas!$C$2:$C$20,MATCH($D989,Listas!$A$2:$A$20,0)),""))</f>
        <v/>
      </c>
      <c r="V989" s="10" t="str">
        <f aca="false">IF($C989="","",IFERROR(INDEX(Listas!$D$2:$D$20,MATCH($D989,Listas!$A$2:$A$20,0)),""))</f>
        <v/>
      </c>
      <c r="W989" s="11" t="str">
        <f aca="false">IF(OR($C989="",$B989="",$G989=""),"",$G989-$B989)</f>
        <v/>
      </c>
      <c r="X989" s="11" t="str">
        <f aca="true">IF(OR($C989="",$B989=""),"",IF($N989&lt;&gt;"",$N989,TODAY())-$B989)</f>
        <v/>
      </c>
      <c r="Y989" s="11" t="str">
        <f aca="true">IF(OR($C989="",$M989&lt;&gt;"Abierta",$G989=""),"",MAX($G989-TODAY(),0))</f>
        <v/>
      </c>
      <c r="Z989" s="12" t="str">
        <f aca="false">IF($C989="","",N($K989)*N($H989)*N($I989)*IF($U989="Débito",-1,1))</f>
        <v/>
      </c>
      <c r="AA989" s="13" t="str">
        <f aca="false">IF($C989="","",IF(AND($U989="Débito",$F989&lt;&gt;""),$F989,$E989))</f>
        <v/>
      </c>
      <c r="AB989" s="13" t="str">
        <f aca="false">IF(OR($C989="",$T989="Mixta",$AA989=""),"",IF($V989="Subyacente",IF($J989="","",$J989-$K989),IF($T989="Put",$AA989-$K989,$AA989+$K989)))</f>
        <v/>
      </c>
      <c r="AC989" s="14" t="str">
        <f aca="false">IF(OR($C989="",$T989="Mixta",$J989="",$AA989=""),"",IF($T989="Put",($J989-$AA989)/$J989,($AA989-$J989)/$J989))</f>
        <v/>
      </c>
      <c r="AD989" s="12" t="str">
        <f aca="false">IF($C989="","",IF($Q989&lt;&gt;"",$Q989,IF($V989="Strike",N($E989)*$H989*$I989,IF($V989="Subyacente",IF($J989="","",$J989*$H989*$I989),IF($V989="Ancho",IF($F989="","",ABS($E989-$F989)*$H989*$I989-$K989*$H989*$I989),IF($V989="Prima",$K989*$H989*$I989,""))))))</f>
        <v/>
      </c>
      <c r="AE989" s="12" t="str">
        <f aca="false">IF(OR($C989="",$M989="Abierta",$M989=""),"",(N($K989)-IF(OR($M989="Cerrada",$M989="Rolada"),N($O989),0))*$H989*$I989*IF($U989="Débito",-1,1)-N($L989)-N($P989))</f>
        <v/>
      </c>
      <c r="AF989" s="14" t="str">
        <f aca="false">IF(OR($AE989="",$AD989=""),"",IF($AD989&lt;=0,"",$AE989/$AD989))</f>
        <v/>
      </c>
      <c r="AG989" s="14" t="str">
        <f aca="false">IF($AF989="","",$AF989*365/MAX(N($X989),1))</f>
        <v/>
      </c>
      <c r="AH989" s="14" t="str">
        <f aca="false">IF(OR($C989="",$U989&lt;&gt;"Crédito",$AD989=""),"",IF($AD989&lt;=0,"",($Z989-N($L989))/$AD989))</f>
        <v/>
      </c>
      <c r="AI989" s="14" t="str">
        <f aca="false">IF(OR($AH989="",$W989=""),"",$AH989*365/MAX($W989,1))</f>
        <v/>
      </c>
      <c r="AJ989" s="14" t="str">
        <f aca="false">IF(OR($AE989="",$U989&lt;&gt;"Crédito",N($K989)=0),"",(N($K989)-IF(OR($M989="Cerrada",$M989="Rolada"),N($O989),0))/$K989)</f>
        <v/>
      </c>
      <c r="AK989" s="15" t="str">
        <f aca="false">IF(OR($C989="",$N989=""),"",DATE(YEAR($N989),MONTH($N989),1))</f>
        <v/>
      </c>
      <c r="AL989" s="11" t="str">
        <f aca="false">IF($C989="","",IF($M989="Abierta",0,1))</f>
        <v/>
      </c>
      <c r="AM989" s="16" t="str">
        <f aca="false">IF(OR($AE989="",$AD989=""),"",$AD989*MAX(N($X989),1))</f>
        <v/>
      </c>
      <c r="AN989" s="10" t="str">
        <f aca="false">IF($C989="","",IF(OR($B989="",$D989="",$H989="",$K989="",$M989=""),"Faltan datos obligatorios",IF($T989="","Estrategia no reconocida",IF(AND($M989&lt;&gt;"Abierta",$N989=""),"Falta fecha cierre",IF(AND(OR($M989="Cerrada",$M989="Rolada"),$O989=""),"Falta prima cierre",IF(AND($N989&lt;&gt;"",$N989&lt;$B989),"Cierre anterior a apertura",IF(AND($M989="Asignada",$R989=""),"Asignada: falta ID lote acciones",IF(AND($R989&lt;&gt;"",ISNA(MATCH($R989,Acciones!$A$2:$A$201,0))),"El ID lote no existe en Acciones",IF($AD989="","Revisa capital en riesgo","OK")))))))))</f>
        <v/>
      </c>
    </row>
    <row r="990" customFormat="false" ht="15" hidden="false" customHeight="true" outlineLevel="0" collapsed="false">
      <c r="A990" s="5"/>
      <c r="B990" s="6"/>
      <c r="C990" s="7"/>
      <c r="D990" s="7"/>
      <c r="E990" s="8"/>
      <c r="F990" s="8"/>
      <c r="G990" s="6"/>
      <c r="H990" s="5"/>
      <c r="I990" s="5" t="n">
        <v>100</v>
      </c>
      <c r="J990" s="8"/>
      <c r="K990" s="8"/>
      <c r="L990" s="9"/>
      <c r="M990" s="7"/>
      <c r="N990" s="6"/>
      <c r="O990" s="8"/>
      <c r="P990" s="9"/>
      <c r="Q990" s="9"/>
      <c r="R990" s="7"/>
      <c r="S990" s="7"/>
      <c r="T990" s="10" t="str">
        <f aca="false">IF($C990="","",IFERROR(INDEX(Listas!$B$2:$B$20,MATCH($D990,Listas!$A$2:$A$20,0)),""))</f>
        <v/>
      </c>
      <c r="U990" s="10" t="str">
        <f aca="false">IF($C990="","",IFERROR(INDEX(Listas!$C$2:$C$20,MATCH($D990,Listas!$A$2:$A$20,0)),""))</f>
        <v/>
      </c>
      <c r="V990" s="10" t="str">
        <f aca="false">IF($C990="","",IFERROR(INDEX(Listas!$D$2:$D$20,MATCH($D990,Listas!$A$2:$A$20,0)),""))</f>
        <v/>
      </c>
      <c r="W990" s="11" t="str">
        <f aca="false">IF(OR($C990="",$B990="",$G990=""),"",$G990-$B990)</f>
        <v/>
      </c>
      <c r="X990" s="11" t="str">
        <f aca="true">IF(OR($C990="",$B990=""),"",IF($N990&lt;&gt;"",$N990,TODAY())-$B990)</f>
        <v/>
      </c>
      <c r="Y990" s="11" t="str">
        <f aca="true">IF(OR($C990="",$M990&lt;&gt;"Abierta",$G990=""),"",MAX($G990-TODAY(),0))</f>
        <v/>
      </c>
      <c r="Z990" s="12" t="str">
        <f aca="false">IF($C990="","",N($K990)*N($H990)*N($I990)*IF($U990="Débito",-1,1))</f>
        <v/>
      </c>
      <c r="AA990" s="13" t="str">
        <f aca="false">IF($C990="","",IF(AND($U990="Débito",$F990&lt;&gt;""),$F990,$E990))</f>
        <v/>
      </c>
      <c r="AB990" s="13" t="str">
        <f aca="false">IF(OR($C990="",$T990="Mixta",$AA990=""),"",IF($V990="Subyacente",IF($J990="","",$J990-$K990),IF($T990="Put",$AA990-$K990,$AA990+$K990)))</f>
        <v/>
      </c>
      <c r="AC990" s="14" t="str">
        <f aca="false">IF(OR($C990="",$T990="Mixta",$J990="",$AA990=""),"",IF($T990="Put",($J990-$AA990)/$J990,($AA990-$J990)/$J990))</f>
        <v/>
      </c>
      <c r="AD990" s="12" t="str">
        <f aca="false">IF($C990="","",IF($Q990&lt;&gt;"",$Q990,IF($V990="Strike",N($E990)*$H990*$I990,IF($V990="Subyacente",IF($J990="","",$J990*$H990*$I990),IF($V990="Ancho",IF($F990="","",ABS($E990-$F990)*$H990*$I990-$K990*$H990*$I990),IF($V990="Prima",$K990*$H990*$I990,""))))))</f>
        <v/>
      </c>
      <c r="AE990" s="12" t="str">
        <f aca="false">IF(OR($C990="",$M990="Abierta",$M990=""),"",(N($K990)-IF(OR($M990="Cerrada",$M990="Rolada"),N($O990),0))*$H990*$I990*IF($U990="Débito",-1,1)-N($L990)-N($P990))</f>
        <v/>
      </c>
      <c r="AF990" s="14" t="str">
        <f aca="false">IF(OR($AE990="",$AD990=""),"",IF($AD990&lt;=0,"",$AE990/$AD990))</f>
        <v/>
      </c>
      <c r="AG990" s="14" t="str">
        <f aca="false">IF($AF990="","",$AF990*365/MAX(N($X990),1))</f>
        <v/>
      </c>
      <c r="AH990" s="14" t="str">
        <f aca="false">IF(OR($C990="",$U990&lt;&gt;"Crédito",$AD990=""),"",IF($AD990&lt;=0,"",($Z990-N($L990))/$AD990))</f>
        <v/>
      </c>
      <c r="AI990" s="14" t="str">
        <f aca="false">IF(OR($AH990="",$W990=""),"",$AH990*365/MAX($W990,1))</f>
        <v/>
      </c>
      <c r="AJ990" s="14" t="str">
        <f aca="false">IF(OR($AE990="",$U990&lt;&gt;"Crédito",N($K990)=0),"",(N($K990)-IF(OR($M990="Cerrada",$M990="Rolada"),N($O990),0))/$K990)</f>
        <v/>
      </c>
      <c r="AK990" s="15" t="str">
        <f aca="false">IF(OR($C990="",$N990=""),"",DATE(YEAR($N990),MONTH($N990),1))</f>
        <v/>
      </c>
      <c r="AL990" s="11" t="str">
        <f aca="false">IF($C990="","",IF($M990="Abierta",0,1))</f>
        <v/>
      </c>
      <c r="AM990" s="16" t="str">
        <f aca="false">IF(OR($AE990="",$AD990=""),"",$AD990*MAX(N($X990),1))</f>
        <v/>
      </c>
      <c r="AN990" s="10" t="str">
        <f aca="false">IF($C990="","",IF(OR($B990="",$D990="",$H990="",$K990="",$M990=""),"Faltan datos obligatorios",IF($T990="","Estrategia no reconocida",IF(AND($M990&lt;&gt;"Abierta",$N990=""),"Falta fecha cierre",IF(AND(OR($M990="Cerrada",$M990="Rolada"),$O990=""),"Falta prima cierre",IF(AND($N990&lt;&gt;"",$N990&lt;$B990),"Cierre anterior a apertura",IF(AND($M990="Asignada",$R990=""),"Asignada: falta ID lote acciones",IF(AND($R990&lt;&gt;"",ISNA(MATCH($R990,Acciones!$A$2:$A$201,0))),"El ID lote no existe en Acciones",IF($AD990="","Revisa capital en riesgo","OK")))))))))</f>
        <v/>
      </c>
    </row>
    <row r="991" customFormat="false" ht="15" hidden="false" customHeight="true" outlineLevel="0" collapsed="false">
      <c r="A991" s="5"/>
      <c r="B991" s="6"/>
      <c r="C991" s="7"/>
      <c r="D991" s="7"/>
      <c r="E991" s="8"/>
      <c r="F991" s="8"/>
      <c r="G991" s="6"/>
      <c r="H991" s="5"/>
      <c r="I991" s="5" t="n">
        <v>100</v>
      </c>
      <c r="J991" s="8"/>
      <c r="K991" s="8"/>
      <c r="L991" s="9"/>
      <c r="M991" s="7"/>
      <c r="N991" s="6"/>
      <c r="O991" s="8"/>
      <c r="P991" s="9"/>
      <c r="Q991" s="9"/>
      <c r="R991" s="7"/>
      <c r="S991" s="7"/>
      <c r="T991" s="10" t="str">
        <f aca="false">IF($C991="","",IFERROR(INDEX(Listas!$B$2:$B$20,MATCH($D991,Listas!$A$2:$A$20,0)),""))</f>
        <v/>
      </c>
      <c r="U991" s="10" t="str">
        <f aca="false">IF($C991="","",IFERROR(INDEX(Listas!$C$2:$C$20,MATCH($D991,Listas!$A$2:$A$20,0)),""))</f>
        <v/>
      </c>
      <c r="V991" s="10" t="str">
        <f aca="false">IF($C991="","",IFERROR(INDEX(Listas!$D$2:$D$20,MATCH($D991,Listas!$A$2:$A$20,0)),""))</f>
        <v/>
      </c>
      <c r="W991" s="11" t="str">
        <f aca="false">IF(OR($C991="",$B991="",$G991=""),"",$G991-$B991)</f>
        <v/>
      </c>
      <c r="X991" s="11" t="str">
        <f aca="true">IF(OR($C991="",$B991=""),"",IF($N991&lt;&gt;"",$N991,TODAY())-$B991)</f>
        <v/>
      </c>
      <c r="Y991" s="11" t="str">
        <f aca="true">IF(OR($C991="",$M991&lt;&gt;"Abierta",$G991=""),"",MAX($G991-TODAY(),0))</f>
        <v/>
      </c>
      <c r="Z991" s="12" t="str">
        <f aca="false">IF($C991="","",N($K991)*N($H991)*N($I991)*IF($U991="Débito",-1,1))</f>
        <v/>
      </c>
      <c r="AA991" s="13" t="str">
        <f aca="false">IF($C991="","",IF(AND($U991="Débito",$F991&lt;&gt;""),$F991,$E991))</f>
        <v/>
      </c>
      <c r="AB991" s="13" t="str">
        <f aca="false">IF(OR($C991="",$T991="Mixta",$AA991=""),"",IF($V991="Subyacente",IF($J991="","",$J991-$K991),IF($T991="Put",$AA991-$K991,$AA991+$K991)))</f>
        <v/>
      </c>
      <c r="AC991" s="14" t="str">
        <f aca="false">IF(OR($C991="",$T991="Mixta",$J991="",$AA991=""),"",IF($T991="Put",($J991-$AA991)/$J991,($AA991-$J991)/$J991))</f>
        <v/>
      </c>
      <c r="AD991" s="12" t="str">
        <f aca="false">IF($C991="","",IF($Q991&lt;&gt;"",$Q991,IF($V991="Strike",N($E991)*$H991*$I991,IF($V991="Subyacente",IF($J991="","",$J991*$H991*$I991),IF($V991="Ancho",IF($F991="","",ABS($E991-$F991)*$H991*$I991-$K991*$H991*$I991),IF($V991="Prima",$K991*$H991*$I991,""))))))</f>
        <v/>
      </c>
      <c r="AE991" s="12" t="str">
        <f aca="false">IF(OR($C991="",$M991="Abierta",$M991=""),"",(N($K991)-IF(OR($M991="Cerrada",$M991="Rolada"),N($O991),0))*$H991*$I991*IF($U991="Débito",-1,1)-N($L991)-N($P991))</f>
        <v/>
      </c>
      <c r="AF991" s="14" t="str">
        <f aca="false">IF(OR($AE991="",$AD991=""),"",IF($AD991&lt;=0,"",$AE991/$AD991))</f>
        <v/>
      </c>
      <c r="AG991" s="14" t="str">
        <f aca="false">IF($AF991="","",$AF991*365/MAX(N($X991),1))</f>
        <v/>
      </c>
      <c r="AH991" s="14" t="str">
        <f aca="false">IF(OR($C991="",$U991&lt;&gt;"Crédito",$AD991=""),"",IF($AD991&lt;=0,"",($Z991-N($L991))/$AD991))</f>
        <v/>
      </c>
      <c r="AI991" s="14" t="str">
        <f aca="false">IF(OR($AH991="",$W991=""),"",$AH991*365/MAX($W991,1))</f>
        <v/>
      </c>
      <c r="AJ991" s="14" t="str">
        <f aca="false">IF(OR($AE991="",$U991&lt;&gt;"Crédito",N($K991)=0),"",(N($K991)-IF(OR($M991="Cerrada",$M991="Rolada"),N($O991),0))/$K991)</f>
        <v/>
      </c>
      <c r="AK991" s="15" t="str">
        <f aca="false">IF(OR($C991="",$N991=""),"",DATE(YEAR($N991),MONTH($N991),1))</f>
        <v/>
      </c>
      <c r="AL991" s="11" t="str">
        <f aca="false">IF($C991="","",IF($M991="Abierta",0,1))</f>
        <v/>
      </c>
      <c r="AM991" s="16" t="str">
        <f aca="false">IF(OR($AE991="",$AD991=""),"",$AD991*MAX(N($X991),1))</f>
        <v/>
      </c>
      <c r="AN991" s="10" t="str">
        <f aca="false">IF($C991="","",IF(OR($B991="",$D991="",$H991="",$K991="",$M991=""),"Faltan datos obligatorios",IF($T991="","Estrategia no reconocida",IF(AND($M991&lt;&gt;"Abierta",$N991=""),"Falta fecha cierre",IF(AND(OR($M991="Cerrada",$M991="Rolada"),$O991=""),"Falta prima cierre",IF(AND($N991&lt;&gt;"",$N991&lt;$B991),"Cierre anterior a apertura",IF(AND($M991="Asignada",$R991=""),"Asignada: falta ID lote acciones",IF(AND($R991&lt;&gt;"",ISNA(MATCH($R991,Acciones!$A$2:$A$201,0))),"El ID lote no existe en Acciones",IF($AD991="","Revisa capital en riesgo","OK")))))))))</f>
        <v/>
      </c>
    </row>
    <row r="992" customFormat="false" ht="15" hidden="false" customHeight="true" outlineLevel="0" collapsed="false">
      <c r="A992" s="5"/>
      <c r="B992" s="6"/>
      <c r="C992" s="7"/>
      <c r="D992" s="7"/>
      <c r="E992" s="8"/>
      <c r="F992" s="8"/>
      <c r="G992" s="6"/>
      <c r="H992" s="5"/>
      <c r="I992" s="5" t="n">
        <v>100</v>
      </c>
      <c r="J992" s="8"/>
      <c r="K992" s="8"/>
      <c r="L992" s="9"/>
      <c r="M992" s="7"/>
      <c r="N992" s="6"/>
      <c r="O992" s="8"/>
      <c r="P992" s="9"/>
      <c r="Q992" s="9"/>
      <c r="R992" s="7"/>
      <c r="S992" s="7"/>
      <c r="T992" s="10" t="str">
        <f aca="false">IF($C992="","",IFERROR(INDEX(Listas!$B$2:$B$20,MATCH($D992,Listas!$A$2:$A$20,0)),""))</f>
        <v/>
      </c>
      <c r="U992" s="10" t="str">
        <f aca="false">IF($C992="","",IFERROR(INDEX(Listas!$C$2:$C$20,MATCH($D992,Listas!$A$2:$A$20,0)),""))</f>
        <v/>
      </c>
      <c r="V992" s="10" t="str">
        <f aca="false">IF($C992="","",IFERROR(INDEX(Listas!$D$2:$D$20,MATCH($D992,Listas!$A$2:$A$20,0)),""))</f>
        <v/>
      </c>
      <c r="W992" s="11" t="str">
        <f aca="false">IF(OR($C992="",$B992="",$G992=""),"",$G992-$B992)</f>
        <v/>
      </c>
      <c r="X992" s="11" t="str">
        <f aca="true">IF(OR($C992="",$B992=""),"",IF($N992&lt;&gt;"",$N992,TODAY())-$B992)</f>
        <v/>
      </c>
      <c r="Y992" s="11" t="str">
        <f aca="true">IF(OR($C992="",$M992&lt;&gt;"Abierta",$G992=""),"",MAX($G992-TODAY(),0))</f>
        <v/>
      </c>
      <c r="Z992" s="12" t="str">
        <f aca="false">IF($C992="","",N($K992)*N($H992)*N($I992)*IF($U992="Débito",-1,1))</f>
        <v/>
      </c>
      <c r="AA992" s="13" t="str">
        <f aca="false">IF($C992="","",IF(AND($U992="Débito",$F992&lt;&gt;""),$F992,$E992))</f>
        <v/>
      </c>
      <c r="AB992" s="13" t="str">
        <f aca="false">IF(OR($C992="",$T992="Mixta",$AA992=""),"",IF($V992="Subyacente",IF($J992="","",$J992-$K992),IF($T992="Put",$AA992-$K992,$AA992+$K992)))</f>
        <v/>
      </c>
      <c r="AC992" s="14" t="str">
        <f aca="false">IF(OR($C992="",$T992="Mixta",$J992="",$AA992=""),"",IF($T992="Put",($J992-$AA992)/$J992,($AA992-$J992)/$J992))</f>
        <v/>
      </c>
      <c r="AD992" s="12" t="str">
        <f aca="false">IF($C992="","",IF($Q992&lt;&gt;"",$Q992,IF($V992="Strike",N($E992)*$H992*$I992,IF($V992="Subyacente",IF($J992="","",$J992*$H992*$I992),IF($V992="Ancho",IF($F992="","",ABS($E992-$F992)*$H992*$I992-$K992*$H992*$I992),IF($V992="Prima",$K992*$H992*$I992,""))))))</f>
        <v/>
      </c>
      <c r="AE992" s="12" t="str">
        <f aca="false">IF(OR($C992="",$M992="Abierta",$M992=""),"",(N($K992)-IF(OR($M992="Cerrada",$M992="Rolada"),N($O992),0))*$H992*$I992*IF($U992="Débito",-1,1)-N($L992)-N($P992))</f>
        <v/>
      </c>
      <c r="AF992" s="14" t="str">
        <f aca="false">IF(OR($AE992="",$AD992=""),"",IF($AD992&lt;=0,"",$AE992/$AD992))</f>
        <v/>
      </c>
      <c r="AG992" s="14" t="str">
        <f aca="false">IF($AF992="","",$AF992*365/MAX(N($X992),1))</f>
        <v/>
      </c>
      <c r="AH992" s="14" t="str">
        <f aca="false">IF(OR($C992="",$U992&lt;&gt;"Crédito",$AD992=""),"",IF($AD992&lt;=0,"",($Z992-N($L992))/$AD992))</f>
        <v/>
      </c>
      <c r="AI992" s="14" t="str">
        <f aca="false">IF(OR($AH992="",$W992=""),"",$AH992*365/MAX($W992,1))</f>
        <v/>
      </c>
      <c r="AJ992" s="14" t="str">
        <f aca="false">IF(OR($AE992="",$U992&lt;&gt;"Crédito",N($K992)=0),"",(N($K992)-IF(OR($M992="Cerrada",$M992="Rolada"),N($O992),0))/$K992)</f>
        <v/>
      </c>
      <c r="AK992" s="15" t="str">
        <f aca="false">IF(OR($C992="",$N992=""),"",DATE(YEAR($N992),MONTH($N992),1))</f>
        <v/>
      </c>
      <c r="AL992" s="11" t="str">
        <f aca="false">IF($C992="","",IF($M992="Abierta",0,1))</f>
        <v/>
      </c>
      <c r="AM992" s="16" t="str">
        <f aca="false">IF(OR($AE992="",$AD992=""),"",$AD992*MAX(N($X992),1))</f>
        <v/>
      </c>
      <c r="AN992" s="10" t="str">
        <f aca="false">IF($C992="","",IF(OR($B992="",$D992="",$H992="",$K992="",$M992=""),"Faltan datos obligatorios",IF($T992="","Estrategia no reconocida",IF(AND($M992&lt;&gt;"Abierta",$N992=""),"Falta fecha cierre",IF(AND(OR($M992="Cerrada",$M992="Rolada"),$O992=""),"Falta prima cierre",IF(AND($N992&lt;&gt;"",$N992&lt;$B992),"Cierre anterior a apertura",IF(AND($M992="Asignada",$R992=""),"Asignada: falta ID lote acciones",IF(AND($R992&lt;&gt;"",ISNA(MATCH($R992,Acciones!$A$2:$A$201,0))),"El ID lote no existe en Acciones",IF($AD992="","Revisa capital en riesgo","OK")))))))))</f>
        <v/>
      </c>
    </row>
    <row r="993" customFormat="false" ht="15" hidden="false" customHeight="true" outlineLevel="0" collapsed="false">
      <c r="A993" s="5"/>
      <c r="B993" s="6"/>
      <c r="C993" s="7"/>
      <c r="D993" s="7"/>
      <c r="E993" s="8"/>
      <c r="F993" s="8"/>
      <c r="G993" s="6"/>
      <c r="H993" s="5"/>
      <c r="I993" s="5" t="n">
        <v>100</v>
      </c>
      <c r="J993" s="8"/>
      <c r="K993" s="8"/>
      <c r="L993" s="9"/>
      <c r="M993" s="7"/>
      <c r="N993" s="6"/>
      <c r="O993" s="8"/>
      <c r="P993" s="9"/>
      <c r="Q993" s="9"/>
      <c r="R993" s="7"/>
      <c r="S993" s="7"/>
      <c r="T993" s="10" t="str">
        <f aca="false">IF($C993="","",IFERROR(INDEX(Listas!$B$2:$B$20,MATCH($D993,Listas!$A$2:$A$20,0)),""))</f>
        <v/>
      </c>
      <c r="U993" s="10" t="str">
        <f aca="false">IF($C993="","",IFERROR(INDEX(Listas!$C$2:$C$20,MATCH($D993,Listas!$A$2:$A$20,0)),""))</f>
        <v/>
      </c>
      <c r="V993" s="10" t="str">
        <f aca="false">IF($C993="","",IFERROR(INDEX(Listas!$D$2:$D$20,MATCH($D993,Listas!$A$2:$A$20,0)),""))</f>
        <v/>
      </c>
      <c r="W993" s="11" t="str">
        <f aca="false">IF(OR($C993="",$B993="",$G993=""),"",$G993-$B993)</f>
        <v/>
      </c>
      <c r="X993" s="11" t="str">
        <f aca="true">IF(OR($C993="",$B993=""),"",IF($N993&lt;&gt;"",$N993,TODAY())-$B993)</f>
        <v/>
      </c>
      <c r="Y993" s="11" t="str">
        <f aca="true">IF(OR($C993="",$M993&lt;&gt;"Abierta",$G993=""),"",MAX($G993-TODAY(),0))</f>
        <v/>
      </c>
      <c r="Z993" s="12" t="str">
        <f aca="false">IF($C993="","",N($K993)*N($H993)*N($I993)*IF($U993="Débito",-1,1))</f>
        <v/>
      </c>
      <c r="AA993" s="13" t="str">
        <f aca="false">IF($C993="","",IF(AND($U993="Débito",$F993&lt;&gt;""),$F993,$E993))</f>
        <v/>
      </c>
      <c r="AB993" s="13" t="str">
        <f aca="false">IF(OR($C993="",$T993="Mixta",$AA993=""),"",IF($V993="Subyacente",IF($J993="","",$J993-$K993),IF($T993="Put",$AA993-$K993,$AA993+$K993)))</f>
        <v/>
      </c>
      <c r="AC993" s="14" t="str">
        <f aca="false">IF(OR($C993="",$T993="Mixta",$J993="",$AA993=""),"",IF($T993="Put",($J993-$AA993)/$J993,($AA993-$J993)/$J993))</f>
        <v/>
      </c>
      <c r="AD993" s="12" t="str">
        <f aca="false">IF($C993="","",IF($Q993&lt;&gt;"",$Q993,IF($V993="Strike",N($E993)*$H993*$I993,IF($V993="Subyacente",IF($J993="","",$J993*$H993*$I993),IF($V993="Ancho",IF($F993="","",ABS($E993-$F993)*$H993*$I993-$K993*$H993*$I993),IF($V993="Prima",$K993*$H993*$I993,""))))))</f>
        <v/>
      </c>
      <c r="AE993" s="12" t="str">
        <f aca="false">IF(OR($C993="",$M993="Abierta",$M993=""),"",(N($K993)-IF(OR($M993="Cerrada",$M993="Rolada"),N($O993),0))*$H993*$I993*IF($U993="Débito",-1,1)-N($L993)-N($P993))</f>
        <v/>
      </c>
      <c r="AF993" s="14" t="str">
        <f aca="false">IF(OR($AE993="",$AD993=""),"",IF($AD993&lt;=0,"",$AE993/$AD993))</f>
        <v/>
      </c>
      <c r="AG993" s="14" t="str">
        <f aca="false">IF($AF993="","",$AF993*365/MAX(N($X993),1))</f>
        <v/>
      </c>
      <c r="AH993" s="14" t="str">
        <f aca="false">IF(OR($C993="",$U993&lt;&gt;"Crédito",$AD993=""),"",IF($AD993&lt;=0,"",($Z993-N($L993))/$AD993))</f>
        <v/>
      </c>
      <c r="AI993" s="14" t="str">
        <f aca="false">IF(OR($AH993="",$W993=""),"",$AH993*365/MAX($W993,1))</f>
        <v/>
      </c>
      <c r="AJ993" s="14" t="str">
        <f aca="false">IF(OR($AE993="",$U993&lt;&gt;"Crédito",N($K993)=0),"",(N($K993)-IF(OR($M993="Cerrada",$M993="Rolada"),N($O993),0))/$K993)</f>
        <v/>
      </c>
      <c r="AK993" s="15" t="str">
        <f aca="false">IF(OR($C993="",$N993=""),"",DATE(YEAR($N993),MONTH($N993),1))</f>
        <v/>
      </c>
      <c r="AL993" s="11" t="str">
        <f aca="false">IF($C993="","",IF($M993="Abierta",0,1))</f>
        <v/>
      </c>
      <c r="AM993" s="16" t="str">
        <f aca="false">IF(OR($AE993="",$AD993=""),"",$AD993*MAX(N($X993),1))</f>
        <v/>
      </c>
      <c r="AN993" s="10" t="str">
        <f aca="false">IF($C993="","",IF(OR($B993="",$D993="",$H993="",$K993="",$M993=""),"Faltan datos obligatorios",IF($T993="","Estrategia no reconocida",IF(AND($M993&lt;&gt;"Abierta",$N993=""),"Falta fecha cierre",IF(AND(OR($M993="Cerrada",$M993="Rolada"),$O993=""),"Falta prima cierre",IF(AND($N993&lt;&gt;"",$N993&lt;$B993),"Cierre anterior a apertura",IF(AND($M993="Asignada",$R993=""),"Asignada: falta ID lote acciones",IF(AND($R993&lt;&gt;"",ISNA(MATCH($R993,Acciones!$A$2:$A$201,0))),"El ID lote no existe en Acciones",IF($AD993="","Revisa capital en riesgo","OK")))))))))</f>
        <v/>
      </c>
    </row>
    <row r="994" customFormat="false" ht="15" hidden="false" customHeight="true" outlineLevel="0" collapsed="false">
      <c r="A994" s="5"/>
      <c r="B994" s="6"/>
      <c r="C994" s="7"/>
      <c r="D994" s="7"/>
      <c r="E994" s="8"/>
      <c r="F994" s="8"/>
      <c r="G994" s="6"/>
      <c r="H994" s="5"/>
      <c r="I994" s="5" t="n">
        <v>100</v>
      </c>
      <c r="J994" s="8"/>
      <c r="K994" s="8"/>
      <c r="L994" s="9"/>
      <c r="M994" s="7"/>
      <c r="N994" s="6"/>
      <c r="O994" s="8"/>
      <c r="P994" s="9"/>
      <c r="Q994" s="9"/>
      <c r="R994" s="7"/>
      <c r="S994" s="7"/>
      <c r="T994" s="10" t="str">
        <f aca="false">IF($C994="","",IFERROR(INDEX(Listas!$B$2:$B$20,MATCH($D994,Listas!$A$2:$A$20,0)),""))</f>
        <v/>
      </c>
      <c r="U994" s="10" t="str">
        <f aca="false">IF($C994="","",IFERROR(INDEX(Listas!$C$2:$C$20,MATCH($D994,Listas!$A$2:$A$20,0)),""))</f>
        <v/>
      </c>
      <c r="V994" s="10" t="str">
        <f aca="false">IF($C994="","",IFERROR(INDEX(Listas!$D$2:$D$20,MATCH($D994,Listas!$A$2:$A$20,0)),""))</f>
        <v/>
      </c>
      <c r="W994" s="11" t="str">
        <f aca="false">IF(OR($C994="",$B994="",$G994=""),"",$G994-$B994)</f>
        <v/>
      </c>
      <c r="X994" s="11" t="str">
        <f aca="true">IF(OR($C994="",$B994=""),"",IF($N994&lt;&gt;"",$N994,TODAY())-$B994)</f>
        <v/>
      </c>
      <c r="Y994" s="11" t="str">
        <f aca="true">IF(OR($C994="",$M994&lt;&gt;"Abierta",$G994=""),"",MAX($G994-TODAY(),0))</f>
        <v/>
      </c>
      <c r="Z994" s="12" t="str">
        <f aca="false">IF($C994="","",N($K994)*N($H994)*N($I994)*IF($U994="Débito",-1,1))</f>
        <v/>
      </c>
      <c r="AA994" s="13" t="str">
        <f aca="false">IF($C994="","",IF(AND($U994="Débito",$F994&lt;&gt;""),$F994,$E994))</f>
        <v/>
      </c>
      <c r="AB994" s="13" t="str">
        <f aca="false">IF(OR($C994="",$T994="Mixta",$AA994=""),"",IF($V994="Subyacente",IF($J994="","",$J994-$K994),IF($T994="Put",$AA994-$K994,$AA994+$K994)))</f>
        <v/>
      </c>
      <c r="AC994" s="14" t="str">
        <f aca="false">IF(OR($C994="",$T994="Mixta",$J994="",$AA994=""),"",IF($T994="Put",($J994-$AA994)/$J994,($AA994-$J994)/$J994))</f>
        <v/>
      </c>
      <c r="AD994" s="12" t="str">
        <f aca="false">IF($C994="","",IF($Q994&lt;&gt;"",$Q994,IF($V994="Strike",N($E994)*$H994*$I994,IF($V994="Subyacente",IF($J994="","",$J994*$H994*$I994),IF($V994="Ancho",IF($F994="","",ABS($E994-$F994)*$H994*$I994-$K994*$H994*$I994),IF($V994="Prima",$K994*$H994*$I994,""))))))</f>
        <v/>
      </c>
      <c r="AE994" s="12" t="str">
        <f aca="false">IF(OR($C994="",$M994="Abierta",$M994=""),"",(N($K994)-IF(OR($M994="Cerrada",$M994="Rolada"),N($O994),0))*$H994*$I994*IF($U994="Débito",-1,1)-N($L994)-N($P994))</f>
        <v/>
      </c>
      <c r="AF994" s="14" t="str">
        <f aca="false">IF(OR($AE994="",$AD994=""),"",IF($AD994&lt;=0,"",$AE994/$AD994))</f>
        <v/>
      </c>
      <c r="AG994" s="14" t="str">
        <f aca="false">IF($AF994="","",$AF994*365/MAX(N($X994),1))</f>
        <v/>
      </c>
      <c r="AH994" s="14" t="str">
        <f aca="false">IF(OR($C994="",$U994&lt;&gt;"Crédito",$AD994=""),"",IF($AD994&lt;=0,"",($Z994-N($L994))/$AD994))</f>
        <v/>
      </c>
      <c r="AI994" s="14" t="str">
        <f aca="false">IF(OR($AH994="",$W994=""),"",$AH994*365/MAX($W994,1))</f>
        <v/>
      </c>
      <c r="AJ994" s="14" t="str">
        <f aca="false">IF(OR($AE994="",$U994&lt;&gt;"Crédito",N($K994)=0),"",(N($K994)-IF(OR($M994="Cerrada",$M994="Rolada"),N($O994),0))/$K994)</f>
        <v/>
      </c>
      <c r="AK994" s="15" t="str">
        <f aca="false">IF(OR($C994="",$N994=""),"",DATE(YEAR($N994),MONTH($N994),1))</f>
        <v/>
      </c>
      <c r="AL994" s="11" t="str">
        <f aca="false">IF($C994="","",IF($M994="Abierta",0,1))</f>
        <v/>
      </c>
      <c r="AM994" s="16" t="str">
        <f aca="false">IF(OR($AE994="",$AD994=""),"",$AD994*MAX(N($X994),1))</f>
        <v/>
      </c>
      <c r="AN994" s="10" t="str">
        <f aca="false">IF($C994="","",IF(OR($B994="",$D994="",$H994="",$K994="",$M994=""),"Faltan datos obligatorios",IF($T994="","Estrategia no reconocida",IF(AND($M994&lt;&gt;"Abierta",$N994=""),"Falta fecha cierre",IF(AND(OR($M994="Cerrada",$M994="Rolada"),$O994=""),"Falta prima cierre",IF(AND($N994&lt;&gt;"",$N994&lt;$B994),"Cierre anterior a apertura",IF(AND($M994="Asignada",$R994=""),"Asignada: falta ID lote acciones",IF(AND($R994&lt;&gt;"",ISNA(MATCH($R994,Acciones!$A$2:$A$201,0))),"El ID lote no existe en Acciones",IF($AD994="","Revisa capital en riesgo","OK")))))))))</f>
        <v/>
      </c>
    </row>
    <row r="995" customFormat="false" ht="15" hidden="false" customHeight="true" outlineLevel="0" collapsed="false">
      <c r="A995" s="5"/>
      <c r="B995" s="6"/>
      <c r="C995" s="7"/>
      <c r="D995" s="7"/>
      <c r="E995" s="8"/>
      <c r="F995" s="8"/>
      <c r="G995" s="6"/>
      <c r="H995" s="5"/>
      <c r="I995" s="5" t="n">
        <v>100</v>
      </c>
      <c r="J995" s="8"/>
      <c r="K995" s="8"/>
      <c r="L995" s="9"/>
      <c r="M995" s="7"/>
      <c r="N995" s="6"/>
      <c r="O995" s="8"/>
      <c r="P995" s="9"/>
      <c r="Q995" s="9"/>
      <c r="R995" s="7"/>
      <c r="S995" s="7"/>
      <c r="T995" s="10" t="str">
        <f aca="false">IF($C995="","",IFERROR(INDEX(Listas!$B$2:$B$20,MATCH($D995,Listas!$A$2:$A$20,0)),""))</f>
        <v/>
      </c>
      <c r="U995" s="10" t="str">
        <f aca="false">IF($C995="","",IFERROR(INDEX(Listas!$C$2:$C$20,MATCH($D995,Listas!$A$2:$A$20,0)),""))</f>
        <v/>
      </c>
      <c r="V995" s="10" t="str">
        <f aca="false">IF($C995="","",IFERROR(INDEX(Listas!$D$2:$D$20,MATCH($D995,Listas!$A$2:$A$20,0)),""))</f>
        <v/>
      </c>
      <c r="W995" s="11" t="str">
        <f aca="false">IF(OR($C995="",$B995="",$G995=""),"",$G995-$B995)</f>
        <v/>
      </c>
      <c r="X995" s="11" t="str">
        <f aca="true">IF(OR($C995="",$B995=""),"",IF($N995&lt;&gt;"",$N995,TODAY())-$B995)</f>
        <v/>
      </c>
      <c r="Y995" s="11" t="str">
        <f aca="true">IF(OR($C995="",$M995&lt;&gt;"Abierta",$G995=""),"",MAX($G995-TODAY(),0))</f>
        <v/>
      </c>
      <c r="Z995" s="12" t="str">
        <f aca="false">IF($C995="","",N($K995)*N($H995)*N($I995)*IF($U995="Débito",-1,1))</f>
        <v/>
      </c>
      <c r="AA995" s="13" t="str">
        <f aca="false">IF($C995="","",IF(AND($U995="Débito",$F995&lt;&gt;""),$F995,$E995))</f>
        <v/>
      </c>
      <c r="AB995" s="13" t="str">
        <f aca="false">IF(OR($C995="",$T995="Mixta",$AA995=""),"",IF($V995="Subyacente",IF($J995="","",$J995-$K995),IF($T995="Put",$AA995-$K995,$AA995+$K995)))</f>
        <v/>
      </c>
      <c r="AC995" s="14" t="str">
        <f aca="false">IF(OR($C995="",$T995="Mixta",$J995="",$AA995=""),"",IF($T995="Put",($J995-$AA995)/$J995,($AA995-$J995)/$J995))</f>
        <v/>
      </c>
      <c r="AD995" s="12" t="str">
        <f aca="false">IF($C995="","",IF($Q995&lt;&gt;"",$Q995,IF($V995="Strike",N($E995)*$H995*$I995,IF($V995="Subyacente",IF($J995="","",$J995*$H995*$I995),IF($V995="Ancho",IF($F995="","",ABS($E995-$F995)*$H995*$I995-$K995*$H995*$I995),IF($V995="Prima",$K995*$H995*$I995,""))))))</f>
        <v/>
      </c>
      <c r="AE995" s="12" t="str">
        <f aca="false">IF(OR($C995="",$M995="Abierta",$M995=""),"",(N($K995)-IF(OR($M995="Cerrada",$M995="Rolada"),N($O995),0))*$H995*$I995*IF($U995="Débito",-1,1)-N($L995)-N($P995))</f>
        <v/>
      </c>
      <c r="AF995" s="14" t="str">
        <f aca="false">IF(OR($AE995="",$AD995=""),"",IF($AD995&lt;=0,"",$AE995/$AD995))</f>
        <v/>
      </c>
      <c r="AG995" s="14" t="str">
        <f aca="false">IF($AF995="","",$AF995*365/MAX(N($X995),1))</f>
        <v/>
      </c>
      <c r="AH995" s="14" t="str">
        <f aca="false">IF(OR($C995="",$U995&lt;&gt;"Crédito",$AD995=""),"",IF($AD995&lt;=0,"",($Z995-N($L995))/$AD995))</f>
        <v/>
      </c>
      <c r="AI995" s="14" t="str">
        <f aca="false">IF(OR($AH995="",$W995=""),"",$AH995*365/MAX($W995,1))</f>
        <v/>
      </c>
      <c r="AJ995" s="14" t="str">
        <f aca="false">IF(OR($AE995="",$U995&lt;&gt;"Crédito",N($K995)=0),"",(N($K995)-IF(OR($M995="Cerrada",$M995="Rolada"),N($O995),0))/$K995)</f>
        <v/>
      </c>
      <c r="AK995" s="15" t="str">
        <f aca="false">IF(OR($C995="",$N995=""),"",DATE(YEAR($N995),MONTH($N995),1))</f>
        <v/>
      </c>
      <c r="AL995" s="11" t="str">
        <f aca="false">IF($C995="","",IF($M995="Abierta",0,1))</f>
        <v/>
      </c>
      <c r="AM995" s="16" t="str">
        <f aca="false">IF(OR($AE995="",$AD995=""),"",$AD995*MAX(N($X995),1))</f>
        <v/>
      </c>
      <c r="AN995" s="10" t="str">
        <f aca="false">IF($C995="","",IF(OR($B995="",$D995="",$H995="",$K995="",$M995=""),"Faltan datos obligatorios",IF($T995="","Estrategia no reconocida",IF(AND($M995&lt;&gt;"Abierta",$N995=""),"Falta fecha cierre",IF(AND(OR($M995="Cerrada",$M995="Rolada"),$O995=""),"Falta prima cierre",IF(AND($N995&lt;&gt;"",$N995&lt;$B995),"Cierre anterior a apertura",IF(AND($M995="Asignada",$R995=""),"Asignada: falta ID lote acciones",IF(AND($R995&lt;&gt;"",ISNA(MATCH($R995,Acciones!$A$2:$A$201,0))),"El ID lote no existe en Acciones",IF($AD995="","Revisa capital en riesgo","OK")))))))))</f>
        <v/>
      </c>
    </row>
    <row r="996" customFormat="false" ht="15" hidden="false" customHeight="true" outlineLevel="0" collapsed="false">
      <c r="A996" s="5"/>
      <c r="B996" s="6"/>
      <c r="C996" s="7"/>
      <c r="D996" s="7"/>
      <c r="E996" s="8"/>
      <c r="F996" s="8"/>
      <c r="G996" s="6"/>
      <c r="H996" s="5"/>
      <c r="I996" s="5" t="n">
        <v>100</v>
      </c>
      <c r="J996" s="8"/>
      <c r="K996" s="8"/>
      <c r="L996" s="9"/>
      <c r="M996" s="7"/>
      <c r="N996" s="6"/>
      <c r="O996" s="8"/>
      <c r="P996" s="9"/>
      <c r="Q996" s="9"/>
      <c r="R996" s="7"/>
      <c r="S996" s="7"/>
      <c r="T996" s="10" t="str">
        <f aca="false">IF($C996="","",IFERROR(INDEX(Listas!$B$2:$B$20,MATCH($D996,Listas!$A$2:$A$20,0)),""))</f>
        <v/>
      </c>
      <c r="U996" s="10" t="str">
        <f aca="false">IF($C996="","",IFERROR(INDEX(Listas!$C$2:$C$20,MATCH($D996,Listas!$A$2:$A$20,0)),""))</f>
        <v/>
      </c>
      <c r="V996" s="10" t="str">
        <f aca="false">IF($C996="","",IFERROR(INDEX(Listas!$D$2:$D$20,MATCH($D996,Listas!$A$2:$A$20,0)),""))</f>
        <v/>
      </c>
      <c r="W996" s="11" t="str">
        <f aca="false">IF(OR($C996="",$B996="",$G996=""),"",$G996-$B996)</f>
        <v/>
      </c>
      <c r="X996" s="11" t="str">
        <f aca="true">IF(OR($C996="",$B996=""),"",IF($N996&lt;&gt;"",$N996,TODAY())-$B996)</f>
        <v/>
      </c>
      <c r="Y996" s="11" t="str">
        <f aca="true">IF(OR($C996="",$M996&lt;&gt;"Abierta",$G996=""),"",MAX($G996-TODAY(),0))</f>
        <v/>
      </c>
      <c r="Z996" s="12" t="str">
        <f aca="false">IF($C996="","",N($K996)*N($H996)*N($I996)*IF($U996="Débito",-1,1))</f>
        <v/>
      </c>
      <c r="AA996" s="13" t="str">
        <f aca="false">IF($C996="","",IF(AND($U996="Débito",$F996&lt;&gt;""),$F996,$E996))</f>
        <v/>
      </c>
      <c r="AB996" s="13" t="str">
        <f aca="false">IF(OR($C996="",$T996="Mixta",$AA996=""),"",IF($V996="Subyacente",IF($J996="","",$J996-$K996),IF($T996="Put",$AA996-$K996,$AA996+$K996)))</f>
        <v/>
      </c>
      <c r="AC996" s="14" t="str">
        <f aca="false">IF(OR($C996="",$T996="Mixta",$J996="",$AA996=""),"",IF($T996="Put",($J996-$AA996)/$J996,($AA996-$J996)/$J996))</f>
        <v/>
      </c>
      <c r="AD996" s="12" t="str">
        <f aca="false">IF($C996="","",IF($Q996&lt;&gt;"",$Q996,IF($V996="Strike",N($E996)*$H996*$I996,IF($V996="Subyacente",IF($J996="","",$J996*$H996*$I996),IF($V996="Ancho",IF($F996="","",ABS($E996-$F996)*$H996*$I996-$K996*$H996*$I996),IF($V996="Prima",$K996*$H996*$I996,""))))))</f>
        <v/>
      </c>
      <c r="AE996" s="12" t="str">
        <f aca="false">IF(OR($C996="",$M996="Abierta",$M996=""),"",(N($K996)-IF(OR($M996="Cerrada",$M996="Rolada"),N($O996),0))*$H996*$I996*IF($U996="Débito",-1,1)-N($L996)-N($P996))</f>
        <v/>
      </c>
      <c r="AF996" s="14" t="str">
        <f aca="false">IF(OR($AE996="",$AD996=""),"",IF($AD996&lt;=0,"",$AE996/$AD996))</f>
        <v/>
      </c>
      <c r="AG996" s="14" t="str">
        <f aca="false">IF($AF996="","",$AF996*365/MAX(N($X996),1))</f>
        <v/>
      </c>
      <c r="AH996" s="14" t="str">
        <f aca="false">IF(OR($C996="",$U996&lt;&gt;"Crédito",$AD996=""),"",IF($AD996&lt;=0,"",($Z996-N($L996))/$AD996))</f>
        <v/>
      </c>
      <c r="AI996" s="14" t="str">
        <f aca="false">IF(OR($AH996="",$W996=""),"",$AH996*365/MAX($W996,1))</f>
        <v/>
      </c>
      <c r="AJ996" s="14" t="str">
        <f aca="false">IF(OR($AE996="",$U996&lt;&gt;"Crédito",N($K996)=0),"",(N($K996)-IF(OR($M996="Cerrada",$M996="Rolada"),N($O996),0))/$K996)</f>
        <v/>
      </c>
      <c r="AK996" s="15" t="str">
        <f aca="false">IF(OR($C996="",$N996=""),"",DATE(YEAR($N996),MONTH($N996),1))</f>
        <v/>
      </c>
      <c r="AL996" s="11" t="str">
        <f aca="false">IF($C996="","",IF($M996="Abierta",0,1))</f>
        <v/>
      </c>
      <c r="AM996" s="16" t="str">
        <f aca="false">IF(OR($AE996="",$AD996=""),"",$AD996*MAX(N($X996),1))</f>
        <v/>
      </c>
      <c r="AN996" s="10" t="str">
        <f aca="false">IF($C996="","",IF(OR($B996="",$D996="",$H996="",$K996="",$M996=""),"Faltan datos obligatorios",IF($T996="","Estrategia no reconocida",IF(AND($M996&lt;&gt;"Abierta",$N996=""),"Falta fecha cierre",IF(AND(OR($M996="Cerrada",$M996="Rolada"),$O996=""),"Falta prima cierre",IF(AND($N996&lt;&gt;"",$N996&lt;$B996),"Cierre anterior a apertura",IF(AND($M996="Asignada",$R996=""),"Asignada: falta ID lote acciones",IF(AND($R996&lt;&gt;"",ISNA(MATCH($R996,Acciones!$A$2:$A$201,0))),"El ID lote no existe en Acciones",IF($AD996="","Revisa capital en riesgo","OK")))))))))</f>
        <v/>
      </c>
    </row>
    <row r="997" customFormat="false" ht="15" hidden="false" customHeight="true" outlineLevel="0" collapsed="false">
      <c r="A997" s="5"/>
      <c r="B997" s="6"/>
      <c r="C997" s="7"/>
      <c r="D997" s="7"/>
      <c r="E997" s="8"/>
      <c r="F997" s="8"/>
      <c r="G997" s="6"/>
      <c r="H997" s="5"/>
      <c r="I997" s="5" t="n">
        <v>100</v>
      </c>
      <c r="J997" s="8"/>
      <c r="K997" s="8"/>
      <c r="L997" s="9"/>
      <c r="M997" s="7"/>
      <c r="N997" s="6"/>
      <c r="O997" s="8"/>
      <c r="P997" s="9"/>
      <c r="Q997" s="9"/>
      <c r="R997" s="7"/>
      <c r="S997" s="7"/>
      <c r="T997" s="10" t="str">
        <f aca="false">IF($C997="","",IFERROR(INDEX(Listas!$B$2:$B$20,MATCH($D997,Listas!$A$2:$A$20,0)),""))</f>
        <v/>
      </c>
      <c r="U997" s="10" t="str">
        <f aca="false">IF($C997="","",IFERROR(INDEX(Listas!$C$2:$C$20,MATCH($D997,Listas!$A$2:$A$20,0)),""))</f>
        <v/>
      </c>
      <c r="V997" s="10" t="str">
        <f aca="false">IF($C997="","",IFERROR(INDEX(Listas!$D$2:$D$20,MATCH($D997,Listas!$A$2:$A$20,0)),""))</f>
        <v/>
      </c>
      <c r="W997" s="11" t="str">
        <f aca="false">IF(OR($C997="",$B997="",$G997=""),"",$G997-$B997)</f>
        <v/>
      </c>
      <c r="X997" s="11" t="str">
        <f aca="true">IF(OR($C997="",$B997=""),"",IF($N997&lt;&gt;"",$N997,TODAY())-$B997)</f>
        <v/>
      </c>
      <c r="Y997" s="11" t="str">
        <f aca="true">IF(OR($C997="",$M997&lt;&gt;"Abierta",$G997=""),"",MAX($G997-TODAY(),0))</f>
        <v/>
      </c>
      <c r="Z997" s="12" t="str">
        <f aca="false">IF($C997="","",N($K997)*N($H997)*N($I997)*IF($U997="Débito",-1,1))</f>
        <v/>
      </c>
      <c r="AA997" s="13" t="str">
        <f aca="false">IF($C997="","",IF(AND($U997="Débito",$F997&lt;&gt;""),$F997,$E997))</f>
        <v/>
      </c>
      <c r="AB997" s="13" t="str">
        <f aca="false">IF(OR($C997="",$T997="Mixta",$AA997=""),"",IF($V997="Subyacente",IF($J997="","",$J997-$K997),IF($T997="Put",$AA997-$K997,$AA997+$K997)))</f>
        <v/>
      </c>
      <c r="AC997" s="14" t="str">
        <f aca="false">IF(OR($C997="",$T997="Mixta",$J997="",$AA997=""),"",IF($T997="Put",($J997-$AA997)/$J997,($AA997-$J997)/$J997))</f>
        <v/>
      </c>
      <c r="AD997" s="12" t="str">
        <f aca="false">IF($C997="","",IF($Q997&lt;&gt;"",$Q997,IF($V997="Strike",N($E997)*$H997*$I997,IF($V997="Subyacente",IF($J997="","",$J997*$H997*$I997),IF($V997="Ancho",IF($F997="","",ABS($E997-$F997)*$H997*$I997-$K997*$H997*$I997),IF($V997="Prima",$K997*$H997*$I997,""))))))</f>
        <v/>
      </c>
      <c r="AE997" s="12" t="str">
        <f aca="false">IF(OR($C997="",$M997="Abierta",$M997=""),"",(N($K997)-IF(OR($M997="Cerrada",$M997="Rolada"),N($O997),0))*$H997*$I997*IF($U997="Débito",-1,1)-N($L997)-N($P997))</f>
        <v/>
      </c>
      <c r="AF997" s="14" t="str">
        <f aca="false">IF(OR($AE997="",$AD997=""),"",IF($AD997&lt;=0,"",$AE997/$AD997))</f>
        <v/>
      </c>
      <c r="AG997" s="14" t="str">
        <f aca="false">IF($AF997="","",$AF997*365/MAX(N($X997),1))</f>
        <v/>
      </c>
      <c r="AH997" s="14" t="str">
        <f aca="false">IF(OR($C997="",$U997&lt;&gt;"Crédito",$AD997=""),"",IF($AD997&lt;=0,"",($Z997-N($L997))/$AD997))</f>
        <v/>
      </c>
      <c r="AI997" s="14" t="str">
        <f aca="false">IF(OR($AH997="",$W997=""),"",$AH997*365/MAX($W997,1))</f>
        <v/>
      </c>
      <c r="AJ997" s="14" t="str">
        <f aca="false">IF(OR($AE997="",$U997&lt;&gt;"Crédito",N($K997)=0),"",(N($K997)-IF(OR($M997="Cerrada",$M997="Rolada"),N($O997),0))/$K997)</f>
        <v/>
      </c>
      <c r="AK997" s="15" t="str">
        <f aca="false">IF(OR($C997="",$N997=""),"",DATE(YEAR($N997),MONTH($N997),1))</f>
        <v/>
      </c>
      <c r="AL997" s="11" t="str">
        <f aca="false">IF($C997="","",IF($M997="Abierta",0,1))</f>
        <v/>
      </c>
      <c r="AM997" s="16" t="str">
        <f aca="false">IF(OR($AE997="",$AD997=""),"",$AD997*MAX(N($X997),1))</f>
        <v/>
      </c>
      <c r="AN997" s="10" t="str">
        <f aca="false">IF($C997="","",IF(OR($B997="",$D997="",$H997="",$K997="",$M997=""),"Faltan datos obligatorios",IF($T997="","Estrategia no reconocida",IF(AND($M997&lt;&gt;"Abierta",$N997=""),"Falta fecha cierre",IF(AND(OR($M997="Cerrada",$M997="Rolada"),$O997=""),"Falta prima cierre",IF(AND($N997&lt;&gt;"",$N997&lt;$B997),"Cierre anterior a apertura",IF(AND($M997="Asignada",$R997=""),"Asignada: falta ID lote acciones",IF(AND($R997&lt;&gt;"",ISNA(MATCH($R997,Acciones!$A$2:$A$201,0))),"El ID lote no existe en Acciones",IF($AD997="","Revisa capital en riesgo","OK")))))))))</f>
        <v/>
      </c>
    </row>
    <row r="998" customFormat="false" ht="15" hidden="false" customHeight="true" outlineLevel="0" collapsed="false">
      <c r="A998" s="5"/>
      <c r="B998" s="6"/>
      <c r="C998" s="7"/>
      <c r="D998" s="7"/>
      <c r="E998" s="8"/>
      <c r="F998" s="8"/>
      <c r="G998" s="6"/>
      <c r="H998" s="5"/>
      <c r="I998" s="5" t="n">
        <v>100</v>
      </c>
      <c r="J998" s="8"/>
      <c r="K998" s="8"/>
      <c r="L998" s="9"/>
      <c r="M998" s="7"/>
      <c r="N998" s="6"/>
      <c r="O998" s="8"/>
      <c r="P998" s="9"/>
      <c r="Q998" s="9"/>
      <c r="R998" s="7"/>
      <c r="S998" s="7"/>
      <c r="T998" s="10" t="str">
        <f aca="false">IF($C998="","",IFERROR(INDEX(Listas!$B$2:$B$20,MATCH($D998,Listas!$A$2:$A$20,0)),""))</f>
        <v/>
      </c>
      <c r="U998" s="10" t="str">
        <f aca="false">IF($C998="","",IFERROR(INDEX(Listas!$C$2:$C$20,MATCH($D998,Listas!$A$2:$A$20,0)),""))</f>
        <v/>
      </c>
      <c r="V998" s="10" t="str">
        <f aca="false">IF($C998="","",IFERROR(INDEX(Listas!$D$2:$D$20,MATCH($D998,Listas!$A$2:$A$20,0)),""))</f>
        <v/>
      </c>
      <c r="W998" s="11" t="str">
        <f aca="false">IF(OR($C998="",$B998="",$G998=""),"",$G998-$B998)</f>
        <v/>
      </c>
      <c r="X998" s="11" t="str">
        <f aca="true">IF(OR($C998="",$B998=""),"",IF($N998&lt;&gt;"",$N998,TODAY())-$B998)</f>
        <v/>
      </c>
      <c r="Y998" s="11" t="str">
        <f aca="true">IF(OR($C998="",$M998&lt;&gt;"Abierta",$G998=""),"",MAX($G998-TODAY(),0))</f>
        <v/>
      </c>
      <c r="Z998" s="12" t="str">
        <f aca="false">IF($C998="","",N($K998)*N($H998)*N($I998)*IF($U998="Débito",-1,1))</f>
        <v/>
      </c>
      <c r="AA998" s="13" t="str">
        <f aca="false">IF($C998="","",IF(AND($U998="Débito",$F998&lt;&gt;""),$F998,$E998))</f>
        <v/>
      </c>
      <c r="AB998" s="13" t="str">
        <f aca="false">IF(OR($C998="",$T998="Mixta",$AA998=""),"",IF($V998="Subyacente",IF($J998="","",$J998-$K998),IF($T998="Put",$AA998-$K998,$AA998+$K998)))</f>
        <v/>
      </c>
      <c r="AC998" s="14" t="str">
        <f aca="false">IF(OR($C998="",$T998="Mixta",$J998="",$AA998=""),"",IF($T998="Put",($J998-$AA998)/$J998,($AA998-$J998)/$J998))</f>
        <v/>
      </c>
      <c r="AD998" s="12" t="str">
        <f aca="false">IF($C998="","",IF($Q998&lt;&gt;"",$Q998,IF($V998="Strike",N($E998)*$H998*$I998,IF($V998="Subyacente",IF($J998="","",$J998*$H998*$I998),IF($V998="Ancho",IF($F998="","",ABS($E998-$F998)*$H998*$I998-$K998*$H998*$I998),IF($V998="Prima",$K998*$H998*$I998,""))))))</f>
        <v/>
      </c>
      <c r="AE998" s="12" t="str">
        <f aca="false">IF(OR($C998="",$M998="Abierta",$M998=""),"",(N($K998)-IF(OR($M998="Cerrada",$M998="Rolada"),N($O998),0))*$H998*$I998*IF($U998="Débito",-1,1)-N($L998)-N($P998))</f>
        <v/>
      </c>
      <c r="AF998" s="14" t="str">
        <f aca="false">IF(OR($AE998="",$AD998=""),"",IF($AD998&lt;=0,"",$AE998/$AD998))</f>
        <v/>
      </c>
      <c r="AG998" s="14" t="str">
        <f aca="false">IF($AF998="","",$AF998*365/MAX(N($X998),1))</f>
        <v/>
      </c>
      <c r="AH998" s="14" t="str">
        <f aca="false">IF(OR($C998="",$U998&lt;&gt;"Crédito",$AD998=""),"",IF($AD998&lt;=0,"",($Z998-N($L998))/$AD998))</f>
        <v/>
      </c>
      <c r="AI998" s="14" t="str">
        <f aca="false">IF(OR($AH998="",$W998=""),"",$AH998*365/MAX($W998,1))</f>
        <v/>
      </c>
      <c r="AJ998" s="14" t="str">
        <f aca="false">IF(OR($AE998="",$U998&lt;&gt;"Crédito",N($K998)=0),"",(N($K998)-IF(OR($M998="Cerrada",$M998="Rolada"),N($O998),0))/$K998)</f>
        <v/>
      </c>
      <c r="AK998" s="15" t="str">
        <f aca="false">IF(OR($C998="",$N998=""),"",DATE(YEAR($N998),MONTH($N998),1))</f>
        <v/>
      </c>
      <c r="AL998" s="11" t="str">
        <f aca="false">IF($C998="","",IF($M998="Abierta",0,1))</f>
        <v/>
      </c>
      <c r="AM998" s="16" t="str">
        <f aca="false">IF(OR($AE998="",$AD998=""),"",$AD998*MAX(N($X998),1))</f>
        <v/>
      </c>
      <c r="AN998" s="10" t="str">
        <f aca="false">IF($C998="","",IF(OR($B998="",$D998="",$H998="",$K998="",$M998=""),"Faltan datos obligatorios",IF($T998="","Estrategia no reconocida",IF(AND($M998&lt;&gt;"Abierta",$N998=""),"Falta fecha cierre",IF(AND(OR($M998="Cerrada",$M998="Rolada"),$O998=""),"Falta prima cierre",IF(AND($N998&lt;&gt;"",$N998&lt;$B998),"Cierre anterior a apertura",IF(AND($M998="Asignada",$R998=""),"Asignada: falta ID lote acciones",IF(AND($R998&lt;&gt;"",ISNA(MATCH($R998,Acciones!$A$2:$A$201,0))),"El ID lote no existe en Acciones",IF($AD998="","Revisa capital en riesgo","OK")))))))))</f>
        <v/>
      </c>
    </row>
    <row r="999" customFormat="false" ht="15" hidden="false" customHeight="true" outlineLevel="0" collapsed="false">
      <c r="A999" s="5"/>
      <c r="B999" s="6"/>
      <c r="C999" s="7"/>
      <c r="D999" s="7"/>
      <c r="E999" s="8"/>
      <c r="F999" s="8"/>
      <c r="G999" s="6"/>
      <c r="H999" s="5"/>
      <c r="I999" s="5" t="n">
        <v>100</v>
      </c>
      <c r="J999" s="8"/>
      <c r="K999" s="8"/>
      <c r="L999" s="9"/>
      <c r="M999" s="7"/>
      <c r="N999" s="6"/>
      <c r="O999" s="8"/>
      <c r="P999" s="9"/>
      <c r="Q999" s="9"/>
      <c r="R999" s="7"/>
      <c r="S999" s="7"/>
      <c r="T999" s="10" t="str">
        <f aca="false">IF($C999="","",IFERROR(INDEX(Listas!$B$2:$B$20,MATCH($D999,Listas!$A$2:$A$20,0)),""))</f>
        <v/>
      </c>
      <c r="U999" s="10" t="str">
        <f aca="false">IF($C999="","",IFERROR(INDEX(Listas!$C$2:$C$20,MATCH($D999,Listas!$A$2:$A$20,0)),""))</f>
        <v/>
      </c>
      <c r="V999" s="10" t="str">
        <f aca="false">IF($C999="","",IFERROR(INDEX(Listas!$D$2:$D$20,MATCH($D999,Listas!$A$2:$A$20,0)),""))</f>
        <v/>
      </c>
      <c r="W999" s="11" t="str">
        <f aca="false">IF(OR($C999="",$B999="",$G999=""),"",$G999-$B999)</f>
        <v/>
      </c>
      <c r="X999" s="11" t="str">
        <f aca="true">IF(OR($C999="",$B999=""),"",IF($N999&lt;&gt;"",$N999,TODAY())-$B999)</f>
        <v/>
      </c>
      <c r="Y999" s="11" t="str">
        <f aca="true">IF(OR($C999="",$M999&lt;&gt;"Abierta",$G999=""),"",MAX($G999-TODAY(),0))</f>
        <v/>
      </c>
      <c r="Z999" s="12" t="str">
        <f aca="false">IF($C999="","",N($K999)*N($H999)*N($I999)*IF($U999="Débito",-1,1))</f>
        <v/>
      </c>
      <c r="AA999" s="13" t="str">
        <f aca="false">IF($C999="","",IF(AND($U999="Débito",$F999&lt;&gt;""),$F999,$E999))</f>
        <v/>
      </c>
      <c r="AB999" s="13" t="str">
        <f aca="false">IF(OR($C999="",$T999="Mixta",$AA999=""),"",IF($V999="Subyacente",IF($J999="","",$J999-$K999),IF($T999="Put",$AA999-$K999,$AA999+$K999)))</f>
        <v/>
      </c>
      <c r="AC999" s="14" t="str">
        <f aca="false">IF(OR($C999="",$T999="Mixta",$J999="",$AA999=""),"",IF($T999="Put",($J999-$AA999)/$J999,($AA999-$J999)/$J999))</f>
        <v/>
      </c>
      <c r="AD999" s="12" t="str">
        <f aca="false">IF($C999="","",IF($Q999&lt;&gt;"",$Q999,IF($V999="Strike",N($E999)*$H999*$I999,IF($V999="Subyacente",IF($J999="","",$J999*$H999*$I999),IF($V999="Ancho",IF($F999="","",ABS($E999-$F999)*$H999*$I999-$K999*$H999*$I999),IF($V999="Prima",$K999*$H999*$I999,""))))))</f>
        <v/>
      </c>
      <c r="AE999" s="12" t="str">
        <f aca="false">IF(OR($C999="",$M999="Abierta",$M999=""),"",(N($K999)-IF(OR($M999="Cerrada",$M999="Rolada"),N($O999),0))*$H999*$I999*IF($U999="Débito",-1,1)-N($L999)-N($P999))</f>
        <v/>
      </c>
      <c r="AF999" s="14" t="str">
        <f aca="false">IF(OR($AE999="",$AD999=""),"",IF($AD999&lt;=0,"",$AE999/$AD999))</f>
        <v/>
      </c>
      <c r="AG999" s="14" t="str">
        <f aca="false">IF($AF999="","",$AF999*365/MAX(N($X999),1))</f>
        <v/>
      </c>
      <c r="AH999" s="14" t="str">
        <f aca="false">IF(OR($C999="",$U999&lt;&gt;"Crédito",$AD999=""),"",IF($AD999&lt;=0,"",($Z999-N($L999))/$AD999))</f>
        <v/>
      </c>
      <c r="AI999" s="14" t="str">
        <f aca="false">IF(OR($AH999="",$W999=""),"",$AH999*365/MAX($W999,1))</f>
        <v/>
      </c>
      <c r="AJ999" s="14" t="str">
        <f aca="false">IF(OR($AE999="",$U999&lt;&gt;"Crédito",N($K999)=0),"",(N($K999)-IF(OR($M999="Cerrada",$M999="Rolada"),N($O999),0))/$K999)</f>
        <v/>
      </c>
      <c r="AK999" s="15" t="str">
        <f aca="false">IF(OR($C999="",$N999=""),"",DATE(YEAR($N999),MONTH($N999),1))</f>
        <v/>
      </c>
      <c r="AL999" s="11" t="str">
        <f aca="false">IF($C999="","",IF($M999="Abierta",0,1))</f>
        <v/>
      </c>
      <c r="AM999" s="16" t="str">
        <f aca="false">IF(OR($AE999="",$AD999=""),"",$AD999*MAX(N($X999),1))</f>
        <v/>
      </c>
      <c r="AN999" s="10" t="str">
        <f aca="false">IF($C999="","",IF(OR($B999="",$D999="",$H999="",$K999="",$M999=""),"Faltan datos obligatorios",IF($T999="","Estrategia no reconocida",IF(AND($M999&lt;&gt;"Abierta",$N999=""),"Falta fecha cierre",IF(AND(OR($M999="Cerrada",$M999="Rolada"),$O999=""),"Falta prima cierre",IF(AND($N999&lt;&gt;"",$N999&lt;$B999),"Cierre anterior a apertura",IF(AND($M999="Asignada",$R999=""),"Asignada: falta ID lote acciones",IF(AND($R999&lt;&gt;"",ISNA(MATCH($R999,Acciones!$A$2:$A$201,0))),"El ID lote no existe en Acciones",IF($AD999="","Revisa capital en riesgo","OK")))))))))</f>
        <v/>
      </c>
    </row>
    <row r="1000" customFormat="false" ht="15" hidden="false" customHeight="true" outlineLevel="0" collapsed="false">
      <c r="A1000" s="5"/>
      <c r="B1000" s="6"/>
      <c r="C1000" s="7"/>
      <c r="D1000" s="7"/>
      <c r="E1000" s="8"/>
      <c r="F1000" s="8"/>
      <c r="G1000" s="6"/>
      <c r="H1000" s="5"/>
      <c r="I1000" s="5" t="n">
        <v>100</v>
      </c>
      <c r="J1000" s="8"/>
      <c r="K1000" s="8"/>
      <c r="L1000" s="9"/>
      <c r="M1000" s="7"/>
      <c r="N1000" s="6"/>
      <c r="O1000" s="8"/>
      <c r="P1000" s="9"/>
      <c r="Q1000" s="9"/>
      <c r="R1000" s="7"/>
      <c r="S1000" s="7"/>
      <c r="T1000" s="10" t="str">
        <f aca="false">IF($C1000="","",IFERROR(INDEX(Listas!$B$2:$B$20,MATCH($D1000,Listas!$A$2:$A$20,0)),""))</f>
        <v/>
      </c>
      <c r="U1000" s="10" t="str">
        <f aca="false">IF($C1000="","",IFERROR(INDEX(Listas!$C$2:$C$20,MATCH($D1000,Listas!$A$2:$A$20,0)),""))</f>
        <v/>
      </c>
      <c r="V1000" s="10" t="str">
        <f aca="false">IF($C1000="","",IFERROR(INDEX(Listas!$D$2:$D$20,MATCH($D1000,Listas!$A$2:$A$20,0)),""))</f>
        <v/>
      </c>
      <c r="W1000" s="11" t="str">
        <f aca="false">IF(OR($C1000="",$B1000="",$G1000=""),"",$G1000-$B1000)</f>
        <v/>
      </c>
      <c r="X1000" s="11" t="str">
        <f aca="true">IF(OR($C1000="",$B1000=""),"",IF($N1000&lt;&gt;"",$N1000,TODAY())-$B1000)</f>
        <v/>
      </c>
      <c r="Y1000" s="11" t="str">
        <f aca="true">IF(OR($C1000="",$M1000&lt;&gt;"Abierta",$G1000=""),"",MAX($G1000-TODAY(),0))</f>
        <v/>
      </c>
      <c r="Z1000" s="12" t="str">
        <f aca="false">IF($C1000="","",N($K1000)*N($H1000)*N($I1000)*IF($U1000="Débito",-1,1))</f>
        <v/>
      </c>
      <c r="AA1000" s="13" t="str">
        <f aca="false">IF($C1000="","",IF(AND($U1000="Débito",$F1000&lt;&gt;""),$F1000,$E1000))</f>
        <v/>
      </c>
      <c r="AB1000" s="13" t="str">
        <f aca="false">IF(OR($C1000="",$T1000="Mixta",$AA1000=""),"",IF($V1000="Subyacente",IF($J1000="","",$J1000-$K1000),IF($T1000="Put",$AA1000-$K1000,$AA1000+$K1000)))</f>
        <v/>
      </c>
      <c r="AC1000" s="14" t="str">
        <f aca="false">IF(OR($C1000="",$T1000="Mixta",$J1000="",$AA1000=""),"",IF($T1000="Put",($J1000-$AA1000)/$J1000,($AA1000-$J1000)/$J1000))</f>
        <v/>
      </c>
      <c r="AD1000" s="12" t="str">
        <f aca="false">IF($C1000="","",IF($Q1000&lt;&gt;"",$Q1000,IF($V1000="Strike",N($E1000)*$H1000*$I1000,IF($V1000="Subyacente",IF($J1000="","",$J1000*$H1000*$I1000),IF($V1000="Ancho",IF($F1000="","",ABS($E1000-$F1000)*$H1000*$I1000-$K1000*$H1000*$I1000),IF($V1000="Prima",$K1000*$H1000*$I1000,""))))))</f>
        <v/>
      </c>
      <c r="AE1000" s="12" t="str">
        <f aca="false">IF(OR($C1000="",$M1000="Abierta",$M1000=""),"",(N($K1000)-IF(OR($M1000="Cerrada",$M1000="Rolada"),N($O1000),0))*$H1000*$I1000*IF($U1000="Débito",-1,1)-N($L1000)-N($P1000))</f>
        <v/>
      </c>
      <c r="AF1000" s="14" t="str">
        <f aca="false">IF(OR($AE1000="",$AD1000=""),"",IF($AD1000&lt;=0,"",$AE1000/$AD1000))</f>
        <v/>
      </c>
      <c r="AG1000" s="14" t="str">
        <f aca="false">IF($AF1000="","",$AF1000*365/MAX(N($X1000),1))</f>
        <v/>
      </c>
      <c r="AH1000" s="14" t="str">
        <f aca="false">IF(OR($C1000="",$U1000&lt;&gt;"Crédito",$AD1000=""),"",IF($AD1000&lt;=0,"",($Z1000-N($L1000))/$AD1000))</f>
        <v/>
      </c>
      <c r="AI1000" s="14" t="str">
        <f aca="false">IF(OR($AH1000="",$W1000=""),"",$AH1000*365/MAX($W1000,1))</f>
        <v/>
      </c>
      <c r="AJ1000" s="14" t="str">
        <f aca="false">IF(OR($AE1000="",$U1000&lt;&gt;"Crédito",N($K1000)=0),"",(N($K1000)-IF(OR($M1000="Cerrada",$M1000="Rolada"),N($O1000),0))/$K1000)</f>
        <v/>
      </c>
      <c r="AK1000" s="15" t="str">
        <f aca="false">IF(OR($C1000="",$N1000=""),"",DATE(YEAR($N1000),MONTH($N1000),1))</f>
        <v/>
      </c>
      <c r="AL1000" s="11" t="str">
        <f aca="false">IF($C1000="","",IF($M1000="Abierta",0,1))</f>
        <v/>
      </c>
      <c r="AM1000" s="16" t="str">
        <f aca="false">IF(OR($AE1000="",$AD1000=""),"",$AD1000*MAX(N($X1000),1))</f>
        <v/>
      </c>
      <c r="AN1000" s="10" t="str">
        <f aca="false">IF($C1000="","",IF(OR($B1000="",$D1000="",$H1000="",$K1000="",$M1000=""),"Faltan datos obligatorios",IF($T1000="","Estrategia no reconocida",IF(AND($M1000&lt;&gt;"Abierta",$N1000=""),"Falta fecha cierre",IF(AND(OR($M1000="Cerrada",$M1000="Rolada"),$O1000=""),"Falta prima cierre",IF(AND($N1000&lt;&gt;"",$N1000&lt;$B1000),"Cierre anterior a apertura",IF(AND($M1000="Asignada",$R1000=""),"Asignada: falta ID lote acciones",IF(AND($R1000&lt;&gt;"",ISNA(MATCH($R1000,Acciones!$A$2:$A$201,0))),"El ID lote no existe en Acciones",IF($AD1000="","Revisa capital en riesgo","OK")))))))))</f>
        <v/>
      </c>
    </row>
    <row r="1001" customFormat="false" ht="15" hidden="false" customHeight="true" outlineLevel="0" collapsed="false">
      <c r="A1001" s="5"/>
      <c r="B1001" s="6"/>
      <c r="C1001" s="7"/>
      <c r="D1001" s="7"/>
      <c r="E1001" s="8"/>
      <c r="F1001" s="8"/>
      <c r="G1001" s="6"/>
      <c r="H1001" s="5"/>
      <c r="I1001" s="5" t="n">
        <v>100</v>
      </c>
      <c r="J1001" s="8"/>
      <c r="K1001" s="8"/>
      <c r="L1001" s="9"/>
      <c r="M1001" s="7"/>
      <c r="N1001" s="6"/>
      <c r="O1001" s="8"/>
      <c r="P1001" s="9"/>
      <c r="Q1001" s="9"/>
      <c r="R1001" s="7"/>
      <c r="S1001" s="7"/>
      <c r="T1001" s="10" t="str">
        <f aca="false">IF($C1001="","",IFERROR(INDEX(Listas!$B$2:$B$20,MATCH($D1001,Listas!$A$2:$A$20,0)),""))</f>
        <v/>
      </c>
      <c r="U1001" s="10" t="str">
        <f aca="false">IF($C1001="","",IFERROR(INDEX(Listas!$C$2:$C$20,MATCH($D1001,Listas!$A$2:$A$20,0)),""))</f>
        <v/>
      </c>
      <c r="V1001" s="10" t="str">
        <f aca="false">IF($C1001="","",IFERROR(INDEX(Listas!$D$2:$D$20,MATCH($D1001,Listas!$A$2:$A$20,0)),""))</f>
        <v/>
      </c>
      <c r="W1001" s="11" t="str">
        <f aca="false">IF(OR($C1001="",$B1001="",$G1001=""),"",$G1001-$B1001)</f>
        <v/>
      </c>
      <c r="X1001" s="11" t="str">
        <f aca="true">IF(OR($C1001="",$B1001=""),"",IF($N1001&lt;&gt;"",$N1001,TODAY())-$B1001)</f>
        <v/>
      </c>
      <c r="Y1001" s="11" t="str">
        <f aca="true">IF(OR($C1001="",$M1001&lt;&gt;"Abierta",$G1001=""),"",MAX($G1001-TODAY(),0))</f>
        <v/>
      </c>
      <c r="Z1001" s="12" t="str">
        <f aca="false">IF($C1001="","",N($K1001)*N($H1001)*N($I1001)*IF($U1001="Débito",-1,1))</f>
        <v/>
      </c>
      <c r="AA1001" s="13" t="str">
        <f aca="false">IF($C1001="","",IF(AND($U1001="Débito",$F1001&lt;&gt;""),$F1001,$E1001))</f>
        <v/>
      </c>
      <c r="AB1001" s="13" t="str">
        <f aca="false">IF(OR($C1001="",$T1001="Mixta",$AA1001=""),"",IF($V1001="Subyacente",IF($J1001="","",$J1001-$K1001),IF($T1001="Put",$AA1001-$K1001,$AA1001+$K1001)))</f>
        <v/>
      </c>
      <c r="AC1001" s="14" t="str">
        <f aca="false">IF(OR($C1001="",$T1001="Mixta",$J1001="",$AA1001=""),"",IF($T1001="Put",($J1001-$AA1001)/$J1001,($AA1001-$J1001)/$J1001))</f>
        <v/>
      </c>
      <c r="AD1001" s="12" t="str">
        <f aca="false">IF($C1001="","",IF($Q1001&lt;&gt;"",$Q1001,IF($V1001="Strike",N($E1001)*$H1001*$I1001,IF($V1001="Subyacente",IF($J1001="","",$J1001*$H1001*$I1001),IF($V1001="Ancho",IF($F1001="","",ABS($E1001-$F1001)*$H1001*$I1001-$K1001*$H1001*$I1001),IF($V1001="Prima",$K1001*$H1001*$I1001,""))))))</f>
        <v/>
      </c>
      <c r="AE1001" s="12" t="str">
        <f aca="false">IF(OR($C1001="",$M1001="Abierta",$M1001=""),"",(N($K1001)-IF(OR($M1001="Cerrada",$M1001="Rolada"),N($O1001),0))*$H1001*$I1001*IF($U1001="Débito",-1,1)-N($L1001)-N($P1001))</f>
        <v/>
      </c>
      <c r="AF1001" s="14" t="str">
        <f aca="false">IF(OR($AE1001="",$AD1001=""),"",IF($AD1001&lt;=0,"",$AE1001/$AD1001))</f>
        <v/>
      </c>
      <c r="AG1001" s="14" t="str">
        <f aca="false">IF($AF1001="","",$AF1001*365/MAX(N($X1001),1))</f>
        <v/>
      </c>
      <c r="AH1001" s="14" t="str">
        <f aca="false">IF(OR($C1001="",$U1001&lt;&gt;"Crédito",$AD1001=""),"",IF($AD1001&lt;=0,"",($Z1001-N($L1001))/$AD1001))</f>
        <v/>
      </c>
      <c r="AI1001" s="14" t="str">
        <f aca="false">IF(OR($AH1001="",$W1001=""),"",$AH1001*365/MAX($W1001,1))</f>
        <v/>
      </c>
      <c r="AJ1001" s="14" t="str">
        <f aca="false">IF(OR($AE1001="",$U1001&lt;&gt;"Crédito",N($K1001)=0),"",(N($K1001)-IF(OR($M1001="Cerrada",$M1001="Rolada"),N($O1001),0))/$K1001)</f>
        <v/>
      </c>
      <c r="AK1001" s="15" t="str">
        <f aca="false">IF(OR($C1001="",$N1001=""),"",DATE(YEAR($N1001),MONTH($N1001),1))</f>
        <v/>
      </c>
      <c r="AL1001" s="11" t="str">
        <f aca="false">IF($C1001="","",IF($M1001="Abierta",0,1))</f>
        <v/>
      </c>
      <c r="AM1001" s="16" t="str">
        <f aca="false">IF(OR($AE1001="",$AD1001=""),"",$AD1001*MAX(N($X1001),1))</f>
        <v/>
      </c>
      <c r="AN1001" s="10" t="str">
        <f aca="false">IF($C1001="","",IF(OR($B1001="",$D1001="",$H1001="",$K1001="",$M1001=""),"Faltan datos obligatorios",IF($T1001="","Estrategia no reconocida",IF(AND($M1001&lt;&gt;"Abierta",$N1001=""),"Falta fecha cierre",IF(AND(OR($M1001="Cerrada",$M1001="Rolada"),$O1001=""),"Falta prima cierre",IF(AND($N1001&lt;&gt;"",$N1001&lt;$B1001),"Cierre anterior a apertura",IF(AND($M1001="Asignada",$R1001=""),"Asignada: falta ID lote acciones",IF(AND($R1001&lt;&gt;"",ISNA(MATCH($R1001,Acciones!$A$2:$A$201,0))),"El ID lote no existe en Acciones",IF($AD1001="","Revisa capital en riesgo","OK")))))))))</f>
        <v/>
      </c>
    </row>
  </sheetData>
  <autoFilter ref="A1:AN1001"/>
  <conditionalFormatting sqref="AE2:AE1001">
    <cfRule type="expression" priority="2" aboveAverage="0" equalAverage="0" bottom="0" percent="0" rank="0" text="" dxfId="11">
      <formula>AND(ISNUMBER(AE2),AE2&gt;0)</formula>
    </cfRule>
    <cfRule type="expression" priority="3" aboveAverage="0" equalAverage="0" bottom="0" percent="0" rank="0" text="" dxfId="12">
      <formula>AND(ISNUMBER(AE2),AE2&lt;0)</formula>
    </cfRule>
  </conditionalFormatting>
  <conditionalFormatting sqref="AF2:AF1001">
    <cfRule type="expression" priority="4" aboveAverage="0" equalAverage="0" bottom="0" percent="0" rank="0" text="" dxfId="11">
      <formula>AND(ISNUMBER(AF2),AF2&gt;0)</formula>
    </cfRule>
    <cfRule type="expression" priority="5" aboveAverage="0" equalAverage="0" bottom="0" percent="0" rank="0" text="" dxfId="12">
      <formula>AND(ISNUMBER(AF2),AF2&lt;0)</formula>
    </cfRule>
  </conditionalFormatting>
  <conditionalFormatting sqref="AG2:AG1001">
    <cfRule type="expression" priority="6" aboveAverage="0" equalAverage="0" bottom="0" percent="0" rank="0" text="" dxfId="11">
      <formula>AND(ISNUMBER(AG2),AG2&gt;0)</formula>
    </cfRule>
    <cfRule type="expression" priority="7" aboveAverage="0" equalAverage="0" bottom="0" percent="0" rank="0" text="" dxfId="12">
      <formula>AND(ISNUMBER(AG2),AG2&lt;0)</formula>
    </cfRule>
  </conditionalFormatting>
  <conditionalFormatting sqref="AN2:AN1001">
    <cfRule type="expression" priority="8" aboveAverage="0" equalAverage="0" bottom="0" percent="0" rank="0" text="" dxfId="13">
      <formula>AND(AN2&lt;&gt;"",AN2&lt;&gt;"OK")</formula>
    </cfRule>
  </conditionalFormatting>
  <conditionalFormatting sqref="M2:M1001">
    <cfRule type="cellIs" priority="9" operator="equal" aboveAverage="0" equalAverage="0" bottom="0" percent="0" rank="0" text="" dxfId="14">
      <formula>"Abierta"</formula>
    </cfRule>
    <cfRule type="cellIs" priority="10" operator="equal" aboveAverage="0" equalAverage="0" bottom="0" percent="0" rank="0" text="" dxfId="15">
      <formula>"Asignada"</formula>
    </cfRule>
  </conditionalFormatting>
  <dataValidations count="6">
    <dataValidation allowBlank="true" error="Introduce una fecha (dd/mm/aaaa)" errorStyle="stop" operator="greaterThan" showDropDown="false" showErrorMessage="true" showInputMessage="false" sqref="B2:B1001 G2:G1001 N2:N1001" type="date">
      <formula1>36526</formula1>
      <formula2>0</formula2>
    </dataValidation>
    <dataValidation allowBlank="true" error="Número entero mayor que 0" errorStyle="stop" operator="greaterThan" showDropDown="false" showErrorMessage="true" showInputMessage="false" sqref="H2:I1001" type="whole">
      <formula1>0</formula1>
      <formula2>0</formula2>
    </dataValidation>
    <dataValidation allowBlank="true" error="Número mayor o igual que 0" errorStyle="stop" operator="greaterThanOrEqual" showDropDown="false" showErrorMessage="true" showInputMessage="false" sqref="E2:F1001 J2:L1001 O2:Q1001" type="decimal">
      <formula1>0</formula1>
      <formula2>0</formula2>
    </dataValidation>
    <dataValidation allowBlank="true" error="Elige una estrategia de la lista (pestaña Listas)" errorStyle="stop" operator="between" showDropDown="false" showErrorMessage="true" showInputMessage="false" sqref="D2:D1001" type="list">
      <formula1>Listas!$A$2:$A$20</formula1>
      <formula2>0</formula2>
    </dataValidation>
    <dataValidation allowBlank="true" error="Estado no válido" errorStyle="stop" operator="between" showDropDown="false" showErrorMessage="true" showInputMessage="false" sqref="M2:M1001" type="list">
      <formula1>Listas!$F$2:$F$6</formula1>
      <formula2>0</formula2>
    </dataValidation>
    <dataValidation allowBlank="true" error="Elige un ID de lote existente en la pestaña Acciones" errorStyle="stop" operator="between" showDropDown="false" showErrorMessage="true" showInputMessage="false" sqref="R2:R1001" type="list">
      <formula1>Acciones!$A$2:$A$201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9"/>
    <col collapsed="false" customWidth="true" hidden="false" outlineLevel="0" max="8" min="7" style="1" width="11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2" min="11" style="1" width="11"/>
    <col collapsed="false" customWidth="true" hidden="false" outlineLevel="0" max="13" min="13" style="1" width="10"/>
    <col collapsed="false" customWidth="true" hidden="false" outlineLevel="0" max="14" min="14" style="1" width="24"/>
    <col collapsed="false" customWidth="true" hidden="false" outlineLevel="0" max="15" min="15" style="1" width="12"/>
    <col collapsed="false" customWidth="true" hidden="false" outlineLevel="0" max="16" min="16" style="1" width="9"/>
    <col collapsed="false" customWidth="true" hidden="false" outlineLevel="0" max="17" min="17" style="1" width="13"/>
    <col collapsed="false" customWidth="true" hidden="false" outlineLevel="0" max="18" min="18" style="1" width="12"/>
    <col collapsed="false" customWidth="true" hidden="false" outlineLevel="0" max="20" min="19" style="1" width="11"/>
    <col collapsed="false" customWidth="true" hidden="false" outlineLevel="0" max="21" min="21" style="1" width="13"/>
    <col collapsed="false" customWidth="true" hidden="false" outlineLevel="0" max="22" min="22" style="1" width="12"/>
    <col collapsed="false" customWidth="true" hidden="false" outlineLevel="0" max="24" min="23" style="1" width="10"/>
    <col collapsed="false" customWidth="true" hidden="false" outlineLevel="0" max="25" min="25" style="1" width="26"/>
  </cols>
  <sheetData>
    <row r="1" customFormat="false" ht="42" hidden="false" customHeight="true" outlineLevel="0" collapsed="false">
      <c r="A1" s="2" t="s">
        <v>55</v>
      </c>
      <c r="B1" s="2" t="s">
        <v>2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12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18</v>
      </c>
      <c r="O1" s="4" t="s">
        <v>66</v>
      </c>
      <c r="P1" s="4" t="s">
        <v>67</v>
      </c>
      <c r="Q1" s="4" t="s">
        <v>68</v>
      </c>
      <c r="R1" s="4" t="s">
        <v>69</v>
      </c>
      <c r="S1" s="4" t="s">
        <v>70</v>
      </c>
      <c r="T1" s="4" t="s">
        <v>71</v>
      </c>
      <c r="U1" s="4" t="s">
        <v>72</v>
      </c>
      <c r="V1" s="4" t="s">
        <v>73</v>
      </c>
      <c r="W1" s="4" t="s">
        <v>74</v>
      </c>
      <c r="X1" s="4" t="s">
        <v>75</v>
      </c>
      <c r="Y1" s="4" t="s">
        <v>39</v>
      </c>
    </row>
    <row r="2" customFormat="false" ht="15" hidden="false" customHeight="true" outlineLevel="0" collapsed="false">
      <c r="A2" s="7" t="s">
        <v>51</v>
      </c>
      <c r="B2" s="7" t="s">
        <v>49</v>
      </c>
      <c r="C2" s="7" t="s">
        <v>76</v>
      </c>
      <c r="D2" s="5" t="n">
        <v>4</v>
      </c>
      <c r="E2" s="6" t="n">
        <v>46283</v>
      </c>
      <c r="F2" s="5" t="n">
        <v>100</v>
      </c>
      <c r="G2" s="8" t="n">
        <v>65</v>
      </c>
      <c r="H2" s="9" t="n">
        <v>0</v>
      </c>
      <c r="I2" s="7" t="s">
        <v>77</v>
      </c>
      <c r="J2" s="6"/>
      <c r="K2" s="8"/>
      <c r="L2" s="9"/>
      <c r="M2" s="8" t="n">
        <v>66.2</v>
      </c>
      <c r="N2" s="7" t="s">
        <v>43</v>
      </c>
      <c r="O2" s="12" t="n">
        <f aca="false">IF($B2="","",N($F2)*N($G2)+N($H2))</f>
        <v>6500</v>
      </c>
      <c r="P2" s="11" t="n">
        <f aca="true">IF(OR($B2="",$E2=""),"",IF($J2&lt;&gt;"",$J2,TODAY())-$E2)</f>
        <v>25</v>
      </c>
      <c r="Q2" s="12" t="str">
        <f aca="false">IF(OR($B2="",$I2="",$I2="En cartera"),"",($K2-$G2)*$F2-N($H2)-N($L2))</f>
        <v/>
      </c>
      <c r="R2" s="12" t="n">
        <f aca="false">IF(OR($B2="",$I2&lt;&gt;"En cartera",$M2=""),"",($M2-$G2)*$F2-N($H2))</f>
        <v>120</v>
      </c>
      <c r="S2" s="12" t="n">
        <f aca="false">IF($B2="","",SUMIFS(Dividendos!$I$2:$I$301,Dividendos!$C$2:$C$301,$A2))</f>
        <v>43.35</v>
      </c>
      <c r="T2" s="12" t="n">
        <f aca="false">IF($B2="","",SUMIFS(Operaciones!$AE$2:$AE$1001,Operaciones!$R$2:$R$1001,$A2))</f>
        <v>78.95</v>
      </c>
      <c r="U2" s="12" t="n">
        <f aca="false">IF($B2="","",N($Q2)+$S2+$T2)</f>
        <v>122.3</v>
      </c>
      <c r="V2" s="13" t="n">
        <f aca="false">IF(OR($B2="",N($F2)=0),"",(N($F2)*N($G2)-$S2-$T2)/$F2)</f>
        <v>63.777</v>
      </c>
      <c r="W2" s="14" t="n">
        <f aca="false">IF(OR($B2="",N($F2)*N($G2)=0),"",$U2/($F2*$G2))</f>
        <v>0.0188153846153846</v>
      </c>
      <c r="X2" s="14" t="n">
        <f aca="false">IF(OR($W2="",$P2=""),"",$W2*365/MAX($P2,1))</f>
        <v>0.274704615384615</v>
      </c>
      <c r="Y2" s="10" t="str">
        <f aca="false">IF($B2="","",IF(OR($A2="",$E2="",$F2="",$G2="",$I2=""),"Faltan datos obligatorios",IF(COUNTIF($A$2:$A$201,$A2)&gt;1,"ID lote duplicado",IF(AND($I2&lt;&gt;"En cartera",OR($J2="",$K2="")),"Falta fecha o precio de salida",IF(AND($J2&lt;&gt;"",$J2&lt;$E2),"Salida anterior a entrada",IF(AND($I2="En cartera",$M2=""),"OK (sin precio actual)","OK"))))))</f>
        <v>OK</v>
      </c>
    </row>
    <row r="3" customFormat="false" ht="15" hidden="false" customHeight="true" outlineLevel="0" collapsed="false">
      <c r="A3" s="7"/>
      <c r="B3" s="7"/>
      <c r="C3" s="7"/>
      <c r="D3" s="5"/>
      <c r="E3" s="6"/>
      <c r="F3" s="5"/>
      <c r="G3" s="8"/>
      <c r="H3" s="9"/>
      <c r="I3" s="7"/>
      <c r="J3" s="6"/>
      <c r="K3" s="8"/>
      <c r="L3" s="9"/>
      <c r="M3" s="8"/>
      <c r="N3" s="7"/>
      <c r="O3" s="12" t="str">
        <f aca="false">IF($B3="","",N($F3)*N($G3)+N($H3))</f>
        <v/>
      </c>
      <c r="P3" s="11" t="str">
        <f aca="true">IF(OR($B3="",$E3=""),"",IF($J3&lt;&gt;"",$J3,TODAY())-$E3)</f>
        <v/>
      </c>
      <c r="Q3" s="12" t="str">
        <f aca="false">IF(OR($B3="",$I3="",$I3="En cartera"),"",($K3-$G3)*$F3-N($H3)-N($L3))</f>
        <v/>
      </c>
      <c r="R3" s="12" t="str">
        <f aca="false">IF(OR($B3="",$I3&lt;&gt;"En cartera",$M3=""),"",($M3-$G3)*$F3-N($H3))</f>
        <v/>
      </c>
      <c r="S3" s="12" t="str">
        <f aca="false">IF($B3="","",SUMIFS(Dividendos!$I$2:$I$301,Dividendos!$C$2:$C$301,$A3))</f>
        <v/>
      </c>
      <c r="T3" s="12" t="str">
        <f aca="false">IF($B3="","",SUMIFS(Operaciones!$AE$2:$AE$1001,Operaciones!$R$2:$R$1001,$A3))</f>
        <v/>
      </c>
      <c r="U3" s="12" t="str">
        <f aca="false">IF($B3="","",N($Q3)+$S3+$T3)</f>
        <v/>
      </c>
      <c r="V3" s="13" t="str">
        <f aca="false">IF(OR($B3="",N($F3)=0),"",(N($F3)*N($G3)-$S3-$T3)/$F3)</f>
        <v/>
      </c>
      <c r="W3" s="14" t="str">
        <f aca="false">IF(OR($B3="",N($F3)*N($G3)=0),"",$U3/($F3*$G3))</f>
        <v/>
      </c>
      <c r="X3" s="14" t="str">
        <f aca="false">IF(OR($W3="",$P3=""),"",$W3*365/MAX($P3,1))</f>
        <v/>
      </c>
      <c r="Y3" s="10" t="str">
        <f aca="false">IF($B3="","",IF(OR($A3="",$E3="",$F3="",$G3="",$I3=""),"Faltan datos obligatorios",IF(COUNTIF($A$2:$A$201,$A3)&gt;1,"ID lote duplicado",IF(AND($I3&lt;&gt;"En cartera",OR($J3="",$K3="")),"Falta fecha o precio de salida",IF(AND($J3&lt;&gt;"",$J3&lt;$E3),"Salida anterior a entrada",IF(AND($I3="En cartera",$M3=""),"OK (sin precio actual)","OK"))))))</f>
        <v/>
      </c>
    </row>
    <row r="4" customFormat="false" ht="15" hidden="false" customHeight="true" outlineLevel="0" collapsed="false">
      <c r="A4" s="7"/>
      <c r="B4" s="7"/>
      <c r="C4" s="7"/>
      <c r="D4" s="5"/>
      <c r="E4" s="6"/>
      <c r="F4" s="5"/>
      <c r="G4" s="8"/>
      <c r="H4" s="9"/>
      <c r="I4" s="7"/>
      <c r="J4" s="6"/>
      <c r="K4" s="8"/>
      <c r="L4" s="9"/>
      <c r="M4" s="8"/>
      <c r="N4" s="7"/>
      <c r="O4" s="12" t="str">
        <f aca="false">IF($B4="","",N($F4)*N($G4)+N($H4))</f>
        <v/>
      </c>
      <c r="P4" s="11" t="str">
        <f aca="true">IF(OR($B4="",$E4=""),"",IF($J4&lt;&gt;"",$J4,TODAY())-$E4)</f>
        <v/>
      </c>
      <c r="Q4" s="12" t="str">
        <f aca="false">IF(OR($B4="",$I4="",$I4="En cartera"),"",($K4-$G4)*$F4-N($H4)-N($L4))</f>
        <v/>
      </c>
      <c r="R4" s="12" t="str">
        <f aca="false">IF(OR($B4="",$I4&lt;&gt;"En cartera",$M4=""),"",($M4-$G4)*$F4-N($H4))</f>
        <v/>
      </c>
      <c r="S4" s="12" t="str">
        <f aca="false">IF($B4="","",SUMIFS(Dividendos!$I$2:$I$301,Dividendos!$C$2:$C$301,$A4))</f>
        <v/>
      </c>
      <c r="T4" s="12" t="str">
        <f aca="false">IF($B4="","",SUMIFS(Operaciones!$AE$2:$AE$1001,Operaciones!$R$2:$R$1001,$A4))</f>
        <v/>
      </c>
      <c r="U4" s="12" t="str">
        <f aca="false">IF($B4="","",N($Q4)+$S4+$T4)</f>
        <v/>
      </c>
      <c r="V4" s="13" t="str">
        <f aca="false">IF(OR($B4="",N($F4)=0),"",(N($F4)*N($G4)-$S4-$T4)/$F4)</f>
        <v/>
      </c>
      <c r="W4" s="14" t="str">
        <f aca="false">IF(OR($B4="",N($F4)*N($G4)=0),"",$U4/($F4*$G4))</f>
        <v/>
      </c>
      <c r="X4" s="14" t="str">
        <f aca="false">IF(OR($W4="",$P4=""),"",$W4*365/MAX($P4,1))</f>
        <v/>
      </c>
      <c r="Y4" s="10" t="str">
        <f aca="false">IF($B4="","",IF(OR($A4="",$E4="",$F4="",$G4="",$I4=""),"Faltan datos obligatorios",IF(COUNTIF($A$2:$A$201,$A4)&gt;1,"ID lote duplicado",IF(AND($I4&lt;&gt;"En cartera",OR($J4="",$K4="")),"Falta fecha o precio de salida",IF(AND($J4&lt;&gt;"",$J4&lt;$E4),"Salida anterior a entrada",IF(AND($I4="En cartera",$M4=""),"OK (sin precio actual)","OK"))))))</f>
        <v/>
      </c>
    </row>
    <row r="5" customFormat="false" ht="15" hidden="false" customHeight="true" outlineLevel="0" collapsed="false">
      <c r="A5" s="7"/>
      <c r="B5" s="7"/>
      <c r="C5" s="7"/>
      <c r="D5" s="5"/>
      <c r="E5" s="6"/>
      <c r="F5" s="5"/>
      <c r="G5" s="8"/>
      <c r="H5" s="9"/>
      <c r="I5" s="7"/>
      <c r="J5" s="6"/>
      <c r="K5" s="8"/>
      <c r="L5" s="9"/>
      <c r="M5" s="8"/>
      <c r="N5" s="7"/>
      <c r="O5" s="12" t="str">
        <f aca="false">IF($B5="","",N($F5)*N($G5)+N($H5))</f>
        <v/>
      </c>
      <c r="P5" s="11" t="str">
        <f aca="true">IF(OR($B5="",$E5=""),"",IF($J5&lt;&gt;"",$J5,TODAY())-$E5)</f>
        <v/>
      </c>
      <c r="Q5" s="12" t="str">
        <f aca="false">IF(OR($B5="",$I5="",$I5="En cartera"),"",($K5-$G5)*$F5-N($H5)-N($L5))</f>
        <v/>
      </c>
      <c r="R5" s="12" t="str">
        <f aca="false">IF(OR($B5="",$I5&lt;&gt;"En cartera",$M5=""),"",($M5-$G5)*$F5-N($H5))</f>
        <v/>
      </c>
      <c r="S5" s="12" t="str">
        <f aca="false">IF($B5="","",SUMIFS(Dividendos!$I$2:$I$301,Dividendos!$C$2:$C$301,$A5))</f>
        <v/>
      </c>
      <c r="T5" s="12" t="str">
        <f aca="false">IF($B5="","",SUMIFS(Operaciones!$AE$2:$AE$1001,Operaciones!$R$2:$R$1001,$A5))</f>
        <v/>
      </c>
      <c r="U5" s="12" t="str">
        <f aca="false">IF($B5="","",N($Q5)+$S5+$T5)</f>
        <v/>
      </c>
      <c r="V5" s="13" t="str">
        <f aca="false">IF(OR($B5="",N($F5)=0),"",(N($F5)*N($G5)-$S5-$T5)/$F5)</f>
        <v/>
      </c>
      <c r="W5" s="14" t="str">
        <f aca="false">IF(OR($B5="",N($F5)*N($G5)=0),"",$U5/($F5*$G5))</f>
        <v/>
      </c>
      <c r="X5" s="14" t="str">
        <f aca="false">IF(OR($W5="",$P5=""),"",$W5*365/MAX($P5,1))</f>
        <v/>
      </c>
      <c r="Y5" s="10" t="str">
        <f aca="false">IF($B5="","",IF(OR($A5="",$E5="",$F5="",$G5="",$I5=""),"Faltan datos obligatorios",IF(COUNTIF($A$2:$A$201,$A5)&gt;1,"ID lote duplicado",IF(AND($I5&lt;&gt;"En cartera",OR($J5="",$K5="")),"Falta fecha o precio de salida",IF(AND($J5&lt;&gt;"",$J5&lt;$E5),"Salida anterior a entrada",IF(AND($I5="En cartera",$M5=""),"OK (sin precio actual)","OK"))))))</f>
        <v/>
      </c>
    </row>
    <row r="6" customFormat="false" ht="15" hidden="false" customHeight="true" outlineLevel="0" collapsed="false">
      <c r="A6" s="7"/>
      <c r="B6" s="7"/>
      <c r="C6" s="7"/>
      <c r="D6" s="5"/>
      <c r="E6" s="6"/>
      <c r="F6" s="5"/>
      <c r="G6" s="8"/>
      <c r="H6" s="9"/>
      <c r="I6" s="7"/>
      <c r="J6" s="6"/>
      <c r="K6" s="8"/>
      <c r="L6" s="9"/>
      <c r="M6" s="8"/>
      <c r="N6" s="7"/>
      <c r="O6" s="12" t="str">
        <f aca="false">IF($B6="","",N($F6)*N($G6)+N($H6))</f>
        <v/>
      </c>
      <c r="P6" s="11" t="str">
        <f aca="true">IF(OR($B6="",$E6=""),"",IF($J6&lt;&gt;"",$J6,TODAY())-$E6)</f>
        <v/>
      </c>
      <c r="Q6" s="12" t="str">
        <f aca="false">IF(OR($B6="",$I6="",$I6="En cartera"),"",($K6-$G6)*$F6-N($H6)-N($L6))</f>
        <v/>
      </c>
      <c r="R6" s="12" t="str">
        <f aca="false">IF(OR($B6="",$I6&lt;&gt;"En cartera",$M6=""),"",($M6-$G6)*$F6-N($H6))</f>
        <v/>
      </c>
      <c r="S6" s="12" t="str">
        <f aca="false">IF($B6="","",SUMIFS(Dividendos!$I$2:$I$301,Dividendos!$C$2:$C$301,$A6))</f>
        <v/>
      </c>
      <c r="T6" s="12" t="str">
        <f aca="false">IF($B6="","",SUMIFS(Operaciones!$AE$2:$AE$1001,Operaciones!$R$2:$R$1001,$A6))</f>
        <v/>
      </c>
      <c r="U6" s="12" t="str">
        <f aca="false">IF($B6="","",N($Q6)+$S6+$T6)</f>
        <v/>
      </c>
      <c r="V6" s="13" t="str">
        <f aca="false">IF(OR($B6="",N($F6)=0),"",(N($F6)*N($G6)-$S6-$T6)/$F6)</f>
        <v/>
      </c>
      <c r="W6" s="14" t="str">
        <f aca="false">IF(OR($B6="",N($F6)*N($G6)=0),"",$U6/($F6*$G6))</f>
        <v/>
      </c>
      <c r="X6" s="14" t="str">
        <f aca="false">IF(OR($W6="",$P6=""),"",$W6*365/MAX($P6,1))</f>
        <v/>
      </c>
      <c r="Y6" s="10" t="str">
        <f aca="false">IF($B6="","",IF(OR($A6="",$E6="",$F6="",$G6="",$I6=""),"Faltan datos obligatorios",IF(COUNTIF($A$2:$A$201,$A6)&gt;1,"ID lote duplicado",IF(AND($I6&lt;&gt;"En cartera",OR($J6="",$K6="")),"Falta fecha o precio de salida",IF(AND($J6&lt;&gt;"",$J6&lt;$E6),"Salida anterior a entrada",IF(AND($I6="En cartera",$M6=""),"OK (sin precio actual)","OK"))))))</f>
        <v/>
      </c>
    </row>
    <row r="7" customFormat="false" ht="15" hidden="false" customHeight="true" outlineLevel="0" collapsed="false">
      <c r="A7" s="7"/>
      <c r="B7" s="7"/>
      <c r="C7" s="7"/>
      <c r="D7" s="5"/>
      <c r="E7" s="6"/>
      <c r="F7" s="5"/>
      <c r="G7" s="8"/>
      <c r="H7" s="9"/>
      <c r="I7" s="7"/>
      <c r="J7" s="6"/>
      <c r="K7" s="8"/>
      <c r="L7" s="9"/>
      <c r="M7" s="8"/>
      <c r="N7" s="7"/>
      <c r="O7" s="12" t="str">
        <f aca="false">IF($B7="","",N($F7)*N($G7)+N($H7))</f>
        <v/>
      </c>
      <c r="P7" s="11" t="str">
        <f aca="true">IF(OR($B7="",$E7=""),"",IF($J7&lt;&gt;"",$J7,TODAY())-$E7)</f>
        <v/>
      </c>
      <c r="Q7" s="12" t="str">
        <f aca="false">IF(OR($B7="",$I7="",$I7="En cartera"),"",($K7-$G7)*$F7-N($H7)-N($L7))</f>
        <v/>
      </c>
      <c r="R7" s="12" t="str">
        <f aca="false">IF(OR($B7="",$I7&lt;&gt;"En cartera",$M7=""),"",($M7-$G7)*$F7-N($H7))</f>
        <v/>
      </c>
      <c r="S7" s="12" t="str">
        <f aca="false">IF($B7="","",SUMIFS(Dividendos!$I$2:$I$301,Dividendos!$C$2:$C$301,$A7))</f>
        <v/>
      </c>
      <c r="T7" s="12" t="str">
        <f aca="false">IF($B7="","",SUMIFS(Operaciones!$AE$2:$AE$1001,Operaciones!$R$2:$R$1001,$A7))</f>
        <v/>
      </c>
      <c r="U7" s="12" t="str">
        <f aca="false">IF($B7="","",N($Q7)+$S7+$T7)</f>
        <v/>
      </c>
      <c r="V7" s="13" t="str">
        <f aca="false">IF(OR($B7="",N($F7)=0),"",(N($F7)*N($G7)-$S7-$T7)/$F7)</f>
        <v/>
      </c>
      <c r="W7" s="14" t="str">
        <f aca="false">IF(OR($B7="",N($F7)*N($G7)=0),"",$U7/($F7*$G7))</f>
        <v/>
      </c>
      <c r="X7" s="14" t="str">
        <f aca="false">IF(OR($W7="",$P7=""),"",$W7*365/MAX($P7,1))</f>
        <v/>
      </c>
      <c r="Y7" s="10" t="str">
        <f aca="false">IF($B7="","",IF(OR($A7="",$E7="",$F7="",$G7="",$I7=""),"Faltan datos obligatorios",IF(COUNTIF($A$2:$A$201,$A7)&gt;1,"ID lote duplicado",IF(AND($I7&lt;&gt;"En cartera",OR($J7="",$K7="")),"Falta fecha o precio de salida",IF(AND($J7&lt;&gt;"",$J7&lt;$E7),"Salida anterior a entrada",IF(AND($I7="En cartera",$M7=""),"OK (sin precio actual)","OK"))))))</f>
        <v/>
      </c>
    </row>
    <row r="8" customFormat="false" ht="15" hidden="false" customHeight="true" outlineLevel="0" collapsed="false">
      <c r="A8" s="7"/>
      <c r="B8" s="7"/>
      <c r="C8" s="7"/>
      <c r="D8" s="5"/>
      <c r="E8" s="6"/>
      <c r="F8" s="5"/>
      <c r="G8" s="8"/>
      <c r="H8" s="9"/>
      <c r="I8" s="7"/>
      <c r="J8" s="6"/>
      <c r="K8" s="8"/>
      <c r="L8" s="9"/>
      <c r="M8" s="8"/>
      <c r="N8" s="7"/>
      <c r="O8" s="12" t="str">
        <f aca="false">IF($B8="","",N($F8)*N($G8)+N($H8))</f>
        <v/>
      </c>
      <c r="P8" s="11" t="str">
        <f aca="true">IF(OR($B8="",$E8=""),"",IF($J8&lt;&gt;"",$J8,TODAY())-$E8)</f>
        <v/>
      </c>
      <c r="Q8" s="12" t="str">
        <f aca="false">IF(OR($B8="",$I8="",$I8="En cartera"),"",($K8-$G8)*$F8-N($H8)-N($L8))</f>
        <v/>
      </c>
      <c r="R8" s="12" t="str">
        <f aca="false">IF(OR($B8="",$I8&lt;&gt;"En cartera",$M8=""),"",($M8-$G8)*$F8-N($H8))</f>
        <v/>
      </c>
      <c r="S8" s="12" t="str">
        <f aca="false">IF($B8="","",SUMIFS(Dividendos!$I$2:$I$301,Dividendos!$C$2:$C$301,$A8))</f>
        <v/>
      </c>
      <c r="T8" s="12" t="str">
        <f aca="false">IF($B8="","",SUMIFS(Operaciones!$AE$2:$AE$1001,Operaciones!$R$2:$R$1001,$A8))</f>
        <v/>
      </c>
      <c r="U8" s="12" t="str">
        <f aca="false">IF($B8="","",N($Q8)+$S8+$T8)</f>
        <v/>
      </c>
      <c r="V8" s="13" t="str">
        <f aca="false">IF(OR($B8="",N($F8)=0),"",(N($F8)*N($G8)-$S8-$T8)/$F8)</f>
        <v/>
      </c>
      <c r="W8" s="14" t="str">
        <f aca="false">IF(OR($B8="",N($F8)*N($G8)=0),"",$U8/($F8*$G8))</f>
        <v/>
      </c>
      <c r="X8" s="14" t="str">
        <f aca="false">IF(OR($W8="",$P8=""),"",$W8*365/MAX($P8,1))</f>
        <v/>
      </c>
      <c r="Y8" s="10" t="str">
        <f aca="false">IF($B8="","",IF(OR($A8="",$E8="",$F8="",$G8="",$I8=""),"Faltan datos obligatorios",IF(COUNTIF($A$2:$A$201,$A8)&gt;1,"ID lote duplicado",IF(AND($I8&lt;&gt;"En cartera",OR($J8="",$K8="")),"Falta fecha o precio de salida",IF(AND($J8&lt;&gt;"",$J8&lt;$E8),"Salida anterior a entrada",IF(AND($I8="En cartera",$M8=""),"OK (sin precio actual)","OK"))))))</f>
        <v/>
      </c>
    </row>
    <row r="9" customFormat="false" ht="15" hidden="false" customHeight="true" outlineLevel="0" collapsed="false">
      <c r="A9" s="7"/>
      <c r="B9" s="7"/>
      <c r="C9" s="7"/>
      <c r="D9" s="5"/>
      <c r="E9" s="6"/>
      <c r="F9" s="5"/>
      <c r="G9" s="8"/>
      <c r="H9" s="9"/>
      <c r="I9" s="7"/>
      <c r="J9" s="6"/>
      <c r="K9" s="8"/>
      <c r="L9" s="9"/>
      <c r="M9" s="8"/>
      <c r="N9" s="7"/>
      <c r="O9" s="12" t="str">
        <f aca="false">IF($B9="","",N($F9)*N($G9)+N($H9))</f>
        <v/>
      </c>
      <c r="P9" s="11" t="str">
        <f aca="true">IF(OR($B9="",$E9=""),"",IF($J9&lt;&gt;"",$J9,TODAY())-$E9)</f>
        <v/>
      </c>
      <c r="Q9" s="12" t="str">
        <f aca="false">IF(OR($B9="",$I9="",$I9="En cartera"),"",($K9-$G9)*$F9-N($H9)-N($L9))</f>
        <v/>
      </c>
      <c r="R9" s="12" t="str">
        <f aca="false">IF(OR($B9="",$I9&lt;&gt;"En cartera",$M9=""),"",($M9-$G9)*$F9-N($H9))</f>
        <v/>
      </c>
      <c r="S9" s="12" t="str">
        <f aca="false">IF($B9="","",SUMIFS(Dividendos!$I$2:$I$301,Dividendos!$C$2:$C$301,$A9))</f>
        <v/>
      </c>
      <c r="T9" s="12" t="str">
        <f aca="false">IF($B9="","",SUMIFS(Operaciones!$AE$2:$AE$1001,Operaciones!$R$2:$R$1001,$A9))</f>
        <v/>
      </c>
      <c r="U9" s="12" t="str">
        <f aca="false">IF($B9="","",N($Q9)+$S9+$T9)</f>
        <v/>
      </c>
      <c r="V9" s="13" t="str">
        <f aca="false">IF(OR($B9="",N($F9)=0),"",(N($F9)*N($G9)-$S9-$T9)/$F9)</f>
        <v/>
      </c>
      <c r="W9" s="14" t="str">
        <f aca="false">IF(OR($B9="",N($F9)*N($G9)=0),"",$U9/($F9*$G9))</f>
        <v/>
      </c>
      <c r="X9" s="14" t="str">
        <f aca="false">IF(OR($W9="",$P9=""),"",$W9*365/MAX($P9,1))</f>
        <v/>
      </c>
      <c r="Y9" s="10" t="str">
        <f aca="false">IF($B9="","",IF(OR($A9="",$E9="",$F9="",$G9="",$I9=""),"Faltan datos obligatorios",IF(COUNTIF($A$2:$A$201,$A9)&gt;1,"ID lote duplicado",IF(AND($I9&lt;&gt;"En cartera",OR($J9="",$K9="")),"Falta fecha o precio de salida",IF(AND($J9&lt;&gt;"",$J9&lt;$E9),"Salida anterior a entrada",IF(AND($I9="En cartera",$M9=""),"OK (sin precio actual)","OK"))))))</f>
        <v/>
      </c>
    </row>
    <row r="10" customFormat="false" ht="15" hidden="false" customHeight="true" outlineLevel="0" collapsed="false">
      <c r="A10" s="7"/>
      <c r="B10" s="7"/>
      <c r="C10" s="7"/>
      <c r="D10" s="5"/>
      <c r="E10" s="6"/>
      <c r="F10" s="5"/>
      <c r="G10" s="8"/>
      <c r="H10" s="9"/>
      <c r="I10" s="7"/>
      <c r="J10" s="6"/>
      <c r="K10" s="8"/>
      <c r="L10" s="9"/>
      <c r="M10" s="8"/>
      <c r="N10" s="7"/>
      <c r="O10" s="12" t="str">
        <f aca="false">IF($B10="","",N($F10)*N($G10)+N($H10))</f>
        <v/>
      </c>
      <c r="P10" s="11" t="str">
        <f aca="true">IF(OR($B10="",$E10=""),"",IF($J10&lt;&gt;"",$J10,TODAY())-$E10)</f>
        <v/>
      </c>
      <c r="Q10" s="12" t="str">
        <f aca="false">IF(OR($B10="",$I10="",$I10="En cartera"),"",($K10-$G10)*$F10-N($H10)-N($L10))</f>
        <v/>
      </c>
      <c r="R10" s="12" t="str">
        <f aca="false">IF(OR($B10="",$I10&lt;&gt;"En cartera",$M10=""),"",($M10-$G10)*$F10-N($H10))</f>
        <v/>
      </c>
      <c r="S10" s="12" t="str">
        <f aca="false">IF($B10="","",SUMIFS(Dividendos!$I$2:$I$301,Dividendos!$C$2:$C$301,$A10))</f>
        <v/>
      </c>
      <c r="T10" s="12" t="str">
        <f aca="false">IF($B10="","",SUMIFS(Operaciones!$AE$2:$AE$1001,Operaciones!$R$2:$R$1001,$A10))</f>
        <v/>
      </c>
      <c r="U10" s="12" t="str">
        <f aca="false">IF($B10="","",N($Q10)+$S10+$T10)</f>
        <v/>
      </c>
      <c r="V10" s="13" t="str">
        <f aca="false">IF(OR($B10="",N($F10)=0),"",(N($F10)*N($G10)-$S10-$T10)/$F10)</f>
        <v/>
      </c>
      <c r="W10" s="14" t="str">
        <f aca="false">IF(OR($B10="",N($F10)*N($G10)=0),"",$U10/($F10*$G10))</f>
        <v/>
      </c>
      <c r="X10" s="14" t="str">
        <f aca="false">IF(OR($W10="",$P10=""),"",$W10*365/MAX($P10,1))</f>
        <v/>
      </c>
      <c r="Y10" s="10" t="str">
        <f aca="false">IF($B10="","",IF(OR($A10="",$E10="",$F10="",$G10="",$I10=""),"Faltan datos obligatorios",IF(COUNTIF($A$2:$A$201,$A10)&gt;1,"ID lote duplicado",IF(AND($I10&lt;&gt;"En cartera",OR($J10="",$K10="")),"Falta fecha o precio de salida",IF(AND($J10&lt;&gt;"",$J10&lt;$E10),"Salida anterior a entrada",IF(AND($I10="En cartera",$M10=""),"OK (sin precio actual)","OK"))))))</f>
        <v/>
      </c>
    </row>
    <row r="11" customFormat="false" ht="15" hidden="false" customHeight="true" outlineLevel="0" collapsed="false">
      <c r="A11" s="7"/>
      <c r="B11" s="7"/>
      <c r="C11" s="7"/>
      <c r="D11" s="5"/>
      <c r="E11" s="6"/>
      <c r="F11" s="5"/>
      <c r="G11" s="8"/>
      <c r="H11" s="9"/>
      <c r="I11" s="7"/>
      <c r="J11" s="6"/>
      <c r="K11" s="8"/>
      <c r="L11" s="9"/>
      <c r="M11" s="8"/>
      <c r="N11" s="7"/>
      <c r="O11" s="12" t="str">
        <f aca="false">IF($B11="","",N($F11)*N($G11)+N($H11))</f>
        <v/>
      </c>
      <c r="P11" s="11" t="str">
        <f aca="true">IF(OR($B11="",$E11=""),"",IF($J11&lt;&gt;"",$J11,TODAY())-$E11)</f>
        <v/>
      </c>
      <c r="Q11" s="12" t="str">
        <f aca="false">IF(OR($B11="",$I11="",$I11="En cartera"),"",($K11-$G11)*$F11-N($H11)-N($L11))</f>
        <v/>
      </c>
      <c r="R11" s="12" t="str">
        <f aca="false">IF(OR($B11="",$I11&lt;&gt;"En cartera",$M11=""),"",($M11-$G11)*$F11-N($H11))</f>
        <v/>
      </c>
      <c r="S11" s="12" t="str">
        <f aca="false">IF($B11="","",SUMIFS(Dividendos!$I$2:$I$301,Dividendos!$C$2:$C$301,$A11))</f>
        <v/>
      </c>
      <c r="T11" s="12" t="str">
        <f aca="false">IF($B11="","",SUMIFS(Operaciones!$AE$2:$AE$1001,Operaciones!$R$2:$R$1001,$A11))</f>
        <v/>
      </c>
      <c r="U11" s="12" t="str">
        <f aca="false">IF($B11="","",N($Q11)+$S11+$T11)</f>
        <v/>
      </c>
      <c r="V11" s="13" t="str">
        <f aca="false">IF(OR($B11="",N($F11)=0),"",(N($F11)*N($G11)-$S11-$T11)/$F11)</f>
        <v/>
      </c>
      <c r="W11" s="14" t="str">
        <f aca="false">IF(OR($B11="",N($F11)*N($G11)=0),"",$U11/($F11*$G11))</f>
        <v/>
      </c>
      <c r="X11" s="14" t="str">
        <f aca="false">IF(OR($W11="",$P11=""),"",$W11*365/MAX($P11,1))</f>
        <v/>
      </c>
      <c r="Y11" s="10" t="str">
        <f aca="false">IF($B11="","",IF(OR($A11="",$E11="",$F11="",$G11="",$I11=""),"Faltan datos obligatorios",IF(COUNTIF($A$2:$A$201,$A11)&gt;1,"ID lote duplicado",IF(AND($I11&lt;&gt;"En cartera",OR($J11="",$K11="")),"Falta fecha o precio de salida",IF(AND($J11&lt;&gt;"",$J11&lt;$E11),"Salida anterior a entrada",IF(AND($I11="En cartera",$M11=""),"OK (sin precio actual)","OK"))))))</f>
        <v/>
      </c>
    </row>
    <row r="12" customFormat="false" ht="15" hidden="false" customHeight="true" outlineLevel="0" collapsed="false">
      <c r="A12" s="7"/>
      <c r="B12" s="7"/>
      <c r="C12" s="7"/>
      <c r="D12" s="5"/>
      <c r="E12" s="6"/>
      <c r="F12" s="5"/>
      <c r="G12" s="8"/>
      <c r="H12" s="9"/>
      <c r="I12" s="7"/>
      <c r="J12" s="6"/>
      <c r="K12" s="8"/>
      <c r="L12" s="9"/>
      <c r="M12" s="8"/>
      <c r="N12" s="7"/>
      <c r="O12" s="12" t="str">
        <f aca="false">IF($B12="","",N($F12)*N($G12)+N($H12))</f>
        <v/>
      </c>
      <c r="P12" s="11" t="str">
        <f aca="true">IF(OR($B12="",$E12=""),"",IF($J12&lt;&gt;"",$J12,TODAY())-$E12)</f>
        <v/>
      </c>
      <c r="Q12" s="12" t="str">
        <f aca="false">IF(OR($B12="",$I12="",$I12="En cartera"),"",($K12-$G12)*$F12-N($H12)-N($L12))</f>
        <v/>
      </c>
      <c r="R12" s="12" t="str">
        <f aca="false">IF(OR($B12="",$I12&lt;&gt;"En cartera",$M12=""),"",($M12-$G12)*$F12-N($H12))</f>
        <v/>
      </c>
      <c r="S12" s="12" t="str">
        <f aca="false">IF($B12="","",SUMIFS(Dividendos!$I$2:$I$301,Dividendos!$C$2:$C$301,$A12))</f>
        <v/>
      </c>
      <c r="T12" s="12" t="str">
        <f aca="false">IF($B12="","",SUMIFS(Operaciones!$AE$2:$AE$1001,Operaciones!$R$2:$R$1001,$A12))</f>
        <v/>
      </c>
      <c r="U12" s="12" t="str">
        <f aca="false">IF($B12="","",N($Q12)+$S12+$T12)</f>
        <v/>
      </c>
      <c r="V12" s="13" t="str">
        <f aca="false">IF(OR($B12="",N($F12)=0),"",(N($F12)*N($G12)-$S12-$T12)/$F12)</f>
        <v/>
      </c>
      <c r="W12" s="14" t="str">
        <f aca="false">IF(OR($B12="",N($F12)*N($G12)=0),"",$U12/($F12*$G12))</f>
        <v/>
      </c>
      <c r="X12" s="14" t="str">
        <f aca="false">IF(OR($W12="",$P12=""),"",$W12*365/MAX($P12,1))</f>
        <v/>
      </c>
      <c r="Y12" s="10" t="str">
        <f aca="false">IF($B12="","",IF(OR($A12="",$E12="",$F12="",$G12="",$I12=""),"Faltan datos obligatorios",IF(COUNTIF($A$2:$A$201,$A12)&gt;1,"ID lote duplicado",IF(AND($I12&lt;&gt;"En cartera",OR($J12="",$K12="")),"Falta fecha o precio de salida",IF(AND($J12&lt;&gt;"",$J12&lt;$E12),"Salida anterior a entrada",IF(AND($I12="En cartera",$M12=""),"OK (sin precio actual)","OK"))))))</f>
        <v/>
      </c>
    </row>
    <row r="13" customFormat="false" ht="15" hidden="false" customHeight="true" outlineLevel="0" collapsed="false">
      <c r="A13" s="7"/>
      <c r="B13" s="7"/>
      <c r="C13" s="7"/>
      <c r="D13" s="5"/>
      <c r="E13" s="6"/>
      <c r="F13" s="5"/>
      <c r="G13" s="8"/>
      <c r="H13" s="9"/>
      <c r="I13" s="7"/>
      <c r="J13" s="6"/>
      <c r="K13" s="8"/>
      <c r="L13" s="9"/>
      <c r="M13" s="8"/>
      <c r="N13" s="7"/>
      <c r="O13" s="12" t="str">
        <f aca="false">IF($B13="","",N($F13)*N($G13)+N($H13))</f>
        <v/>
      </c>
      <c r="P13" s="11" t="str">
        <f aca="true">IF(OR($B13="",$E13=""),"",IF($J13&lt;&gt;"",$J13,TODAY())-$E13)</f>
        <v/>
      </c>
      <c r="Q13" s="12" t="str">
        <f aca="false">IF(OR($B13="",$I13="",$I13="En cartera"),"",($K13-$G13)*$F13-N($H13)-N($L13))</f>
        <v/>
      </c>
      <c r="R13" s="12" t="str">
        <f aca="false">IF(OR($B13="",$I13&lt;&gt;"En cartera",$M13=""),"",($M13-$G13)*$F13-N($H13))</f>
        <v/>
      </c>
      <c r="S13" s="12" t="str">
        <f aca="false">IF($B13="","",SUMIFS(Dividendos!$I$2:$I$301,Dividendos!$C$2:$C$301,$A13))</f>
        <v/>
      </c>
      <c r="T13" s="12" t="str">
        <f aca="false">IF($B13="","",SUMIFS(Operaciones!$AE$2:$AE$1001,Operaciones!$R$2:$R$1001,$A13))</f>
        <v/>
      </c>
      <c r="U13" s="12" t="str">
        <f aca="false">IF($B13="","",N($Q13)+$S13+$T13)</f>
        <v/>
      </c>
      <c r="V13" s="13" t="str">
        <f aca="false">IF(OR($B13="",N($F13)=0),"",(N($F13)*N($G13)-$S13-$T13)/$F13)</f>
        <v/>
      </c>
      <c r="W13" s="14" t="str">
        <f aca="false">IF(OR($B13="",N($F13)*N($G13)=0),"",$U13/($F13*$G13))</f>
        <v/>
      </c>
      <c r="X13" s="14" t="str">
        <f aca="false">IF(OR($W13="",$P13=""),"",$W13*365/MAX($P13,1))</f>
        <v/>
      </c>
      <c r="Y13" s="10" t="str">
        <f aca="false">IF($B13="","",IF(OR($A13="",$E13="",$F13="",$G13="",$I13=""),"Faltan datos obligatorios",IF(COUNTIF($A$2:$A$201,$A13)&gt;1,"ID lote duplicado",IF(AND($I13&lt;&gt;"En cartera",OR($J13="",$K13="")),"Falta fecha o precio de salida",IF(AND($J13&lt;&gt;"",$J13&lt;$E13),"Salida anterior a entrada",IF(AND($I13="En cartera",$M13=""),"OK (sin precio actual)","OK"))))))</f>
        <v/>
      </c>
    </row>
    <row r="14" customFormat="false" ht="15" hidden="false" customHeight="true" outlineLevel="0" collapsed="false">
      <c r="A14" s="7"/>
      <c r="B14" s="7"/>
      <c r="C14" s="7"/>
      <c r="D14" s="5"/>
      <c r="E14" s="6"/>
      <c r="F14" s="5"/>
      <c r="G14" s="8"/>
      <c r="H14" s="9"/>
      <c r="I14" s="7"/>
      <c r="J14" s="6"/>
      <c r="K14" s="8"/>
      <c r="L14" s="9"/>
      <c r="M14" s="8"/>
      <c r="N14" s="7"/>
      <c r="O14" s="12" t="str">
        <f aca="false">IF($B14="","",N($F14)*N($G14)+N($H14))</f>
        <v/>
      </c>
      <c r="P14" s="11" t="str">
        <f aca="true">IF(OR($B14="",$E14=""),"",IF($J14&lt;&gt;"",$J14,TODAY())-$E14)</f>
        <v/>
      </c>
      <c r="Q14" s="12" t="str">
        <f aca="false">IF(OR($B14="",$I14="",$I14="En cartera"),"",($K14-$G14)*$F14-N($H14)-N($L14))</f>
        <v/>
      </c>
      <c r="R14" s="12" t="str">
        <f aca="false">IF(OR($B14="",$I14&lt;&gt;"En cartera",$M14=""),"",($M14-$G14)*$F14-N($H14))</f>
        <v/>
      </c>
      <c r="S14" s="12" t="str">
        <f aca="false">IF($B14="","",SUMIFS(Dividendos!$I$2:$I$301,Dividendos!$C$2:$C$301,$A14))</f>
        <v/>
      </c>
      <c r="T14" s="12" t="str">
        <f aca="false">IF($B14="","",SUMIFS(Operaciones!$AE$2:$AE$1001,Operaciones!$R$2:$R$1001,$A14))</f>
        <v/>
      </c>
      <c r="U14" s="12" t="str">
        <f aca="false">IF($B14="","",N($Q14)+$S14+$T14)</f>
        <v/>
      </c>
      <c r="V14" s="13" t="str">
        <f aca="false">IF(OR($B14="",N($F14)=0),"",(N($F14)*N($G14)-$S14-$T14)/$F14)</f>
        <v/>
      </c>
      <c r="W14" s="14" t="str">
        <f aca="false">IF(OR($B14="",N($F14)*N($G14)=0),"",$U14/($F14*$G14))</f>
        <v/>
      </c>
      <c r="X14" s="14" t="str">
        <f aca="false">IF(OR($W14="",$P14=""),"",$W14*365/MAX($P14,1))</f>
        <v/>
      </c>
      <c r="Y14" s="10" t="str">
        <f aca="false">IF($B14="","",IF(OR($A14="",$E14="",$F14="",$G14="",$I14=""),"Faltan datos obligatorios",IF(COUNTIF($A$2:$A$201,$A14)&gt;1,"ID lote duplicado",IF(AND($I14&lt;&gt;"En cartera",OR($J14="",$K14="")),"Falta fecha o precio de salida",IF(AND($J14&lt;&gt;"",$J14&lt;$E14),"Salida anterior a entrada",IF(AND($I14="En cartera",$M14=""),"OK (sin precio actual)","OK"))))))</f>
        <v/>
      </c>
    </row>
    <row r="15" customFormat="false" ht="15" hidden="false" customHeight="true" outlineLevel="0" collapsed="false">
      <c r="A15" s="7"/>
      <c r="B15" s="7"/>
      <c r="C15" s="7"/>
      <c r="D15" s="5"/>
      <c r="E15" s="6"/>
      <c r="F15" s="5"/>
      <c r="G15" s="8"/>
      <c r="H15" s="9"/>
      <c r="I15" s="7"/>
      <c r="J15" s="6"/>
      <c r="K15" s="8"/>
      <c r="L15" s="9"/>
      <c r="M15" s="8"/>
      <c r="N15" s="7"/>
      <c r="O15" s="12" t="str">
        <f aca="false">IF($B15="","",N($F15)*N($G15)+N($H15))</f>
        <v/>
      </c>
      <c r="P15" s="11" t="str">
        <f aca="true">IF(OR($B15="",$E15=""),"",IF($J15&lt;&gt;"",$J15,TODAY())-$E15)</f>
        <v/>
      </c>
      <c r="Q15" s="12" t="str">
        <f aca="false">IF(OR($B15="",$I15="",$I15="En cartera"),"",($K15-$G15)*$F15-N($H15)-N($L15))</f>
        <v/>
      </c>
      <c r="R15" s="12" t="str">
        <f aca="false">IF(OR($B15="",$I15&lt;&gt;"En cartera",$M15=""),"",($M15-$G15)*$F15-N($H15))</f>
        <v/>
      </c>
      <c r="S15" s="12" t="str">
        <f aca="false">IF($B15="","",SUMIFS(Dividendos!$I$2:$I$301,Dividendos!$C$2:$C$301,$A15))</f>
        <v/>
      </c>
      <c r="T15" s="12" t="str">
        <f aca="false">IF($B15="","",SUMIFS(Operaciones!$AE$2:$AE$1001,Operaciones!$R$2:$R$1001,$A15))</f>
        <v/>
      </c>
      <c r="U15" s="12" t="str">
        <f aca="false">IF($B15="","",N($Q15)+$S15+$T15)</f>
        <v/>
      </c>
      <c r="V15" s="13" t="str">
        <f aca="false">IF(OR($B15="",N($F15)=0),"",(N($F15)*N($G15)-$S15-$T15)/$F15)</f>
        <v/>
      </c>
      <c r="W15" s="14" t="str">
        <f aca="false">IF(OR($B15="",N($F15)*N($G15)=0),"",$U15/($F15*$G15))</f>
        <v/>
      </c>
      <c r="X15" s="14" t="str">
        <f aca="false">IF(OR($W15="",$P15=""),"",$W15*365/MAX($P15,1))</f>
        <v/>
      </c>
      <c r="Y15" s="10" t="str">
        <f aca="false">IF($B15="","",IF(OR($A15="",$E15="",$F15="",$G15="",$I15=""),"Faltan datos obligatorios",IF(COUNTIF($A$2:$A$201,$A15)&gt;1,"ID lote duplicado",IF(AND($I15&lt;&gt;"En cartera",OR($J15="",$K15="")),"Falta fecha o precio de salida",IF(AND($J15&lt;&gt;"",$J15&lt;$E15),"Salida anterior a entrada",IF(AND($I15="En cartera",$M15=""),"OK (sin precio actual)","OK"))))))</f>
        <v/>
      </c>
    </row>
    <row r="16" customFormat="false" ht="15" hidden="false" customHeight="true" outlineLevel="0" collapsed="false">
      <c r="A16" s="7"/>
      <c r="B16" s="7"/>
      <c r="C16" s="7"/>
      <c r="D16" s="5"/>
      <c r="E16" s="6"/>
      <c r="F16" s="5"/>
      <c r="G16" s="8"/>
      <c r="H16" s="9"/>
      <c r="I16" s="7"/>
      <c r="J16" s="6"/>
      <c r="K16" s="8"/>
      <c r="L16" s="9"/>
      <c r="M16" s="8"/>
      <c r="N16" s="7"/>
      <c r="O16" s="12" t="str">
        <f aca="false">IF($B16="","",N($F16)*N($G16)+N($H16))</f>
        <v/>
      </c>
      <c r="P16" s="11" t="str">
        <f aca="true">IF(OR($B16="",$E16=""),"",IF($J16&lt;&gt;"",$J16,TODAY())-$E16)</f>
        <v/>
      </c>
      <c r="Q16" s="12" t="str">
        <f aca="false">IF(OR($B16="",$I16="",$I16="En cartera"),"",($K16-$G16)*$F16-N($H16)-N($L16))</f>
        <v/>
      </c>
      <c r="R16" s="12" t="str">
        <f aca="false">IF(OR($B16="",$I16&lt;&gt;"En cartera",$M16=""),"",($M16-$G16)*$F16-N($H16))</f>
        <v/>
      </c>
      <c r="S16" s="12" t="str">
        <f aca="false">IF($B16="","",SUMIFS(Dividendos!$I$2:$I$301,Dividendos!$C$2:$C$301,$A16))</f>
        <v/>
      </c>
      <c r="T16" s="12" t="str">
        <f aca="false">IF($B16="","",SUMIFS(Operaciones!$AE$2:$AE$1001,Operaciones!$R$2:$R$1001,$A16))</f>
        <v/>
      </c>
      <c r="U16" s="12" t="str">
        <f aca="false">IF($B16="","",N($Q16)+$S16+$T16)</f>
        <v/>
      </c>
      <c r="V16" s="13" t="str">
        <f aca="false">IF(OR($B16="",N($F16)=0),"",(N($F16)*N($G16)-$S16-$T16)/$F16)</f>
        <v/>
      </c>
      <c r="W16" s="14" t="str">
        <f aca="false">IF(OR($B16="",N($F16)*N($G16)=0),"",$U16/($F16*$G16))</f>
        <v/>
      </c>
      <c r="X16" s="14" t="str">
        <f aca="false">IF(OR($W16="",$P16=""),"",$W16*365/MAX($P16,1))</f>
        <v/>
      </c>
      <c r="Y16" s="10" t="str">
        <f aca="false">IF($B16="","",IF(OR($A16="",$E16="",$F16="",$G16="",$I16=""),"Faltan datos obligatorios",IF(COUNTIF($A$2:$A$201,$A16)&gt;1,"ID lote duplicado",IF(AND($I16&lt;&gt;"En cartera",OR($J16="",$K16="")),"Falta fecha o precio de salida",IF(AND($J16&lt;&gt;"",$J16&lt;$E16),"Salida anterior a entrada",IF(AND($I16="En cartera",$M16=""),"OK (sin precio actual)","OK"))))))</f>
        <v/>
      </c>
    </row>
    <row r="17" customFormat="false" ht="15" hidden="false" customHeight="true" outlineLevel="0" collapsed="false">
      <c r="A17" s="7"/>
      <c r="B17" s="7"/>
      <c r="C17" s="7"/>
      <c r="D17" s="5"/>
      <c r="E17" s="6"/>
      <c r="F17" s="5"/>
      <c r="G17" s="8"/>
      <c r="H17" s="9"/>
      <c r="I17" s="7"/>
      <c r="J17" s="6"/>
      <c r="K17" s="8"/>
      <c r="L17" s="9"/>
      <c r="M17" s="8"/>
      <c r="N17" s="7"/>
      <c r="O17" s="12" t="str">
        <f aca="false">IF($B17="","",N($F17)*N($G17)+N($H17))</f>
        <v/>
      </c>
      <c r="P17" s="11" t="str">
        <f aca="true">IF(OR($B17="",$E17=""),"",IF($J17&lt;&gt;"",$J17,TODAY())-$E17)</f>
        <v/>
      </c>
      <c r="Q17" s="12" t="str">
        <f aca="false">IF(OR($B17="",$I17="",$I17="En cartera"),"",($K17-$G17)*$F17-N($H17)-N($L17))</f>
        <v/>
      </c>
      <c r="R17" s="12" t="str">
        <f aca="false">IF(OR($B17="",$I17&lt;&gt;"En cartera",$M17=""),"",($M17-$G17)*$F17-N($H17))</f>
        <v/>
      </c>
      <c r="S17" s="12" t="str">
        <f aca="false">IF($B17="","",SUMIFS(Dividendos!$I$2:$I$301,Dividendos!$C$2:$C$301,$A17))</f>
        <v/>
      </c>
      <c r="T17" s="12" t="str">
        <f aca="false">IF($B17="","",SUMIFS(Operaciones!$AE$2:$AE$1001,Operaciones!$R$2:$R$1001,$A17))</f>
        <v/>
      </c>
      <c r="U17" s="12" t="str">
        <f aca="false">IF($B17="","",N($Q17)+$S17+$T17)</f>
        <v/>
      </c>
      <c r="V17" s="13" t="str">
        <f aca="false">IF(OR($B17="",N($F17)=0),"",(N($F17)*N($G17)-$S17-$T17)/$F17)</f>
        <v/>
      </c>
      <c r="W17" s="14" t="str">
        <f aca="false">IF(OR($B17="",N($F17)*N($G17)=0),"",$U17/($F17*$G17))</f>
        <v/>
      </c>
      <c r="X17" s="14" t="str">
        <f aca="false">IF(OR($W17="",$P17=""),"",$W17*365/MAX($P17,1))</f>
        <v/>
      </c>
      <c r="Y17" s="10" t="str">
        <f aca="false">IF($B17="","",IF(OR($A17="",$E17="",$F17="",$G17="",$I17=""),"Faltan datos obligatorios",IF(COUNTIF($A$2:$A$201,$A17)&gt;1,"ID lote duplicado",IF(AND($I17&lt;&gt;"En cartera",OR($J17="",$K17="")),"Falta fecha o precio de salida",IF(AND($J17&lt;&gt;"",$J17&lt;$E17),"Salida anterior a entrada",IF(AND($I17="En cartera",$M17=""),"OK (sin precio actual)","OK"))))))</f>
        <v/>
      </c>
    </row>
    <row r="18" customFormat="false" ht="15" hidden="false" customHeight="true" outlineLevel="0" collapsed="false">
      <c r="A18" s="7"/>
      <c r="B18" s="7"/>
      <c r="C18" s="7"/>
      <c r="D18" s="5"/>
      <c r="E18" s="6"/>
      <c r="F18" s="5"/>
      <c r="G18" s="8"/>
      <c r="H18" s="9"/>
      <c r="I18" s="7"/>
      <c r="J18" s="6"/>
      <c r="K18" s="8"/>
      <c r="L18" s="9"/>
      <c r="M18" s="8"/>
      <c r="N18" s="7"/>
      <c r="O18" s="12" t="str">
        <f aca="false">IF($B18="","",N($F18)*N($G18)+N($H18))</f>
        <v/>
      </c>
      <c r="P18" s="11" t="str">
        <f aca="true">IF(OR($B18="",$E18=""),"",IF($J18&lt;&gt;"",$J18,TODAY())-$E18)</f>
        <v/>
      </c>
      <c r="Q18" s="12" t="str">
        <f aca="false">IF(OR($B18="",$I18="",$I18="En cartera"),"",($K18-$G18)*$F18-N($H18)-N($L18))</f>
        <v/>
      </c>
      <c r="R18" s="12" t="str">
        <f aca="false">IF(OR($B18="",$I18&lt;&gt;"En cartera",$M18=""),"",($M18-$G18)*$F18-N($H18))</f>
        <v/>
      </c>
      <c r="S18" s="12" t="str">
        <f aca="false">IF($B18="","",SUMIFS(Dividendos!$I$2:$I$301,Dividendos!$C$2:$C$301,$A18))</f>
        <v/>
      </c>
      <c r="T18" s="12" t="str">
        <f aca="false">IF($B18="","",SUMIFS(Operaciones!$AE$2:$AE$1001,Operaciones!$R$2:$R$1001,$A18))</f>
        <v/>
      </c>
      <c r="U18" s="12" t="str">
        <f aca="false">IF($B18="","",N($Q18)+$S18+$T18)</f>
        <v/>
      </c>
      <c r="V18" s="13" t="str">
        <f aca="false">IF(OR($B18="",N($F18)=0),"",(N($F18)*N($G18)-$S18-$T18)/$F18)</f>
        <v/>
      </c>
      <c r="W18" s="14" t="str">
        <f aca="false">IF(OR($B18="",N($F18)*N($G18)=0),"",$U18/($F18*$G18))</f>
        <v/>
      </c>
      <c r="X18" s="14" t="str">
        <f aca="false">IF(OR($W18="",$P18=""),"",$W18*365/MAX($P18,1))</f>
        <v/>
      </c>
      <c r="Y18" s="10" t="str">
        <f aca="false">IF($B18="","",IF(OR($A18="",$E18="",$F18="",$G18="",$I18=""),"Faltan datos obligatorios",IF(COUNTIF($A$2:$A$201,$A18)&gt;1,"ID lote duplicado",IF(AND($I18&lt;&gt;"En cartera",OR($J18="",$K18="")),"Falta fecha o precio de salida",IF(AND($J18&lt;&gt;"",$J18&lt;$E18),"Salida anterior a entrada",IF(AND($I18="En cartera",$M18=""),"OK (sin precio actual)","OK"))))))</f>
        <v/>
      </c>
    </row>
    <row r="19" customFormat="false" ht="15" hidden="false" customHeight="true" outlineLevel="0" collapsed="false">
      <c r="A19" s="7"/>
      <c r="B19" s="7"/>
      <c r="C19" s="7"/>
      <c r="D19" s="5"/>
      <c r="E19" s="6"/>
      <c r="F19" s="5"/>
      <c r="G19" s="8"/>
      <c r="H19" s="9"/>
      <c r="I19" s="7"/>
      <c r="J19" s="6"/>
      <c r="K19" s="8"/>
      <c r="L19" s="9"/>
      <c r="M19" s="8"/>
      <c r="N19" s="7"/>
      <c r="O19" s="12" t="str">
        <f aca="false">IF($B19="","",N($F19)*N($G19)+N($H19))</f>
        <v/>
      </c>
      <c r="P19" s="11" t="str">
        <f aca="true">IF(OR($B19="",$E19=""),"",IF($J19&lt;&gt;"",$J19,TODAY())-$E19)</f>
        <v/>
      </c>
      <c r="Q19" s="12" t="str">
        <f aca="false">IF(OR($B19="",$I19="",$I19="En cartera"),"",($K19-$G19)*$F19-N($H19)-N($L19))</f>
        <v/>
      </c>
      <c r="R19" s="12" t="str">
        <f aca="false">IF(OR($B19="",$I19&lt;&gt;"En cartera",$M19=""),"",($M19-$G19)*$F19-N($H19))</f>
        <v/>
      </c>
      <c r="S19" s="12" t="str">
        <f aca="false">IF($B19="","",SUMIFS(Dividendos!$I$2:$I$301,Dividendos!$C$2:$C$301,$A19))</f>
        <v/>
      </c>
      <c r="T19" s="12" t="str">
        <f aca="false">IF($B19="","",SUMIFS(Operaciones!$AE$2:$AE$1001,Operaciones!$R$2:$R$1001,$A19))</f>
        <v/>
      </c>
      <c r="U19" s="12" t="str">
        <f aca="false">IF($B19="","",N($Q19)+$S19+$T19)</f>
        <v/>
      </c>
      <c r="V19" s="13" t="str">
        <f aca="false">IF(OR($B19="",N($F19)=0),"",(N($F19)*N($G19)-$S19-$T19)/$F19)</f>
        <v/>
      </c>
      <c r="W19" s="14" t="str">
        <f aca="false">IF(OR($B19="",N($F19)*N($G19)=0),"",$U19/($F19*$G19))</f>
        <v/>
      </c>
      <c r="X19" s="14" t="str">
        <f aca="false">IF(OR($W19="",$P19=""),"",$W19*365/MAX($P19,1))</f>
        <v/>
      </c>
      <c r="Y19" s="10" t="str">
        <f aca="false">IF($B19="","",IF(OR($A19="",$E19="",$F19="",$G19="",$I19=""),"Faltan datos obligatorios",IF(COUNTIF($A$2:$A$201,$A19)&gt;1,"ID lote duplicado",IF(AND($I19&lt;&gt;"En cartera",OR($J19="",$K19="")),"Falta fecha o precio de salida",IF(AND($J19&lt;&gt;"",$J19&lt;$E19),"Salida anterior a entrada",IF(AND($I19="En cartera",$M19=""),"OK (sin precio actual)","OK"))))))</f>
        <v/>
      </c>
    </row>
    <row r="20" customFormat="false" ht="15" hidden="false" customHeight="true" outlineLevel="0" collapsed="false">
      <c r="A20" s="7"/>
      <c r="B20" s="7"/>
      <c r="C20" s="7"/>
      <c r="D20" s="5"/>
      <c r="E20" s="6"/>
      <c r="F20" s="5"/>
      <c r="G20" s="8"/>
      <c r="H20" s="9"/>
      <c r="I20" s="7"/>
      <c r="J20" s="6"/>
      <c r="K20" s="8"/>
      <c r="L20" s="9"/>
      <c r="M20" s="8"/>
      <c r="N20" s="7"/>
      <c r="O20" s="12" t="str">
        <f aca="false">IF($B20="","",N($F20)*N($G20)+N($H20))</f>
        <v/>
      </c>
      <c r="P20" s="11" t="str">
        <f aca="true">IF(OR($B20="",$E20=""),"",IF($J20&lt;&gt;"",$J20,TODAY())-$E20)</f>
        <v/>
      </c>
      <c r="Q20" s="12" t="str">
        <f aca="false">IF(OR($B20="",$I20="",$I20="En cartera"),"",($K20-$G20)*$F20-N($H20)-N($L20))</f>
        <v/>
      </c>
      <c r="R20" s="12" t="str">
        <f aca="false">IF(OR($B20="",$I20&lt;&gt;"En cartera",$M20=""),"",($M20-$G20)*$F20-N($H20))</f>
        <v/>
      </c>
      <c r="S20" s="12" t="str">
        <f aca="false">IF($B20="","",SUMIFS(Dividendos!$I$2:$I$301,Dividendos!$C$2:$C$301,$A20))</f>
        <v/>
      </c>
      <c r="T20" s="12" t="str">
        <f aca="false">IF($B20="","",SUMIFS(Operaciones!$AE$2:$AE$1001,Operaciones!$R$2:$R$1001,$A20))</f>
        <v/>
      </c>
      <c r="U20" s="12" t="str">
        <f aca="false">IF($B20="","",N($Q20)+$S20+$T20)</f>
        <v/>
      </c>
      <c r="V20" s="13" t="str">
        <f aca="false">IF(OR($B20="",N($F20)=0),"",(N($F20)*N($G20)-$S20-$T20)/$F20)</f>
        <v/>
      </c>
      <c r="W20" s="14" t="str">
        <f aca="false">IF(OR($B20="",N($F20)*N($G20)=0),"",$U20/($F20*$G20))</f>
        <v/>
      </c>
      <c r="X20" s="14" t="str">
        <f aca="false">IF(OR($W20="",$P20=""),"",$W20*365/MAX($P20,1))</f>
        <v/>
      </c>
      <c r="Y20" s="10" t="str">
        <f aca="false">IF($B20="","",IF(OR($A20="",$E20="",$F20="",$G20="",$I20=""),"Faltan datos obligatorios",IF(COUNTIF($A$2:$A$201,$A20)&gt;1,"ID lote duplicado",IF(AND($I20&lt;&gt;"En cartera",OR($J20="",$K20="")),"Falta fecha o precio de salida",IF(AND($J20&lt;&gt;"",$J20&lt;$E20),"Salida anterior a entrada",IF(AND($I20="En cartera",$M20=""),"OK (sin precio actual)","OK"))))))</f>
        <v/>
      </c>
    </row>
    <row r="21" customFormat="false" ht="15" hidden="false" customHeight="true" outlineLevel="0" collapsed="false">
      <c r="A21" s="7"/>
      <c r="B21" s="7"/>
      <c r="C21" s="7"/>
      <c r="D21" s="5"/>
      <c r="E21" s="6"/>
      <c r="F21" s="5"/>
      <c r="G21" s="8"/>
      <c r="H21" s="9"/>
      <c r="I21" s="7"/>
      <c r="J21" s="6"/>
      <c r="K21" s="8"/>
      <c r="L21" s="9"/>
      <c r="M21" s="8"/>
      <c r="N21" s="7"/>
      <c r="O21" s="12" t="str">
        <f aca="false">IF($B21="","",N($F21)*N($G21)+N($H21))</f>
        <v/>
      </c>
      <c r="P21" s="11" t="str">
        <f aca="true">IF(OR($B21="",$E21=""),"",IF($J21&lt;&gt;"",$J21,TODAY())-$E21)</f>
        <v/>
      </c>
      <c r="Q21" s="12" t="str">
        <f aca="false">IF(OR($B21="",$I21="",$I21="En cartera"),"",($K21-$G21)*$F21-N($H21)-N($L21))</f>
        <v/>
      </c>
      <c r="R21" s="12" t="str">
        <f aca="false">IF(OR($B21="",$I21&lt;&gt;"En cartera",$M21=""),"",($M21-$G21)*$F21-N($H21))</f>
        <v/>
      </c>
      <c r="S21" s="12" t="str">
        <f aca="false">IF($B21="","",SUMIFS(Dividendos!$I$2:$I$301,Dividendos!$C$2:$C$301,$A21))</f>
        <v/>
      </c>
      <c r="T21" s="12" t="str">
        <f aca="false">IF($B21="","",SUMIFS(Operaciones!$AE$2:$AE$1001,Operaciones!$R$2:$R$1001,$A21))</f>
        <v/>
      </c>
      <c r="U21" s="12" t="str">
        <f aca="false">IF($B21="","",N($Q21)+$S21+$T21)</f>
        <v/>
      </c>
      <c r="V21" s="13" t="str">
        <f aca="false">IF(OR($B21="",N($F21)=0),"",(N($F21)*N($G21)-$S21-$T21)/$F21)</f>
        <v/>
      </c>
      <c r="W21" s="14" t="str">
        <f aca="false">IF(OR($B21="",N($F21)*N($G21)=0),"",$U21/($F21*$G21))</f>
        <v/>
      </c>
      <c r="X21" s="14" t="str">
        <f aca="false">IF(OR($W21="",$P21=""),"",$W21*365/MAX($P21,1))</f>
        <v/>
      </c>
      <c r="Y21" s="10" t="str">
        <f aca="false">IF($B21="","",IF(OR($A21="",$E21="",$F21="",$G21="",$I21=""),"Faltan datos obligatorios",IF(COUNTIF($A$2:$A$201,$A21)&gt;1,"ID lote duplicado",IF(AND($I21&lt;&gt;"En cartera",OR($J21="",$K21="")),"Falta fecha o precio de salida",IF(AND($J21&lt;&gt;"",$J21&lt;$E21),"Salida anterior a entrada",IF(AND($I21="En cartera",$M21=""),"OK (sin precio actual)","OK"))))))</f>
        <v/>
      </c>
    </row>
    <row r="22" customFormat="false" ht="15" hidden="false" customHeight="true" outlineLevel="0" collapsed="false">
      <c r="A22" s="7"/>
      <c r="B22" s="7"/>
      <c r="C22" s="7"/>
      <c r="D22" s="5"/>
      <c r="E22" s="6"/>
      <c r="F22" s="5"/>
      <c r="G22" s="8"/>
      <c r="H22" s="9"/>
      <c r="I22" s="7"/>
      <c r="J22" s="6"/>
      <c r="K22" s="8"/>
      <c r="L22" s="9"/>
      <c r="M22" s="8"/>
      <c r="N22" s="7"/>
      <c r="O22" s="12" t="str">
        <f aca="false">IF($B22="","",N($F22)*N($G22)+N($H22))</f>
        <v/>
      </c>
      <c r="P22" s="11" t="str">
        <f aca="true">IF(OR($B22="",$E22=""),"",IF($J22&lt;&gt;"",$J22,TODAY())-$E22)</f>
        <v/>
      </c>
      <c r="Q22" s="12" t="str">
        <f aca="false">IF(OR($B22="",$I22="",$I22="En cartera"),"",($K22-$G22)*$F22-N($H22)-N($L22))</f>
        <v/>
      </c>
      <c r="R22" s="12" t="str">
        <f aca="false">IF(OR($B22="",$I22&lt;&gt;"En cartera",$M22=""),"",($M22-$G22)*$F22-N($H22))</f>
        <v/>
      </c>
      <c r="S22" s="12" t="str">
        <f aca="false">IF($B22="","",SUMIFS(Dividendos!$I$2:$I$301,Dividendos!$C$2:$C$301,$A22))</f>
        <v/>
      </c>
      <c r="T22" s="12" t="str">
        <f aca="false">IF($B22="","",SUMIFS(Operaciones!$AE$2:$AE$1001,Operaciones!$R$2:$R$1001,$A22))</f>
        <v/>
      </c>
      <c r="U22" s="12" t="str">
        <f aca="false">IF($B22="","",N($Q22)+$S22+$T22)</f>
        <v/>
      </c>
      <c r="V22" s="13" t="str">
        <f aca="false">IF(OR($B22="",N($F22)=0),"",(N($F22)*N($G22)-$S22-$T22)/$F22)</f>
        <v/>
      </c>
      <c r="W22" s="14" t="str">
        <f aca="false">IF(OR($B22="",N($F22)*N($G22)=0),"",$U22/($F22*$G22))</f>
        <v/>
      </c>
      <c r="X22" s="14" t="str">
        <f aca="false">IF(OR($W22="",$P22=""),"",$W22*365/MAX($P22,1))</f>
        <v/>
      </c>
      <c r="Y22" s="10" t="str">
        <f aca="false">IF($B22="","",IF(OR($A22="",$E22="",$F22="",$G22="",$I22=""),"Faltan datos obligatorios",IF(COUNTIF($A$2:$A$201,$A22)&gt;1,"ID lote duplicado",IF(AND($I22&lt;&gt;"En cartera",OR($J22="",$K22="")),"Falta fecha o precio de salida",IF(AND($J22&lt;&gt;"",$J22&lt;$E22),"Salida anterior a entrada",IF(AND($I22="En cartera",$M22=""),"OK (sin precio actual)","OK"))))))</f>
        <v/>
      </c>
    </row>
    <row r="23" customFormat="false" ht="15" hidden="false" customHeight="true" outlineLevel="0" collapsed="false">
      <c r="A23" s="7"/>
      <c r="B23" s="7"/>
      <c r="C23" s="7"/>
      <c r="D23" s="5"/>
      <c r="E23" s="6"/>
      <c r="F23" s="5"/>
      <c r="G23" s="8"/>
      <c r="H23" s="9"/>
      <c r="I23" s="7"/>
      <c r="J23" s="6"/>
      <c r="K23" s="8"/>
      <c r="L23" s="9"/>
      <c r="M23" s="8"/>
      <c r="N23" s="7"/>
      <c r="O23" s="12" t="str">
        <f aca="false">IF($B23="","",N($F23)*N($G23)+N($H23))</f>
        <v/>
      </c>
      <c r="P23" s="11" t="str">
        <f aca="true">IF(OR($B23="",$E23=""),"",IF($J23&lt;&gt;"",$J23,TODAY())-$E23)</f>
        <v/>
      </c>
      <c r="Q23" s="12" t="str">
        <f aca="false">IF(OR($B23="",$I23="",$I23="En cartera"),"",($K23-$G23)*$F23-N($H23)-N($L23))</f>
        <v/>
      </c>
      <c r="R23" s="12" t="str">
        <f aca="false">IF(OR($B23="",$I23&lt;&gt;"En cartera",$M23=""),"",($M23-$G23)*$F23-N($H23))</f>
        <v/>
      </c>
      <c r="S23" s="12" t="str">
        <f aca="false">IF($B23="","",SUMIFS(Dividendos!$I$2:$I$301,Dividendos!$C$2:$C$301,$A23))</f>
        <v/>
      </c>
      <c r="T23" s="12" t="str">
        <f aca="false">IF($B23="","",SUMIFS(Operaciones!$AE$2:$AE$1001,Operaciones!$R$2:$R$1001,$A23))</f>
        <v/>
      </c>
      <c r="U23" s="12" t="str">
        <f aca="false">IF($B23="","",N($Q23)+$S23+$T23)</f>
        <v/>
      </c>
      <c r="V23" s="13" t="str">
        <f aca="false">IF(OR($B23="",N($F23)=0),"",(N($F23)*N($G23)-$S23-$T23)/$F23)</f>
        <v/>
      </c>
      <c r="W23" s="14" t="str">
        <f aca="false">IF(OR($B23="",N($F23)*N($G23)=0),"",$U23/($F23*$G23))</f>
        <v/>
      </c>
      <c r="X23" s="14" t="str">
        <f aca="false">IF(OR($W23="",$P23=""),"",$W23*365/MAX($P23,1))</f>
        <v/>
      </c>
      <c r="Y23" s="10" t="str">
        <f aca="false">IF($B23="","",IF(OR($A23="",$E23="",$F23="",$G23="",$I23=""),"Faltan datos obligatorios",IF(COUNTIF($A$2:$A$201,$A23)&gt;1,"ID lote duplicado",IF(AND($I23&lt;&gt;"En cartera",OR($J23="",$K23="")),"Falta fecha o precio de salida",IF(AND($J23&lt;&gt;"",$J23&lt;$E23),"Salida anterior a entrada",IF(AND($I23="En cartera",$M23=""),"OK (sin precio actual)","OK"))))))</f>
        <v/>
      </c>
    </row>
    <row r="24" customFormat="false" ht="15" hidden="false" customHeight="true" outlineLevel="0" collapsed="false">
      <c r="A24" s="7"/>
      <c r="B24" s="7"/>
      <c r="C24" s="7"/>
      <c r="D24" s="5"/>
      <c r="E24" s="6"/>
      <c r="F24" s="5"/>
      <c r="G24" s="8"/>
      <c r="H24" s="9"/>
      <c r="I24" s="7"/>
      <c r="J24" s="6"/>
      <c r="K24" s="8"/>
      <c r="L24" s="9"/>
      <c r="M24" s="8"/>
      <c r="N24" s="7"/>
      <c r="O24" s="12" t="str">
        <f aca="false">IF($B24="","",N($F24)*N($G24)+N($H24))</f>
        <v/>
      </c>
      <c r="P24" s="11" t="str">
        <f aca="true">IF(OR($B24="",$E24=""),"",IF($J24&lt;&gt;"",$J24,TODAY())-$E24)</f>
        <v/>
      </c>
      <c r="Q24" s="12" t="str">
        <f aca="false">IF(OR($B24="",$I24="",$I24="En cartera"),"",($K24-$G24)*$F24-N($H24)-N($L24))</f>
        <v/>
      </c>
      <c r="R24" s="12" t="str">
        <f aca="false">IF(OR($B24="",$I24&lt;&gt;"En cartera",$M24=""),"",($M24-$G24)*$F24-N($H24))</f>
        <v/>
      </c>
      <c r="S24" s="12" t="str">
        <f aca="false">IF($B24="","",SUMIFS(Dividendos!$I$2:$I$301,Dividendos!$C$2:$C$301,$A24))</f>
        <v/>
      </c>
      <c r="T24" s="12" t="str">
        <f aca="false">IF($B24="","",SUMIFS(Operaciones!$AE$2:$AE$1001,Operaciones!$R$2:$R$1001,$A24))</f>
        <v/>
      </c>
      <c r="U24" s="12" t="str">
        <f aca="false">IF($B24="","",N($Q24)+$S24+$T24)</f>
        <v/>
      </c>
      <c r="V24" s="13" t="str">
        <f aca="false">IF(OR($B24="",N($F24)=0),"",(N($F24)*N($G24)-$S24-$T24)/$F24)</f>
        <v/>
      </c>
      <c r="W24" s="14" t="str">
        <f aca="false">IF(OR($B24="",N($F24)*N($G24)=0),"",$U24/($F24*$G24))</f>
        <v/>
      </c>
      <c r="X24" s="14" t="str">
        <f aca="false">IF(OR($W24="",$P24=""),"",$W24*365/MAX($P24,1))</f>
        <v/>
      </c>
      <c r="Y24" s="10" t="str">
        <f aca="false">IF($B24="","",IF(OR($A24="",$E24="",$F24="",$G24="",$I24=""),"Faltan datos obligatorios",IF(COUNTIF($A$2:$A$201,$A24)&gt;1,"ID lote duplicado",IF(AND($I24&lt;&gt;"En cartera",OR($J24="",$K24="")),"Falta fecha o precio de salida",IF(AND($J24&lt;&gt;"",$J24&lt;$E24),"Salida anterior a entrada",IF(AND($I24="En cartera",$M24=""),"OK (sin precio actual)","OK"))))))</f>
        <v/>
      </c>
    </row>
    <row r="25" customFormat="false" ht="15" hidden="false" customHeight="true" outlineLevel="0" collapsed="false">
      <c r="A25" s="7"/>
      <c r="B25" s="7"/>
      <c r="C25" s="7"/>
      <c r="D25" s="5"/>
      <c r="E25" s="6"/>
      <c r="F25" s="5"/>
      <c r="G25" s="8"/>
      <c r="H25" s="9"/>
      <c r="I25" s="7"/>
      <c r="J25" s="6"/>
      <c r="K25" s="8"/>
      <c r="L25" s="9"/>
      <c r="M25" s="8"/>
      <c r="N25" s="7"/>
      <c r="O25" s="12" t="str">
        <f aca="false">IF($B25="","",N($F25)*N($G25)+N($H25))</f>
        <v/>
      </c>
      <c r="P25" s="11" t="str">
        <f aca="true">IF(OR($B25="",$E25=""),"",IF($J25&lt;&gt;"",$J25,TODAY())-$E25)</f>
        <v/>
      </c>
      <c r="Q25" s="12" t="str">
        <f aca="false">IF(OR($B25="",$I25="",$I25="En cartera"),"",($K25-$G25)*$F25-N($H25)-N($L25))</f>
        <v/>
      </c>
      <c r="R25" s="12" t="str">
        <f aca="false">IF(OR($B25="",$I25&lt;&gt;"En cartera",$M25=""),"",($M25-$G25)*$F25-N($H25))</f>
        <v/>
      </c>
      <c r="S25" s="12" t="str">
        <f aca="false">IF($B25="","",SUMIFS(Dividendos!$I$2:$I$301,Dividendos!$C$2:$C$301,$A25))</f>
        <v/>
      </c>
      <c r="T25" s="12" t="str">
        <f aca="false">IF($B25="","",SUMIFS(Operaciones!$AE$2:$AE$1001,Operaciones!$R$2:$R$1001,$A25))</f>
        <v/>
      </c>
      <c r="U25" s="12" t="str">
        <f aca="false">IF($B25="","",N($Q25)+$S25+$T25)</f>
        <v/>
      </c>
      <c r="V25" s="13" t="str">
        <f aca="false">IF(OR($B25="",N($F25)=0),"",(N($F25)*N($G25)-$S25-$T25)/$F25)</f>
        <v/>
      </c>
      <c r="W25" s="14" t="str">
        <f aca="false">IF(OR($B25="",N($F25)*N($G25)=0),"",$U25/($F25*$G25))</f>
        <v/>
      </c>
      <c r="X25" s="14" t="str">
        <f aca="false">IF(OR($W25="",$P25=""),"",$W25*365/MAX($P25,1))</f>
        <v/>
      </c>
      <c r="Y25" s="10" t="str">
        <f aca="false">IF($B25="","",IF(OR($A25="",$E25="",$F25="",$G25="",$I25=""),"Faltan datos obligatorios",IF(COUNTIF($A$2:$A$201,$A25)&gt;1,"ID lote duplicado",IF(AND($I25&lt;&gt;"En cartera",OR($J25="",$K25="")),"Falta fecha o precio de salida",IF(AND($J25&lt;&gt;"",$J25&lt;$E25),"Salida anterior a entrada",IF(AND($I25="En cartera",$M25=""),"OK (sin precio actual)","OK"))))))</f>
        <v/>
      </c>
    </row>
    <row r="26" customFormat="false" ht="15" hidden="false" customHeight="true" outlineLevel="0" collapsed="false">
      <c r="A26" s="7"/>
      <c r="B26" s="7"/>
      <c r="C26" s="7"/>
      <c r="D26" s="5"/>
      <c r="E26" s="6"/>
      <c r="F26" s="5"/>
      <c r="G26" s="8"/>
      <c r="H26" s="9"/>
      <c r="I26" s="7"/>
      <c r="J26" s="6"/>
      <c r="K26" s="8"/>
      <c r="L26" s="9"/>
      <c r="M26" s="8"/>
      <c r="N26" s="7"/>
      <c r="O26" s="12" t="str">
        <f aca="false">IF($B26="","",N($F26)*N($G26)+N($H26))</f>
        <v/>
      </c>
      <c r="P26" s="11" t="str">
        <f aca="true">IF(OR($B26="",$E26=""),"",IF($J26&lt;&gt;"",$J26,TODAY())-$E26)</f>
        <v/>
      </c>
      <c r="Q26" s="12" t="str">
        <f aca="false">IF(OR($B26="",$I26="",$I26="En cartera"),"",($K26-$G26)*$F26-N($H26)-N($L26))</f>
        <v/>
      </c>
      <c r="R26" s="12" t="str">
        <f aca="false">IF(OR($B26="",$I26&lt;&gt;"En cartera",$M26=""),"",($M26-$G26)*$F26-N($H26))</f>
        <v/>
      </c>
      <c r="S26" s="12" t="str">
        <f aca="false">IF($B26="","",SUMIFS(Dividendos!$I$2:$I$301,Dividendos!$C$2:$C$301,$A26))</f>
        <v/>
      </c>
      <c r="T26" s="12" t="str">
        <f aca="false">IF($B26="","",SUMIFS(Operaciones!$AE$2:$AE$1001,Operaciones!$R$2:$R$1001,$A26))</f>
        <v/>
      </c>
      <c r="U26" s="12" t="str">
        <f aca="false">IF($B26="","",N($Q26)+$S26+$T26)</f>
        <v/>
      </c>
      <c r="V26" s="13" t="str">
        <f aca="false">IF(OR($B26="",N($F26)=0),"",(N($F26)*N($G26)-$S26-$T26)/$F26)</f>
        <v/>
      </c>
      <c r="W26" s="14" t="str">
        <f aca="false">IF(OR($B26="",N($F26)*N($G26)=0),"",$U26/($F26*$G26))</f>
        <v/>
      </c>
      <c r="X26" s="14" t="str">
        <f aca="false">IF(OR($W26="",$P26=""),"",$W26*365/MAX($P26,1))</f>
        <v/>
      </c>
      <c r="Y26" s="10" t="str">
        <f aca="false">IF($B26="","",IF(OR($A26="",$E26="",$F26="",$G26="",$I26=""),"Faltan datos obligatorios",IF(COUNTIF($A$2:$A$201,$A26)&gt;1,"ID lote duplicado",IF(AND($I26&lt;&gt;"En cartera",OR($J26="",$K26="")),"Falta fecha o precio de salida",IF(AND($J26&lt;&gt;"",$J26&lt;$E26),"Salida anterior a entrada",IF(AND($I26="En cartera",$M26=""),"OK (sin precio actual)","OK"))))))</f>
        <v/>
      </c>
    </row>
    <row r="27" customFormat="false" ht="15" hidden="false" customHeight="true" outlineLevel="0" collapsed="false">
      <c r="A27" s="7"/>
      <c r="B27" s="7"/>
      <c r="C27" s="7"/>
      <c r="D27" s="5"/>
      <c r="E27" s="6"/>
      <c r="F27" s="5"/>
      <c r="G27" s="8"/>
      <c r="H27" s="9"/>
      <c r="I27" s="7"/>
      <c r="J27" s="6"/>
      <c r="K27" s="8"/>
      <c r="L27" s="9"/>
      <c r="M27" s="8"/>
      <c r="N27" s="7"/>
      <c r="O27" s="12" t="str">
        <f aca="false">IF($B27="","",N($F27)*N($G27)+N($H27))</f>
        <v/>
      </c>
      <c r="P27" s="11" t="str">
        <f aca="true">IF(OR($B27="",$E27=""),"",IF($J27&lt;&gt;"",$J27,TODAY())-$E27)</f>
        <v/>
      </c>
      <c r="Q27" s="12" t="str">
        <f aca="false">IF(OR($B27="",$I27="",$I27="En cartera"),"",($K27-$G27)*$F27-N($H27)-N($L27))</f>
        <v/>
      </c>
      <c r="R27" s="12" t="str">
        <f aca="false">IF(OR($B27="",$I27&lt;&gt;"En cartera",$M27=""),"",($M27-$G27)*$F27-N($H27))</f>
        <v/>
      </c>
      <c r="S27" s="12" t="str">
        <f aca="false">IF($B27="","",SUMIFS(Dividendos!$I$2:$I$301,Dividendos!$C$2:$C$301,$A27))</f>
        <v/>
      </c>
      <c r="T27" s="12" t="str">
        <f aca="false">IF($B27="","",SUMIFS(Operaciones!$AE$2:$AE$1001,Operaciones!$R$2:$R$1001,$A27))</f>
        <v/>
      </c>
      <c r="U27" s="12" t="str">
        <f aca="false">IF($B27="","",N($Q27)+$S27+$T27)</f>
        <v/>
      </c>
      <c r="V27" s="13" t="str">
        <f aca="false">IF(OR($B27="",N($F27)=0),"",(N($F27)*N($G27)-$S27-$T27)/$F27)</f>
        <v/>
      </c>
      <c r="W27" s="14" t="str">
        <f aca="false">IF(OR($B27="",N($F27)*N($G27)=0),"",$U27/($F27*$G27))</f>
        <v/>
      </c>
      <c r="X27" s="14" t="str">
        <f aca="false">IF(OR($W27="",$P27=""),"",$W27*365/MAX($P27,1))</f>
        <v/>
      </c>
      <c r="Y27" s="10" t="str">
        <f aca="false">IF($B27="","",IF(OR($A27="",$E27="",$F27="",$G27="",$I27=""),"Faltan datos obligatorios",IF(COUNTIF($A$2:$A$201,$A27)&gt;1,"ID lote duplicado",IF(AND($I27&lt;&gt;"En cartera",OR($J27="",$K27="")),"Falta fecha o precio de salida",IF(AND($J27&lt;&gt;"",$J27&lt;$E27),"Salida anterior a entrada",IF(AND($I27="En cartera",$M27=""),"OK (sin precio actual)","OK"))))))</f>
        <v/>
      </c>
    </row>
    <row r="28" customFormat="false" ht="15" hidden="false" customHeight="true" outlineLevel="0" collapsed="false">
      <c r="A28" s="7"/>
      <c r="B28" s="7"/>
      <c r="C28" s="7"/>
      <c r="D28" s="5"/>
      <c r="E28" s="6"/>
      <c r="F28" s="5"/>
      <c r="G28" s="8"/>
      <c r="H28" s="9"/>
      <c r="I28" s="7"/>
      <c r="J28" s="6"/>
      <c r="K28" s="8"/>
      <c r="L28" s="9"/>
      <c r="M28" s="8"/>
      <c r="N28" s="7"/>
      <c r="O28" s="12" t="str">
        <f aca="false">IF($B28="","",N($F28)*N($G28)+N($H28))</f>
        <v/>
      </c>
      <c r="P28" s="11" t="str">
        <f aca="true">IF(OR($B28="",$E28=""),"",IF($J28&lt;&gt;"",$J28,TODAY())-$E28)</f>
        <v/>
      </c>
      <c r="Q28" s="12" t="str">
        <f aca="false">IF(OR($B28="",$I28="",$I28="En cartera"),"",($K28-$G28)*$F28-N($H28)-N($L28))</f>
        <v/>
      </c>
      <c r="R28" s="12" t="str">
        <f aca="false">IF(OR($B28="",$I28&lt;&gt;"En cartera",$M28=""),"",($M28-$G28)*$F28-N($H28))</f>
        <v/>
      </c>
      <c r="S28" s="12" t="str">
        <f aca="false">IF($B28="","",SUMIFS(Dividendos!$I$2:$I$301,Dividendos!$C$2:$C$301,$A28))</f>
        <v/>
      </c>
      <c r="T28" s="12" t="str">
        <f aca="false">IF($B28="","",SUMIFS(Operaciones!$AE$2:$AE$1001,Operaciones!$R$2:$R$1001,$A28))</f>
        <v/>
      </c>
      <c r="U28" s="12" t="str">
        <f aca="false">IF($B28="","",N($Q28)+$S28+$T28)</f>
        <v/>
      </c>
      <c r="V28" s="13" t="str">
        <f aca="false">IF(OR($B28="",N($F28)=0),"",(N($F28)*N($G28)-$S28-$T28)/$F28)</f>
        <v/>
      </c>
      <c r="W28" s="14" t="str">
        <f aca="false">IF(OR($B28="",N($F28)*N($G28)=0),"",$U28/($F28*$G28))</f>
        <v/>
      </c>
      <c r="X28" s="14" t="str">
        <f aca="false">IF(OR($W28="",$P28=""),"",$W28*365/MAX($P28,1))</f>
        <v/>
      </c>
      <c r="Y28" s="10" t="str">
        <f aca="false">IF($B28="","",IF(OR($A28="",$E28="",$F28="",$G28="",$I28=""),"Faltan datos obligatorios",IF(COUNTIF($A$2:$A$201,$A28)&gt;1,"ID lote duplicado",IF(AND($I28&lt;&gt;"En cartera",OR($J28="",$K28="")),"Falta fecha o precio de salida",IF(AND($J28&lt;&gt;"",$J28&lt;$E28),"Salida anterior a entrada",IF(AND($I28="En cartera",$M28=""),"OK (sin precio actual)","OK"))))))</f>
        <v/>
      </c>
    </row>
    <row r="29" customFormat="false" ht="15" hidden="false" customHeight="true" outlineLevel="0" collapsed="false">
      <c r="A29" s="7"/>
      <c r="B29" s="7"/>
      <c r="C29" s="7"/>
      <c r="D29" s="5"/>
      <c r="E29" s="6"/>
      <c r="F29" s="5"/>
      <c r="G29" s="8"/>
      <c r="H29" s="9"/>
      <c r="I29" s="7"/>
      <c r="J29" s="6"/>
      <c r="K29" s="8"/>
      <c r="L29" s="9"/>
      <c r="M29" s="8"/>
      <c r="N29" s="7"/>
      <c r="O29" s="12" t="str">
        <f aca="false">IF($B29="","",N($F29)*N($G29)+N($H29))</f>
        <v/>
      </c>
      <c r="P29" s="11" t="str">
        <f aca="true">IF(OR($B29="",$E29=""),"",IF($J29&lt;&gt;"",$J29,TODAY())-$E29)</f>
        <v/>
      </c>
      <c r="Q29" s="12" t="str">
        <f aca="false">IF(OR($B29="",$I29="",$I29="En cartera"),"",($K29-$G29)*$F29-N($H29)-N($L29))</f>
        <v/>
      </c>
      <c r="R29" s="12" t="str">
        <f aca="false">IF(OR($B29="",$I29&lt;&gt;"En cartera",$M29=""),"",($M29-$G29)*$F29-N($H29))</f>
        <v/>
      </c>
      <c r="S29" s="12" t="str">
        <f aca="false">IF($B29="","",SUMIFS(Dividendos!$I$2:$I$301,Dividendos!$C$2:$C$301,$A29))</f>
        <v/>
      </c>
      <c r="T29" s="12" t="str">
        <f aca="false">IF($B29="","",SUMIFS(Operaciones!$AE$2:$AE$1001,Operaciones!$R$2:$R$1001,$A29))</f>
        <v/>
      </c>
      <c r="U29" s="12" t="str">
        <f aca="false">IF($B29="","",N($Q29)+$S29+$T29)</f>
        <v/>
      </c>
      <c r="V29" s="13" t="str">
        <f aca="false">IF(OR($B29="",N($F29)=0),"",(N($F29)*N($G29)-$S29-$T29)/$F29)</f>
        <v/>
      </c>
      <c r="W29" s="14" t="str">
        <f aca="false">IF(OR($B29="",N($F29)*N($G29)=0),"",$U29/($F29*$G29))</f>
        <v/>
      </c>
      <c r="X29" s="14" t="str">
        <f aca="false">IF(OR($W29="",$P29=""),"",$W29*365/MAX($P29,1))</f>
        <v/>
      </c>
      <c r="Y29" s="10" t="str">
        <f aca="false">IF($B29="","",IF(OR($A29="",$E29="",$F29="",$G29="",$I29=""),"Faltan datos obligatorios",IF(COUNTIF($A$2:$A$201,$A29)&gt;1,"ID lote duplicado",IF(AND($I29&lt;&gt;"En cartera",OR($J29="",$K29="")),"Falta fecha o precio de salida",IF(AND($J29&lt;&gt;"",$J29&lt;$E29),"Salida anterior a entrada",IF(AND($I29="En cartera",$M29=""),"OK (sin precio actual)","OK"))))))</f>
        <v/>
      </c>
    </row>
    <row r="30" customFormat="false" ht="15" hidden="false" customHeight="true" outlineLevel="0" collapsed="false">
      <c r="A30" s="7"/>
      <c r="B30" s="7"/>
      <c r="C30" s="7"/>
      <c r="D30" s="5"/>
      <c r="E30" s="6"/>
      <c r="F30" s="5"/>
      <c r="G30" s="8"/>
      <c r="H30" s="9"/>
      <c r="I30" s="7"/>
      <c r="J30" s="6"/>
      <c r="K30" s="8"/>
      <c r="L30" s="9"/>
      <c r="M30" s="8"/>
      <c r="N30" s="7"/>
      <c r="O30" s="12" t="str">
        <f aca="false">IF($B30="","",N($F30)*N($G30)+N($H30))</f>
        <v/>
      </c>
      <c r="P30" s="11" t="str">
        <f aca="true">IF(OR($B30="",$E30=""),"",IF($J30&lt;&gt;"",$J30,TODAY())-$E30)</f>
        <v/>
      </c>
      <c r="Q30" s="12" t="str">
        <f aca="false">IF(OR($B30="",$I30="",$I30="En cartera"),"",($K30-$G30)*$F30-N($H30)-N($L30))</f>
        <v/>
      </c>
      <c r="R30" s="12" t="str">
        <f aca="false">IF(OR($B30="",$I30&lt;&gt;"En cartera",$M30=""),"",($M30-$G30)*$F30-N($H30))</f>
        <v/>
      </c>
      <c r="S30" s="12" t="str">
        <f aca="false">IF($B30="","",SUMIFS(Dividendos!$I$2:$I$301,Dividendos!$C$2:$C$301,$A30))</f>
        <v/>
      </c>
      <c r="T30" s="12" t="str">
        <f aca="false">IF($B30="","",SUMIFS(Operaciones!$AE$2:$AE$1001,Operaciones!$R$2:$R$1001,$A30))</f>
        <v/>
      </c>
      <c r="U30" s="12" t="str">
        <f aca="false">IF($B30="","",N($Q30)+$S30+$T30)</f>
        <v/>
      </c>
      <c r="V30" s="13" t="str">
        <f aca="false">IF(OR($B30="",N($F30)=0),"",(N($F30)*N($G30)-$S30-$T30)/$F30)</f>
        <v/>
      </c>
      <c r="W30" s="14" t="str">
        <f aca="false">IF(OR($B30="",N($F30)*N($G30)=0),"",$U30/($F30*$G30))</f>
        <v/>
      </c>
      <c r="X30" s="14" t="str">
        <f aca="false">IF(OR($W30="",$P30=""),"",$W30*365/MAX($P30,1))</f>
        <v/>
      </c>
      <c r="Y30" s="10" t="str">
        <f aca="false">IF($B30="","",IF(OR($A30="",$E30="",$F30="",$G30="",$I30=""),"Faltan datos obligatorios",IF(COUNTIF($A$2:$A$201,$A30)&gt;1,"ID lote duplicado",IF(AND($I30&lt;&gt;"En cartera",OR($J30="",$K30="")),"Falta fecha o precio de salida",IF(AND($J30&lt;&gt;"",$J30&lt;$E30),"Salida anterior a entrada",IF(AND($I30="En cartera",$M30=""),"OK (sin precio actual)","OK"))))))</f>
        <v/>
      </c>
    </row>
    <row r="31" customFormat="false" ht="15" hidden="false" customHeight="true" outlineLevel="0" collapsed="false">
      <c r="A31" s="7"/>
      <c r="B31" s="7"/>
      <c r="C31" s="7"/>
      <c r="D31" s="5"/>
      <c r="E31" s="6"/>
      <c r="F31" s="5"/>
      <c r="G31" s="8"/>
      <c r="H31" s="9"/>
      <c r="I31" s="7"/>
      <c r="J31" s="6"/>
      <c r="K31" s="8"/>
      <c r="L31" s="9"/>
      <c r="M31" s="8"/>
      <c r="N31" s="7"/>
      <c r="O31" s="12" t="str">
        <f aca="false">IF($B31="","",N($F31)*N($G31)+N($H31))</f>
        <v/>
      </c>
      <c r="P31" s="11" t="str">
        <f aca="true">IF(OR($B31="",$E31=""),"",IF($J31&lt;&gt;"",$J31,TODAY())-$E31)</f>
        <v/>
      </c>
      <c r="Q31" s="12" t="str">
        <f aca="false">IF(OR($B31="",$I31="",$I31="En cartera"),"",($K31-$G31)*$F31-N($H31)-N($L31))</f>
        <v/>
      </c>
      <c r="R31" s="12" t="str">
        <f aca="false">IF(OR($B31="",$I31&lt;&gt;"En cartera",$M31=""),"",($M31-$G31)*$F31-N($H31))</f>
        <v/>
      </c>
      <c r="S31" s="12" t="str">
        <f aca="false">IF($B31="","",SUMIFS(Dividendos!$I$2:$I$301,Dividendos!$C$2:$C$301,$A31))</f>
        <v/>
      </c>
      <c r="T31" s="12" t="str">
        <f aca="false">IF($B31="","",SUMIFS(Operaciones!$AE$2:$AE$1001,Operaciones!$R$2:$R$1001,$A31))</f>
        <v/>
      </c>
      <c r="U31" s="12" t="str">
        <f aca="false">IF($B31="","",N($Q31)+$S31+$T31)</f>
        <v/>
      </c>
      <c r="V31" s="13" t="str">
        <f aca="false">IF(OR($B31="",N($F31)=0),"",(N($F31)*N($G31)-$S31-$T31)/$F31)</f>
        <v/>
      </c>
      <c r="W31" s="14" t="str">
        <f aca="false">IF(OR($B31="",N($F31)*N($G31)=0),"",$U31/($F31*$G31))</f>
        <v/>
      </c>
      <c r="X31" s="14" t="str">
        <f aca="false">IF(OR($W31="",$P31=""),"",$W31*365/MAX($P31,1))</f>
        <v/>
      </c>
      <c r="Y31" s="10" t="str">
        <f aca="false">IF($B31="","",IF(OR($A31="",$E31="",$F31="",$G31="",$I31=""),"Faltan datos obligatorios",IF(COUNTIF($A$2:$A$201,$A31)&gt;1,"ID lote duplicado",IF(AND($I31&lt;&gt;"En cartera",OR($J31="",$K31="")),"Falta fecha o precio de salida",IF(AND($J31&lt;&gt;"",$J31&lt;$E31),"Salida anterior a entrada",IF(AND($I31="En cartera",$M31=""),"OK (sin precio actual)","OK"))))))</f>
        <v/>
      </c>
    </row>
    <row r="32" customFormat="false" ht="15" hidden="false" customHeight="true" outlineLevel="0" collapsed="false">
      <c r="A32" s="7"/>
      <c r="B32" s="7"/>
      <c r="C32" s="7"/>
      <c r="D32" s="5"/>
      <c r="E32" s="6"/>
      <c r="F32" s="5"/>
      <c r="G32" s="8"/>
      <c r="H32" s="9"/>
      <c r="I32" s="7"/>
      <c r="J32" s="6"/>
      <c r="K32" s="8"/>
      <c r="L32" s="9"/>
      <c r="M32" s="8"/>
      <c r="N32" s="7"/>
      <c r="O32" s="12" t="str">
        <f aca="false">IF($B32="","",N($F32)*N($G32)+N($H32))</f>
        <v/>
      </c>
      <c r="P32" s="11" t="str">
        <f aca="true">IF(OR($B32="",$E32=""),"",IF($J32&lt;&gt;"",$J32,TODAY())-$E32)</f>
        <v/>
      </c>
      <c r="Q32" s="12" t="str">
        <f aca="false">IF(OR($B32="",$I32="",$I32="En cartera"),"",($K32-$G32)*$F32-N($H32)-N($L32))</f>
        <v/>
      </c>
      <c r="R32" s="12" t="str">
        <f aca="false">IF(OR($B32="",$I32&lt;&gt;"En cartera",$M32=""),"",($M32-$G32)*$F32-N($H32))</f>
        <v/>
      </c>
      <c r="S32" s="12" t="str">
        <f aca="false">IF($B32="","",SUMIFS(Dividendos!$I$2:$I$301,Dividendos!$C$2:$C$301,$A32))</f>
        <v/>
      </c>
      <c r="T32" s="12" t="str">
        <f aca="false">IF($B32="","",SUMIFS(Operaciones!$AE$2:$AE$1001,Operaciones!$R$2:$R$1001,$A32))</f>
        <v/>
      </c>
      <c r="U32" s="12" t="str">
        <f aca="false">IF($B32="","",N($Q32)+$S32+$T32)</f>
        <v/>
      </c>
      <c r="V32" s="13" t="str">
        <f aca="false">IF(OR($B32="",N($F32)=0),"",(N($F32)*N($G32)-$S32-$T32)/$F32)</f>
        <v/>
      </c>
      <c r="W32" s="14" t="str">
        <f aca="false">IF(OR($B32="",N($F32)*N($G32)=0),"",$U32/($F32*$G32))</f>
        <v/>
      </c>
      <c r="X32" s="14" t="str">
        <f aca="false">IF(OR($W32="",$P32=""),"",$W32*365/MAX($P32,1))</f>
        <v/>
      </c>
      <c r="Y32" s="10" t="str">
        <f aca="false">IF($B32="","",IF(OR($A32="",$E32="",$F32="",$G32="",$I32=""),"Faltan datos obligatorios",IF(COUNTIF($A$2:$A$201,$A32)&gt;1,"ID lote duplicado",IF(AND($I32&lt;&gt;"En cartera",OR($J32="",$K32="")),"Falta fecha o precio de salida",IF(AND($J32&lt;&gt;"",$J32&lt;$E32),"Salida anterior a entrada",IF(AND($I32="En cartera",$M32=""),"OK (sin precio actual)","OK"))))))</f>
        <v/>
      </c>
    </row>
    <row r="33" customFormat="false" ht="15" hidden="false" customHeight="true" outlineLevel="0" collapsed="false">
      <c r="A33" s="7"/>
      <c r="B33" s="7"/>
      <c r="C33" s="7"/>
      <c r="D33" s="5"/>
      <c r="E33" s="6"/>
      <c r="F33" s="5"/>
      <c r="G33" s="8"/>
      <c r="H33" s="9"/>
      <c r="I33" s="7"/>
      <c r="J33" s="6"/>
      <c r="K33" s="8"/>
      <c r="L33" s="9"/>
      <c r="M33" s="8"/>
      <c r="N33" s="7"/>
      <c r="O33" s="12" t="str">
        <f aca="false">IF($B33="","",N($F33)*N($G33)+N($H33))</f>
        <v/>
      </c>
      <c r="P33" s="11" t="str">
        <f aca="true">IF(OR($B33="",$E33=""),"",IF($J33&lt;&gt;"",$J33,TODAY())-$E33)</f>
        <v/>
      </c>
      <c r="Q33" s="12" t="str">
        <f aca="false">IF(OR($B33="",$I33="",$I33="En cartera"),"",($K33-$G33)*$F33-N($H33)-N($L33))</f>
        <v/>
      </c>
      <c r="R33" s="12" t="str">
        <f aca="false">IF(OR($B33="",$I33&lt;&gt;"En cartera",$M33=""),"",($M33-$G33)*$F33-N($H33))</f>
        <v/>
      </c>
      <c r="S33" s="12" t="str">
        <f aca="false">IF($B33="","",SUMIFS(Dividendos!$I$2:$I$301,Dividendos!$C$2:$C$301,$A33))</f>
        <v/>
      </c>
      <c r="T33" s="12" t="str">
        <f aca="false">IF($B33="","",SUMIFS(Operaciones!$AE$2:$AE$1001,Operaciones!$R$2:$R$1001,$A33))</f>
        <v/>
      </c>
      <c r="U33" s="12" t="str">
        <f aca="false">IF($B33="","",N($Q33)+$S33+$T33)</f>
        <v/>
      </c>
      <c r="V33" s="13" t="str">
        <f aca="false">IF(OR($B33="",N($F33)=0),"",(N($F33)*N($G33)-$S33-$T33)/$F33)</f>
        <v/>
      </c>
      <c r="W33" s="14" t="str">
        <f aca="false">IF(OR($B33="",N($F33)*N($G33)=0),"",$U33/($F33*$G33))</f>
        <v/>
      </c>
      <c r="X33" s="14" t="str">
        <f aca="false">IF(OR($W33="",$P33=""),"",$W33*365/MAX($P33,1))</f>
        <v/>
      </c>
      <c r="Y33" s="10" t="str">
        <f aca="false">IF($B33="","",IF(OR($A33="",$E33="",$F33="",$G33="",$I33=""),"Faltan datos obligatorios",IF(COUNTIF($A$2:$A$201,$A33)&gt;1,"ID lote duplicado",IF(AND($I33&lt;&gt;"En cartera",OR($J33="",$K33="")),"Falta fecha o precio de salida",IF(AND($J33&lt;&gt;"",$J33&lt;$E33),"Salida anterior a entrada",IF(AND($I33="En cartera",$M33=""),"OK (sin precio actual)","OK"))))))</f>
        <v/>
      </c>
    </row>
    <row r="34" customFormat="false" ht="15" hidden="false" customHeight="true" outlineLevel="0" collapsed="false">
      <c r="A34" s="7"/>
      <c r="B34" s="7"/>
      <c r="C34" s="7"/>
      <c r="D34" s="5"/>
      <c r="E34" s="6"/>
      <c r="F34" s="5"/>
      <c r="G34" s="8"/>
      <c r="H34" s="9"/>
      <c r="I34" s="7"/>
      <c r="J34" s="6"/>
      <c r="K34" s="8"/>
      <c r="L34" s="9"/>
      <c r="M34" s="8"/>
      <c r="N34" s="7"/>
      <c r="O34" s="12" t="str">
        <f aca="false">IF($B34="","",N($F34)*N($G34)+N($H34))</f>
        <v/>
      </c>
      <c r="P34" s="11" t="str">
        <f aca="true">IF(OR($B34="",$E34=""),"",IF($J34&lt;&gt;"",$J34,TODAY())-$E34)</f>
        <v/>
      </c>
      <c r="Q34" s="12" t="str">
        <f aca="false">IF(OR($B34="",$I34="",$I34="En cartera"),"",($K34-$G34)*$F34-N($H34)-N($L34))</f>
        <v/>
      </c>
      <c r="R34" s="12" t="str">
        <f aca="false">IF(OR($B34="",$I34&lt;&gt;"En cartera",$M34=""),"",($M34-$G34)*$F34-N($H34))</f>
        <v/>
      </c>
      <c r="S34" s="12" t="str">
        <f aca="false">IF($B34="","",SUMIFS(Dividendos!$I$2:$I$301,Dividendos!$C$2:$C$301,$A34))</f>
        <v/>
      </c>
      <c r="T34" s="12" t="str">
        <f aca="false">IF($B34="","",SUMIFS(Operaciones!$AE$2:$AE$1001,Operaciones!$R$2:$R$1001,$A34))</f>
        <v/>
      </c>
      <c r="U34" s="12" t="str">
        <f aca="false">IF($B34="","",N($Q34)+$S34+$T34)</f>
        <v/>
      </c>
      <c r="V34" s="13" t="str">
        <f aca="false">IF(OR($B34="",N($F34)=0),"",(N($F34)*N($G34)-$S34-$T34)/$F34)</f>
        <v/>
      </c>
      <c r="W34" s="14" t="str">
        <f aca="false">IF(OR($B34="",N($F34)*N($G34)=0),"",$U34/($F34*$G34))</f>
        <v/>
      </c>
      <c r="X34" s="14" t="str">
        <f aca="false">IF(OR($W34="",$P34=""),"",$W34*365/MAX($P34,1))</f>
        <v/>
      </c>
      <c r="Y34" s="10" t="str">
        <f aca="false">IF($B34="","",IF(OR($A34="",$E34="",$F34="",$G34="",$I34=""),"Faltan datos obligatorios",IF(COUNTIF($A$2:$A$201,$A34)&gt;1,"ID lote duplicado",IF(AND($I34&lt;&gt;"En cartera",OR($J34="",$K34="")),"Falta fecha o precio de salida",IF(AND($J34&lt;&gt;"",$J34&lt;$E34),"Salida anterior a entrada",IF(AND($I34="En cartera",$M34=""),"OK (sin precio actual)","OK"))))))</f>
        <v/>
      </c>
    </row>
    <row r="35" customFormat="false" ht="15" hidden="false" customHeight="true" outlineLevel="0" collapsed="false">
      <c r="A35" s="7"/>
      <c r="B35" s="7"/>
      <c r="C35" s="7"/>
      <c r="D35" s="5"/>
      <c r="E35" s="6"/>
      <c r="F35" s="5"/>
      <c r="G35" s="8"/>
      <c r="H35" s="9"/>
      <c r="I35" s="7"/>
      <c r="J35" s="6"/>
      <c r="K35" s="8"/>
      <c r="L35" s="9"/>
      <c r="M35" s="8"/>
      <c r="N35" s="7"/>
      <c r="O35" s="12" t="str">
        <f aca="false">IF($B35="","",N($F35)*N($G35)+N($H35))</f>
        <v/>
      </c>
      <c r="P35" s="11" t="str">
        <f aca="true">IF(OR($B35="",$E35=""),"",IF($J35&lt;&gt;"",$J35,TODAY())-$E35)</f>
        <v/>
      </c>
      <c r="Q35" s="12" t="str">
        <f aca="false">IF(OR($B35="",$I35="",$I35="En cartera"),"",($K35-$G35)*$F35-N($H35)-N($L35))</f>
        <v/>
      </c>
      <c r="R35" s="12" t="str">
        <f aca="false">IF(OR($B35="",$I35&lt;&gt;"En cartera",$M35=""),"",($M35-$G35)*$F35-N($H35))</f>
        <v/>
      </c>
      <c r="S35" s="12" t="str">
        <f aca="false">IF($B35="","",SUMIFS(Dividendos!$I$2:$I$301,Dividendos!$C$2:$C$301,$A35))</f>
        <v/>
      </c>
      <c r="T35" s="12" t="str">
        <f aca="false">IF($B35="","",SUMIFS(Operaciones!$AE$2:$AE$1001,Operaciones!$R$2:$R$1001,$A35))</f>
        <v/>
      </c>
      <c r="U35" s="12" t="str">
        <f aca="false">IF($B35="","",N($Q35)+$S35+$T35)</f>
        <v/>
      </c>
      <c r="V35" s="13" t="str">
        <f aca="false">IF(OR($B35="",N($F35)=0),"",(N($F35)*N($G35)-$S35-$T35)/$F35)</f>
        <v/>
      </c>
      <c r="W35" s="14" t="str">
        <f aca="false">IF(OR($B35="",N($F35)*N($G35)=0),"",$U35/($F35*$G35))</f>
        <v/>
      </c>
      <c r="X35" s="14" t="str">
        <f aca="false">IF(OR($W35="",$P35=""),"",$W35*365/MAX($P35,1))</f>
        <v/>
      </c>
      <c r="Y35" s="10" t="str">
        <f aca="false">IF($B35="","",IF(OR($A35="",$E35="",$F35="",$G35="",$I35=""),"Faltan datos obligatorios",IF(COUNTIF($A$2:$A$201,$A35)&gt;1,"ID lote duplicado",IF(AND($I35&lt;&gt;"En cartera",OR($J35="",$K35="")),"Falta fecha o precio de salida",IF(AND($J35&lt;&gt;"",$J35&lt;$E35),"Salida anterior a entrada",IF(AND($I35="En cartera",$M35=""),"OK (sin precio actual)","OK"))))))</f>
        <v/>
      </c>
    </row>
    <row r="36" customFormat="false" ht="15" hidden="false" customHeight="true" outlineLevel="0" collapsed="false">
      <c r="A36" s="7"/>
      <c r="B36" s="7"/>
      <c r="C36" s="7"/>
      <c r="D36" s="5"/>
      <c r="E36" s="6"/>
      <c r="F36" s="5"/>
      <c r="G36" s="8"/>
      <c r="H36" s="9"/>
      <c r="I36" s="7"/>
      <c r="J36" s="6"/>
      <c r="K36" s="8"/>
      <c r="L36" s="9"/>
      <c r="M36" s="8"/>
      <c r="N36" s="7"/>
      <c r="O36" s="12" t="str">
        <f aca="false">IF($B36="","",N($F36)*N($G36)+N($H36))</f>
        <v/>
      </c>
      <c r="P36" s="11" t="str">
        <f aca="true">IF(OR($B36="",$E36=""),"",IF($J36&lt;&gt;"",$J36,TODAY())-$E36)</f>
        <v/>
      </c>
      <c r="Q36" s="12" t="str">
        <f aca="false">IF(OR($B36="",$I36="",$I36="En cartera"),"",($K36-$G36)*$F36-N($H36)-N($L36))</f>
        <v/>
      </c>
      <c r="R36" s="12" t="str">
        <f aca="false">IF(OR($B36="",$I36&lt;&gt;"En cartera",$M36=""),"",($M36-$G36)*$F36-N($H36))</f>
        <v/>
      </c>
      <c r="S36" s="12" t="str">
        <f aca="false">IF($B36="","",SUMIFS(Dividendos!$I$2:$I$301,Dividendos!$C$2:$C$301,$A36))</f>
        <v/>
      </c>
      <c r="T36" s="12" t="str">
        <f aca="false">IF($B36="","",SUMIFS(Operaciones!$AE$2:$AE$1001,Operaciones!$R$2:$R$1001,$A36))</f>
        <v/>
      </c>
      <c r="U36" s="12" t="str">
        <f aca="false">IF($B36="","",N($Q36)+$S36+$T36)</f>
        <v/>
      </c>
      <c r="V36" s="13" t="str">
        <f aca="false">IF(OR($B36="",N($F36)=0),"",(N($F36)*N($G36)-$S36-$T36)/$F36)</f>
        <v/>
      </c>
      <c r="W36" s="14" t="str">
        <f aca="false">IF(OR($B36="",N($F36)*N($G36)=0),"",$U36/($F36*$G36))</f>
        <v/>
      </c>
      <c r="X36" s="14" t="str">
        <f aca="false">IF(OR($W36="",$P36=""),"",$W36*365/MAX($P36,1))</f>
        <v/>
      </c>
      <c r="Y36" s="10" t="str">
        <f aca="false">IF($B36="","",IF(OR($A36="",$E36="",$F36="",$G36="",$I36=""),"Faltan datos obligatorios",IF(COUNTIF($A$2:$A$201,$A36)&gt;1,"ID lote duplicado",IF(AND($I36&lt;&gt;"En cartera",OR($J36="",$K36="")),"Falta fecha o precio de salida",IF(AND($J36&lt;&gt;"",$J36&lt;$E36),"Salida anterior a entrada",IF(AND($I36="En cartera",$M36=""),"OK (sin precio actual)","OK"))))))</f>
        <v/>
      </c>
    </row>
    <row r="37" customFormat="false" ht="15" hidden="false" customHeight="true" outlineLevel="0" collapsed="false">
      <c r="A37" s="7"/>
      <c r="B37" s="7"/>
      <c r="C37" s="7"/>
      <c r="D37" s="5"/>
      <c r="E37" s="6"/>
      <c r="F37" s="5"/>
      <c r="G37" s="8"/>
      <c r="H37" s="9"/>
      <c r="I37" s="7"/>
      <c r="J37" s="6"/>
      <c r="K37" s="8"/>
      <c r="L37" s="9"/>
      <c r="M37" s="8"/>
      <c r="N37" s="7"/>
      <c r="O37" s="12" t="str">
        <f aca="false">IF($B37="","",N($F37)*N($G37)+N($H37))</f>
        <v/>
      </c>
      <c r="P37" s="11" t="str">
        <f aca="true">IF(OR($B37="",$E37=""),"",IF($J37&lt;&gt;"",$J37,TODAY())-$E37)</f>
        <v/>
      </c>
      <c r="Q37" s="12" t="str">
        <f aca="false">IF(OR($B37="",$I37="",$I37="En cartera"),"",($K37-$G37)*$F37-N($H37)-N($L37))</f>
        <v/>
      </c>
      <c r="R37" s="12" t="str">
        <f aca="false">IF(OR($B37="",$I37&lt;&gt;"En cartera",$M37=""),"",($M37-$G37)*$F37-N($H37))</f>
        <v/>
      </c>
      <c r="S37" s="12" t="str">
        <f aca="false">IF($B37="","",SUMIFS(Dividendos!$I$2:$I$301,Dividendos!$C$2:$C$301,$A37))</f>
        <v/>
      </c>
      <c r="T37" s="12" t="str">
        <f aca="false">IF($B37="","",SUMIFS(Operaciones!$AE$2:$AE$1001,Operaciones!$R$2:$R$1001,$A37))</f>
        <v/>
      </c>
      <c r="U37" s="12" t="str">
        <f aca="false">IF($B37="","",N($Q37)+$S37+$T37)</f>
        <v/>
      </c>
      <c r="V37" s="13" t="str">
        <f aca="false">IF(OR($B37="",N($F37)=0),"",(N($F37)*N($G37)-$S37-$T37)/$F37)</f>
        <v/>
      </c>
      <c r="W37" s="14" t="str">
        <f aca="false">IF(OR($B37="",N($F37)*N($G37)=0),"",$U37/($F37*$G37))</f>
        <v/>
      </c>
      <c r="X37" s="14" t="str">
        <f aca="false">IF(OR($W37="",$P37=""),"",$W37*365/MAX($P37,1))</f>
        <v/>
      </c>
      <c r="Y37" s="10" t="str">
        <f aca="false">IF($B37="","",IF(OR($A37="",$E37="",$F37="",$G37="",$I37=""),"Faltan datos obligatorios",IF(COUNTIF($A$2:$A$201,$A37)&gt;1,"ID lote duplicado",IF(AND($I37&lt;&gt;"En cartera",OR($J37="",$K37="")),"Falta fecha o precio de salida",IF(AND($J37&lt;&gt;"",$J37&lt;$E37),"Salida anterior a entrada",IF(AND($I37="En cartera",$M37=""),"OK (sin precio actual)","OK"))))))</f>
        <v/>
      </c>
    </row>
    <row r="38" customFormat="false" ht="15" hidden="false" customHeight="true" outlineLevel="0" collapsed="false">
      <c r="A38" s="7"/>
      <c r="B38" s="7"/>
      <c r="C38" s="7"/>
      <c r="D38" s="5"/>
      <c r="E38" s="6"/>
      <c r="F38" s="5"/>
      <c r="G38" s="8"/>
      <c r="H38" s="9"/>
      <c r="I38" s="7"/>
      <c r="J38" s="6"/>
      <c r="K38" s="8"/>
      <c r="L38" s="9"/>
      <c r="M38" s="8"/>
      <c r="N38" s="7"/>
      <c r="O38" s="12" t="str">
        <f aca="false">IF($B38="","",N($F38)*N($G38)+N($H38))</f>
        <v/>
      </c>
      <c r="P38" s="11" t="str">
        <f aca="true">IF(OR($B38="",$E38=""),"",IF($J38&lt;&gt;"",$J38,TODAY())-$E38)</f>
        <v/>
      </c>
      <c r="Q38" s="12" t="str">
        <f aca="false">IF(OR($B38="",$I38="",$I38="En cartera"),"",($K38-$G38)*$F38-N($H38)-N($L38))</f>
        <v/>
      </c>
      <c r="R38" s="12" t="str">
        <f aca="false">IF(OR($B38="",$I38&lt;&gt;"En cartera",$M38=""),"",($M38-$G38)*$F38-N($H38))</f>
        <v/>
      </c>
      <c r="S38" s="12" t="str">
        <f aca="false">IF($B38="","",SUMIFS(Dividendos!$I$2:$I$301,Dividendos!$C$2:$C$301,$A38))</f>
        <v/>
      </c>
      <c r="T38" s="12" t="str">
        <f aca="false">IF($B38="","",SUMIFS(Operaciones!$AE$2:$AE$1001,Operaciones!$R$2:$R$1001,$A38))</f>
        <v/>
      </c>
      <c r="U38" s="12" t="str">
        <f aca="false">IF($B38="","",N($Q38)+$S38+$T38)</f>
        <v/>
      </c>
      <c r="V38" s="13" t="str">
        <f aca="false">IF(OR($B38="",N($F38)=0),"",(N($F38)*N($G38)-$S38-$T38)/$F38)</f>
        <v/>
      </c>
      <c r="W38" s="14" t="str">
        <f aca="false">IF(OR($B38="",N($F38)*N($G38)=0),"",$U38/($F38*$G38))</f>
        <v/>
      </c>
      <c r="X38" s="14" t="str">
        <f aca="false">IF(OR($W38="",$P38=""),"",$W38*365/MAX($P38,1))</f>
        <v/>
      </c>
      <c r="Y38" s="10" t="str">
        <f aca="false">IF($B38="","",IF(OR($A38="",$E38="",$F38="",$G38="",$I38=""),"Faltan datos obligatorios",IF(COUNTIF($A$2:$A$201,$A38)&gt;1,"ID lote duplicado",IF(AND($I38&lt;&gt;"En cartera",OR($J38="",$K38="")),"Falta fecha o precio de salida",IF(AND($J38&lt;&gt;"",$J38&lt;$E38),"Salida anterior a entrada",IF(AND($I38="En cartera",$M38=""),"OK (sin precio actual)","OK"))))))</f>
        <v/>
      </c>
    </row>
    <row r="39" customFormat="false" ht="15" hidden="false" customHeight="true" outlineLevel="0" collapsed="false">
      <c r="A39" s="7"/>
      <c r="B39" s="7"/>
      <c r="C39" s="7"/>
      <c r="D39" s="5"/>
      <c r="E39" s="6"/>
      <c r="F39" s="5"/>
      <c r="G39" s="8"/>
      <c r="H39" s="9"/>
      <c r="I39" s="7"/>
      <c r="J39" s="6"/>
      <c r="K39" s="8"/>
      <c r="L39" s="9"/>
      <c r="M39" s="8"/>
      <c r="N39" s="7"/>
      <c r="O39" s="12" t="str">
        <f aca="false">IF($B39="","",N($F39)*N($G39)+N($H39))</f>
        <v/>
      </c>
      <c r="P39" s="11" t="str">
        <f aca="true">IF(OR($B39="",$E39=""),"",IF($J39&lt;&gt;"",$J39,TODAY())-$E39)</f>
        <v/>
      </c>
      <c r="Q39" s="12" t="str">
        <f aca="false">IF(OR($B39="",$I39="",$I39="En cartera"),"",($K39-$G39)*$F39-N($H39)-N($L39))</f>
        <v/>
      </c>
      <c r="R39" s="12" t="str">
        <f aca="false">IF(OR($B39="",$I39&lt;&gt;"En cartera",$M39=""),"",($M39-$G39)*$F39-N($H39))</f>
        <v/>
      </c>
      <c r="S39" s="12" t="str">
        <f aca="false">IF($B39="","",SUMIFS(Dividendos!$I$2:$I$301,Dividendos!$C$2:$C$301,$A39))</f>
        <v/>
      </c>
      <c r="T39" s="12" t="str">
        <f aca="false">IF($B39="","",SUMIFS(Operaciones!$AE$2:$AE$1001,Operaciones!$R$2:$R$1001,$A39))</f>
        <v/>
      </c>
      <c r="U39" s="12" t="str">
        <f aca="false">IF($B39="","",N($Q39)+$S39+$T39)</f>
        <v/>
      </c>
      <c r="V39" s="13" t="str">
        <f aca="false">IF(OR($B39="",N($F39)=0),"",(N($F39)*N($G39)-$S39-$T39)/$F39)</f>
        <v/>
      </c>
      <c r="W39" s="14" t="str">
        <f aca="false">IF(OR($B39="",N($F39)*N($G39)=0),"",$U39/($F39*$G39))</f>
        <v/>
      </c>
      <c r="X39" s="14" t="str">
        <f aca="false">IF(OR($W39="",$P39=""),"",$W39*365/MAX($P39,1))</f>
        <v/>
      </c>
      <c r="Y39" s="10" t="str">
        <f aca="false">IF($B39="","",IF(OR($A39="",$E39="",$F39="",$G39="",$I39=""),"Faltan datos obligatorios",IF(COUNTIF($A$2:$A$201,$A39)&gt;1,"ID lote duplicado",IF(AND($I39&lt;&gt;"En cartera",OR($J39="",$K39="")),"Falta fecha o precio de salida",IF(AND($J39&lt;&gt;"",$J39&lt;$E39),"Salida anterior a entrada",IF(AND($I39="En cartera",$M39=""),"OK (sin precio actual)","OK"))))))</f>
        <v/>
      </c>
    </row>
    <row r="40" customFormat="false" ht="15" hidden="false" customHeight="true" outlineLevel="0" collapsed="false">
      <c r="A40" s="7"/>
      <c r="B40" s="7"/>
      <c r="C40" s="7"/>
      <c r="D40" s="5"/>
      <c r="E40" s="6"/>
      <c r="F40" s="5"/>
      <c r="G40" s="8"/>
      <c r="H40" s="9"/>
      <c r="I40" s="7"/>
      <c r="J40" s="6"/>
      <c r="K40" s="8"/>
      <c r="L40" s="9"/>
      <c r="M40" s="8"/>
      <c r="N40" s="7"/>
      <c r="O40" s="12" t="str">
        <f aca="false">IF($B40="","",N($F40)*N($G40)+N($H40))</f>
        <v/>
      </c>
      <c r="P40" s="11" t="str">
        <f aca="true">IF(OR($B40="",$E40=""),"",IF($J40&lt;&gt;"",$J40,TODAY())-$E40)</f>
        <v/>
      </c>
      <c r="Q40" s="12" t="str">
        <f aca="false">IF(OR($B40="",$I40="",$I40="En cartera"),"",($K40-$G40)*$F40-N($H40)-N($L40))</f>
        <v/>
      </c>
      <c r="R40" s="12" t="str">
        <f aca="false">IF(OR($B40="",$I40&lt;&gt;"En cartera",$M40=""),"",($M40-$G40)*$F40-N($H40))</f>
        <v/>
      </c>
      <c r="S40" s="12" t="str">
        <f aca="false">IF($B40="","",SUMIFS(Dividendos!$I$2:$I$301,Dividendos!$C$2:$C$301,$A40))</f>
        <v/>
      </c>
      <c r="T40" s="12" t="str">
        <f aca="false">IF($B40="","",SUMIFS(Operaciones!$AE$2:$AE$1001,Operaciones!$R$2:$R$1001,$A40))</f>
        <v/>
      </c>
      <c r="U40" s="12" t="str">
        <f aca="false">IF($B40="","",N($Q40)+$S40+$T40)</f>
        <v/>
      </c>
      <c r="V40" s="13" t="str">
        <f aca="false">IF(OR($B40="",N($F40)=0),"",(N($F40)*N($G40)-$S40-$T40)/$F40)</f>
        <v/>
      </c>
      <c r="W40" s="14" t="str">
        <f aca="false">IF(OR($B40="",N($F40)*N($G40)=0),"",$U40/($F40*$G40))</f>
        <v/>
      </c>
      <c r="X40" s="14" t="str">
        <f aca="false">IF(OR($W40="",$P40=""),"",$W40*365/MAX($P40,1))</f>
        <v/>
      </c>
      <c r="Y40" s="10" t="str">
        <f aca="false">IF($B40="","",IF(OR($A40="",$E40="",$F40="",$G40="",$I40=""),"Faltan datos obligatorios",IF(COUNTIF($A$2:$A$201,$A40)&gt;1,"ID lote duplicado",IF(AND($I40&lt;&gt;"En cartera",OR($J40="",$K40="")),"Falta fecha o precio de salida",IF(AND($J40&lt;&gt;"",$J40&lt;$E40),"Salida anterior a entrada",IF(AND($I40="En cartera",$M40=""),"OK (sin precio actual)","OK"))))))</f>
        <v/>
      </c>
    </row>
    <row r="41" customFormat="false" ht="15" hidden="false" customHeight="true" outlineLevel="0" collapsed="false">
      <c r="A41" s="7"/>
      <c r="B41" s="7"/>
      <c r="C41" s="7"/>
      <c r="D41" s="5"/>
      <c r="E41" s="6"/>
      <c r="F41" s="5"/>
      <c r="G41" s="8"/>
      <c r="H41" s="9"/>
      <c r="I41" s="7"/>
      <c r="J41" s="6"/>
      <c r="K41" s="8"/>
      <c r="L41" s="9"/>
      <c r="M41" s="8"/>
      <c r="N41" s="7"/>
      <c r="O41" s="12" t="str">
        <f aca="false">IF($B41="","",N($F41)*N($G41)+N($H41))</f>
        <v/>
      </c>
      <c r="P41" s="11" t="str">
        <f aca="true">IF(OR($B41="",$E41=""),"",IF($J41&lt;&gt;"",$J41,TODAY())-$E41)</f>
        <v/>
      </c>
      <c r="Q41" s="12" t="str">
        <f aca="false">IF(OR($B41="",$I41="",$I41="En cartera"),"",($K41-$G41)*$F41-N($H41)-N($L41))</f>
        <v/>
      </c>
      <c r="R41" s="12" t="str">
        <f aca="false">IF(OR($B41="",$I41&lt;&gt;"En cartera",$M41=""),"",($M41-$G41)*$F41-N($H41))</f>
        <v/>
      </c>
      <c r="S41" s="12" t="str">
        <f aca="false">IF($B41="","",SUMIFS(Dividendos!$I$2:$I$301,Dividendos!$C$2:$C$301,$A41))</f>
        <v/>
      </c>
      <c r="T41" s="12" t="str">
        <f aca="false">IF($B41="","",SUMIFS(Operaciones!$AE$2:$AE$1001,Operaciones!$R$2:$R$1001,$A41))</f>
        <v/>
      </c>
      <c r="U41" s="12" t="str">
        <f aca="false">IF($B41="","",N($Q41)+$S41+$T41)</f>
        <v/>
      </c>
      <c r="V41" s="13" t="str">
        <f aca="false">IF(OR($B41="",N($F41)=0),"",(N($F41)*N($G41)-$S41-$T41)/$F41)</f>
        <v/>
      </c>
      <c r="W41" s="14" t="str">
        <f aca="false">IF(OR($B41="",N($F41)*N($G41)=0),"",$U41/($F41*$G41))</f>
        <v/>
      </c>
      <c r="X41" s="14" t="str">
        <f aca="false">IF(OR($W41="",$P41=""),"",$W41*365/MAX($P41,1))</f>
        <v/>
      </c>
      <c r="Y41" s="10" t="str">
        <f aca="false">IF($B41="","",IF(OR($A41="",$E41="",$F41="",$G41="",$I41=""),"Faltan datos obligatorios",IF(COUNTIF($A$2:$A$201,$A41)&gt;1,"ID lote duplicado",IF(AND($I41&lt;&gt;"En cartera",OR($J41="",$K41="")),"Falta fecha o precio de salida",IF(AND($J41&lt;&gt;"",$J41&lt;$E41),"Salida anterior a entrada",IF(AND($I41="En cartera",$M41=""),"OK (sin precio actual)","OK"))))))</f>
        <v/>
      </c>
    </row>
    <row r="42" customFormat="false" ht="15" hidden="false" customHeight="true" outlineLevel="0" collapsed="false">
      <c r="A42" s="7"/>
      <c r="B42" s="7"/>
      <c r="C42" s="7"/>
      <c r="D42" s="5"/>
      <c r="E42" s="6"/>
      <c r="F42" s="5"/>
      <c r="G42" s="8"/>
      <c r="H42" s="9"/>
      <c r="I42" s="7"/>
      <c r="J42" s="6"/>
      <c r="K42" s="8"/>
      <c r="L42" s="9"/>
      <c r="M42" s="8"/>
      <c r="N42" s="7"/>
      <c r="O42" s="12" t="str">
        <f aca="false">IF($B42="","",N($F42)*N($G42)+N($H42))</f>
        <v/>
      </c>
      <c r="P42" s="11" t="str">
        <f aca="true">IF(OR($B42="",$E42=""),"",IF($J42&lt;&gt;"",$J42,TODAY())-$E42)</f>
        <v/>
      </c>
      <c r="Q42" s="12" t="str">
        <f aca="false">IF(OR($B42="",$I42="",$I42="En cartera"),"",($K42-$G42)*$F42-N($H42)-N($L42))</f>
        <v/>
      </c>
      <c r="R42" s="12" t="str">
        <f aca="false">IF(OR($B42="",$I42&lt;&gt;"En cartera",$M42=""),"",($M42-$G42)*$F42-N($H42))</f>
        <v/>
      </c>
      <c r="S42" s="12" t="str">
        <f aca="false">IF($B42="","",SUMIFS(Dividendos!$I$2:$I$301,Dividendos!$C$2:$C$301,$A42))</f>
        <v/>
      </c>
      <c r="T42" s="12" t="str">
        <f aca="false">IF($B42="","",SUMIFS(Operaciones!$AE$2:$AE$1001,Operaciones!$R$2:$R$1001,$A42))</f>
        <v/>
      </c>
      <c r="U42" s="12" t="str">
        <f aca="false">IF($B42="","",N($Q42)+$S42+$T42)</f>
        <v/>
      </c>
      <c r="V42" s="13" t="str">
        <f aca="false">IF(OR($B42="",N($F42)=0),"",(N($F42)*N($G42)-$S42-$T42)/$F42)</f>
        <v/>
      </c>
      <c r="W42" s="14" t="str">
        <f aca="false">IF(OR($B42="",N($F42)*N($G42)=0),"",$U42/($F42*$G42))</f>
        <v/>
      </c>
      <c r="X42" s="14" t="str">
        <f aca="false">IF(OR($W42="",$P42=""),"",$W42*365/MAX($P42,1))</f>
        <v/>
      </c>
      <c r="Y42" s="10" t="str">
        <f aca="false">IF($B42="","",IF(OR($A42="",$E42="",$F42="",$G42="",$I42=""),"Faltan datos obligatorios",IF(COUNTIF($A$2:$A$201,$A42)&gt;1,"ID lote duplicado",IF(AND($I42&lt;&gt;"En cartera",OR($J42="",$K42="")),"Falta fecha o precio de salida",IF(AND($J42&lt;&gt;"",$J42&lt;$E42),"Salida anterior a entrada",IF(AND($I42="En cartera",$M42=""),"OK (sin precio actual)","OK"))))))</f>
        <v/>
      </c>
    </row>
    <row r="43" customFormat="false" ht="15" hidden="false" customHeight="true" outlineLevel="0" collapsed="false">
      <c r="A43" s="7"/>
      <c r="B43" s="7"/>
      <c r="C43" s="7"/>
      <c r="D43" s="5"/>
      <c r="E43" s="6"/>
      <c r="F43" s="5"/>
      <c r="G43" s="8"/>
      <c r="H43" s="9"/>
      <c r="I43" s="7"/>
      <c r="J43" s="6"/>
      <c r="K43" s="8"/>
      <c r="L43" s="9"/>
      <c r="M43" s="8"/>
      <c r="N43" s="7"/>
      <c r="O43" s="12" t="str">
        <f aca="false">IF($B43="","",N($F43)*N($G43)+N($H43))</f>
        <v/>
      </c>
      <c r="P43" s="11" t="str">
        <f aca="true">IF(OR($B43="",$E43=""),"",IF($J43&lt;&gt;"",$J43,TODAY())-$E43)</f>
        <v/>
      </c>
      <c r="Q43" s="12" t="str">
        <f aca="false">IF(OR($B43="",$I43="",$I43="En cartera"),"",($K43-$G43)*$F43-N($H43)-N($L43))</f>
        <v/>
      </c>
      <c r="R43" s="12" t="str">
        <f aca="false">IF(OR($B43="",$I43&lt;&gt;"En cartera",$M43=""),"",($M43-$G43)*$F43-N($H43))</f>
        <v/>
      </c>
      <c r="S43" s="12" t="str">
        <f aca="false">IF($B43="","",SUMIFS(Dividendos!$I$2:$I$301,Dividendos!$C$2:$C$301,$A43))</f>
        <v/>
      </c>
      <c r="T43" s="12" t="str">
        <f aca="false">IF($B43="","",SUMIFS(Operaciones!$AE$2:$AE$1001,Operaciones!$R$2:$R$1001,$A43))</f>
        <v/>
      </c>
      <c r="U43" s="12" t="str">
        <f aca="false">IF($B43="","",N($Q43)+$S43+$T43)</f>
        <v/>
      </c>
      <c r="V43" s="13" t="str">
        <f aca="false">IF(OR($B43="",N($F43)=0),"",(N($F43)*N($G43)-$S43-$T43)/$F43)</f>
        <v/>
      </c>
      <c r="W43" s="14" t="str">
        <f aca="false">IF(OR($B43="",N($F43)*N($G43)=0),"",$U43/($F43*$G43))</f>
        <v/>
      </c>
      <c r="X43" s="14" t="str">
        <f aca="false">IF(OR($W43="",$P43=""),"",$W43*365/MAX($P43,1))</f>
        <v/>
      </c>
      <c r="Y43" s="10" t="str">
        <f aca="false">IF($B43="","",IF(OR($A43="",$E43="",$F43="",$G43="",$I43=""),"Faltan datos obligatorios",IF(COUNTIF($A$2:$A$201,$A43)&gt;1,"ID lote duplicado",IF(AND($I43&lt;&gt;"En cartera",OR($J43="",$K43="")),"Falta fecha o precio de salida",IF(AND($J43&lt;&gt;"",$J43&lt;$E43),"Salida anterior a entrada",IF(AND($I43="En cartera",$M43=""),"OK (sin precio actual)","OK"))))))</f>
        <v/>
      </c>
    </row>
    <row r="44" customFormat="false" ht="15" hidden="false" customHeight="true" outlineLevel="0" collapsed="false">
      <c r="A44" s="7"/>
      <c r="B44" s="7"/>
      <c r="C44" s="7"/>
      <c r="D44" s="5"/>
      <c r="E44" s="6"/>
      <c r="F44" s="5"/>
      <c r="G44" s="8"/>
      <c r="H44" s="9"/>
      <c r="I44" s="7"/>
      <c r="J44" s="6"/>
      <c r="K44" s="8"/>
      <c r="L44" s="9"/>
      <c r="M44" s="8"/>
      <c r="N44" s="7"/>
      <c r="O44" s="12" t="str">
        <f aca="false">IF($B44="","",N($F44)*N($G44)+N($H44))</f>
        <v/>
      </c>
      <c r="P44" s="11" t="str">
        <f aca="true">IF(OR($B44="",$E44=""),"",IF($J44&lt;&gt;"",$J44,TODAY())-$E44)</f>
        <v/>
      </c>
      <c r="Q44" s="12" t="str">
        <f aca="false">IF(OR($B44="",$I44="",$I44="En cartera"),"",($K44-$G44)*$F44-N($H44)-N($L44))</f>
        <v/>
      </c>
      <c r="R44" s="12" t="str">
        <f aca="false">IF(OR($B44="",$I44&lt;&gt;"En cartera",$M44=""),"",($M44-$G44)*$F44-N($H44))</f>
        <v/>
      </c>
      <c r="S44" s="12" t="str">
        <f aca="false">IF($B44="","",SUMIFS(Dividendos!$I$2:$I$301,Dividendos!$C$2:$C$301,$A44))</f>
        <v/>
      </c>
      <c r="T44" s="12" t="str">
        <f aca="false">IF($B44="","",SUMIFS(Operaciones!$AE$2:$AE$1001,Operaciones!$R$2:$R$1001,$A44))</f>
        <v/>
      </c>
      <c r="U44" s="12" t="str">
        <f aca="false">IF($B44="","",N($Q44)+$S44+$T44)</f>
        <v/>
      </c>
      <c r="V44" s="13" t="str">
        <f aca="false">IF(OR($B44="",N($F44)=0),"",(N($F44)*N($G44)-$S44-$T44)/$F44)</f>
        <v/>
      </c>
      <c r="W44" s="14" t="str">
        <f aca="false">IF(OR($B44="",N($F44)*N($G44)=0),"",$U44/($F44*$G44))</f>
        <v/>
      </c>
      <c r="X44" s="14" t="str">
        <f aca="false">IF(OR($W44="",$P44=""),"",$W44*365/MAX($P44,1))</f>
        <v/>
      </c>
      <c r="Y44" s="10" t="str">
        <f aca="false">IF($B44="","",IF(OR($A44="",$E44="",$F44="",$G44="",$I44=""),"Faltan datos obligatorios",IF(COUNTIF($A$2:$A$201,$A44)&gt;1,"ID lote duplicado",IF(AND($I44&lt;&gt;"En cartera",OR($J44="",$K44="")),"Falta fecha o precio de salida",IF(AND($J44&lt;&gt;"",$J44&lt;$E44),"Salida anterior a entrada",IF(AND($I44="En cartera",$M44=""),"OK (sin precio actual)","OK"))))))</f>
        <v/>
      </c>
    </row>
    <row r="45" customFormat="false" ht="15" hidden="false" customHeight="true" outlineLevel="0" collapsed="false">
      <c r="A45" s="7"/>
      <c r="B45" s="7"/>
      <c r="C45" s="7"/>
      <c r="D45" s="5"/>
      <c r="E45" s="6"/>
      <c r="F45" s="5"/>
      <c r="G45" s="8"/>
      <c r="H45" s="9"/>
      <c r="I45" s="7"/>
      <c r="J45" s="6"/>
      <c r="K45" s="8"/>
      <c r="L45" s="9"/>
      <c r="M45" s="8"/>
      <c r="N45" s="7"/>
      <c r="O45" s="12" t="str">
        <f aca="false">IF($B45="","",N($F45)*N($G45)+N($H45))</f>
        <v/>
      </c>
      <c r="P45" s="11" t="str">
        <f aca="true">IF(OR($B45="",$E45=""),"",IF($J45&lt;&gt;"",$J45,TODAY())-$E45)</f>
        <v/>
      </c>
      <c r="Q45" s="12" t="str">
        <f aca="false">IF(OR($B45="",$I45="",$I45="En cartera"),"",($K45-$G45)*$F45-N($H45)-N($L45))</f>
        <v/>
      </c>
      <c r="R45" s="12" t="str">
        <f aca="false">IF(OR($B45="",$I45&lt;&gt;"En cartera",$M45=""),"",($M45-$G45)*$F45-N($H45))</f>
        <v/>
      </c>
      <c r="S45" s="12" t="str">
        <f aca="false">IF($B45="","",SUMIFS(Dividendos!$I$2:$I$301,Dividendos!$C$2:$C$301,$A45))</f>
        <v/>
      </c>
      <c r="T45" s="12" t="str">
        <f aca="false">IF($B45="","",SUMIFS(Operaciones!$AE$2:$AE$1001,Operaciones!$R$2:$R$1001,$A45))</f>
        <v/>
      </c>
      <c r="U45" s="12" t="str">
        <f aca="false">IF($B45="","",N($Q45)+$S45+$T45)</f>
        <v/>
      </c>
      <c r="V45" s="13" t="str">
        <f aca="false">IF(OR($B45="",N($F45)=0),"",(N($F45)*N($G45)-$S45-$T45)/$F45)</f>
        <v/>
      </c>
      <c r="W45" s="14" t="str">
        <f aca="false">IF(OR($B45="",N($F45)*N($G45)=0),"",$U45/($F45*$G45))</f>
        <v/>
      </c>
      <c r="X45" s="14" t="str">
        <f aca="false">IF(OR($W45="",$P45=""),"",$W45*365/MAX($P45,1))</f>
        <v/>
      </c>
      <c r="Y45" s="10" t="str">
        <f aca="false">IF($B45="","",IF(OR($A45="",$E45="",$F45="",$G45="",$I45=""),"Faltan datos obligatorios",IF(COUNTIF($A$2:$A$201,$A45)&gt;1,"ID lote duplicado",IF(AND($I45&lt;&gt;"En cartera",OR($J45="",$K45="")),"Falta fecha o precio de salida",IF(AND($J45&lt;&gt;"",$J45&lt;$E45),"Salida anterior a entrada",IF(AND($I45="En cartera",$M45=""),"OK (sin precio actual)","OK"))))))</f>
        <v/>
      </c>
    </row>
    <row r="46" customFormat="false" ht="15" hidden="false" customHeight="true" outlineLevel="0" collapsed="false">
      <c r="A46" s="7"/>
      <c r="B46" s="7"/>
      <c r="C46" s="7"/>
      <c r="D46" s="5"/>
      <c r="E46" s="6"/>
      <c r="F46" s="5"/>
      <c r="G46" s="8"/>
      <c r="H46" s="9"/>
      <c r="I46" s="7"/>
      <c r="J46" s="6"/>
      <c r="K46" s="8"/>
      <c r="L46" s="9"/>
      <c r="M46" s="8"/>
      <c r="N46" s="7"/>
      <c r="O46" s="12" t="str">
        <f aca="false">IF($B46="","",N($F46)*N($G46)+N($H46))</f>
        <v/>
      </c>
      <c r="P46" s="11" t="str">
        <f aca="true">IF(OR($B46="",$E46=""),"",IF($J46&lt;&gt;"",$J46,TODAY())-$E46)</f>
        <v/>
      </c>
      <c r="Q46" s="12" t="str">
        <f aca="false">IF(OR($B46="",$I46="",$I46="En cartera"),"",($K46-$G46)*$F46-N($H46)-N($L46))</f>
        <v/>
      </c>
      <c r="R46" s="12" t="str">
        <f aca="false">IF(OR($B46="",$I46&lt;&gt;"En cartera",$M46=""),"",($M46-$G46)*$F46-N($H46))</f>
        <v/>
      </c>
      <c r="S46" s="12" t="str">
        <f aca="false">IF($B46="","",SUMIFS(Dividendos!$I$2:$I$301,Dividendos!$C$2:$C$301,$A46))</f>
        <v/>
      </c>
      <c r="T46" s="12" t="str">
        <f aca="false">IF($B46="","",SUMIFS(Operaciones!$AE$2:$AE$1001,Operaciones!$R$2:$R$1001,$A46))</f>
        <v/>
      </c>
      <c r="U46" s="12" t="str">
        <f aca="false">IF($B46="","",N($Q46)+$S46+$T46)</f>
        <v/>
      </c>
      <c r="V46" s="13" t="str">
        <f aca="false">IF(OR($B46="",N($F46)=0),"",(N($F46)*N($G46)-$S46-$T46)/$F46)</f>
        <v/>
      </c>
      <c r="W46" s="14" t="str">
        <f aca="false">IF(OR($B46="",N($F46)*N($G46)=0),"",$U46/($F46*$G46))</f>
        <v/>
      </c>
      <c r="X46" s="14" t="str">
        <f aca="false">IF(OR($W46="",$P46=""),"",$W46*365/MAX($P46,1))</f>
        <v/>
      </c>
      <c r="Y46" s="10" t="str">
        <f aca="false">IF($B46="","",IF(OR($A46="",$E46="",$F46="",$G46="",$I46=""),"Faltan datos obligatorios",IF(COUNTIF($A$2:$A$201,$A46)&gt;1,"ID lote duplicado",IF(AND($I46&lt;&gt;"En cartera",OR($J46="",$K46="")),"Falta fecha o precio de salida",IF(AND($J46&lt;&gt;"",$J46&lt;$E46),"Salida anterior a entrada",IF(AND($I46="En cartera",$M46=""),"OK (sin precio actual)","OK"))))))</f>
        <v/>
      </c>
    </row>
    <row r="47" customFormat="false" ht="15" hidden="false" customHeight="true" outlineLevel="0" collapsed="false">
      <c r="A47" s="7"/>
      <c r="B47" s="7"/>
      <c r="C47" s="7"/>
      <c r="D47" s="5"/>
      <c r="E47" s="6"/>
      <c r="F47" s="5"/>
      <c r="G47" s="8"/>
      <c r="H47" s="9"/>
      <c r="I47" s="7"/>
      <c r="J47" s="6"/>
      <c r="K47" s="8"/>
      <c r="L47" s="9"/>
      <c r="M47" s="8"/>
      <c r="N47" s="7"/>
      <c r="O47" s="12" t="str">
        <f aca="false">IF($B47="","",N($F47)*N($G47)+N($H47))</f>
        <v/>
      </c>
      <c r="P47" s="11" t="str">
        <f aca="true">IF(OR($B47="",$E47=""),"",IF($J47&lt;&gt;"",$J47,TODAY())-$E47)</f>
        <v/>
      </c>
      <c r="Q47" s="12" t="str">
        <f aca="false">IF(OR($B47="",$I47="",$I47="En cartera"),"",($K47-$G47)*$F47-N($H47)-N($L47))</f>
        <v/>
      </c>
      <c r="R47" s="12" t="str">
        <f aca="false">IF(OR($B47="",$I47&lt;&gt;"En cartera",$M47=""),"",($M47-$G47)*$F47-N($H47))</f>
        <v/>
      </c>
      <c r="S47" s="12" t="str">
        <f aca="false">IF($B47="","",SUMIFS(Dividendos!$I$2:$I$301,Dividendos!$C$2:$C$301,$A47))</f>
        <v/>
      </c>
      <c r="T47" s="12" t="str">
        <f aca="false">IF($B47="","",SUMIFS(Operaciones!$AE$2:$AE$1001,Operaciones!$R$2:$R$1001,$A47))</f>
        <v/>
      </c>
      <c r="U47" s="12" t="str">
        <f aca="false">IF($B47="","",N($Q47)+$S47+$T47)</f>
        <v/>
      </c>
      <c r="V47" s="13" t="str">
        <f aca="false">IF(OR($B47="",N($F47)=0),"",(N($F47)*N($G47)-$S47-$T47)/$F47)</f>
        <v/>
      </c>
      <c r="W47" s="14" t="str">
        <f aca="false">IF(OR($B47="",N($F47)*N($G47)=0),"",$U47/($F47*$G47))</f>
        <v/>
      </c>
      <c r="X47" s="14" t="str">
        <f aca="false">IF(OR($W47="",$P47=""),"",$W47*365/MAX($P47,1))</f>
        <v/>
      </c>
      <c r="Y47" s="10" t="str">
        <f aca="false">IF($B47="","",IF(OR($A47="",$E47="",$F47="",$G47="",$I47=""),"Faltan datos obligatorios",IF(COUNTIF($A$2:$A$201,$A47)&gt;1,"ID lote duplicado",IF(AND($I47&lt;&gt;"En cartera",OR($J47="",$K47="")),"Falta fecha o precio de salida",IF(AND($J47&lt;&gt;"",$J47&lt;$E47),"Salida anterior a entrada",IF(AND($I47="En cartera",$M47=""),"OK (sin precio actual)","OK"))))))</f>
        <v/>
      </c>
    </row>
    <row r="48" customFormat="false" ht="15" hidden="false" customHeight="true" outlineLevel="0" collapsed="false">
      <c r="A48" s="7"/>
      <c r="B48" s="7"/>
      <c r="C48" s="7"/>
      <c r="D48" s="5"/>
      <c r="E48" s="6"/>
      <c r="F48" s="5"/>
      <c r="G48" s="8"/>
      <c r="H48" s="9"/>
      <c r="I48" s="7"/>
      <c r="J48" s="6"/>
      <c r="K48" s="8"/>
      <c r="L48" s="9"/>
      <c r="M48" s="8"/>
      <c r="N48" s="7"/>
      <c r="O48" s="12" t="str">
        <f aca="false">IF($B48="","",N($F48)*N($G48)+N($H48))</f>
        <v/>
      </c>
      <c r="P48" s="11" t="str">
        <f aca="true">IF(OR($B48="",$E48=""),"",IF($J48&lt;&gt;"",$J48,TODAY())-$E48)</f>
        <v/>
      </c>
      <c r="Q48" s="12" t="str">
        <f aca="false">IF(OR($B48="",$I48="",$I48="En cartera"),"",($K48-$G48)*$F48-N($H48)-N($L48))</f>
        <v/>
      </c>
      <c r="R48" s="12" t="str">
        <f aca="false">IF(OR($B48="",$I48&lt;&gt;"En cartera",$M48=""),"",($M48-$G48)*$F48-N($H48))</f>
        <v/>
      </c>
      <c r="S48" s="12" t="str">
        <f aca="false">IF($B48="","",SUMIFS(Dividendos!$I$2:$I$301,Dividendos!$C$2:$C$301,$A48))</f>
        <v/>
      </c>
      <c r="T48" s="12" t="str">
        <f aca="false">IF($B48="","",SUMIFS(Operaciones!$AE$2:$AE$1001,Operaciones!$R$2:$R$1001,$A48))</f>
        <v/>
      </c>
      <c r="U48" s="12" t="str">
        <f aca="false">IF($B48="","",N($Q48)+$S48+$T48)</f>
        <v/>
      </c>
      <c r="V48" s="13" t="str">
        <f aca="false">IF(OR($B48="",N($F48)=0),"",(N($F48)*N($G48)-$S48-$T48)/$F48)</f>
        <v/>
      </c>
      <c r="W48" s="14" t="str">
        <f aca="false">IF(OR($B48="",N($F48)*N($G48)=0),"",$U48/($F48*$G48))</f>
        <v/>
      </c>
      <c r="X48" s="14" t="str">
        <f aca="false">IF(OR($W48="",$P48=""),"",$W48*365/MAX($P48,1))</f>
        <v/>
      </c>
      <c r="Y48" s="10" t="str">
        <f aca="false">IF($B48="","",IF(OR($A48="",$E48="",$F48="",$G48="",$I48=""),"Faltan datos obligatorios",IF(COUNTIF($A$2:$A$201,$A48)&gt;1,"ID lote duplicado",IF(AND($I48&lt;&gt;"En cartera",OR($J48="",$K48="")),"Falta fecha o precio de salida",IF(AND($J48&lt;&gt;"",$J48&lt;$E48),"Salida anterior a entrada",IF(AND($I48="En cartera",$M48=""),"OK (sin precio actual)","OK"))))))</f>
        <v/>
      </c>
    </row>
    <row r="49" customFormat="false" ht="15" hidden="false" customHeight="true" outlineLevel="0" collapsed="false">
      <c r="A49" s="7"/>
      <c r="B49" s="7"/>
      <c r="C49" s="7"/>
      <c r="D49" s="5"/>
      <c r="E49" s="6"/>
      <c r="F49" s="5"/>
      <c r="G49" s="8"/>
      <c r="H49" s="9"/>
      <c r="I49" s="7"/>
      <c r="J49" s="6"/>
      <c r="K49" s="8"/>
      <c r="L49" s="9"/>
      <c r="M49" s="8"/>
      <c r="N49" s="7"/>
      <c r="O49" s="12" t="str">
        <f aca="false">IF($B49="","",N($F49)*N($G49)+N($H49))</f>
        <v/>
      </c>
      <c r="P49" s="11" t="str">
        <f aca="true">IF(OR($B49="",$E49=""),"",IF($J49&lt;&gt;"",$J49,TODAY())-$E49)</f>
        <v/>
      </c>
      <c r="Q49" s="12" t="str">
        <f aca="false">IF(OR($B49="",$I49="",$I49="En cartera"),"",($K49-$G49)*$F49-N($H49)-N($L49))</f>
        <v/>
      </c>
      <c r="R49" s="12" t="str">
        <f aca="false">IF(OR($B49="",$I49&lt;&gt;"En cartera",$M49=""),"",($M49-$G49)*$F49-N($H49))</f>
        <v/>
      </c>
      <c r="S49" s="12" t="str">
        <f aca="false">IF($B49="","",SUMIFS(Dividendos!$I$2:$I$301,Dividendos!$C$2:$C$301,$A49))</f>
        <v/>
      </c>
      <c r="T49" s="12" t="str">
        <f aca="false">IF($B49="","",SUMIFS(Operaciones!$AE$2:$AE$1001,Operaciones!$R$2:$R$1001,$A49))</f>
        <v/>
      </c>
      <c r="U49" s="12" t="str">
        <f aca="false">IF($B49="","",N($Q49)+$S49+$T49)</f>
        <v/>
      </c>
      <c r="V49" s="13" t="str">
        <f aca="false">IF(OR($B49="",N($F49)=0),"",(N($F49)*N($G49)-$S49-$T49)/$F49)</f>
        <v/>
      </c>
      <c r="W49" s="14" t="str">
        <f aca="false">IF(OR($B49="",N($F49)*N($G49)=0),"",$U49/($F49*$G49))</f>
        <v/>
      </c>
      <c r="X49" s="14" t="str">
        <f aca="false">IF(OR($W49="",$P49=""),"",$W49*365/MAX($P49,1))</f>
        <v/>
      </c>
      <c r="Y49" s="10" t="str">
        <f aca="false">IF($B49="","",IF(OR($A49="",$E49="",$F49="",$G49="",$I49=""),"Faltan datos obligatorios",IF(COUNTIF($A$2:$A$201,$A49)&gt;1,"ID lote duplicado",IF(AND($I49&lt;&gt;"En cartera",OR($J49="",$K49="")),"Falta fecha o precio de salida",IF(AND($J49&lt;&gt;"",$J49&lt;$E49),"Salida anterior a entrada",IF(AND($I49="En cartera",$M49=""),"OK (sin precio actual)","OK"))))))</f>
        <v/>
      </c>
    </row>
    <row r="50" customFormat="false" ht="15" hidden="false" customHeight="true" outlineLevel="0" collapsed="false">
      <c r="A50" s="7"/>
      <c r="B50" s="7"/>
      <c r="C50" s="7"/>
      <c r="D50" s="5"/>
      <c r="E50" s="6"/>
      <c r="F50" s="5"/>
      <c r="G50" s="8"/>
      <c r="H50" s="9"/>
      <c r="I50" s="7"/>
      <c r="J50" s="6"/>
      <c r="K50" s="8"/>
      <c r="L50" s="9"/>
      <c r="M50" s="8"/>
      <c r="N50" s="7"/>
      <c r="O50" s="12" t="str">
        <f aca="false">IF($B50="","",N($F50)*N($G50)+N($H50))</f>
        <v/>
      </c>
      <c r="P50" s="11" t="str">
        <f aca="true">IF(OR($B50="",$E50=""),"",IF($J50&lt;&gt;"",$J50,TODAY())-$E50)</f>
        <v/>
      </c>
      <c r="Q50" s="12" t="str">
        <f aca="false">IF(OR($B50="",$I50="",$I50="En cartera"),"",($K50-$G50)*$F50-N($H50)-N($L50))</f>
        <v/>
      </c>
      <c r="R50" s="12" t="str">
        <f aca="false">IF(OR($B50="",$I50&lt;&gt;"En cartera",$M50=""),"",($M50-$G50)*$F50-N($H50))</f>
        <v/>
      </c>
      <c r="S50" s="12" t="str">
        <f aca="false">IF($B50="","",SUMIFS(Dividendos!$I$2:$I$301,Dividendos!$C$2:$C$301,$A50))</f>
        <v/>
      </c>
      <c r="T50" s="12" t="str">
        <f aca="false">IF($B50="","",SUMIFS(Operaciones!$AE$2:$AE$1001,Operaciones!$R$2:$R$1001,$A50))</f>
        <v/>
      </c>
      <c r="U50" s="12" t="str">
        <f aca="false">IF($B50="","",N($Q50)+$S50+$T50)</f>
        <v/>
      </c>
      <c r="V50" s="13" t="str">
        <f aca="false">IF(OR($B50="",N($F50)=0),"",(N($F50)*N($G50)-$S50-$T50)/$F50)</f>
        <v/>
      </c>
      <c r="W50" s="14" t="str">
        <f aca="false">IF(OR($B50="",N($F50)*N($G50)=0),"",$U50/($F50*$G50))</f>
        <v/>
      </c>
      <c r="X50" s="14" t="str">
        <f aca="false">IF(OR($W50="",$P50=""),"",$W50*365/MAX($P50,1))</f>
        <v/>
      </c>
      <c r="Y50" s="10" t="str">
        <f aca="false">IF($B50="","",IF(OR($A50="",$E50="",$F50="",$G50="",$I50=""),"Faltan datos obligatorios",IF(COUNTIF($A$2:$A$201,$A50)&gt;1,"ID lote duplicado",IF(AND($I50&lt;&gt;"En cartera",OR($J50="",$K50="")),"Falta fecha o precio de salida",IF(AND($J50&lt;&gt;"",$J50&lt;$E50),"Salida anterior a entrada",IF(AND($I50="En cartera",$M50=""),"OK (sin precio actual)","OK"))))))</f>
        <v/>
      </c>
    </row>
    <row r="51" customFormat="false" ht="15" hidden="false" customHeight="true" outlineLevel="0" collapsed="false">
      <c r="A51" s="7"/>
      <c r="B51" s="7"/>
      <c r="C51" s="7"/>
      <c r="D51" s="5"/>
      <c r="E51" s="6"/>
      <c r="F51" s="5"/>
      <c r="G51" s="8"/>
      <c r="H51" s="9"/>
      <c r="I51" s="7"/>
      <c r="J51" s="6"/>
      <c r="K51" s="8"/>
      <c r="L51" s="9"/>
      <c r="M51" s="8"/>
      <c r="N51" s="7"/>
      <c r="O51" s="12" t="str">
        <f aca="false">IF($B51="","",N($F51)*N($G51)+N($H51))</f>
        <v/>
      </c>
      <c r="P51" s="11" t="str">
        <f aca="true">IF(OR($B51="",$E51=""),"",IF($J51&lt;&gt;"",$J51,TODAY())-$E51)</f>
        <v/>
      </c>
      <c r="Q51" s="12" t="str">
        <f aca="false">IF(OR($B51="",$I51="",$I51="En cartera"),"",($K51-$G51)*$F51-N($H51)-N($L51))</f>
        <v/>
      </c>
      <c r="R51" s="12" t="str">
        <f aca="false">IF(OR($B51="",$I51&lt;&gt;"En cartera",$M51=""),"",($M51-$G51)*$F51-N($H51))</f>
        <v/>
      </c>
      <c r="S51" s="12" t="str">
        <f aca="false">IF($B51="","",SUMIFS(Dividendos!$I$2:$I$301,Dividendos!$C$2:$C$301,$A51))</f>
        <v/>
      </c>
      <c r="T51" s="12" t="str">
        <f aca="false">IF($B51="","",SUMIFS(Operaciones!$AE$2:$AE$1001,Operaciones!$R$2:$R$1001,$A51))</f>
        <v/>
      </c>
      <c r="U51" s="12" t="str">
        <f aca="false">IF($B51="","",N($Q51)+$S51+$T51)</f>
        <v/>
      </c>
      <c r="V51" s="13" t="str">
        <f aca="false">IF(OR($B51="",N($F51)=0),"",(N($F51)*N($G51)-$S51-$T51)/$F51)</f>
        <v/>
      </c>
      <c r="W51" s="14" t="str">
        <f aca="false">IF(OR($B51="",N($F51)*N($G51)=0),"",$U51/($F51*$G51))</f>
        <v/>
      </c>
      <c r="X51" s="14" t="str">
        <f aca="false">IF(OR($W51="",$P51=""),"",$W51*365/MAX($P51,1))</f>
        <v/>
      </c>
      <c r="Y51" s="10" t="str">
        <f aca="false">IF($B51="","",IF(OR($A51="",$E51="",$F51="",$G51="",$I51=""),"Faltan datos obligatorios",IF(COUNTIF($A$2:$A$201,$A51)&gt;1,"ID lote duplicado",IF(AND($I51&lt;&gt;"En cartera",OR($J51="",$K51="")),"Falta fecha o precio de salida",IF(AND($J51&lt;&gt;"",$J51&lt;$E51),"Salida anterior a entrada",IF(AND($I51="En cartera",$M51=""),"OK (sin precio actual)","OK"))))))</f>
        <v/>
      </c>
    </row>
    <row r="52" customFormat="false" ht="15" hidden="false" customHeight="true" outlineLevel="0" collapsed="false">
      <c r="A52" s="7"/>
      <c r="B52" s="7"/>
      <c r="C52" s="7"/>
      <c r="D52" s="5"/>
      <c r="E52" s="6"/>
      <c r="F52" s="5"/>
      <c r="G52" s="8"/>
      <c r="H52" s="9"/>
      <c r="I52" s="7"/>
      <c r="J52" s="6"/>
      <c r="K52" s="8"/>
      <c r="L52" s="9"/>
      <c r="M52" s="8"/>
      <c r="N52" s="7"/>
      <c r="O52" s="12" t="str">
        <f aca="false">IF($B52="","",N($F52)*N($G52)+N($H52))</f>
        <v/>
      </c>
      <c r="P52" s="11" t="str">
        <f aca="true">IF(OR($B52="",$E52=""),"",IF($J52&lt;&gt;"",$J52,TODAY())-$E52)</f>
        <v/>
      </c>
      <c r="Q52" s="12" t="str">
        <f aca="false">IF(OR($B52="",$I52="",$I52="En cartera"),"",($K52-$G52)*$F52-N($H52)-N($L52))</f>
        <v/>
      </c>
      <c r="R52" s="12" t="str">
        <f aca="false">IF(OR($B52="",$I52&lt;&gt;"En cartera",$M52=""),"",($M52-$G52)*$F52-N($H52))</f>
        <v/>
      </c>
      <c r="S52" s="12" t="str">
        <f aca="false">IF($B52="","",SUMIFS(Dividendos!$I$2:$I$301,Dividendos!$C$2:$C$301,$A52))</f>
        <v/>
      </c>
      <c r="T52" s="12" t="str">
        <f aca="false">IF($B52="","",SUMIFS(Operaciones!$AE$2:$AE$1001,Operaciones!$R$2:$R$1001,$A52))</f>
        <v/>
      </c>
      <c r="U52" s="12" t="str">
        <f aca="false">IF($B52="","",N($Q52)+$S52+$T52)</f>
        <v/>
      </c>
      <c r="V52" s="13" t="str">
        <f aca="false">IF(OR($B52="",N($F52)=0),"",(N($F52)*N($G52)-$S52-$T52)/$F52)</f>
        <v/>
      </c>
      <c r="W52" s="14" t="str">
        <f aca="false">IF(OR($B52="",N($F52)*N($G52)=0),"",$U52/($F52*$G52))</f>
        <v/>
      </c>
      <c r="X52" s="14" t="str">
        <f aca="false">IF(OR($W52="",$P52=""),"",$W52*365/MAX($P52,1))</f>
        <v/>
      </c>
      <c r="Y52" s="10" t="str">
        <f aca="false">IF($B52="","",IF(OR($A52="",$E52="",$F52="",$G52="",$I52=""),"Faltan datos obligatorios",IF(COUNTIF($A$2:$A$201,$A52)&gt;1,"ID lote duplicado",IF(AND($I52&lt;&gt;"En cartera",OR($J52="",$K52="")),"Falta fecha o precio de salida",IF(AND($J52&lt;&gt;"",$J52&lt;$E52),"Salida anterior a entrada",IF(AND($I52="En cartera",$M52=""),"OK (sin precio actual)","OK"))))))</f>
        <v/>
      </c>
    </row>
    <row r="53" customFormat="false" ht="15" hidden="false" customHeight="true" outlineLevel="0" collapsed="false">
      <c r="A53" s="7"/>
      <c r="B53" s="7"/>
      <c r="C53" s="7"/>
      <c r="D53" s="5"/>
      <c r="E53" s="6"/>
      <c r="F53" s="5"/>
      <c r="G53" s="8"/>
      <c r="H53" s="9"/>
      <c r="I53" s="7"/>
      <c r="J53" s="6"/>
      <c r="K53" s="8"/>
      <c r="L53" s="9"/>
      <c r="M53" s="8"/>
      <c r="N53" s="7"/>
      <c r="O53" s="12" t="str">
        <f aca="false">IF($B53="","",N($F53)*N($G53)+N($H53))</f>
        <v/>
      </c>
      <c r="P53" s="11" t="str">
        <f aca="true">IF(OR($B53="",$E53=""),"",IF($J53&lt;&gt;"",$J53,TODAY())-$E53)</f>
        <v/>
      </c>
      <c r="Q53" s="12" t="str">
        <f aca="false">IF(OR($B53="",$I53="",$I53="En cartera"),"",($K53-$G53)*$F53-N($H53)-N($L53))</f>
        <v/>
      </c>
      <c r="R53" s="12" t="str">
        <f aca="false">IF(OR($B53="",$I53&lt;&gt;"En cartera",$M53=""),"",($M53-$G53)*$F53-N($H53))</f>
        <v/>
      </c>
      <c r="S53" s="12" t="str">
        <f aca="false">IF($B53="","",SUMIFS(Dividendos!$I$2:$I$301,Dividendos!$C$2:$C$301,$A53))</f>
        <v/>
      </c>
      <c r="T53" s="12" t="str">
        <f aca="false">IF($B53="","",SUMIFS(Operaciones!$AE$2:$AE$1001,Operaciones!$R$2:$R$1001,$A53))</f>
        <v/>
      </c>
      <c r="U53" s="12" t="str">
        <f aca="false">IF($B53="","",N($Q53)+$S53+$T53)</f>
        <v/>
      </c>
      <c r="V53" s="13" t="str">
        <f aca="false">IF(OR($B53="",N($F53)=0),"",(N($F53)*N($G53)-$S53-$T53)/$F53)</f>
        <v/>
      </c>
      <c r="W53" s="14" t="str">
        <f aca="false">IF(OR($B53="",N($F53)*N($G53)=0),"",$U53/($F53*$G53))</f>
        <v/>
      </c>
      <c r="X53" s="14" t="str">
        <f aca="false">IF(OR($W53="",$P53=""),"",$W53*365/MAX($P53,1))</f>
        <v/>
      </c>
      <c r="Y53" s="10" t="str">
        <f aca="false">IF($B53="","",IF(OR($A53="",$E53="",$F53="",$G53="",$I53=""),"Faltan datos obligatorios",IF(COUNTIF($A$2:$A$201,$A53)&gt;1,"ID lote duplicado",IF(AND($I53&lt;&gt;"En cartera",OR($J53="",$K53="")),"Falta fecha o precio de salida",IF(AND($J53&lt;&gt;"",$J53&lt;$E53),"Salida anterior a entrada",IF(AND($I53="En cartera",$M53=""),"OK (sin precio actual)","OK"))))))</f>
        <v/>
      </c>
    </row>
    <row r="54" customFormat="false" ht="15" hidden="false" customHeight="true" outlineLevel="0" collapsed="false">
      <c r="A54" s="7"/>
      <c r="B54" s="7"/>
      <c r="C54" s="7"/>
      <c r="D54" s="5"/>
      <c r="E54" s="6"/>
      <c r="F54" s="5"/>
      <c r="G54" s="8"/>
      <c r="H54" s="9"/>
      <c r="I54" s="7"/>
      <c r="J54" s="6"/>
      <c r="K54" s="8"/>
      <c r="L54" s="9"/>
      <c r="M54" s="8"/>
      <c r="N54" s="7"/>
      <c r="O54" s="12" t="str">
        <f aca="false">IF($B54="","",N($F54)*N($G54)+N($H54))</f>
        <v/>
      </c>
      <c r="P54" s="11" t="str">
        <f aca="true">IF(OR($B54="",$E54=""),"",IF($J54&lt;&gt;"",$J54,TODAY())-$E54)</f>
        <v/>
      </c>
      <c r="Q54" s="12" t="str">
        <f aca="false">IF(OR($B54="",$I54="",$I54="En cartera"),"",($K54-$G54)*$F54-N($H54)-N($L54))</f>
        <v/>
      </c>
      <c r="R54" s="12" t="str">
        <f aca="false">IF(OR($B54="",$I54&lt;&gt;"En cartera",$M54=""),"",($M54-$G54)*$F54-N($H54))</f>
        <v/>
      </c>
      <c r="S54" s="12" t="str">
        <f aca="false">IF($B54="","",SUMIFS(Dividendos!$I$2:$I$301,Dividendos!$C$2:$C$301,$A54))</f>
        <v/>
      </c>
      <c r="T54" s="12" t="str">
        <f aca="false">IF($B54="","",SUMIFS(Operaciones!$AE$2:$AE$1001,Operaciones!$R$2:$R$1001,$A54))</f>
        <v/>
      </c>
      <c r="U54" s="12" t="str">
        <f aca="false">IF($B54="","",N($Q54)+$S54+$T54)</f>
        <v/>
      </c>
      <c r="V54" s="13" t="str">
        <f aca="false">IF(OR($B54="",N($F54)=0),"",(N($F54)*N($G54)-$S54-$T54)/$F54)</f>
        <v/>
      </c>
      <c r="W54" s="14" t="str">
        <f aca="false">IF(OR($B54="",N($F54)*N($G54)=0),"",$U54/($F54*$G54))</f>
        <v/>
      </c>
      <c r="X54" s="14" t="str">
        <f aca="false">IF(OR($W54="",$P54=""),"",$W54*365/MAX($P54,1))</f>
        <v/>
      </c>
      <c r="Y54" s="10" t="str">
        <f aca="false">IF($B54="","",IF(OR($A54="",$E54="",$F54="",$G54="",$I54=""),"Faltan datos obligatorios",IF(COUNTIF($A$2:$A$201,$A54)&gt;1,"ID lote duplicado",IF(AND($I54&lt;&gt;"En cartera",OR($J54="",$K54="")),"Falta fecha o precio de salida",IF(AND($J54&lt;&gt;"",$J54&lt;$E54),"Salida anterior a entrada",IF(AND($I54="En cartera",$M54=""),"OK (sin precio actual)","OK"))))))</f>
        <v/>
      </c>
    </row>
    <row r="55" customFormat="false" ht="15" hidden="false" customHeight="true" outlineLevel="0" collapsed="false">
      <c r="A55" s="7"/>
      <c r="B55" s="7"/>
      <c r="C55" s="7"/>
      <c r="D55" s="5"/>
      <c r="E55" s="6"/>
      <c r="F55" s="5"/>
      <c r="G55" s="8"/>
      <c r="H55" s="9"/>
      <c r="I55" s="7"/>
      <c r="J55" s="6"/>
      <c r="K55" s="8"/>
      <c r="L55" s="9"/>
      <c r="M55" s="8"/>
      <c r="N55" s="7"/>
      <c r="O55" s="12" t="str">
        <f aca="false">IF($B55="","",N($F55)*N($G55)+N($H55))</f>
        <v/>
      </c>
      <c r="P55" s="11" t="str">
        <f aca="true">IF(OR($B55="",$E55=""),"",IF($J55&lt;&gt;"",$J55,TODAY())-$E55)</f>
        <v/>
      </c>
      <c r="Q55" s="12" t="str">
        <f aca="false">IF(OR($B55="",$I55="",$I55="En cartera"),"",($K55-$G55)*$F55-N($H55)-N($L55))</f>
        <v/>
      </c>
      <c r="R55" s="12" t="str">
        <f aca="false">IF(OR($B55="",$I55&lt;&gt;"En cartera",$M55=""),"",($M55-$G55)*$F55-N($H55))</f>
        <v/>
      </c>
      <c r="S55" s="12" t="str">
        <f aca="false">IF($B55="","",SUMIFS(Dividendos!$I$2:$I$301,Dividendos!$C$2:$C$301,$A55))</f>
        <v/>
      </c>
      <c r="T55" s="12" t="str">
        <f aca="false">IF($B55="","",SUMIFS(Operaciones!$AE$2:$AE$1001,Operaciones!$R$2:$R$1001,$A55))</f>
        <v/>
      </c>
      <c r="U55" s="12" t="str">
        <f aca="false">IF($B55="","",N($Q55)+$S55+$T55)</f>
        <v/>
      </c>
      <c r="V55" s="13" t="str">
        <f aca="false">IF(OR($B55="",N($F55)=0),"",(N($F55)*N($G55)-$S55-$T55)/$F55)</f>
        <v/>
      </c>
      <c r="W55" s="14" t="str">
        <f aca="false">IF(OR($B55="",N($F55)*N($G55)=0),"",$U55/($F55*$G55))</f>
        <v/>
      </c>
      <c r="X55" s="14" t="str">
        <f aca="false">IF(OR($W55="",$P55=""),"",$W55*365/MAX($P55,1))</f>
        <v/>
      </c>
      <c r="Y55" s="10" t="str">
        <f aca="false">IF($B55="","",IF(OR($A55="",$E55="",$F55="",$G55="",$I55=""),"Faltan datos obligatorios",IF(COUNTIF($A$2:$A$201,$A55)&gt;1,"ID lote duplicado",IF(AND($I55&lt;&gt;"En cartera",OR($J55="",$K55="")),"Falta fecha o precio de salida",IF(AND($J55&lt;&gt;"",$J55&lt;$E55),"Salida anterior a entrada",IF(AND($I55="En cartera",$M55=""),"OK (sin precio actual)","OK"))))))</f>
        <v/>
      </c>
    </row>
    <row r="56" customFormat="false" ht="15" hidden="false" customHeight="true" outlineLevel="0" collapsed="false">
      <c r="A56" s="7"/>
      <c r="B56" s="7"/>
      <c r="C56" s="7"/>
      <c r="D56" s="5"/>
      <c r="E56" s="6"/>
      <c r="F56" s="5"/>
      <c r="G56" s="8"/>
      <c r="H56" s="9"/>
      <c r="I56" s="7"/>
      <c r="J56" s="6"/>
      <c r="K56" s="8"/>
      <c r="L56" s="9"/>
      <c r="M56" s="8"/>
      <c r="N56" s="7"/>
      <c r="O56" s="12" t="str">
        <f aca="false">IF($B56="","",N($F56)*N($G56)+N($H56))</f>
        <v/>
      </c>
      <c r="P56" s="11" t="str">
        <f aca="true">IF(OR($B56="",$E56=""),"",IF($J56&lt;&gt;"",$J56,TODAY())-$E56)</f>
        <v/>
      </c>
      <c r="Q56" s="12" t="str">
        <f aca="false">IF(OR($B56="",$I56="",$I56="En cartera"),"",($K56-$G56)*$F56-N($H56)-N($L56))</f>
        <v/>
      </c>
      <c r="R56" s="12" t="str">
        <f aca="false">IF(OR($B56="",$I56&lt;&gt;"En cartera",$M56=""),"",($M56-$G56)*$F56-N($H56))</f>
        <v/>
      </c>
      <c r="S56" s="12" t="str">
        <f aca="false">IF($B56="","",SUMIFS(Dividendos!$I$2:$I$301,Dividendos!$C$2:$C$301,$A56))</f>
        <v/>
      </c>
      <c r="T56" s="12" t="str">
        <f aca="false">IF($B56="","",SUMIFS(Operaciones!$AE$2:$AE$1001,Operaciones!$R$2:$R$1001,$A56))</f>
        <v/>
      </c>
      <c r="U56" s="12" t="str">
        <f aca="false">IF($B56="","",N($Q56)+$S56+$T56)</f>
        <v/>
      </c>
      <c r="V56" s="13" t="str">
        <f aca="false">IF(OR($B56="",N($F56)=0),"",(N($F56)*N($G56)-$S56-$T56)/$F56)</f>
        <v/>
      </c>
      <c r="W56" s="14" t="str">
        <f aca="false">IF(OR($B56="",N($F56)*N($G56)=0),"",$U56/($F56*$G56))</f>
        <v/>
      </c>
      <c r="X56" s="14" t="str">
        <f aca="false">IF(OR($W56="",$P56=""),"",$W56*365/MAX($P56,1))</f>
        <v/>
      </c>
      <c r="Y56" s="10" t="str">
        <f aca="false">IF($B56="","",IF(OR($A56="",$E56="",$F56="",$G56="",$I56=""),"Faltan datos obligatorios",IF(COUNTIF($A$2:$A$201,$A56)&gt;1,"ID lote duplicado",IF(AND($I56&lt;&gt;"En cartera",OR($J56="",$K56="")),"Falta fecha o precio de salida",IF(AND($J56&lt;&gt;"",$J56&lt;$E56),"Salida anterior a entrada",IF(AND($I56="En cartera",$M56=""),"OK (sin precio actual)","OK"))))))</f>
        <v/>
      </c>
    </row>
    <row r="57" customFormat="false" ht="15" hidden="false" customHeight="true" outlineLevel="0" collapsed="false">
      <c r="A57" s="7"/>
      <c r="B57" s="7"/>
      <c r="C57" s="7"/>
      <c r="D57" s="5"/>
      <c r="E57" s="6"/>
      <c r="F57" s="5"/>
      <c r="G57" s="8"/>
      <c r="H57" s="9"/>
      <c r="I57" s="7"/>
      <c r="J57" s="6"/>
      <c r="K57" s="8"/>
      <c r="L57" s="9"/>
      <c r="M57" s="8"/>
      <c r="N57" s="7"/>
      <c r="O57" s="12" t="str">
        <f aca="false">IF($B57="","",N($F57)*N($G57)+N($H57))</f>
        <v/>
      </c>
      <c r="P57" s="11" t="str">
        <f aca="true">IF(OR($B57="",$E57=""),"",IF($J57&lt;&gt;"",$J57,TODAY())-$E57)</f>
        <v/>
      </c>
      <c r="Q57" s="12" t="str">
        <f aca="false">IF(OR($B57="",$I57="",$I57="En cartera"),"",($K57-$G57)*$F57-N($H57)-N($L57))</f>
        <v/>
      </c>
      <c r="R57" s="12" t="str">
        <f aca="false">IF(OR($B57="",$I57&lt;&gt;"En cartera",$M57=""),"",($M57-$G57)*$F57-N($H57))</f>
        <v/>
      </c>
      <c r="S57" s="12" t="str">
        <f aca="false">IF($B57="","",SUMIFS(Dividendos!$I$2:$I$301,Dividendos!$C$2:$C$301,$A57))</f>
        <v/>
      </c>
      <c r="T57" s="12" t="str">
        <f aca="false">IF($B57="","",SUMIFS(Operaciones!$AE$2:$AE$1001,Operaciones!$R$2:$R$1001,$A57))</f>
        <v/>
      </c>
      <c r="U57" s="12" t="str">
        <f aca="false">IF($B57="","",N($Q57)+$S57+$T57)</f>
        <v/>
      </c>
      <c r="V57" s="13" t="str">
        <f aca="false">IF(OR($B57="",N($F57)=0),"",(N($F57)*N($G57)-$S57-$T57)/$F57)</f>
        <v/>
      </c>
      <c r="W57" s="14" t="str">
        <f aca="false">IF(OR($B57="",N($F57)*N($G57)=0),"",$U57/($F57*$G57))</f>
        <v/>
      </c>
      <c r="X57" s="14" t="str">
        <f aca="false">IF(OR($W57="",$P57=""),"",$W57*365/MAX($P57,1))</f>
        <v/>
      </c>
      <c r="Y57" s="10" t="str">
        <f aca="false">IF($B57="","",IF(OR($A57="",$E57="",$F57="",$G57="",$I57=""),"Faltan datos obligatorios",IF(COUNTIF($A$2:$A$201,$A57)&gt;1,"ID lote duplicado",IF(AND($I57&lt;&gt;"En cartera",OR($J57="",$K57="")),"Falta fecha o precio de salida",IF(AND($J57&lt;&gt;"",$J57&lt;$E57),"Salida anterior a entrada",IF(AND($I57="En cartera",$M57=""),"OK (sin precio actual)","OK"))))))</f>
        <v/>
      </c>
    </row>
    <row r="58" customFormat="false" ht="15" hidden="false" customHeight="true" outlineLevel="0" collapsed="false">
      <c r="A58" s="7"/>
      <c r="B58" s="7"/>
      <c r="C58" s="7"/>
      <c r="D58" s="5"/>
      <c r="E58" s="6"/>
      <c r="F58" s="5"/>
      <c r="G58" s="8"/>
      <c r="H58" s="9"/>
      <c r="I58" s="7"/>
      <c r="J58" s="6"/>
      <c r="K58" s="8"/>
      <c r="L58" s="9"/>
      <c r="M58" s="8"/>
      <c r="N58" s="7"/>
      <c r="O58" s="12" t="str">
        <f aca="false">IF($B58="","",N($F58)*N($G58)+N($H58))</f>
        <v/>
      </c>
      <c r="P58" s="11" t="str">
        <f aca="true">IF(OR($B58="",$E58=""),"",IF($J58&lt;&gt;"",$J58,TODAY())-$E58)</f>
        <v/>
      </c>
      <c r="Q58" s="12" t="str">
        <f aca="false">IF(OR($B58="",$I58="",$I58="En cartera"),"",($K58-$G58)*$F58-N($H58)-N($L58))</f>
        <v/>
      </c>
      <c r="R58" s="12" t="str">
        <f aca="false">IF(OR($B58="",$I58&lt;&gt;"En cartera",$M58=""),"",($M58-$G58)*$F58-N($H58))</f>
        <v/>
      </c>
      <c r="S58" s="12" t="str">
        <f aca="false">IF($B58="","",SUMIFS(Dividendos!$I$2:$I$301,Dividendos!$C$2:$C$301,$A58))</f>
        <v/>
      </c>
      <c r="T58" s="12" t="str">
        <f aca="false">IF($B58="","",SUMIFS(Operaciones!$AE$2:$AE$1001,Operaciones!$R$2:$R$1001,$A58))</f>
        <v/>
      </c>
      <c r="U58" s="12" t="str">
        <f aca="false">IF($B58="","",N($Q58)+$S58+$T58)</f>
        <v/>
      </c>
      <c r="V58" s="13" t="str">
        <f aca="false">IF(OR($B58="",N($F58)=0),"",(N($F58)*N($G58)-$S58-$T58)/$F58)</f>
        <v/>
      </c>
      <c r="W58" s="14" t="str">
        <f aca="false">IF(OR($B58="",N($F58)*N($G58)=0),"",$U58/($F58*$G58))</f>
        <v/>
      </c>
      <c r="X58" s="14" t="str">
        <f aca="false">IF(OR($W58="",$P58=""),"",$W58*365/MAX($P58,1))</f>
        <v/>
      </c>
      <c r="Y58" s="10" t="str">
        <f aca="false">IF($B58="","",IF(OR($A58="",$E58="",$F58="",$G58="",$I58=""),"Faltan datos obligatorios",IF(COUNTIF($A$2:$A$201,$A58)&gt;1,"ID lote duplicado",IF(AND($I58&lt;&gt;"En cartera",OR($J58="",$K58="")),"Falta fecha o precio de salida",IF(AND($J58&lt;&gt;"",$J58&lt;$E58),"Salida anterior a entrada",IF(AND($I58="En cartera",$M58=""),"OK (sin precio actual)","OK"))))))</f>
        <v/>
      </c>
    </row>
    <row r="59" customFormat="false" ht="15" hidden="false" customHeight="true" outlineLevel="0" collapsed="false">
      <c r="A59" s="7"/>
      <c r="B59" s="7"/>
      <c r="C59" s="7"/>
      <c r="D59" s="5"/>
      <c r="E59" s="6"/>
      <c r="F59" s="5"/>
      <c r="G59" s="8"/>
      <c r="H59" s="9"/>
      <c r="I59" s="7"/>
      <c r="J59" s="6"/>
      <c r="K59" s="8"/>
      <c r="L59" s="9"/>
      <c r="M59" s="8"/>
      <c r="N59" s="7"/>
      <c r="O59" s="12" t="str">
        <f aca="false">IF($B59="","",N($F59)*N($G59)+N($H59))</f>
        <v/>
      </c>
      <c r="P59" s="11" t="str">
        <f aca="true">IF(OR($B59="",$E59=""),"",IF($J59&lt;&gt;"",$J59,TODAY())-$E59)</f>
        <v/>
      </c>
      <c r="Q59" s="12" t="str">
        <f aca="false">IF(OR($B59="",$I59="",$I59="En cartera"),"",($K59-$G59)*$F59-N($H59)-N($L59))</f>
        <v/>
      </c>
      <c r="R59" s="12" t="str">
        <f aca="false">IF(OR($B59="",$I59&lt;&gt;"En cartera",$M59=""),"",($M59-$G59)*$F59-N($H59))</f>
        <v/>
      </c>
      <c r="S59" s="12" t="str">
        <f aca="false">IF($B59="","",SUMIFS(Dividendos!$I$2:$I$301,Dividendos!$C$2:$C$301,$A59))</f>
        <v/>
      </c>
      <c r="T59" s="12" t="str">
        <f aca="false">IF($B59="","",SUMIFS(Operaciones!$AE$2:$AE$1001,Operaciones!$R$2:$R$1001,$A59))</f>
        <v/>
      </c>
      <c r="U59" s="12" t="str">
        <f aca="false">IF($B59="","",N($Q59)+$S59+$T59)</f>
        <v/>
      </c>
      <c r="V59" s="13" t="str">
        <f aca="false">IF(OR($B59="",N($F59)=0),"",(N($F59)*N($G59)-$S59-$T59)/$F59)</f>
        <v/>
      </c>
      <c r="W59" s="14" t="str">
        <f aca="false">IF(OR($B59="",N($F59)*N($G59)=0),"",$U59/($F59*$G59))</f>
        <v/>
      </c>
      <c r="X59" s="14" t="str">
        <f aca="false">IF(OR($W59="",$P59=""),"",$W59*365/MAX($P59,1))</f>
        <v/>
      </c>
      <c r="Y59" s="10" t="str">
        <f aca="false">IF($B59="","",IF(OR($A59="",$E59="",$F59="",$G59="",$I59=""),"Faltan datos obligatorios",IF(COUNTIF($A$2:$A$201,$A59)&gt;1,"ID lote duplicado",IF(AND($I59&lt;&gt;"En cartera",OR($J59="",$K59="")),"Falta fecha o precio de salida",IF(AND($J59&lt;&gt;"",$J59&lt;$E59),"Salida anterior a entrada",IF(AND($I59="En cartera",$M59=""),"OK (sin precio actual)","OK"))))))</f>
        <v/>
      </c>
    </row>
    <row r="60" customFormat="false" ht="15" hidden="false" customHeight="true" outlineLevel="0" collapsed="false">
      <c r="A60" s="7"/>
      <c r="B60" s="7"/>
      <c r="C60" s="7"/>
      <c r="D60" s="5"/>
      <c r="E60" s="6"/>
      <c r="F60" s="5"/>
      <c r="G60" s="8"/>
      <c r="H60" s="9"/>
      <c r="I60" s="7"/>
      <c r="J60" s="6"/>
      <c r="K60" s="8"/>
      <c r="L60" s="9"/>
      <c r="M60" s="8"/>
      <c r="N60" s="7"/>
      <c r="O60" s="12" t="str">
        <f aca="false">IF($B60="","",N($F60)*N($G60)+N($H60))</f>
        <v/>
      </c>
      <c r="P60" s="11" t="str">
        <f aca="true">IF(OR($B60="",$E60=""),"",IF($J60&lt;&gt;"",$J60,TODAY())-$E60)</f>
        <v/>
      </c>
      <c r="Q60" s="12" t="str">
        <f aca="false">IF(OR($B60="",$I60="",$I60="En cartera"),"",($K60-$G60)*$F60-N($H60)-N($L60))</f>
        <v/>
      </c>
      <c r="R60" s="12" t="str">
        <f aca="false">IF(OR($B60="",$I60&lt;&gt;"En cartera",$M60=""),"",($M60-$G60)*$F60-N($H60))</f>
        <v/>
      </c>
      <c r="S60" s="12" t="str">
        <f aca="false">IF($B60="","",SUMIFS(Dividendos!$I$2:$I$301,Dividendos!$C$2:$C$301,$A60))</f>
        <v/>
      </c>
      <c r="T60" s="12" t="str">
        <f aca="false">IF($B60="","",SUMIFS(Operaciones!$AE$2:$AE$1001,Operaciones!$R$2:$R$1001,$A60))</f>
        <v/>
      </c>
      <c r="U60" s="12" t="str">
        <f aca="false">IF($B60="","",N($Q60)+$S60+$T60)</f>
        <v/>
      </c>
      <c r="V60" s="13" t="str">
        <f aca="false">IF(OR($B60="",N($F60)=0),"",(N($F60)*N($G60)-$S60-$T60)/$F60)</f>
        <v/>
      </c>
      <c r="W60" s="14" t="str">
        <f aca="false">IF(OR($B60="",N($F60)*N($G60)=0),"",$U60/($F60*$G60))</f>
        <v/>
      </c>
      <c r="X60" s="14" t="str">
        <f aca="false">IF(OR($W60="",$P60=""),"",$W60*365/MAX($P60,1))</f>
        <v/>
      </c>
      <c r="Y60" s="10" t="str">
        <f aca="false">IF($B60="","",IF(OR($A60="",$E60="",$F60="",$G60="",$I60=""),"Faltan datos obligatorios",IF(COUNTIF($A$2:$A$201,$A60)&gt;1,"ID lote duplicado",IF(AND($I60&lt;&gt;"En cartera",OR($J60="",$K60="")),"Falta fecha o precio de salida",IF(AND($J60&lt;&gt;"",$J60&lt;$E60),"Salida anterior a entrada",IF(AND($I60="En cartera",$M60=""),"OK (sin precio actual)","OK"))))))</f>
        <v/>
      </c>
    </row>
    <row r="61" customFormat="false" ht="15" hidden="false" customHeight="true" outlineLevel="0" collapsed="false">
      <c r="A61" s="7"/>
      <c r="B61" s="7"/>
      <c r="C61" s="7"/>
      <c r="D61" s="5"/>
      <c r="E61" s="6"/>
      <c r="F61" s="5"/>
      <c r="G61" s="8"/>
      <c r="H61" s="9"/>
      <c r="I61" s="7"/>
      <c r="J61" s="6"/>
      <c r="K61" s="8"/>
      <c r="L61" s="9"/>
      <c r="M61" s="8"/>
      <c r="N61" s="7"/>
      <c r="O61" s="12" t="str">
        <f aca="false">IF($B61="","",N($F61)*N($G61)+N($H61))</f>
        <v/>
      </c>
      <c r="P61" s="11" t="str">
        <f aca="true">IF(OR($B61="",$E61=""),"",IF($J61&lt;&gt;"",$J61,TODAY())-$E61)</f>
        <v/>
      </c>
      <c r="Q61" s="12" t="str">
        <f aca="false">IF(OR($B61="",$I61="",$I61="En cartera"),"",($K61-$G61)*$F61-N($H61)-N($L61))</f>
        <v/>
      </c>
      <c r="R61" s="12" t="str">
        <f aca="false">IF(OR($B61="",$I61&lt;&gt;"En cartera",$M61=""),"",($M61-$G61)*$F61-N($H61))</f>
        <v/>
      </c>
      <c r="S61" s="12" t="str">
        <f aca="false">IF($B61="","",SUMIFS(Dividendos!$I$2:$I$301,Dividendos!$C$2:$C$301,$A61))</f>
        <v/>
      </c>
      <c r="T61" s="12" t="str">
        <f aca="false">IF($B61="","",SUMIFS(Operaciones!$AE$2:$AE$1001,Operaciones!$R$2:$R$1001,$A61))</f>
        <v/>
      </c>
      <c r="U61" s="12" t="str">
        <f aca="false">IF($B61="","",N($Q61)+$S61+$T61)</f>
        <v/>
      </c>
      <c r="V61" s="13" t="str">
        <f aca="false">IF(OR($B61="",N($F61)=0),"",(N($F61)*N($G61)-$S61-$T61)/$F61)</f>
        <v/>
      </c>
      <c r="W61" s="14" t="str">
        <f aca="false">IF(OR($B61="",N($F61)*N($G61)=0),"",$U61/($F61*$G61))</f>
        <v/>
      </c>
      <c r="X61" s="14" t="str">
        <f aca="false">IF(OR($W61="",$P61=""),"",$W61*365/MAX($P61,1))</f>
        <v/>
      </c>
      <c r="Y61" s="10" t="str">
        <f aca="false">IF($B61="","",IF(OR($A61="",$E61="",$F61="",$G61="",$I61=""),"Faltan datos obligatorios",IF(COUNTIF($A$2:$A$201,$A61)&gt;1,"ID lote duplicado",IF(AND($I61&lt;&gt;"En cartera",OR($J61="",$K61="")),"Falta fecha o precio de salida",IF(AND($J61&lt;&gt;"",$J61&lt;$E61),"Salida anterior a entrada",IF(AND($I61="En cartera",$M61=""),"OK (sin precio actual)","OK"))))))</f>
        <v/>
      </c>
    </row>
    <row r="62" customFormat="false" ht="15" hidden="false" customHeight="true" outlineLevel="0" collapsed="false">
      <c r="A62" s="7"/>
      <c r="B62" s="7"/>
      <c r="C62" s="7"/>
      <c r="D62" s="5"/>
      <c r="E62" s="6"/>
      <c r="F62" s="5"/>
      <c r="G62" s="8"/>
      <c r="H62" s="9"/>
      <c r="I62" s="7"/>
      <c r="J62" s="6"/>
      <c r="K62" s="8"/>
      <c r="L62" s="9"/>
      <c r="M62" s="8"/>
      <c r="N62" s="7"/>
      <c r="O62" s="12" t="str">
        <f aca="false">IF($B62="","",N($F62)*N($G62)+N($H62))</f>
        <v/>
      </c>
      <c r="P62" s="11" t="str">
        <f aca="true">IF(OR($B62="",$E62=""),"",IF($J62&lt;&gt;"",$J62,TODAY())-$E62)</f>
        <v/>
      </c>
      <c r="Q62" s="12" t="str">
        <f aca="false">IF(OR($B62="",$I62="",$I62="En cartera"),"",($K62-$G62)*$F62-N($H62)-N($L62))</f>
        <v/>
      </c>
      <c r="R62" s="12" t="str">
        <f aca="false">IF(OR($B62="",$I62&lt;&gt;"En cartera",$M62=""),"",($M62-$G62)*$F62-N($H62))</f>
        <v/>
      </c>
      <c r="S62" s="12" t="str">
        <f aca="false">IF($B62="","",SUMIFS(Dividendos!$I$2:$I$301,Dividendos!$C$2:$C$301,$A62))</f>
        <v/>
      </c>
      <c r="T62" s="12" t="str">
        <f aca="false">IF($B62="","",SUMIFS(Operaciones!$AE$2:$AE$1001,Operaciones!$R$2:$R$1001,$A62))</f>
        <v/>
      </c>
      <c r="U62" s="12" t="str">
        <f aca="false">IF($B62="","",N($Q62)+$S62+$T62)</f>
        <v/>
      </c>
      <c r="V62" s="13" t="str">
        <f aca="false">IF(OR($B62="",N($F62)=0),"",(N($F62)*N($G62)-$S62-$T62)/$F62)</f>
        <v/>
      </c>
      <c r="W62" s="14" t="str">
        <f aca="false">IF(OR($B62="",N($F62)*N($G62)=0),"",$U62/($F62*$G62))</f>
        <v/>
      </c>
      <c r="X62" s="14" t="str">
        <f aca="false">IF(OR($W62="",$P62=""),"",$W62*365/MAX($P62,1))</f>
        <v/>
      </c>
      <c r="Y62" s="10" t="str">
        <f aca="false">IF($B62="","",IF(OR($A62="",$E62="",$F62="",$G62="",$I62=""),"Faltan datos obligatorios",IF(COUNTIF($A$2:$A$201,$A62)&gt;1,"ID lote duplicado",IF(AND($I62&lt;&gt;"En cartera",OR($J62="",$K62="")),"Falta fecha o precio de salida",IF(AND($J62&lt;&gt;"",$J62&lt;$E62),"Salida anterior a entrada",IF(AND($I62="En cartera",$M62=""),"OK (sin precio actual)","OK"))))))</f>
        <v/>
      </c>
    </row>
    <row r="63" customFormat="false" ht="15" hidden="false" customHeight="true" outlineLevel="0" collapsed="false">
      <c r="A63" s="7"/>
      <c r="B63" s="7"/>
      <c r="C63" s="7"/>
      <c r="D63" s="5"/>
      <c r="E63" s="6"/>
      <c r="F63" s="5"/>
      <c r="G63" s="8"/>
      <c r="H63" s="9"/>
      <c r="I63" s="7"/>
      <c r="J63" s="6"/>
      <c r="K63" s="8"/>
      <c r="L63" s="9"/>
      <c r="M63" s="8"/>
      <c r="N63" s="7"/>
      <c r="O63" s="12" t="str">
        <f aca="false">IF($B63="","",N($F63)*N($G63)+N($H63))</f>
        <v/>
      </c>
      <c r="P63" s="11" t="str">
        <f aca="true">IF(OR($B63="",$E63=""),"",IF($J63&lt;&gt;"",$J63,TODAY())-$E63)</f>
        <v/>
      </c>
      <c r="Q63" s="12" t="str">
        <f aca="false">IF(OR($B63="",$I63="",$I63="En cartera"),"",($K63-$G63)*$F63-N($H63)-N($L63))</f>
        <v/>
      </c>
      <c r="R63" s="12" t="str">
        <f aca="false">IF(OR($B63="",$I63&lt;&gt;"En cartera",$M63=""),"",($M63-$G63)*$F63-N($H63))</f>
        <v/>
      </c>
      <c r="S63" s="12" t="str">
        <f aca="false">IF($B63="","",SUMIFS(Dividendos!$I$2:$I$301,Dividendos!$C$2:$C$301,$A63))</f>
        <v/>
      </c>
      <c r="T63" s="12" t="str">
        <f aca="false">IF($B63="","",SUMIFS(Operaciones!$AE$2:$AE$1001,Operaciones!$R$2:$R$1001,$A63))</f>
        <v/>
      </c>
      <c r="U63" s="12" t="str">
        <f aca="false">IF($B63="","",N($Q63)+$S63+$T63)</f>
        <v/>
      </c>
      <c r="V63" s="13" t="str">
        <f aca="false">IF(OR($B63="",N($F63)=0),"",(N($F63)*N($G63)-$S63-$T63)/$F63)</f>
        <v/>
      </c>
      <c r="W63" s="14" t="str">
        <f aca="false">IF(OR($B63="",N($F63)*N($G63)=0),"",$U63/($F63*$G63))</f>
        <v/>
      </c>
      <c r="X63" s="14" t="str">
        <f aca="false">IF(OR($W63="",$P63=""),"",$W63*365/MAX($P63,1))</f>
        <v/>
      </c>
      <c r="Y63" s="10" t="str">
        <f aca="false">IF($B63="","",IF(OR($A63="",$E63="",$F63="",$G63="",$I63=""),"Faltan datos obligatorios",IF(COUNTIF($A$2:$A$201,$A63)&gt;1,"ID lote duplicado",IF(AND($I63&lt;&gt;"En cartera",OR($J63="",$K63="")),"Falta fecha o precio de salida",IF(AND($J63&lt;&gt;"",$J63&lt;$E63),"Salida anterior a entrada",IF(AND($I63="En cartera",$M63=""),"OK (sin precio actual)","OK"))))))</f>
        <v/>
      </c>
    </row>
    <row r="64" customFormat="false" ht="15" hidden="false" customHeight="true" outlineLevel="0" collapsed="false">
      <c r="A64" s="7"/>
      <c r="B64" s="7"/>
      <c r="C64" s="7"/>
      <c r="D64" s="5"/>
      <c r="E64" s="6"/>
      <c r="F64" s="5"/>
      <c r="G64" s="8"/>
      <c r="H64" s="9"/>
      <c r="I64" s="7"/>
      <c r="J64" s="6"/>
      <c r="K64" s="8"/>
      <c r="L64" s="9"/>
      <c r="M64" s="8"/>
      <c r="N64" s="7"/>
      <c r="O64" s="12" t="str">
        <f aca="false">IF($B64="","",N($F64)*N($G64)+N($H64))</f>
        <v/>
      </c>
      <c r="P64" s="11" t="str">
        <f aca="true">IF(OR($B64="",$E64=""),"",IF($J64&lt;&gt;"",$J64,TODAY())-$E64)</f>
        <v/>
      </c>
      <c r="Q64" s="12" t="str">
        <f aca="false">IF(OR($B64="",$I64="",$I64="En cartera"),"",($K64-$G64)*$F64-N($H64)-N($L64))</f>
        <v/>
      </c>
      <c r="R64" s="12" t="str">
        <f aca="false">IF(OR($B64="",$I64&lt;&gt;"En cartera",$M64=""),"",($M64-$G64)*$F64-N($H64))</f>
        <v/>
      </c>
      <c r="S64" s="12" t="str">
        <f aca="false">IF($B64="","",SUMIFS(Dividendos!$I$2:$I$301,Dividendos!$C$2:$C$301,$A64))</f>
        <v/>
      </c>
      <c r="T64" s="12" t="str">
        <f aca="false">IF($B64="","",SUMIFS(Operaciones!$AE$2:$AE$1001,Operaciones!$R$2:$R$1001,$A64))</f>
        <v/>
      </c>
      <c r="U64" s="12" t="str">
        <f aca="false">IF($B64="","",N($Q64)+$S64+$T64)</f>
        <v/>
      </c>
      <c r="V64" s="13" t="str">
        <f aca="false">IF(OR($B64="",N($F64)=0),"",(N($F64)*N($G64)-$S64-$T64)/$F64)</f>
        <v/>
      </c>
      <c r="W64" s="14" t="str">
        <f aca="false">IF(OR($B64="",N($F64)*N($G64)=0),"",$U64/($F64*$G64))</f>
        <v/>
      </c>
      <c r="X64" s="14" t="str">
        <f aca="false">IF(OR($W64="",$P64=""),"",$W64*365/MAX($P64,1))</f>
        <v/>
      </c>
      <c r="Y64" s="10" t="str">
        <f aca="false">IF($B64="","",IF(OR($A64="",$E64="",$F64="",$G64="",$I64=""),"Faltan datos obligatorios",IF(COUNTIF($A$2:$A$201,$A64)&gt;1,"ID lote duplicado",IF(AND($I64&lt;&gt;"En cartera",OR($J64="",$K64="")),"Falta fecha o precio de salida",IF(AND($J64&lt;&gt;"",$J64&lt;$E64),"Salida anterior a entrada",IF(AND($I64="En cartera",$M64=""),"OK (sin precio actual)","OK"))))))</f>
        <v/>
      </c>
    </row>
    <row r="65" customFormat="false" ht="15" hidden="false" customHeight="true" outlineLevel="0" collapsed="false">
      <c r="A65" s="7"/>
      <c r="B65" s="7"/>
      <c r="C65" s="7"/>
      <c r="D65" s="5"/>
      <c r="E65" s="6"/>
      <c r="F65" s="5"/>
      <c r="G65" s="8"/>
      <c r="H65" s="9"/>
      <c r="I65" s="7"/>
      <c r="J65" s="6"/>
      <c r="K65" s="8"/>
      <c r="L65" s="9"/>
      <c r="M65" s="8"/>
      <c r="N65" s="7"/>
      <c r="O65" s="12" t="str">
        <f aca="false">IF($B65="","",N($F65)*N($G65)+N($H65))</f>
        <v/>
      </c>
      <c r="P65" s="11" t="str">
        <f aca="true">IF(OR($B65="",$E65=""),"",IF($J65&lt;&gt;"",$J65,TODAY())-$E65)</f>
        <v/>
      </c>
      <c r="Q65" s="12" t="str">
        <f aca="false">IF(OR($B65="",$I65="",$I65="En cartera"),"",($K65-$G65)*$F65-N($H65)-N($L65))</f>
        <v/>
      </c>
      <c r="R65" s="12" t="str">
        <f aca="false">IF(OR($B65="",$I65&lt;&gt;"En cartera",$M65=""),"",($M65-$G65)*$F65-N($H65))</f>
        <v/>
      </c>
      <c r="S65" s="12" t="str">
        <f aca="false">IF($B65="","",SUMIFS(Dividendos!$I$2:$I$301,Dividendos!$C$2:$C$301,$A65))</f>
        <v/>
      </c>
      <c r="T65" s="12" t="str">
        <f aca="false">IF($B65="","",SUMIFS(Operaciones!$AE$2:$AE$1001,Operaciones!$R$2:$R$1001,$A65))</f>
        <v/>
      </c>
      <c r="U65" s="12" t="str">
        <f aca="false">IF($B65="","",N($Q65)+$S65+$T65)</f>
        <v/>
      </c>
      <c r="V65" s="13" t="str">
        <f aca="false">IF(OR($B65="",N($F65)=0),"",(N($F65)*N($G65)-$S65-$T65)/$F65)</f>
        <v/>
      </c>
      <c r="W65" s="14" t="str">
        <f aca="false">IF(OR($B65="",N($F65)*N($G65)=0),"",$U65/($F65*$G65))</f>
        <v/>
      </c>
      <c r="X65" s="14" t="str">
        <f aca="false">IF(OR($W65="",$P65=""),"",$W65*365/MAX($P65,1))</f>
        <v/>
      </c>
      <c r="Y65" s="10" t="str">
        <f aca="false">IF($B65="","",IF(OR($A65="",$E65="",$F65="",$G65="",$I65=""),"Faltan datos obligatorios",IF(COUNTIF($A$2:$A$201,$A65)&gt;1,"ID lote duplicado",IF(AND($I65&lt;&gt;"En cartera",OR($J65="",$K65="")),"Falta fecha o precio de salida",IF(AND($J65&lt;&gt;"",$J65&lt;$E65),"Salida anterior a entrada",IF(AND($I65="En cartera",$M65=""),"OK (sin precio actual)","OK"))))))</f>
        <v/>
      </c>
    </row>
    <row r="66" customFormat="false" ht="15" hidden="false" customHeight="true" outlineLevel="0" collapsed="false">
      <c r="A66" s="7"/>
      <c r="B66" s="7"/>
      <c r="C66" s="7"/>
      <c r="D66" s="5"/>
      <c r="E66" s="6"/>
      <c r="F66" s="5"/>
      <c r="G66" s="8"/>
      <c r="H66" s="9"/>
      <c r="I66" s="7"/>
      <c r="J66" s="6"/>
      <c r="K66" s="8"/>
      <c r="L66" s="9"/>
      <c r="M66" s="8"/>
      <c r="N66" s="7"/>
      <c r="O66" s="12" t="str">
        <f aca="false">IF($B66="","",N($F66)*N($G66)+N($H66))</f>
        <v/>
      </c>
      <c r="P66" s="11" t="str">
        <f aca="true">IF(OR($B66="",$E66=""),"",IF($J66&lt;&gt;"",$J66,TODAY())-$E66)</f>
        <v/>
      </c>
      <c r="Q66" s="12" t="str">
        <f aca="false">IF(OR($B66="",$I66="",$I66="En cartera"),"",($K66-$G66)*$F66-N($H66)-N($L66))</f>
        <v/>
      </c>
      <c r="R66" s="12" t="str">
        <f aca="false">IF(OR($B66="",$I66&lt;&gt;"En cartera",$M66=""),"",($M66-$G66)*$F66-N($H66))</f>
        <v/>
      </c>
      <c r="S66" s="12" t="str">
        <f aca="false">IF($B66="","",SUMIFS(Dividendos!$I$2:$I$301,Dividendos!$C$2:$C$301,$A66))</f>
        <v/>
      </c>
      <c r="T66" s="12" t="str">
        <f aca="false">IF($B66="","",SUMIFS(Operaciones!$AE$2:$AE$1001,Operaciones!$R$2:$R$1001,$A66))</f>
        <v/>
      </c>
      <c r="U66" s="12" t="str">
        <f aca="false">IF($B66="","",N($Q66)+$S66+$T66)</f>
        <v/>
      </c>
      <c r="V66" s="13" t="str">
        <f aca="false">IF(OR($B66="",N($F66)=0),"",(N($F66)*N($G66)-$S66-$T66)/$F66)</f>
        <v/>
      </c>
      <c r="W66" s="14" t="str">
        <f aca="false">IF(OR($B66="",N($F66)*N($G66)=0),"",$U66/($F66*$G66))</f>
        <v/>
      </c>
      <c r="X66" s="14" t="str">
        <f aca="false">IF(OR($W66="",$P66=""),"",$W66*365/MAX($P66,1))</f>
        <v/>
      </c>
      <c r="Y66" s="10" t="str">
        <f aca="false">IF($B66="","",IF(OR($A66="",$E66="",$F66="",$G66="",$I66=""),"Faltan datos obligatorios",IF(COUNTIF($A$2:$A$201,$A66)&gt;1,"ID lote duplicado",IF(AND($I66&lt;&gt;"En cartera",OR($J66="",$K66="")),"Falta fecha o precio de salida",IF(AND($J66&lt;&gt;"",$J66&lt;$E66),"Salida anterior a entrada",IF(AND($I66="En cartera",$M66=""),"OK (sin precio actual)","OK"))))))</f>
        <v/>
      </c>
    </row>
    <row r="67" customFormat="false" ht="15" hidden="false" customHeight="true" outlineLevel="0" collapsed="false">
      <c r="A67" s="7"/>
      <c r="B67" s="7"/>
      <c r="C67" s="7"/>
      <c r="D67" s="5"/>
      <c r="E67" s="6"/>
      <c r="F67" s="5"/>
      <c r="G67" s="8"/>
      <c r="H67" s="9"/>
      <c r="I67" s="7"/>
      <c r="J67" s="6"/>
      <c r="K67" s="8"/>
      <c r="L67" s="9"/>
      <c r="M67" s="8"/>
      <c r="N67" s="7"/>
      <c r="O67" s="12" t="str">
        <f aca="false">IF($B67="","",N($F67)*N($G67)+N($H67))</f>
        <v/>
      </c>
      <c r="P67" s="11" t="str">
        <f aca="true">IF(OR($B67="",$E67=""),"",IF($J67&lt;&gt;"",$J67,TODAY())-$E67)</f>
        <v/>
      </c>
      <c r="Q67" s="12" t="str">
        <f aca="false">IF(OR($B67="",$I67="",$I67="En cartera"),"",($K67-$G67)*$F67-N($H67)-N($L67))</f>
        <v/>
      </c>
      <c r="R67" s="12" t="str">
        <f aca="false">IF(OR($B67="",$I67&lt;&gt;"En cartera",$M67=""),"",($M67-$G67)*$F67-N($H67))</f>
        <v/>
      </c>
      <c r="S67" s="12" t="str">
        <f aca="false">IF($B67="","",SUMIFS(Dividendos!$I$2:$I$301,Dividendos!$C$2:$C$301,$A67))</f>
        <v/>
      </c>
      <c r="T67" s="12" t="str">
        <f aca="false">IF($B67="","",SUMIFS(Operaciones!$AE$2:$AE$1001,Operaciones!$R$2:$R$1001,$A67))</f>
        <v/>
      </c>
      <c r="U67" s="12" t="str">
        <f aca="false">IF($B67="","",N($Q67)+$S67+$T67)</f>
        <v/>
      </c>
      <c r="V67" s="13" t="str">
        <f aca="false">IF(OR($B67="",N($F67)=0),"",(N($F67)*N($G67)-$S67-$T67)/$F67)</f>
        <v/>
      </c>
      <c r="W67" s="14" t="str">
        <f aca="false">IF(OR($B67="",N($F67)*N($G67)=0),"",$U67/($F67*$G67))</f>
        <v/>
      </c>
      <c r="X67" s="14" t="str">
        <f aca="false">IF(OR($W67="",$P67=""),"",$W67*365/MAX($P67,1))</f>
        <v/>
      </c>
      <c r="Y67" s="10" t="str">
        <f aca="false">IF($B67="","",IF(OR($A67="",$E67="",$F67="",$G67="",$I67=""),"Faltan datos obligatorios",IF(COUNTIF($A$2:$A$201,$A67)&gt;1,"ID lote duplicado",IF(AND($I67&lt;&gt;"En cartera",OR($J67="",$K67="")),"Falta fecha o precio de salida",IF(AND($J67&lt;&gt;"",$J67&lt;$E67),"Salida anterior a entrada",IF(AND($I67="En cartera",$M67=""),"OK (sin precio actual)","OK"))))))</f>
        <v/>
      </c>
    </row>
    <row r="68" customFormat="false" ht="15" hidden="false" customHeight="true" outlineLevel="0" collapsed="false">
      <c r="A68" s="7"/>
      <c r="B68" s="7"/>
      <c r="C68" s="7"/>
      <c r="D68" s="5"/>
      <c r="E68" s="6"/>
      <c r="F68" s="5"/>
      <c r="G68" s="8"/>
      <c r="H68" s="9"/>
      <c r="I68" s="7"/>
      <c r="J68" s="6"/>
      <c r="K68" s="8"/>
      <c r="L68" s="9"/>
      <c r="M68" s="8"/>
      <c r="N68" s="7"/>
      <c r="O68" s="12" t="str">
        <f aca="false">IF($B68="","",N($F68)*N($G68)+N($H68))</f>
        <v/>
      </c>
      <c r="P68" s="11" t="str">
        <f aca="true">IF(OR($B68="",$E68=""),"",IF($J68&lt;&gt;"",$J68,TODAY())-$E68)</f>
        <v/>
      </c>
      <c r="Q68" s="12" t="str">
        <f aca="false">IF(OR($B68="",$I68="",$I68="En cartera"),"",($K68-$G68)*$F68-N($H68)-N($L68))</f>
        <v/>
      </c>
      <c r="R68" s="12" t="str">
        <f aca="false">IF(OR($B68="",$I68&lt;&gt;"En cartera",$M68=""),"",($M68-$G68)*$F68-N($H68))</f>
        <v/>
      </c>
      <c r="S68" s="12" t="str">
        <f aca="false">IF($B68="","",SUMIFS(Dividendos!$I$2:$I$301,Dividendos!$C$2:$C$301,$A68))</f>
        <v/>
      </c>
      <c r="T68" s="12" t="str">
        <f aca="false">IF($B68="","",SUMIFS(Operaciones!$AE$2:$AE$1001,Operaciones!$R$2:$R$1001,$A68))</f>
        <v/>
      </c>
      <c r="U68" s="12" t="str">
        <f aca="false">IF($B68="","",N($Q68)+$S68+$T68)</f>
        <v/>
      </c>
      <c r="V68" s="13" t="str">
        <f aca="false">IF(OR($B68="",N($F68)=0),"",(N($F68)*N($G68)-$S68-$T68)/$F68)</f>
        <v/>
      </c>
      <c r="W68" s="14" t="str">
        <f aca="false">IF(OR($B68="",N($F68)*N($G68)=0),"",$U68/($F68*$G68))</f>
        <v/>
      </c>
      <c r="X68" s="14" t="str">
        <f aca="false">IF(OR($W68="",$P68=""),"",$W68*365/MAX($P68,1))</f>
        <v/>
      </c>
      <c r="Y68" s="10" t="str">
        <f aca="false">IF($B68="","",IF(OR($A68="",$E68="",$F68="",$G68="",$I68=""),"Faltan datos obligatorios",IF(COUNTIF($A$2:$A$201,$A68)&gt;1,"ID lote duplicado",IF(AND($I68&lt;&gt;"En cartera",OR($J68="",$K68="")),"Falta fecha o precio de salida",IF(AND($J68&lt;&gt;"",$J68&lt;$E68),"Salida anterior a entrada",IF(AND($I68="En cartera",$M68=""),"OK (sin precio actual)","OK"))))))</f>
        <v/>
      </c>
    </row>
    <row r="69" customFormat="false" ht="15" hidden="false" customHeight="true" outlineLevel="0" collapsed="false">
      <c r="A69" s="7"/>
      <c r="B69" s="7"/>
      <c r="C69" s="7"/>
      <c r="D69" s="5"/>
      <c r="E69" s="6"/>
      <c r="F69" s="5"/>
      <c r="G69" s="8"/>
      <c r="H69" s="9"/>
      <c r="I69" s="7"/>
      <c r="J69" s="6"/>
      <c r="K69" s="8"/>
      <c r="L69" s="9"/>
      <c r="M69" s="8"/>
      <c r="N69" s="7"/>
      <c r="O69" s="12" t="str">
        <f aca="false">IF($B69="","",N($F69)*N($G69)+N($H69))</f>
        <v/>
      </c>
      <c r="P69" s="11" t="str">
        <f aca="true">IF(OR($B69="",$E69=""),"",IF($J69&lt;&gt;"",$J69,TODAY())-$E69)</f>
        <v/>
      </c>
      <c r="Q69" s="12" t="str">
        <f aca="false">IF(OR($B69="",$I69="",$I69="En cartera"),"",($K69-$G69)*$F69-N($H69)-N($L69))</f>
        <v/>
      </c>
      <c r="R69" s="12" t="str">
        <f aca="false">IF(OR($B69="",$I69&lt;&gt;"En cartera",$M69=""),"",($M69-$G69)*$F69-N($H69))</f>
        <v/>
      </c>
      <c r="S69" s="12" t="str">
        <f aca="false">IF($B69="","",SUMIFS(Dividendos!$I$2:$I$301,Dividendos!$C$2:$C$301,$A69))</f>
        <v/>
      </c>
      <c r="T69" s="12" t="str">
        <f aca="false">IF($B69="","",SUMIFS(Operaciones!$AE$2:$AE$1001,Operaciones!$R$2:$R$1001,$A69))</f>
        <v/>
      </c>
      <c r="U69" s="12" t="str">
        <f aca="false">IF($B69="","",N($Q69)+$S69+$T69)</f>
        <v/>
      </c>
      <c r="V69" s="13" t="str">
        <f aca="false">IF(OR($B69="",N($F69)=0),"",(N($F69)*N($G69)-$S69-$T69)/$F69)</f>
        <v/>
      </c>
      <c r="W69" s="14" t="str">
        <f aca="false">IF(OR($B69="",N($F69)*N($G69)=0),"",$U69/($F69*$G69))</f>
        <v/>
      </c>
      <c r="X69" s="14" t="str">
        <f aca="false">IF(OR($W69="",$P69=""),"",$W69*365/MAX($P69,1))</f>
        <v/>
      </c>
      <c r="Y69" s="10" t="str">
        <f aca="false">IF($B69="","",IF(OR($A69="",$E69="",$F69="",$G69="",$I69=""),"Faltan datos obligatorios",IF(COUNTIF($A$2:$A$201,$A69)&gt;1,"ID lote duplicado",IF(AND($I69&lt;&gt;"En cartera",OR($J69="",$K69="")),"Falta fecha o precio de salida",IF(AND($J69&lt;&gt;"",$J69&lt;$E69),"Salida anterior a entrada",IF(AND($I69="En cartera",$M69=""),"OK (sin precio actual)","OK"))))))</f>
        <v/>
      </c>
    </row>
    <row r="70" customFormat="false" ht="15" hidden="false" customHeight="true" outlineLevel="0" collapsed="false">
      <c r="A70" s="7"/>
      <c r="B70" s="7"/>
      <c r="C70" s="7"/>
      <c r="D70" s="5"/>
      <c r="E70" s="6"/>
      <c r="F70" s="5"/>
      <c r="G70" s="8"/>
      <c r="H70" s="9"/>
      <c r="I70" s="7"/>
      <c r="J70" s="6"/>
      <c r="K70" s="8"/>
      <c r="L70" s="9"/>
      <c r="M70" s="8"/>
      <c r="N70" s="7"/>
      <c r="O70" s="12" t="str">
        <f aca="false">IF($B70="","",N($F70)*N($G70)+N($H70))</f>
        <v/>
      </c>
      <c r="P70" s="11" t="str">
        <f aca="true">IF(OR($B70="",$E70=""),"",IF($J70&lt;&gt;"",$J70,TODAY())-$E70)</f>
        <v/>
      </c>
      <c r="Q70" s="12" t="str">
        <f aca="false">IF(OR($B70="",$I70="",$I70="En cartera"),"",($K70-$G70)*$F70-N($H70)-N($L70))</f>
        <v/>
      </c>
      <c r="R70" s="12" t="str">
        <f aca="false">IF(OR($B70="",$I70&lt;&gt;"En cartera",$M70=""),"",($M70-$G70)*$F70-N($H70))</f>
        <v/>
      </c>
      <c r="S70" s="12" t="str">
        <f aca="false">IF($B70="","",SUMIFS(Dividendos!$I$2:$I$301,Dividendos!$C$2:$C$301,$A70))</f>
        <v/>
      </c>
      <c r="T70" s="12" t="str">
        <f aca="false">IF($B70="","",SUMIFS(Operaciones!$AE$2:$AE$1001,Operaciones!$R$2:$R$1001,$A70))</f>
        <v/>
      </c>
      <c r="U70" s="12" t="str">
        <f aca="false">IF($B70="","",N($Q70)+$S70+$T70)</f>
        <v/>
      </c>
      <c r="V70" s="13" t="str">
        <f aca="false">IF(OR($B70="",N($F70)=0),"",(N($F70)*N($G70)-$S70-$T70)/$F70)</f>
        <v/>
      </c>
      <c r="W70" s="14" t="str">
        <f aca="false">IF(OR($B70="",N($F70)*N($G70)=0),"",$U70/($F70*$G70))</f>
        <v/>
      </c>
      <c r="X70" s="14" t="str">
        <f aca="false">IF(OR($W70="",$P70=""),"",$W70*365/MAX($P70,1))</f>
        <v/>
      </c>
      <c r="Y70" s="10" t="str">
        <f aca="false">IF($B70="","",IF(OR($A70="",$E70="",$F70="",$G70="",$I70=""),"Faltan datos obligatorios",IF(COUNTIF($A$2:$A$201,$A70)&gt;1,"ID lote duplicado",IF(AND($I70&lt;&gt;"En cartera",OR($J70="",$K70="")),"Falta fecha o precio de salida",IF(AND($J70&lt;&gt;"",$J70&lt;$E70),"Salida anterior a entrada",IF(AND($I70="En cartera",$M70=""),"OK (sin precio actual)","OK"))))))</f>
        <v/>
      </c>
    </row>
    <row r="71" customFormat="false" ht="15" hidden="false" customHeight="true" outlineLevel="0" collapsed="false">
      <c r="A71" s="7"/>
      <c r="B71" s="7"/>
      <c r="C71" s="7"/>
      <c r="D71" s="5"/>
      <c r="E71" s="6"/>
      <c r="F71" s="5"/>
      <c r="G71" s="8"/>
      <c r="H71" s="9"/>
      <c r="I71" s="7"/>
      <c r="J71" s="6"/>
      <c r="K71" s="8"/>
      <c r="L71" s="9"/>
      <c r="M71" s="8"/>
      <c r="N71" s="7"/>
      <c r="O71" s="12" t="str">
        <f aca="false">IF($B71="","",N($F71)*N($G71)+N($H71))</f>
        <v/>
      </c>
      <c r="P71" s="11" t="str">
        <f aca="true">IF(OR($B71="",$E71=""),"",IF($J71&lt;&gt;"",$J71,TODAY())-$E71)</f>
        <v/>
      </c>
      <c r="Q71" s="12" t="str">
        <f aca="false">IF(OR($B71="",$I71="",$I71="En cartera"),"",($K71-$G71)*$F71-N($H71)-N($L71))</f>
        <v/>
      </c>
      <c r="R71" s="12" t="str">
        <f aca="false">IF(OR($B71="",$I71&lt;&gt;"En cartera",$M71=""),"",($M71-$G71)*$F71-N($H71))</f>
        <v/>
      </c>
      <c r="S71" s="12" t="str">
        <f aca="false">IF($B71="","",SUMIFS(Dividendos!$I$2:$I$301,Dividendos!$C$2:$C$301,$A71))</f>
        <v/>
      </c>
      <c r="T71" s="12" t="str">
        <f aca="false">IF($B71="","",SUMIFS(Operaciones!$AE$2:$AE$1001,Operaciones!$R$2:$R$1001,$A71))</f>
        <v/>
      </c>
      <c r="U71" s="12" t="str">
        <f aca="false">IF($B71="","",N($Q71)+$S71+$T71)</f>
        <v/>
      </c>
      <c r="V71" s="13" t="str">
        <f aca="false">IF(OR($B71="",N($F71)=0),"",(N($F71)*N($G71)-$S71-$T71)/$F71)</f>
        <v/>
      </c>
      <c r="W71" s="14" t="str">
        <f aca="false">IF(OR($B71="",N($F71)*N($G71)=0),"",$U71/($F71*$G71))</f>
        <v/>
      </c>
      <c r="X71" s="14" t="str">
        <f aca="false">IF(OR($W71="",$P71=""),"",$W71*365/MAX($P71,1))</f>
        <v/>
      </c>
      <c r="Y71" s="10" t="str">
        <f aca="false">IF($B71="","",IF(OR($A71="",$E71="",$F71="",$G71="",$I71=""),"Faltan datos obligatorios",IF(COUNTIF($A$2:$A$201,$A71)&gt;1,"ID lote duplicado",IF(AND($I71&lt;&gt;"En cartera",OR($J71="",$K71="")),"Falta fecha o precio de salida",IF(AND($J71&lt;&gt;"",$J71&lt;$E71),"Salida anterior a entrada",IF(AND($I71="En cartera",$M71=""),"OK (sin precio actual)","OK"))))))</f>
        <v/>
      </c>
    </row>
    <row r="72" customFormat="false" ht="15" hidden="false" customHeight="true" outlineLevel="0" collapsed="false">
      <c r="A72" s="7"/>
      <c r="B72" s="7"/>
      <c r="C72" s="7"/>
      <c r="D72" s="5"/>
      <c r="E72" s="6"/>
      <c r="F72" s="5"/>
      <c r="G72" s="8"/>
      <c r="H72" s="9"/>
      <c r="I72" s="7"/>
      <c r="J72" s="6"/>
      <c r="K72" s="8"/>
      <c r="L72" s="9"/>
      <c r="M72" s="8"/>
      <c r="N72" s="7"/>
      <c r="O72" s="12" t="str">
        <f aca="false">IF($B72="","",N($F72)*N($G72)+N($H72))</f>
        <v/>
      </c>
      <c r="P72" s="11" t="str">
        <f aca="true">IF(OR($B72="",$E72=""),"",IF($J72&lt;&gt;"",$J72,TODAY())-$E72)</f>
        <v/>
      </c>
      <c r="Q72" s="12" t="str">
        <f aca="false">IF(OR($B72="",$I72="",$I72="En cartera"),"",($K72-$G72)*$F72-N($H72)-N($L72))</f>
        <v/>
      </c>
      <c r="R72" s="12" t="str">
        <f aca="false">IF(OR($B72="",$I72&lt;&gt;"En cartera",$M72=""),"",($M72-$G72)*$F72-N($H72))</f>
        <v/>
      </c>
      <c r="S72" s="12" t="str">
        <f aca="false">IF($B72="","",SUMIFS(Dividendos!$I$2:$I$301,Dividendos!$C$2:$C$301,$A72))</f>
        <v/>
      </c>
      <c r="T72" s="12" t="str">
        <f aca="false">IF($B72="","",SUMIFS(Operaciones!$AE$2:$AE$1001,Operaciones!$R$2:$R$1001,$A72))</f>
        <v/>
      </c>
      <c r="U72" s="12" t="str">
        <f aca="false">IF($B72="","",N($Q72)+$S72+$T72)</f>
        <v/>
      </c>
      <c r="V72" s="13" t="str">
        <f aca="false">IF(OR($B72="",N($F72)=0),"",(N($F72)*N($G72)-$S72-$T72)/$F72)</f>
        <v/>
      </c>
      <c r="W72" s="14" t="str">
        <f aca="false">IF(OR($B72="",N($F72)*N($G72)=0),"",$U72/($F72*$G72))</f>
        <v/>
      </c>
      <c r="X72" s="14" t="str">
        <f aca="false">IF(OR($W72="",$P72=""),"",$W72*365/MAX($P72,1))</f>
        <v/>
      </c>
      <c r="Y72" s="10" t="str">
        <f aca="false">IF($B72="","",IF(OR($A72="",$E72="",$F72="",$G72="",$I72=""),"Faltan datos obligatorios",IF(COUNTIF($A$2:$A$201,$A72)&gt;1,"ID lote duplicado",IF(AND($I72&lt;&gt;"En cartera",OR($J72="",$K72="")),"Falta fecha o precio de salida",IF(AND($J72&lt;&gt;"",$J72&lt;$E72),"Salida anterior a entrada",IF(AND($I72="En cartera",$M72=""),"OK (sin precio actual)","OK"))))))</f>
        <v/>
      </c>
    </row>
    <row r="73" customFormat="false" ht="15" hidden="false" customHeight="true" outlineLevel="0" collapsed="false">
      <c r="A73" s="7"/>
      <c r="B73" s="7"/>
      <c r="C73" s="7"/>
      <c r="D73" s="5"/>
      <c r="E73" s="6"/>
      <c r="F73" s="5"/>
      <c r="G73" s="8"/>
      <c r="H73" s="9"/>
      <c r="I73" s="7"/>
      <c r="J73" s="6"/>
      <c r="K73" s="8"/>
      <c r="L73" s="9"/>
      <c r="M73" s="8"/>
      <c r="N73" s="7"/>
      <c r="O73" s="12" t="str">
        <f aca="false">IF($B73="","",N($F73)*N($G73)+N($H73))</f>
        <v/>
      </c>
      <c r="P73" s="11" t="str">
        <f aca="true">IF(OR($B73="",$E73=""),"",IF($J73&lt;&gt;"",$J73,TODAY())-$E73)</f>
        <v/>
      </c>
      <c r="Q73" s="12" t="str">
        <f aca="false">IF(OR($B73="",$I73="",$I73="En cartera"),"",($K73-$G73)*$F73-N($H73)-N($L73))</f>
        <v/>
      </c>
      <c r="R73" s="12" t="str">
        <f aca="false">IF(OR($B73="",$I73&lt;&gt;"En cartera",$M73=""),"",($M73-$G73)*$F73-N($H73))</f>
        <v/>
      </c>
      <c r="S73" s="12" t="str">
        <f aca="false">IF($B73="","",SUMIFS(Dividendos!$I$2:$I$301,Dividendos!$C$2:$C$301,$A73))</f>
        <v/>
      </c>
      <c r="T73" s="12" t="str">
        <f aca="false">IF($B73="","",SUMIFS(Operaciones!$AE$2:$AE$1001,Operaciones!$R$2:$R$1001,$A73))</f>
        <v/>
      </c>
      <c r="U73" s="12" t="str">
        <f aca="false">IF($B73="","",N($Q73)+$S73+$T73)</f>
        <v/>
      </c>
      <c r="V73" s="13" t="str">
        <f aca="false">IF(OR($B73="",N($F73)=0),"",(N($F73)*N($G73)-$S73-$T73)/$F73)</f>
        <v/>
      </c>
      <c r="W73" s="14" t="str">
        <f aca="false">IF(OR($B73="",N($F73)*N($G73)=0),"",$U73/($F73*$G73))</f>
        <v/>
      </c>
      <c r="X73" s="14" t="str">
        <f aca="false">IF(OR($W73="",$P73=""),"",$W73*365/MAX($P73,1))</f>
        <v/>
      </c>
      <c r="Y73" s="10" t="str">
        <f aca="false">IF($B73="","",IF(OR($A73="",$E73="",$F73="",$G73="",$I73=""),"Faltan datos obligatorios",IF(COUNTIF($A$2:$A$201,$A73)&gt;1,"ID lote duplicado",IF(AND($I73&lt;&gt;"En cartera",OR($J73="",$K73="")),"Falta fecha o precio de salida",IF(AND($J73&lt;&gt;"",$J73&lt;$E73),"Salida anterior a entrada",IF(AND($I73="En cartera",$M73=""),"OK (sin precio actual)","OK"))))))</f>
        <v/>
      </c>
    </row>
    <row r="74" customFormat="false" ht="15" hidden="false" customHeight="true" outlineLevel="0" collapsed="false">
      <c r="A74" s="7"/>
      <c r="B74" s="7"/>
      <c r="C74" s="7"/>
      <c r="D74" s="5"/>
      <c r="E74" s="6"/>
      <c r="F74" s="5"/>
      <c r="G74" s="8"/>
      <c r="H74" s="9"/>
      <c r="I74" s="7"/>
      <c r="J74" s="6"/>
      <c r="K74" s="8"/>
      <c r="L74" s="9"/>
      <c r="M74" s="8"/>
      <c r="N74" s="7"/>
      <c r="O74" s="12" t="str">
        <f aca="false">IF($B74="","",N($F74)*N($G74)+N($H74))</f>
        <v/>
      </c>
      <c r="P74" s="11" t="str">
        <f aca="true">IF(OR($B74="",$E74=""),"",IF($J74&lt;&gt;"",$J74,TODAY())-$E74)</f>
        <v/>
      </c>
      <c r="Q74" s="12" t="str">
        <f aca="false">IF(OR($B74="",$I74="",$I74="En cartera"),"",($K74-$G74)*$F74-N($H74)-N($L74))</f>
        <v/>
      </c>
      <c r="R74" s="12" t="str">
        <f aca="false">IF(OR($B74="",$I74&lt;&gt;"En cartera",$M74=""),"",($M74-$G74)*$F74-N($H74))</f>
        <v/>
      </c>
      <c r="S74" s="12" t="str">
        <f aca="false">IF($B74="","",SUMIFS(Dividendos!$I$2:$I$301,Dividendos!$C$2:$C$301,$A74))</f>
        <v/>
      </c>
      <c r="T74" s="12" t="str">
        <f aca="false">IF($B74="","",SUMIFS(Operaciones!$AE$2:$AE$1001,Operaciones!$R$2:$R$1001,$A74))</f>
        <v/>
      </c>
      <c r="U74" s="12" t="str">
        <f aca="false">IF($B74="","",N($Q74)+$S74+$T74)</f>
        <v/>
      </c>
      <c r="V74" s="13" t="str">
        <f aca="false">IF(OR($B74="",N($F74)=0),"",(N($F74)*N($G74)-$S74-$T74)/$F74)</f>
        <v/>
      </c>
      <c r="W74" s="14" t="str">
        <f aca="false">IF(OR($B74="",N($F74)*N($G74)=0),"",$U74/($F74*$G74))</f>
        <v/>
      </c>
      <c r="X74" s="14" t="str">
        <f aca="false">IF(OR($W74="",$P74=""),"",$W74*365/MAX($P74,1))</f>
        <v/>
      </c>
      <c r="Y74" s="10" t="str">
        <f aca="false">IF($B74="","",IF(OR($A74="",$E74="",$F74="",$G74="",$I74=""),"Faltan datos obligatorios",IF(COUNTIF($A$2:$A$201,$A74)&gt;1,"ID lote duplicado",IF(AND($I74&lt;&gt;"En cartera",OR($J74="",$K74="")),"Falta fecha o precio de salida",IF(AND($J74&lt;&gt;"",$J74&lt;$E74),"Salida anterior a entrada",IF(AND($I74="En cartera",$M74=""),"OK (sin precio actual)","OK"))))))</f>
        <v/>
      </c>
    </row>
    <row r="75" customFormat="false" ht="15" hidden="false" customHeight="true" outlineLevel="0" collapsed="false">
      <c r="A75" s="7"/>
      <c r="B75" s="7"/>
      <c r="C75" s="7"/>
      <c r="D75" s="5"/>
      <c r="E75" s="6"/>
      <c r="F75" s="5"/>
      <c r="G75" s="8"/>
      <c r="H75" s="9"/>
      <c r="I75" s="7"/>
      <c r="J75" s="6"/>
      <c r="K75" s="8"/>
      <c r="L75" s="9"/>
      <c r="M75" s="8"/>
      <c r="N75" s="7"/>
      <c r="O75" s="12" t="str">
        <f aca="false">IF($B75="","",N($F75)*N($G75)+N($H75))</f>
        <v/>
      </c>
      <c r="P75" s="11" t="str">
        <f aca="true">IF(OR($B75="",$E75=""),"",IF($J75&lt;&gt;"",$J75,TODAY())-$E75)</f>
        <v/>
      </c>
      <c r="Q75" s="12" t="str">
        <f aca="false">IF(OR($B75="",$I75="",$I75="En cartera"),"",($K75-$G75)*$F75-N($H75)-N($L75))</f>
        <v/>
      </c>
      <c r="R75" s="12" t="str">
        <f aca="false">IF(OR($B75="",$I75&lt;&gt;"En cartera",$M75=""),"",($M75-$G75)*$F75-N($H75))</f>
        <v/>
      </c>
      <c r="S75" s="12" t="str">
        <f aca="false">IF($B75="","",SUMIFS(Dividendos!$I$2:$I$301,Dividendos!$C$2:$C$301,$A75))</f>
        <v/>
      </c>
      <c r="T75" s="12" t="str">
        <f aca="false">IF($B75="","",SUMIFS(Operaciones!$AE$2:$AE$1001,Operaciones!$R$2:$R$1001,$A75))</f>
        <v/>
      </c>
      <c r="U75" s="12" t="str">
        <f aca="false">IF($B75="","",N($Q75)+$S75+$T75)</f>
        <v/>
      </c>
      <c r="V75" s="13" t="str">
        <f aca="false">IF(OR($B75="",N($F75)=0),"",(N($F75)*N($G75)-$S75-$T75)/$F75)</f>
        <v/>
      </c>
      <c r="W75" s="14" t="str">
        <f aca="false">IF(OR($B75="",N($F75)*N($G75)=0),"",$U75/($F75*$G75))</f>
        <v/>
      </c>
      <c r="X75" s="14" t="str">
        <f aca="false">IF(OR($W75="",$P75=""),"",$W75*365/MAX($P75,1))</f>
        <v/>
      </c>
      <c r="Y75" s="10" t="str">
        <f aca="false">IF($B75="","",IF(OR($A75="",$E75="",$F75="",$G75="",$I75=""),"Faltan datos obligatorios",IF(COUNTIF($A$2:$A$201,$A75)&gt;1,"ID lote duplicado",IF(AND($I75&lt;&gt;"En cartera",OR($J75="",$K75="")),"Falta fecha o precio de salida",IF(AND($J75&lt;&gt;"",$J75&lt;$E75),"Salida anterior a entrada",IF(AND($I75="En cartera",$M75=""),"OK (sin precio actual)","OK"))))))</f>
        <v/>
      </c>
    </row>
    <row r="76" customFormat="false" ht="15" hidden="false" customHeight="true" outlineLevel="0" collapsed="false">
      <c r="A76" s="7"/>
      <c r="B76" s="7"/>
      <c r="C76" s="7"/>
      <c r="D76" s="5"/>
      <c r="E76" s="6"/>
      <c r="F76" s="5"/>
      <c r="G76" s="8"/>
      <c r="H76" s="9"/>
      <c r="I76" s="7"/>
      <c r="J76" s="6"/>
      <c r="K76" s="8"/>
      <c r="L76" s="9"/>
      <c r="M76" s="8"/>
      <c r="N76" s="7"/>
      <c r="O76" s="12" t="str">
        <f aca="false">IF($B76="","",N($F76)*N($G76)+N($H76))</f>
        <v/>
      </c>
      <c r="P76" s="11" t="str">
        <f aca="true">IF(OR($B76="",$E76=""),"",IF($J76&lt;&gt;"",$J76,TODAY())-$E76)</f>
        <v/>
      </c>
      <c r="Q76" s="12" t="str">
        <f aca="false">IF(OR($B76="",$I76="",$I76="En cartera"),"",($K76-$G76)*$F76-N($H76)-N($L76))</f>
        <v/>
      </c>
      <c r="R76" s="12" t="str">
        <f aca="false">IF(OR($B76="",$I76&lt;&gt;"En cartera",$M76=""),"",($M76-$G76)*$F76-N($H76))</f>
        <v/>
      </c>
      <c r="S76" s="12" t="str">
        <f aca="false">IF($B76="","",SUMIFS(Dividendos!$I$2:$I$301,Dividendos!$C$2:$C$301,$A76))</f>
        <v/>
      </c>
      <c r="T76" s="12" t="str">
        <f aca="false">IF($B76="","",SUMIFS(Operaciones!$AE$2:$AE$1001,Operaciones!$R$2:$R$1001,$A76))</f>
        <v/>
      </c>
      <c r="U76" s="12" t="str">
        <f aca="false">IF($B76="","",N($Q76)+$S76+$T76)</f>
        <v/>
      </c>
      <c r="V76" s="13" t="str">
        <f aca="false">IF(OR($B76="",N($F76)=0),"",(N($F76)*N($G76)-$S76-$T76)/$F76)</f>
        <v/>
      </c>
      <c r="W76" s="14" t="str">
        <f aca="false">IF(OR($B76="",N($F76)*N($G76)=0),"",$U76/($F76*$G76))</f>
        <v/>
      </c>
      <c r="X76" s="14" t="str">
        <f aca="false">IF(OR($W76="",$P76=""),"",$W76*365/MAX($P76,1))</f>
        <v/>
      </c>
      <c r="Y76" s="10" t="str">
        <f aca="false">IF($B76="","",IF(OR($A76="",$E76="",$F76="",$G76="",$I76=""),"Faltan datos obligatorios",IF(COUNTIF($A$2:$A$201,$A76)&gt;1,"ID lote duplicado",IF(AND($I76&lt;&gt;"En cartera",OR($J76="",$K76="")),"Falta fecha o precio de salida",IF(AND($J76&lt;&gt;"",$J76&lt;$E76),"Salida anterior a entrada",IF(AND($I76="En cartera",$M76=""),"OK (sin precio actual)","OK"))))))</f>
        <v/>
      </c>
    </row>
    <row r="77" customFormat="false" ht="15" hidden="false" customHeight="true" outlineLevel="0" collapsed="false">
      <c r="A77" s="7"/>
      <c r="B77" s="7"/>
      <c r="C77" s="7"/>
      <c r="D77" s="5"/>
      <c r="E77" s="6"/>
      <c r="F77" s="5"/>
      <c r="G77" s="8"/>
      <c r="H77" s="9"/>
      <c r="I77" s="7"/>
      <c r="J77" s="6"/>
      <c r="K77" s="8"/>
      <c r="L77" s="9"/>
      <c r="M77" s="8"/>
      <c r="N77" s="7"/>
      <c r="O77" s="12" t="str">
        <f aca="false">IF($B77="","",N($F77)*N($G77)+N($H77))</f>
        <v/>
      </c>
      <c r="P77" s="11" t="str">
        <f aca="true">IF(OR($B77="",$E77=""),"",IF($J77&lt;&gt;"",$J77,TODAY())-$E77)</f>
        <v/>
      </c>
      <c r="Q77" s="12" t="str">
        <f aca="false">IF(OR($B77="",$I77="",$I77="En cartera"),"",($K77-$G77)*$F77-N($H77)-N($L77))</f>
        <v/>
      </c>
      <c r="R77" s="12" t="str">
        <f aca="false">IF(OR($B77="",$I77&lt;&gt;"En cartera",$M77=""),"",($M77-$G77)*$F77-N($H77))</f>
        <v/>
      </c>
      <c r="S77" s="12" t="str">
        <f aca="false">IF($B77="","",SUMIFS(Dividendos!$I$2:$I$301,Dividendos!$C$2:$C$301,$A77))</f>
        <v/>
      </c>
      <c r="T77" s="12" t="str">
        <f aca="false">IF($B77="","",SUMIFS(Operaciones!$AE$2:$AE$1001,Operaciones!$R$2:$R$1001,$A77))</f>
        <v/>
      </c>
      <c r="U77" s="12" t="str">
        <f aca="false">IF($B77="","",N($Q77)+$S77+$T77)</f>
        <v/>
      </c>
      <c r="V77" s="13" t="str">
        <f aca="false">IF(OR($B77="",N($F77)=0),"",(N($F77)*N($G77)-$S77-$T77)/$F77)</f>
        <v/>
      </c>
      <c r="W77" s="14" t="str">
        <f aca="false">IF(OR($B77="",N($F77)*N($G77)=0),"",$U77/($F77*$G77))</f>
        <v/>
      </c>
      <c r="X77" s="14" t="str">
        <f aca="false">IF(OR($W77="",$P77=""),"",$W77*365/MAX($P77,1))</f>
        <v/>
      </c>
      <c r="Y77" s="10" t="str">
        <f aca="false">IF($B77="","",IF(OR($A77="",$E77="",$F77="",$G77="",$I77=""),"Faltan datos obligatorios",IF(COUNTIF($A$2:$A$201,$A77)&gt;1,"ID lote duplicado",IF(AND($I77&lt;&gt;"En cartera",OR($J77="",$K77="")),"Falta fecha o precio de salida",IF(AND($J77&lt;&gt;"",$J77&lt;$E77),"Salida anterior a entrada",IF(AND($I77="En cartera",$M77=""),"OK (sin precio actual)","OK"))))))</f>
        <v/>
      </c>
    </row>
    <row r="78" customFormat="false" ht="15" hidden="false" customHeight="true" outlineLevel="0" collapsed="false">
      <c r="A78" s="7"/>
      <c r="B78" s="7"/>
      <c r="C78" s="7"/>
      <c r="D78" s="5"/>
      <c r="E78" s="6"/>
      <c r="F78" s="5"/>
      <c r="G78" s="8"/>
      <c r="H78" s="9"/>
      <c r="I78" s="7"/>
      <c r="J78" s="6"/>
      <c r="K78" s="8"/>
      <c r="L78" s="9"/>
      <c r="M78" s="8"/>
      <c r="N78" s="7"/>
      <c r="O78" s="12" t="str">
        <f aca="false">IF($B78="","",N($F78)*N($G78)+N($H78))</f>
        <v/>
      </c>
      <c r="P78" s="11" t="str">
        <f aca="true">IF(OR($B78="",$E78=""),"",IF($J78&lt;&gt;"",$J78,TODAY())-$E78)</f>
        <v/>
      </c>
      <c r="Q78" s="12" t="str">
        <f aca="false">IF(OR($B78="",$I78="",$I78="En cartera"),"",($K78-$G78)*$F78-N($H78)-N($L78))</f>
        <v/>
      </c>
      <c r="R78" s="12" t="str">
        <f aca="false">IF(OR($B78="",$I78&lt;&gt;"En cartera",$M78=""),"",($M78-$G78)*$F78-N($H78))</f>
        <v/>
      </c>
      <c r="S78" s="12" t="str">
        <f aca="false">IF($B78="","",SUMIFS(Dividendos!$I$2:$I$301,Dividendos!$C$2:$C$301,$A78))</f>
        <v/>
      </c>
      <c r="T78" s="12" t="str">
        <f aca="false">IF($B78="","",SUMIFS(Operaciones!$AE$2:$AE$1001,Operaciones!$R$2:$R$1001,$A78))</f>
        <v/>
      </c>
      <c r="U78" s="12" t="str">
        <f aca="false">IF($B78="","",N($Q78)+$S78+$T78)</f>
        <v/>
      </c>
      <c r="V78" s="13" t="str">
        <f aca="false">IF(OR($B78="",N($F78)=0),"",(N($F78)*N($G78)-$S78-$T78)/$F78)</f>
        <v/>
      </c>
      <c r="W78" s="14" t="str">
        <f aca="false">IF(OR($B78="",N($F78)*N($G78)=0),"",$U78/($F78*$G78))</f>
        <v/>
      </c>
      <c r="X78" s="14" t="str">
        <f aca="false">IF(OR($W78="",$P78=""),"",$W78*365/MAX($P78,1))</f>
        <v/>
      </c>
      <c r="Y78" s="10" t="str">
        <f aca="false">IF($B78="","",IF(OR($A78="",$E78="",$F78="",$G78="",$I78=""),"Faltan datos obligatorios",IF(COUNTIF($A$2:$A$201,$A78)&gt;1,"ID lote duplicado",IF(AND($I78&lt;&gt;"En cartera",OR($J78="",$K78="")),"Falta fecha o precio de salida",IF(AND($J78&lt;&gt;"",$J78&lt;$E78),"Salida anterior a entrada",IF(AND($I78="En cartera",$M78=""),"OK (sin precio actual)","OK"))))))</f>
        <v/>
      </c>
    </row>
    <row r="79" customFormat="false" ht="15" hidden="false" customHeight="true" outlineLevel="0" collapsed="false">
      <c r="A79" s="7"/>
      <c r="B79" s="7"/>
      <c r="C79" s="7"/>
      <c r="D79" s="5"/>
      <c r="E79" s="6"/>
      <c r="F79" s="5"/>
      <c r="G79" s="8"/>
      <c r="H79" s="9"/>
      <c r="I79" s="7"/>
      <c r="J79" s="6"/>
      <c r="K79" s="8"/>
      <c r="L79" s="9"/>
      <c r="M79" s="8"/>
      <c r="N79" s="7"/>
      <c r="O79" s="12" t="str">
        <f aca="false">IF($B79="","",N($F79)*N($G79)+N($H79))</f>
        <v/>
      </c>
      <c r="P79" s="11" t="str">
        <f aca="true">IF(OR($B79="",$E79=""),"",IF($J79&lt;&gt;"",$J79,TODAY())-$E79)</f>
        <v/>
      </c>
      <c r="Q79" s="12" t="str">
        <f aca="false">IF(OR($B79="",$I79="",$I79="En cartera"),"",($K79-$G79)*$F79-N($H79)-N($L79))</f>
        <v/>
      </c>
      <c r="R79" s="12" t="str">
        <f aca="false">IF(OR($B79="",$I79&lt;&gt;"En cartera",$M79=""),"",($M79-$G79)*$F79-N($H79))</f>
        <v/>
      </c>
      <c r="S79" s="12" t="str">
        <f aca="false">IF($B79="","",SUMIFS(Dividendos!$I$2:$I$301,Dividendos!$C$2:$C$301,$A79))</f>
        <v/>
      </c>
      <c r="T79" s="12" t="str">
        <f aca="false">IF($B79="","",SUMIFS(Operaciones!$AE$2:$AE$1001,Operaciones!$R$2:$R$1001,$A79))</f>
        <v/>
      </c>
      <c r="U79" s="12" t="str">
        <f aca="false">IF($B79="","",N($Q79)+$S79+$T79)</f>
        <v/>
      </c>
      <c r="V79" s="13" t="str">
        <f aca="false">IF(OR($B79="",N($F79)=0),"",(N($F79)*N($G79)-$S79-$T79)/$F79)</f>
        <v/>
      </c>
      <c r="W79" s="14" t="str">
        <f aca="false">IF(OR($B79="",N($F79)*N($G79)=0),"",$U79/($F79*$G79))</f>
        <v/>
      </c>
      <c r="X79" s="14" t="str">
        <f aca="false">IF(OR($W79="",$P79=""),"",$W79*365/MAX($P79,1))</f>
        <v/>
      </c>
      <c r="Y79" s="10" t="str">
        <f aca="false">IF($B79="","",IF(OR($A79="",$E79="",$F79="",$G79="",$I79=""),"Faltan datos obligatorios",IF(COUNTIF($A$2:$A$201,$A79)&gt;1,"ID lote duplicado",IF(AND($I79&lt;&gt;"En cartera",OR($J79="",$K79="")),"Falta fecha o precio de salida",IF(AND($J79&lt;&gt;"",$J79&lt;$E79),"Salida anterior a entrada",IF(AND($I79="En cartera",$M79=""),"OK (sin precio actual)","OK"))))))</f>
        <v/>
      </c>
    </row>
    <row r="80" customFormat="false" ht="15" hidden="false" customHeight="true" outlineLevel="0" collapsed="false">
      <c r="A80" s="7"/>
      <c r="B80" s="7"/>
      <c r="C80" s="7"/>
      <c r="D80" s="5"/>
      <c r="E80" s="6"/>
      <c r="F80" s="5"/>
      <c r="G80" s="8"/>
      <c r="H80" s="9"/>
      <c r="I80" s="7"/>
      <c r="J80" s="6"/>
      <c r="K80" s="8"/>
      <c r="L80" s="9"/>
      <c r="M80" s="8"/>
      <c r="N80" s="7"/>
      <c r="O80" s="12" t="str">
        <f aca="false">IF($B80="","",N($F80)*N($G80)+N($H80))</f>
        <v/>
      </c>
      <c r="P80" s="11" t="str">
        <f aca="true">IF(OR($B80="",$E80=""),"",IF($J80&lt;&gt;"",$J80,TODAY())-$E80)</f>
        <v/>
      </c>
      <c r="Q80" s="12" t="str">
        <f aca="false">IF(OR($B80="",$I80="",$I80="En cartera"),"",($K80-$G80)*$F80-N($H80)-N($L80))</f>
        <v/>
      </c>
      <c r="R80" s="12" t="str">
        <f aca="false">IF(OR($B80="",$I80&lt;&gt;"En cartera",$M80=""),"",($M80-$G80)*$F80-N($H80))</f>
        <v/>
      </c>
      <c r="S80" s="12" t="str">
        <f aca="false">IF($B80="","",SUMIFS(Dividendos!$I$2:$I$301,Dividendos!$C$2:$C$301,$A80))</f>
        <v/>
      </c>
      <c r="T80" s="12" t="str">
        <f aca="false">IF($B80="","",SUMIFS(Operaciones!$AE$2:$AE$1001,Operaciones!$R$2:$R$1001,$A80))</f>
        <v/>
      </c>
      <c r="U80" s="12" t="str">
        <f aca="false">IF($B80="","",N($Q80)+$S80+$T80)</f>
        <v/>
      </c>
      <c r="V80" s="13" t="str">
        <f aca="false">IF(OR($B80="",N($F80)=0),"",(N($F80)*N($G80)-$S80-$T80)/$F80)</f>
        <v/>
      </c>
      <c r="W80" s="14" t="str">
        <f aca="false">IF(OR($B80="",N($F80)*N($G80)=0),"",$U80/($F80*$G80))</f>
        <v/>
      </c>
      <c r="X80" s="14" t="str">
        <f aca="false">IF(OR($W80="",$P80=""),"",$W80*365/MAX($P80,1))</f>
        <v/>
      </c>
      <c r="Y80" s="10" t="str">
        <f aca="false">IF($B80="","",IF(OR($A80="",$E80="",$F80="",$G80="",$I80=""),"Faltan datos obligatorios",IF(COUNTIF($A$2:$A$201,$A80)&gt;1,"ID lote duplicado",IF(AND($I80&lt;&gt;"En cartera",OR($J80="",$K80="")),"Falta fecha o precio de salida",IF(AND($J80&lt;&gt;"",$J80&lt;$E80),"Salida anterior a entrada",IF(AND($I80="En cartera",$M80=""),"OK (sin precio actual)","OK"))))))</f>
        <v/>
      </c>
    </row>
    <row r="81" customFormat="false" ht="15" hidden="false" customHeight="true" outlineLevel="0" collapsed="false">
      <c r="A81" s="7"/>
      <c r="B81" s="7"/>
      <c r="C81" s="7"/>
      <c r="D81" s="5"/>
      <c r="E81" s="6"/>
      <c r="F81" s="5"/>
      <c r="G81" s="8"/>
      <c r="H81" s="9"/>
      <c r="I81" s="7"/>
      <c r="J81" s="6"/>
      <c r="K81" s="8"/>
      <c r="L81" s="9"/>
      <c r="M81" s="8"/>
      <c r="N81" s="7"/>
      <c r="O81" s="12" t="str">
        <f aca="false">IF($B81="","",N($F81)*N($G81)+N($H81))</f>
        <v/>
      </c>
      <c r="P81" s="11" t="str">
        <f aca="true">IF(OR($B81="",$E81=""),"",IF($J81&lt;&gt;"",$J81,TODAY())-$E81)</f>
        <v/>
      </c>
      <c r="Q81" s="12" t="str">
        <f aca="false">IF(OR($B81="",$I81="",$I81="En cartera"),"",($K81-$G81)*$F81-N($H81)-N($L81))</f>
        <v/>
      </c>
      <c r="R81" s="12" t="str">
        <f aca="false">IF(OR($B81="",$I81&lt;&gt;"En cartera",$M81=""),"",($M81-$G81)*$F81-N($H81))</f>
        <v/>
      </c>
      <c r="S81" s="12" t="str">
        <f aca="false">IF($B81="","",SUMIFS(Dividendos!$I$2:$I$301,Dividendos!$C$2:$C$301,$A81))</f>
        <v/>
      </c>
      <c r="T81" s="12" t="str">
        <f aca="false">IF($B81="","",SUMIFS(Operaciones!$AE$2:$AE$1001,Operaciones!$R$2:$R$1001,$A81))</f>
        <v/>
      </c>
      <c r="U81" s="12" t="str">
        <f aca="false">IF($B81="","",N($Q81)+$S81+$T81)</f>
        <v/>
      </c>
      <c r="V81" s="13" t="str">
        <f aca="false">IF(OR($B81="",N($F81)=0),"",(N($F81)*N($G81)-$S81-$T81)/$F81)</f>
        <v/>
      </c>
      <c r="W81" s="14" t="str">
        <f aca="false">IF(OR($B81="",N($F81)*N($G81)=0),"",$U81/($F81*$G81))</f>
        <v/>
      </c>
      <c r="X81" s="14" t="str">
        <f aca="false">IF(OR($W81="",$P81=""),"",$W81*365/MAX($P81,1))</f>
        <v/>
      </c>
      <c r="Y81" s="10" t="str">
        <f aca="false">IF($B81="","",IF(OR($A81="",$E81="",$F81="",$G81="",$I81=""),"Faltan datos obligatorios",IF(COUNTIF($A$2:$A$201,$A81)&gt;1,"ID lote duplicado",IF(AND($I81&lt;&gt;"En cartera",OR($J81="",$K81="")),"Falta fecha o precio de salida",IF(AND($J81&lt;&gt;"",$J81&lt;$E81),"Salida anterior a entrada",IF(AND($I81="En cartera",$M81=""),"OK (sin precio actual)","OK"))))))</f>
        <v/>
      </c>
    </row>
    <row r="82" customFormat="false" ht="15" hidden="false" customHeight="true" outlineLevel="0" collapsed="false">
      <c r="A82" s="7"/>
      <c r="B82" s="7"/>
      <c r="C82" s="7"/>
      <c r="D82" s="5"/>
      <c r="E82" s="6"/>
      <c r="F82" s="5"/>
      <c r="G82" s="8"/>
      <c r="H82" s="9"/>
      <c r="I82" s="7"/>
      <c r="J82" s="6"/>
      <c r="K82" s="8"/>
      <c r="L82" s="9"/>
      <c r="M82" s="8"/>
      <c r="N82" s="7"/>
      <c r="O82" s="12" t="str">
        <f aca="false">IF($B82="","",N($F82)*N($G82)+N($H82))</f>
        <v/>
      </c>
      <c r="P82" s="11" t="str">
        <f aca="true">IF(OR($B82="",$E82=""),"",IF($J82&lt;&gt;"",$J82,TODAY())-$E82)</f>
        <v/>
      </c>
      <c r="Q82" s="12" t="str">
        <f aca="false">IF(OR($B82="",$I82="",$I82="En cartera"),"",($K82-$G82)*$F82-N($H82)-N($L82))</f>
        <v/>
      </c>
      <c r="R82" s="12" t="str">
        <f aca="false">IF(OR($B82="",$I82&lt;&gt;"En cartera",$M82=""),"",($M82-$G82)*$F82-N($H82))</f>
        <v/>
      </c>
      <c r="S82" s="12" t="str">
        <f aca="false">IF($B82="","",SUMIFS(Dividendos!$I$2:$I$301,Dividendos!$C$2:$C$301,$A82))</f>
        <v/>
      </c>
      <c r="T82" s="12" t="str">
        <f aca="false">IF($B82="","",SUMIFS(Operaciones!$AE$2:$AE$1001,Operaciones!$R$2:$R$1001,$A82))</f>
        <v/>
      </c>
      <c r="U82" s="12" t="str">
        <f aca="false">IF($B82="","",N($Q82)+$S82+$T82)</f>
        <v/>
      </c>
      <c r="V82" s="13" t="str">
        <f aca="false">IF(OR($B82="",N($F82)=0),"",(N($F82)*N($G82)-$S82-$T82)/$F82)</f>
        <v/>
      </c>
      <c r="W82" s="14" t="str">
        <f aca="false">IF(OR($B82="",N($F82)*N($G82)=0),"",$U82/($F82*$G82))</f>
        <v/>
      </c>
      <c r="X82" s="14" t="str">
        <f aca="false">IF(OR($W82="",$P82=""),"",$W82*365/MAX($P82,1))</f>
        <v/>
      </c>
      <c r="Y82" s="10" t="str">
        <f aca="false">IF($B82="","",IF(OR($A82="",$E82="",$F82="",$G82="",$I82=""),"Faltan datos obligatorios",IF(COUNTIF($A$2:$A$201,$A82)&gt;1,"ID lote duplicado",IF(AND($I82&lt;&gt;"En cartera",OR($J82="",$K82="")),"Falta fecha o precio de salida",IF(AND($J82&lt;&gt;"",$J82&lt;$E82),"Salida anterior a entrada",IF(AND($I82="En cartera",$M82=""),"OK (sin precio actual)","OK"))))))</f>
        <v/>
      </c>
    </row>
    <row r="83" customFormat="false" ht="15" hidden="false" customHeight="true" outlineLevel="0" collapsed="false">
      <c r="A83" s="7"/>
      <c r="B83" s="7"/>
      <c r="C83" s="7"/>
      <c r="D83" s="5"/>
      <c r="E83" s="6"/>
      <c r="F83" s="5"/>
      <c r="G83" s="8"/>
      <c r="H83" s="9"/>
      <c r="I83" s="7"/>
      <c r="J83" s="6"/>
      <c r="K83" s="8"/>
      <c r="L83" s="9"/>
      <c r="M83" s="8"/>
      <c r="N83" s="7"/>
      <c r="O83" s="12" t="str">
        <f aca="false">IF($B83="","",N($F83)*N($G83)+N($H83))</f>
        <v/>
      </c>
      <c r="P83" s="11" t="str">
        <f aca="true">IF(OR($B83="",$E83=""),"",IF($J83&lt;&gt;"",$J83,TODAY())-$E83)</f>
        <v/>
      </c>
      <c r="Q83" s="12" t="str">
        <f aca="false">IF(OR($B83="",$I83="",$I83="En cartera"),"",($K83-$G83)*$F83-N($H83)-N($L83))</f>
        <v/>
      </c>
      <c r="R83" s="12" t="str">
        <f aca="false">IF(OR($B83="",$I83&lt;&gt;"En cartera",$M83=""),"",($M83-$G83)*$F83-N($H83))</f>
        <v/>
      </c>
      <c r="S83" s="12" t="str">
        <f aca="false">IF($B83="","",SUMIFS(Dividendos!$I$2:$I$301,Dividendos!$C$2:$C$301,$A83))</f>
        <v/>
      </c>
      <c r="T83" s="12" t="str">
        <f aca="false">IF($B83="","",SUMIFS(Operaciones!$AE$2:$AE$1001,Operaciones!$R$2:$R$1001,$A83))</f>
        <v/>
      </c>
      <c r="U83" s="12" t="str">
        <f aca="false">IF($B83="","",N($Q83)+$S83+$T83)</f>
        <v/>
      </c>
      <c r="V83" s="13" t="str">
        <f aca="false">IF(OR($B83="",N($F83)=0),"",(N($F83)*N($G83)-$S83-$T83)/$F83)</f>
        <v/>
      </c>
      <c r="W83" s="14" t="str">
        <f aca="false">IF(OR($B83="",N($F83)*N($G83)=0),"",$U83/($F83*$G83))</f>
        <v/>
      </c>
      <c r="X83" s="14" t="str">
        <f aca="false">IF(OR($W83="",$P83=""),"",$W83*365/MAX($P83,1))</f>
        <v/>
      </c>
      <c r="Y83" s="10" t="str">
        <f aca="false">IF($B83="","",IF(OR($A83="",$E83="",$F83="",$G83="",$I83=""),"Faltan datos obligatorios",IF(COUNTIF($A$2:$A$201,$A83)&gt;1,"ID lote duplicado",IF(AND($I83&lt;&gt;"En cartera",OR($J83="",$K83="")),"Falta fecha o precio de salida",IF(AND($J83&lt;&gt;"",$J83&lt;$E83),"Salida anterior a entrada",IF(AND($I83="En cartera",$M83=""),"OK (sin precio actual)","OK"))))))</f>
        <v/>
      </c>
    </row>
    <row r="84" customFormat="false" ht="15" hidden="false" customHeight="true" outlineLevel="0" collapsed="false">
      <c r="A84" s="7"/>
      <c r="B84" s="7"/>
      <c r="C84" s="7"/>
      <c r="D84" s="5"/>
      <c r="E84" s="6"/>
      <c r="F84" s="5"/>
      <c r="G84" s="8"/>
      <c r="H84" s="9"/>
      <c r="I84" s="7"/>
      <c r="J84" s="6"/>
      <c r="K84" s="8"/>
      <c r="L84" s="9"/>
      <c r="M84" s="8"/>
      <c r="N84" s="7"/>
      <c r="O84" s="12" t="str">
        <f aca="false">IF($B84="","",N($F84)*N($G84)+N($H84))</f>
        <v/>
      </c>
      <c r="P84" s="11" t="str">
        <f aca="true">IF(OR($B84="",$E84=""),"",IF($J84&lt;&gt;"",$J84,TODAY())-$E84)</f>
        <v/>
      </c>
      <c r="Q84" s="12" t="str">
        <f aca="false">IF(OR($B84="",$I84="",$I84="En cartera"),"",($K84-$G84)*$F84-N($H84)-N($L84))</f>
        <v/>
      </c>
      <c r="R84" s="12" t="str">
        <f aca="false">IF(OR($B84="",$I84&lt;&gt;"En cartera",$M84=""),"",($M84-$G84)*$F84-N($H84))</f>
        <v/>
      </c>
      <c r="S84" s="12" t="str">
        <f aca="false">IF($B84="","",SUMIFS(Dividendos!$I$2:$I$301,Dividendos!$C$2:$C$301,$A84))</f>
        <v/>
      </c>
      <c r="T84" s="12" t="str">
        <f aca="false">IF($B84="","",SUMIFS(Operaciones!$AE$2:$AE$1001,Operaciones!$R$2:$R$1001,$A84))</f>
        <v/>
      </c>
      <c r="U84" s="12" t="str">
        <f aca="false">IF($B84="","",N($Q84)+$S84+$T84)</f>
        <v/>
      </c>
      <c r="V84" s="13" t="str">
        <f aca="false">IF(OR($B84="",N($F84)=0),"",(N($F84)*N($G84)-$S84-$T84)/$F84)</f>
        <v/>
      </c>
      <c r="W84" s="14" t="str">
        <f aca="false">IF(OR($B84="",N($F84)*N($G84)=0),"",$U84/($F84*$G84))</f>
        <v/>
      </c>
      <c r="X84" s="14" t="str">
        <f aca="false">IF(OR($W84="",$P84=""),"",$W84*365/MAX($P84,1))</f>
        <v/>
      </c>
      <c r="Y84" s="10" t="str">
        <f aca="false">IF($B84="","",IF(OR($A84="",$E84="",$F84="",$G84="",$I84=""),"Faltan datos obligatorios",IF(COUNTIF($A$2:$A$201,$A84)&gt;1,"ID lote duplicado",IF(AND($I84&lt;&gt;"En cartera",OR($J84="",$K84="")),"Falta fecha o precio de salida",IF(AND($J84&lt;&gt;"",$J84&lt;$E84),"Salida anterior a entrada",IF(AND($I84="En cartera",$M84=""),"OK (sin precio actual)","OK"))))))</f>
        <v/>
      </c>
    </row>
    <row r="85" customFormat="false" ht="15" hidden="false" customHeight="true" outlineLevel="0" collapsed="false">
      <c r="A85" s="7"/>
      <c r="B85" s="7"/>
      <c r="C85" s="7"/>
      <c r="D85" s="5"/>
      <c r="E85" s="6"/>
      <c r="F85" s="5"/>
      <c r="G85" s="8"/>
      <c r="H85" s="9"/>
      <c r="I85" s="7"/>
      <c r="J85" s="6"/>
      <c r="K85" s="8"/>
      <c r="L85" s="9"/>
      <c r="M85" s="8"/>
      <c r="N85" s="7"/>
      <c r="O85" s="12" t="str">
        <f aca="false">IF($B85="","",N($F85)*N($G85)+N($H85))</f>
        <v/>
      </c>
      <c r="P85" s="11" t="str">
        <f aca="true">IF(OR($B85="",$E85=""),"",IF($J85&lt;&gt;"",$J85,TODAY())-$E85)</f>
        <v/>
      </c>
      <c r="Q85" s="12" t="str">
        <f aca="false">IF(OR($B85="",$I85="",$I85="En cartera"),"",($K85-$G85)*$F85-N($H85)-N($L85))</f>
        <v/>
      </c>
      <c r="R85" s="12" t="str">
        <f aca="false">IF(OR($B85="",$I85&lt;&gt;"En cartera",$M85=""),"",($M85-$G85)*$F85-N($H85))</f>
        <v/>
      </c>
      <c r="S85" s="12" t="str">
        <f aca="false">IF($B85="","",SUMIFS(Dividendos!$I$2:$I$301,Dividendos!$C$2:$C$301,$A85))</f>
        <v/>
      </c>
      <c r="T85" s="12" t="str">
        <f aca="false">IF($B85="","",SUMIFS(Operaciones!$AE$2:$AE$1001,Operaciones!$R$2:$R$1001,$A85))</f>
        <v/>
      </c>
      <c r="U85" s="12" t="str">
        <f aca="false">IF($B85="","",N($Q85)+$S85+$T85)</f>
        <v/>
      </c>
      <c r="V85" s="13" t="str">
        <f aca="false">IF(OR($B85="",N($F85)=0),"",(N($F85)*N($G85)-$S85-$T85)/$F85)</f>
        <v/>
      </c>
      <c r="W85" s="14" t="str">
        <f aca="false">IF(OR($B85="",N($F85)*N($G85)=0),"",$U85/($F85*$G85))</f>
        <v/>
      </c>
      <c r="X85" s="14" t="str">
        <f aca="false">IF(OR($W85="",$P85=""),"",$W85*365/MAX($P85,1))</f>
        <v/>
      </c>
      <c r="Y85" s="10" t="str">
        <f aca="false">IF($B85="","",IF(OR($A85="",$E85="",$F85="",$G85="",$I85=""),"Faltan datos obligatorios",IF(COUNTIF($A$2:$A$201,$A85)&gt;1,"ID lote duplicado",IF(AND($I85&lt;&gt;"En cartera",OR($J85="",$K85="")),"Falta fecha o precio de salida",IF(AND($J85&lt;&gt;"",$J85&lt;$E85),"Salida anterior a entrada",IF(AND($I85="En cartera",$M85=""),"OK (sin precio actual)","OK"))))))</f>
        <v/>
      </c>
    </row>
    <row r="86" customFormat="false" ht="15" hidden="false" customHeight="true" outlineLevel="0" collapsed="false">
      <c r="A86" s="7"/>
      <c r="B86" s="7"/>
      <c r="C86" s="7"/>
      <c r="D86" s="5"/>
      <c r="E86" s="6"/>
      <c r="F86" s="5"/>
      <c r="G86" s="8"/>
      <c r="H86" s="9"/>
      <c r="I86" s="7"/>
      <c r="J86" s="6"/>
      <c r="K86" s="8"/>
      <c r="L86" s="9"/>
      <c r="M86" s="8"/>
      <c r="N86" s="7"/>
      <c r="O86" s="12" t="str">
        <f aca="false">IF($B86="","",N($F86)*N($G86)+N($H86))</f>
        <v/>
      </c>
      <c r="P86" s="11" t="str">
        <f aca="true">IF(OR($B86="",$E86=""),"",IF($J86&lt;&gt;"",$J86,TODAY())-$E86)</f>
        <v/>
      </c>
      <c r="Q86" s="12" t="str">
        <f aca="false">IF(OR($B86="",$I86="",$I86="En cartera"),"",($K86-$G86)*$F86-N($H86)-N($L86))</f>
        <v/>
      </c>
      <c r="R86" s="12" t="str">
        <f aca="false">IF(OR($B86="",$I86&lt;&gt;"En cartera",$M86=""),"",($M86-$G86)*$F86-N($H86))</f>
        <v/>
      </c>
      <c r="S86" s="12" t="str">
        <f aca="false">IF($B86="","",SUMIFS(Dividendos!$I$2:$I$301,Dividendos!$C$2:$C$301,$A86))</f>
        <v/>
      </c>
      <c r="T86" s="12" t="str">
        <f aca="false">IF($B86="","",SUMIFS(Operaciones!$AE$2:$AE$1001,Operaciones!$R$2:$R$1001,$A86))</f>
        <v/>
      </c>
      <c r="U86" s="12" t="str">
        <f aca="false">IF($B86="","",N($Q86)+$S86+$T86)</f>
        <v/>
      </c>
      <c r="V86" s="13" t="str">
        <f aca="false">IF(OR($B86="",N($F86)=0),"",(N($F86)*N($G86)-$S86-$T86)/$F86)</f>
        <v/>
      </c>
      <c r="W86" s="14" t="str">
        <f aca="false">IF(OR($B86="",N($F86)*N($G86)=0),"",$U86/($F86*$G86))</f>
        <v/>
      </c>
      <c r="X86" s="14" t="str">
        <f aca="false">IF(OR($W86="",$P86=""),"",$W86*365/MAX($P86,1))</f>
        <v/>
      </c>
      <c r="Y86" s="10" t="str">
        <f aca="false">IF($B86="","",IF(OR($A86="",$E86="",$F86="",$G86="",$I86=""),"Faltan datos obligatorios",IF(COUNTIF($A$2:$A$201,$A86)&gt;1,"ID lote duplicado",IF(AND($I86&lt;&gt;"En cartera",OR($J86="",$K86="")),"Falta fecha o precio de salida",IF(AND($J86&lt;&gt;"",$J86&lt;$E86),"Salida anterior a entrada",IF(AND($I86="En cartera",$M86=""),"OK (sin precio actual)","OK"))))))</f>
        <v/>
      </c>
    </row>
    <row r="87" customFormat="false" ht="15" hidden="false" customHeight="true" outlineLevel="0" collapsed="false">
      <c r="A87" s="7"/>
      <c r="B87" s="7"/>
      <c r="C87" s="7"/>
      <c r="D87" s="5"/>
      <c r="E87" s="6"/>
      <c r="F87" s="5"/>
      <c r="G87" s="8"/>
      <c r="H87" s="9"/>
      <c r="I87" s="7"/>
      <c r="J87" s="6"/>
      <c r="K87" s="8"/>
      <c r="L87" s="9"/>
      <c r="M87" s="8"/>
      <c r="N87" s="7"/>
      <c r="O87" s="12" t="str">
        <f aca="false">IF($B87="","",N($F87)*N($G87)+N($H87))</f>
        <v/>
      </c>
      <c r="P87" s="11" t="str">
        <f aca="true">IF(OR($B87="",$E87=""),"",IF($J87&lt;&gt;"",$J87,TODAY())-$E87)</f>
        <v/>
      </c>
      <c r="Q87" s="12" t="str">
        <f aca="false">IF(OR($B87="",$I87="",$I87="En cartera"),"",($K87-$G87)*$F87-N($H87)-N($L87))</f>
        <v/>
      </c>
      <c r="R87" s="12" t="str">
        <f aca="false">IF(OR($B87="",$I87&lt;&gt;"En cartera",$M87=""),"",($M87-$G87)*$F87-N($H87))</f>
        <v/>
      </c>
      <c r="S87" s="12" t="str">
        <f aca="false">IF($B87="","",SUMIFS(Dividendos!$I$2:$I$301,Dividendos!$C$2:$C$301,$A87))</f>
        <v/>
      </c>
      <c r="T87" s="12" t="str">
        <f aca="false">IF($B87="","",SUMIFS(Operaciones!$AE$2:$AE$1001,Operaciones!$R$2:$R$1001,$A87))</f>
        <v/>
      </c>
      <c r="U87" s="12" t="str">
        <f aca="false">IF($B87="","",N($Q87)+$S87+$T87)</f>
        <v/>
      </c>
      <c r="V87" s="13" t="str">
        <f aca="false">IF(OR($B87="",N($F87)=0),"",(N($F87)*N($G87)-$S87-$T87)/$F87)</f>
        <v/>
      </c>
      <c r="W87" s="14" t="str">
        <f aca="false">IF(OR($B87="",N($F87)*N($G87)=0),"",$U87/($F87*$G87))</f>
        <v/>
      </c>
      <c r="X87" s="14" t="str">
        <f aca="false">IF(OR($W87="",$P87=""),"",$W87*365/MAX($P87,1))</f>
        <v/>
      </c>
      <c r="Y87" s="10" t="str">
        <f aca="false">IF($B87="","",IF(OR($A87="",$E87="",$F87="",$G87="",$I87=""),"Faltan datos obligatorios",IF(COUNTIF($A$2:$A$201,$A87)&gt;1,"ID lote duplicado",IF(AND($I87&lt;&gt;"En cartera",OR($J87="",$K87="")),"Falta fecha o precio de salida",IF(AND($J87&lt;&gt;"",$J87&lt;$E87),"Salida anterior a entrada",IF(AND($I87="En cartera",$M87=""),"OK (sin precio actual)","OK"))))))</f>
        <v/>
      </c>
    </row>
    <row r="88" customFormat="false" ht="15" hidden="false" customHeight="true" outlineLevel="0" collapsed="false">
      <c r="A88" s="7"/>
      <c r="B88" s="7"/>
      <c r="C88" s="7"/>
      <c r="D88" s="5"/>
      <c r="E88" s="6"/>
      <c r="F88" s="5"/>
      <c r="G88" s="8"/>
      <c r="H88" s="9"/>
      <c r="I88" s="7"/>
      <c r="J88" s="6"/>
      <c r="K88" s="8"/>
      <c r="L88" s="9"/>
      <c r="M88" s="8"/>
      <c r="N88" s="7"/>
      <c r="O88" s="12" t="str">
        <f aca="false">IF($B88="","",N($F88)*N($G88)+N($H88))</f>
        <v/>
      </c>
      <c r="P88" s="11" t="str">
        <f aca="true">IF(OR($B88="",$E88=""),"",IF($J88&lt;&gt;"",$J88,TODAY())-$E88)</f>
        <v/>
      </c>
      <c r="Q88" s="12" t="str">
        <f aca="false">IF(OR($B88="",$I88="",$I88="En cartera"),"",($K88-$G88)*$F88-N($H88)-N($L88))</f>
        <v/>
      </c>
      <c r="R88" s="12" t="str">
        <f aca="false">IF(OR($B88="",$I88&lt;&gt;"En cartera",$M88=""),"",($M88-$G88)*$F88-N($H88))</f>
        <v/>
      </c>
      <c r="S88" s="12" t="str">
        <f aca="false">IF($B88="","",SUMIFS(Dividendos!$I$2:$I$301,Dividendos!$C$2:$C$301,$A88))</f>
        <v/>
      </c>
      <c r="T88" s="12" t="str">
        <f aca="false">IF($B88="","",SUMIFS(Operaciones!$AE$2:$AE$1001,Operaciones!$R$2:$R$1001,$A88))</f>
        <v/>
      </c>
      <c r="U88" s="12" t="str">
        <f aca="false">IF($B88="","",N($Q88)+$S88+$T88)</f>
        <v/>
      </c>
      <c r="V88" s="13" t="str">
        <f aca="false">IF(OR($B88="",N($F88)=0),"",(N($F88)*N($G88)-$S88-$T88)/$F88)</f>
        <v/>
      </c>
      <c r="W88" s="14" t="str">
        <f aca="false">IF(OR($B88="",N($F88)*N($G88)=0),"",$U88/($F88*$G88))</f>
        <v/>
      </c>
      <c r="X88" s="14" t="str">
        <f aca="false">IF(OR($W88="",$P88=""),"",$W88*365/MAX($P88,1))</f>
        <v/>
      </c>
      <c r="Y88" s="10" t="str">
        <f aca="false">IF($B88="","",IF(OR($A88="",$E88="",$F88="",$G88="",$I88=""),"Faltan datos obligatorios",IF(COUNTIF($A$2:$A$201,$A88)&gt;1,"ID lote duplicado",IF(AND($I88&lt;&gt;"En cartera",OR($J88="",$K88="")),"Falta fecha o precio de salida",IF(AND($J88&lt;&gt;"",$J88&lt;$E88),"Salida anterior a entrada",IF(AND($I88="En cartera",$M88=""),"OK (sin precio actual)","OK"))))))</f>
        <v/>
      </c>
    </row>
    <row r="89" customFormat="false" ht="15" hidden="false" customHeight="true" outlineLevel="0" collapsed="false">
      <c r="A89" s="7"/>
      <c r="B89" s="7"/>
      <c r="C89" s="7"/>
      <c r="D89" s="5"/>
      <c r="E89" s="6"/>
      <c r="F89" s="5"/>
      <c r="G89" s="8"/>
      <c r="H89" s="9"/>
      <c r="I89" s="7"/>
      <c r="J89" s="6"/>
      <c r="K89" s="8"/>
      <c r="L89" s="9"/>
      <c r="M89" s="8"/>
      <c r="N89" s="7"/>
      <c r="O89" s="12" t="str">
        <f aca="false">IF($B89="","",N($F89)*N($G89)+N($H89))</f>
        <v/>
      </c>
      <c r="P89" s="11" t="str">
        <f aca="true">IF(OR($B89="",$E89=""),"",IF($J89&lt;&gt;"",$J89,TODAY())-$E89)</f>
        <v/>
      </c>
      <c r="Q89" s="12" t="str">
        <f aca="false">IF(OR($B89="",$I89="",$I89="En cartera"),"",($K89-$G89)*$F89-N($H89)-N($L89))</f>
        <v/>
      </c>
      <c r="R89" s="12" t="str">
        <f aca="false">IF(OR($B89="",$I89&lt;&gt;"En cartera",$M89=""),"",($M89-$G89)*$F89-N($H89))</f>
        <v/>
      </c>
      <c r="S89" s="12" t="str">
        <f aca="false">IF($B89="","",SUMIFS(Dividendos!$I$2:$I$301,Dividendos!$C$2:$C$301,$A89))</f>
        <v/>
      </c>
      <c r="T89" s="12" t="str">
        <f aca="false">IF($B89="","",SUMIFS(Operaciones!$AE$2:$AE$1001,Operaciones!$R$2:$R$1001,$A89))</f>
        <v/>
      </c>
      <c r="U89" s="12" t="str">
        <f aca="false">IF($B89="","",N($Q89)+$S89+$T89)</f>
        <v/>
      </c>
      <c r="V89" s="13" t="str">
        <f aca="false">IF(OR($B89="",N($F89)=0),"",(N($F89)*N($G89)-$S89-$T89)/$F89)</f>
        <v/>
      </c>
      <c r="W89" s="14" t="str">
        <f aca="false">IF(OR($B89="",N($F89)*N($G89)=0),"",$U89/($F89*$G89))</f>
        <v/>
      </c>
      <c r="X89" s="14" t="str">
        <f aca="false">IF(OR($W89="",$P89=""),"",$W89*365/MAX($P89,1))</f>
        <v/>
      </c>
      <c r="Y89" s="10" t="str">
        <f aca="false">IF($B89="","",IF(OR($A89="",$E89="",$F89="",$G89="",$I89=""),"Faltan datos obligatorios",IF(COUNTIF($A$2:$A$201,$A89)&gt;1,"ID lote duplicado",IF(AND($I89&lt;&gt;"En cartera",OR($J89="",$K89="")),"Falta fecha o precio de salida",IF(AND($J89&lt;&gt;"",$J89&lt;$E89),"Salida anterior a entrada",IF(AND($I89="En cartera",$M89=""),"OK (sin precio actual)","OK"))))))</f>
        <v/>
      </c>
    </row>
    <row r="90" customFormat="false" ht="15" hidden="false" customHeight="true" outlineLevel="0" collapsed="false">
      <c r="A90" s="7"/>
      <c r="B90" s="7"/>
      <c r="C90" s="7"/>
      <c r="D90" s="5"/>
      <c r="E90" s="6"/>
      <c r="F90" s="5"/>
      <c r="G90" s="8"/>
      <c r="H90" s="9"/>
      <c r="I90" s="7"/>
      <c r="J90" s="6"/>
      <c r="K90" s="8"/>
      <c r="L90" s="9"/>
      <c r="M90" s="8"/>
      <c r="N90" s="7"/>
      <c r="O90" s="12" t="str">
        <f aca="false">IF($B90="","",N($F90)*N($G90)+N($H90))</f>
        <v/>
      </c>
      <c r="P90" s="11" t="str">
        <f aca="true">IF(OR($B90="",$E90=""),"",IF($J90&lt;&gt;"",$J90,TODAY())-$E90)</f>
        <v/>
      </c>
      <c r="Q90" s="12" t="str">
        <f aca="false">IF(OR($B90="",$I90="",$I90="En cartera"),"",($K90-$G90)*$F90-N($H90)-N($L90))</f>
        <v/>
      </c>
      <c r="R90" s="12" t="str">
        <f aca="false">IF(OR($B90="",$I90&lt;&gt;"En cartera",$M90=""),"",($M90-$G90)*$F90-N($H90))</f>
        <v/>
      </c>
      <c r="S90" s="12" t="str">
        <f aca="false">IF($B90="","",SUMIFS(Dividendos!$I$2:$I$301,Dividendos!$C$2:$C$301,$A90))</f>
        <v/>
      </c>
      <c r="T90" s="12" t="str">
        <f aca="false">IF($B90="","",SUMIFS(Operaciones!$AE$2:$AE$1001,Operaciones!$R$2:$R$1001,$A90))</f>
        <v/>
      </c>
      <c r="U90" s="12" t="str">
        <f aca="false">IF($B90="","",N($Q90)+$S90+$T90)</f>
        <v/>
      </c>
      <c r="V90" s="13" t="str">
        <f aca="false">IF(OR($B90="",N($F90)=0),"",(N($F90)*N($G90)-$S90-$T90)/$F90)</f>
        <v/>
      </c>
      <c r="W90" s="14" t="str">
        <f aca="false">IF(OR($B90="",N($F90)*N($G90)=0),"",$U90/($F90*$G90))</f>
        <v/>
      </c>
      <c r="X90" s="14" t="str">
        <f aca="false">IF(OR($W90="",$P90=""),"",$W90*365/MAX($P90,1))</f>
        <v/>
      </c>
      <c r="Y90" s="10" t="str">
        <f aca="false">IF($B90="","",IF(OR($A90="",$E90="",$F90="",$G90="",$I90=""),"Faltan datos obligatorios",IF(COUNTIF($A$2:$A$201,$A90)&gt;1,"ID lote duplicado",IF(AND($I90&lt;&gt;"En cartera",OR($J90="",$K90="")),"Falta fecha o precio de salida",IF(AND($J90&lt;&gt;"",$J90&lt;$E90),"Salida anterior a entrada",IF(AND($I90="En cartera",$M90=""),"OK (sin precio actual)","OK"))))))</f>
        <v/>
      </c>
    </row>
    <row r="91" customFormat="false" ht="15" hidden="false" customHeight="true" outlineLevel="0" collapsed="false">
      <c r="A91" s="7"/>
      <c r="B91" s="7"/>
      <c r="C91" s="7"/>
      <c r="D91" s="5"/>
      <c r="E91" s="6"/>
      <c r="F91" s="5"/>
      <c r="G91" s="8"/>
      <c r="H91" s="9"/>
      <c r="I91" s="7"/>
      <c r="J91" s="6"/>
      <c r="K91" s="8"/>
      <c r="L91" s="9"/>
      <c r="M91" s="8"/>
      <c r="N91" s="7"/>
      <c r="O91" s="12" t="str">
        <f aca="false">IF($B91="","",N($F91)*N($G91)+N($H91))</f>
        <v/>
      </c>
      <c r="P91" s="11" t="str">
        <f aca="true">IF(OR($B91="",$E91=""),"",IF($J91&lt;&gt;"",$J91,TODAY())-$E91)</f>
        <v/>
      </c>
      <c r="Q91" s="12" t="str">
        <f aca="false">IF(OR($B91="",$I91="",$I91="En cartera"),"",($K91-$G91)*$F91-N($H91)-N($L91))</f>
        <v/>
      </c>
      <c r="R91" s="12" t="str">
        <f aca="false">IF(OR($B91="",$I91&lt;&gt;"En cartera",$M91=""),"",($M91-$G91)*$F91-N($H91))</f>
        <v/>
      </c>
      <c r="S91" s="12" t="str">
        <f aca="false">IF($B91="","",SUMIFS(Dividendos!$I$2:$I$301,Dividendos!$C$2:$C$301,$A91))</f>
        <v/>
      </c>
      <c r="T91" s="12" t="str">
        <f aca="false">IF($B91="","",SUMIFS(Operaciones!$AE$2:$AE$1001,Operaciones!$R$2:$R$1001,$A91))</f>
        <v/>
      </c>
      <c r="U91" s="12" t="str">
        <f aca="false">IF($B91="","",N($Q91)+$S91+$T91)</f>
        <v/>
      </c>
      <c r="V91" s="13" t="str">
        <f aca="false">IF(OR($B91="",N($F91)=0),"",(N($F91)*N($G91)-$S91-$T91)/$F91)</f>
        <v/>
      </c>
      <c r="W91" s="14" t="str">
        <f aca="false">IF(OR($B91="",N($F91)*N($G91)=0),"",$U91/($F91*$G91))</f>
        <v/>
      </c>
      <c r="X91" s="14" t="str">
        <f aca="false">IF(OR($W91="",$P91=""),"",$W91*365/MAX($P91,1))</f>
        <v/>
      </c>
      <c r="Y91" s="10" t="str">
        <f aca="false">IF($B91="","",IF(OR($A91="",$E91="",$F91="",$G91="",$I91=""),"Faltan datos obligatorios",IF(COUNTIF($A$2:$A$201,$A91)&gt;1,"ID lote duplicado",IF(AND($I91&lt;&gt;"En cartera",OR($J91="",$K91="")),"Falta fecha o precio de salida",IF(AND($J91&lt;&gt;"",$J91&lt;$E91),"Salida anterior a entrada",IF(AND($I91="En cartera",$M91=""),"OK (sin precio actual)","OK"))))))</f>
        <v/>
      </c>
    </row>
    <row r="92" customFormat="false" ht="15" hidden="false" customHeight="true" outlineLevel="0" collapsed="false">
      <c r="A92" s="7"/>
      <c r="B92" s="7"/>
      <c r="C92" s="7"/>
      <c r="D92" s="5"/>
      <c r="E92" s="6"/>
      <c r="F92" s="5"/>
      <c r="G92" s="8"/>
      <c r="H92" s="9"/>
      <c r="I92" s="7"/>
      <c r="J92" s="6"/>
      <c r="K92" s="8"/>
      <c r="L92" s="9"/>
      <c r="M92" s="8"/>
      <c r="N92" s="7"/>
      <c r="O92" s="12" t="str">
        <f aca="false">IF($B92="","",N($F92)*N($G92)+N($H92))</f>
        <v/>
      </c>
      <c r="P92" s="11" t="str">
        <f aca="true">IF(OR($B92="",$E92=""),"",IF($J92&lt;&gt;"",$J92,TODAY())-$E92)</f>
        <v/>
      </c>
      <c r="Q92" s="12" t="str">
        <f aca="false">IF(OR($B92="",$I92="",$I92="En cartera"),"",($K92-$G92)*$F92-N($H92)-N($L92))</f>
        <v/>
      </c>
      <c r="R92" s="12" t="str">
        <f aca="false">IF(OR($B92="",$I92&lt;&gt;"En cartera",$M92=""),"",($M92-$G92)*$F92-N($H92))</f>
        <v/>
      </c>
      <c r="S92" s="12" t="str">
        <f aca="false">IF($B92="","",SUMIFS(Dividendos!$I$2:$I$301,Dividendos!$C$2:$C$301,$A92))</f>
        <v/>
      </c>
      <c r="T92" s="12" t="str">
        <f aca="false">IF($B92="","",SUMIFS(Operaciones!$AE$2:$AE$1001,Operaciones!$R$2:$R$1001,$A92))</f>
        <v/>
      </c>
      <c r="U92" s="12" t="str">
        <f aca="false">IF($B92="","",N($Q92)+$S92+$T92)</f>
        <v/>
      </c>
      <c r="V92" s="13" t="str">
        <f aca="false">IF(OR($B92="",N($F92)=0),"",(N($F92)*N($G92)-$S92-$T92)/$F92)</f>
        <v/>
      </c>
      <c r="W92" s="14" t="str">
        <f aca="false">IF(OR($B92="",N($F92)*N($G92)=0),"",$U92/($F92*$G92))</f>
        <v/>
      </c>
      <c r="X92" s="14" t="str">
        <f aca="false">IF(OR($W92="",$P92=""),"",$W92*365/MAX($P92,1))</f>
        <v/>
      </c>
      <c r="Y92" s="10" t="str">
        <f aca="false">IF($B92="","",IF(OR($A92="",$E92="",$F92="",$G92="",$I92=""),"Faltan datos obligatorios",IF(COUNTIF($A$2:$A$201,$A92)&gt;1,"ID lote duplicado",IF(AND($I92&lt;&gt;"En cartera",OR($J92="",$K92="")),"Falta fecha o precio de salida",IF(AND($J92&lt;&gt;"",$J92&lt;$E92),"Salida anterior a entrada",IF(AND($I92="En cartera",$M92=""),"OK (sin precio actual)","OK"))))))</f>
        <v/>
      </c>
    </row>
    <row r="93" customFormat="false" ht="15" hidden="false" customHeight="true" outlineLevel="0" collapsed="false">
      <c r="A93" s="7"/>
      <c r="B93" s="7"/>
      <c r="C93" s="7"/>
      <c r="D93" s="5"/>
      <c r="E93" s="6"/>
      <c r="F93" s="5"/>
      <c r="G93" s="8"/>
      <c r="H93" s="9"/>
      <c r="I93" s="7"/>
      <c r="J93" s="6"/>
      <c r="K93" s="8"/>
      <c r="L93" s="9"/>
      <c r="M93" s="8"/>
      <c r="N93" s="7"/>
      <c r="O93" s="12" t="str">
        <f aca="false">IF($B93="","",N($F93)*N($G93)+N($H93))</f>
        <v/>
      </c>
      <c r="P93" s="11" t="str">
        <f aca="true">IF(OR($B93="",$E93=""),"",IF($J93&lt;&gt;"",$J93,TODAY())-$E93)</f>
        <v/>
      </c>
      <c r="Q93" s="12" t="str">
        <f aca="false">IF(OR($B93="",$I93="",$I93="En cartera"),"",($K93-$G93)*$F93-N($H93)-N($L93))</f>
        <v/>
      </c>
      <c r="R93" s="12" t="str">
        <f aca="false">IF(OR($B93="",$I93&lt;&gt;"En cartera",$M93=""),"",($M93-$G93)*$F93-N($H93))</f>
        <v/>
      </c>
      <c r="S93" s="12" t="str">
        <f aca="false">IF($B93="","",SUMIFS(Dividendos!$I$2:$I$301,Dividendos!$C$2:$C$301,$A93))</f>
        <v/>
      </c>
      <c r="T93" s="12" t="str">
        <f aca="false">IF($B93="","",SUMIFS(Operaciones!$AE$2:$AE$1001,Operaciones!$R$2:$R$1001,$A93))</f>
        <v/>
      </c>
      <c r="U93" s="12" t="str">
        <f aca="false">IF($B93="","",N($Q93)+$S93+$T93)</f>
        <v/>
      </c>
      <c r="V93" s="13" t="str">
        <f aca="false">IF(OR($B93="",N($F93)=0),"",(N($F93)*N($G93)-$S93-$T93)/$F93)</f>
        <v/>
      </c>
      <c r="W93" s="14" t="str">
        <f aca="false">IF(OR($B93="",N($F93)*N($G93)=0),"",$U93/($F93*$G93))</f>
        <v/>
      </c>
      <c r="X93" s="14" t="str">
        <f aca="false">IF(OR($W93="",$P93=""),"",$W93*365/MAX($P93,1))</f>
        <v/>
      </c>
      <c r="Y93" s="10" t="str">
        <f aca="false">IF($B93="","",IF(OR($A93="",$E93="",$F93="",$G93="",$I93=""),"Faltan datos obligatorios",IF(COUNTIF($A$2:$A$201,$A93)&gt;1,"ID lote duplicado",IF(AND($I93&lt;&gt;"En cartera",OR($J93="",$K93="")),"Falta fecha o precio de salida",IF(AND($J93&lt;&gt;"",$J93&lt;$E93),"Salida anterior a entrada",IF(AND($I93="En cartera",$M93=""),"OK (sin precio actual)","OK"))))))</f>
        <v/>
      </c>
    </row>
    <row r="94" customFormat="false" ht="15" hidden="false" customHeight="true" outlineLevel="0" collapsed="false">
      <c r="A94" s="7"/>
      <c r="B94" s="7"/>
      <c r="C94" s="7"/>
      <c r="D94" s="5"/>
      <c r="E94" s="6"/>
      <c r="F94" s="5"/>
      <c r="G94" s="8"/>
      <c r="H94" s="9"/>
      <c r="I94" s="7"/>
      <c r="J94" s="6"/>
      <c r="K94" s="8"/>
      <c r="L94" s="9"/>
      <c r="M94" s="8"/>
      <c r="N94" s="7"/>
      <c r="O94" s="12" t="str">
        <f aca="false">IF($B94="","",N($F94)*N($G94)+N($H94))</f>
        <v/>
      </c>
      <c r="P94" s="11" t="str">
        <f aca="true">IF(OR($B94="",$E94=""),"",IF($J94&lt;&gt;"",$J94,TODAY())-$E94)</f>
        <v/>
      </c>
      <c r="Q94" s="12" t="str">
        <f aca="false">IF(OR($B94="",$I94="",$I94="En cartera"),"",($K94-$G94)*$F94-N($H94)-N($L94))</f>
        <v/>
      </c>
      <c r="R94" s="12" t="str">
        <f aca="false">IF(OR($B94="",$I94&lt;&gt;"En cartera",$M94=""),"",($M94-$G94)*$F94-N($H94))</f>
        <v/>
      </c>
      <c r="S94" s="12" t="str">
        <f aca="false">IF($B94="","",SUMIFS(Dividendos!$I$2:$I$301,Dividendos!$C$2:$C$301,$A94))</f>
        <v/>
      </c>
      <c r="T94" s="12" t="str">
        <f aca="false">IF($B94="","",SUMIFS(Operaciones!$AE$2:$AE$1001,Operaciones!$R$2:$R$1001,$A94))</f>
        <v/>
      </c>
      <c r="U94" s="12" t="str">
        <f aca="false">IF($B94="","",N($Q94)+$S94+$T94)</f>
        <v/>
      </c>
      <c r="V94" s="13" t="str">
        <f aca="false">IF(OR($B94="",N($F94)=0),"",(N($F94)*N($G94)-$S94-$T94)/$F94)</f>
        <v/>
      </c>
      <c r="W94" s="14" t="str">
        <f aca="false">IF(OR($B94="",N($F94)*N($G94)=0),"",$U94/($F94*$G94))</f>
        <v/>
      </c>
      <c r="X94" s="14" t="str">
        <f aca="false">IF(OR($W94="",$P94=""),"",$W94*365/MAX($P94,1))</f>
        <v/>
      </c>
      <c r="Y94" s="10" t="str">
        <f aca="false">IF($B94="","",IF(OR($A94="",$E94="",$F94="",$G94="",$I94=""),"Faltan datos obligatorios",IF(COUNTIF($A$2:$A$201,$A94)&gt;1,"ID lote duplicado",IF(AND($I94&lt;&gt;"En cartera",OR($J94="",$K94="")),"Falta fecha o precio de salida",IF(AND($J94&lt;&gt;"",$J94&lt;$E94),"Salida anterior a entrada",IF(AND($I94="En cartera",$M94=""),"OK (sin precio actual)","OK"))))))</f>
        <v/>
      </c>
    </row>
    <row r="95" customFormat="false" ht="15" hidden="false" customHeight="true" outlineLevel="0" collapsed="false">
      <c r="A95" s="7"/>
      <c r="B95" s="7"/>
      <c r="C95" s="7"/>
      <c r="D95" s="5"/>
      <c r="E95" s="6"/>
      <c r="F95" s="5"/>
      <c r="G95" s="8"/>
      <c r="H95" s="9"/>
      <c r="I95" s="7"/>
      <c r="J95" s="6"/>
      <c r="K95" s="8"/>
      <c r="L95" s="9"/>
      <c r="M95" s="8"/>
      <c r="N95" s="7"/>
      <c r="O95" s="12" t="str">
        <f aca="false">IF($B95="","",N($F95)*N($G95)+N($H95))</f>
        <v/>
      </c>
      <c r="P95" s="11" t="str">
        <f aca="true">IF(OR($B95="",$E95=""),"",IF($J95&lt;&gt;"",$J95,TODAY())-$E95)</f>
        <v/>
      </c>
      <c r="Q95" s="12" t="str">
        <f aca="false">IF(OR($B95="",$I95="",$I95="En cartera"),"",($K95-$G95)*$F95-N($H95)-N($L95))</f>
        <v/>
      </c>
      <c r="R95" s="12" t="str">
        <f aca="false">IF(OR($B95="",$I95&lt;&gt;"En cartera",$M95=""),"",($M95-$G95)*$F95-N($H95))</f>
        <v/>
      </c>
      <c r="S95" s="12" t="str">
        <f aca="false">IF($B95="","",SUMIFS(Dividendos!$I$2:$I$301,Dividendos!$C$2:$C$301,$A95))</f>
        <v/>
      </c>
      <c r="T95" s="12" t="str">
        <f aca="false">IF($B95="","",SUMIFS(Operaciones!$AE$2:$AE$1001,Operaciones!$R$2:$R$1001,$A95))</f>
        <v/>
      </c>
      <c r="U95" s="12" t="str">
        <f aca="false">IF($B95="","",N($Q95)+$S95+$T95)</f>
        <v/>
      </c>
      <c r="V95" s="13" t="str">
        <f aca="false">IF(OR($B95="",N($F95)=0),"",(N($F95)*N($G95)-$S95-$T95)/$F95)</f>
        <v/>
      </c>
      <c r="W95" s="14" t="str">
        <f aca="false">IF(OR($B95="",N($F95)*N($G95)=0),"",$U95/($F95*$G95))</f>
        <v/>
      </c>
      <c r="X95" s="14" t="str">
        <f aca="false">IF(OR($W95="",$P95=""),"",$W95*365/MAX($P95,1))</f>
        <v/>
      </c>
      <c r="Y95" s="10" t="str">
        <f aca="false">IF($B95="","",IF(OR($A95="",$E95="",$F95="",$G95="",$I95=""),"Faltan datos obligatorios",IF(COUNTIF($A$2:$A$201,$A95)&gt;1,"ID lote duplicado",IF(AND($I95&lt;&gt;"En cartera",OR($J95="",$K95="")),"Falta fecha o precio de salida",IF(AND($J95&lt;&gt;"",$J95&lt;$E95),"Salida anterior a entrada",IF(AND($I95="En cartera",$M95=""),"OK (sin precio actual)","OK"))))))</f>
        <v/>
      </c>
    </row>
    <row r="96" customFormat="false" ht="15" hidden="false" customHeight="true" outlineLevel="0" collapsed="false">
      <c r="A96" s="7"/>
      <c r="B96" s="7"/>
      <c r="C96" s="7"/>
      <c r="D96" s="5"/>
      <c r="E96" s="6"/>
      <c r="F96" s="5"/>
      <c r="G96" s="8"/>
      <c r="H96" s="9"/>
      <c r="I96" s="7"/>
      <c r="J96" s="6"/>
      <c r="K96" s="8"/>
      <c r="L96" s="9"/>
      <c r="M96" s="8"/>
      <c r="N96" s="7"/>
      <c r="O96" s="12" t="str">
        <f aca="false">IF($B96="","",N($F96)*N($G96)+N($H96))</f>
        <v/>
      </c>
      <c r="P96" s="11" t="str">
        <f aca="true">IF(OR($B96="",$E96=""),"",IF($J96&lt;&gt;"",$J96,TODAY())-$E96)</f>
        <v/>
      </c>
      <c r="Q96" s="12" t="str">
        <f aca="false">IF(OR($B96="",$I96="",$I96="En cartera"),"",($K96-$G96)*$F96-N($H96)-N($L96))</f>
        <v/>
      </c>
      <c r="R96" s="12" t="str">
        <f aca="false">IF(OR($B96="",$I96&lt;&gt;"En cartera",$M96=""),"",($M96-$G96)*$F96-N($H96))</f>
        <v/>
      </c>
      <c r="S96" s="12" t="str">
        <f aca="false">IF($B96="","",SUMIFS(Dividendos!$I$2:$I$301,Dividendos!$C$2:$C$301,$A96))</f>
        <v/>
      </c>
      <c r="T96" s="12" t="str">
        <f aca="false">IF($B96="","",SUMIFS(Operaciones!$AE$2:$AE$1001,Operaciones!$R$2:$R$1001,$A96))</f>
        <v/>
      </c>
      <c r="U96" s="12" t="str">
        <f aca="false">IF($B96="","",N($Q96)+$S96+$T96)</f>
        <v/>
      </c>
      <c r="V96" s="13" t="str">
        <f aca="false">IF(OR($B96="",N($F96)=0),"",(N($F96)*N($G96)-$S96-$T96)/$F96)</f>
        <v/>
      </c>
      <c r="W96" s="14" t="str">
        <f aca="false">IF(OR($B96="",N($F96)*N($G96)=0),"",$U96/($F96*$G96))</f>
        <v/>
      </c>
      <c r="X96" s="14" t="str">
        <f aca="false">IF(OR($W96="",$P96=""),"",$W96*365/MAX($P96,1))</f>
        <v/>
      </c>
      <c r="Y96" s="10" t="str">
        <f aca="false">IF($B96="","",IF(OR($A96="",$E96="",$F96="",$G96="",$I96=""),"Faltan datos obligatorios",IF(COUNTIF($A$2:$A$201,$A96)&gt;1,"ID lote duplicado",IF(AND($I96&lt;&gt;"En cartera",OR($J96="",$K96="")),"Falta fecha o precio de salida",IF(AND($J96&lt;&gt;"",$J96&lt;$E96),"Salida anterior a entrada",IF(AND($I96="En cartera",$M96=""),"OK (sin precio actual)","OK"))))))</f>
        <v/>
      </c>
    </row>
    <row r="97" customFormat="false" ht="15" hidden="false" customHeight="true" outlineLevel="0" collapsed="false">
      <c r="A97" s="7"/>
      <c r="B97" s="7"/>
      <c r="C97" s="7"/>
      <c r="D97" s="5"/>
      <c r="E97" s="6"/>
      <c r="F97" s="5"/>
      <c r="G97" s="8"/>
      <c r="H97" s="9"/>
      <c r="I97" s="7"/>
      <c r="J97" s="6"/>
      <c r="K97" s="8"/>
      <c r="L97" s="9"/>
      <c r="M97" s="8"/>
      <c r="N97" s="7"/>
      <c r="O97" s="12" t="str">
        <f aca="false">IF($B97="","",N($F97)*N($G97)+N($H97))</f>
        <v/>
      </c>
      <c r="P97" s="11" t="str">
        <f aca="true">IF(OR($B97="",$E97=""),"",IF($J97&lt;&gt;"",$J97,TODAY())-$E97)</f>
        <v/>
      </c>
      <c r="Q97" s="12" t="str">
        <f aca="false">IF(OR($B97="",$I97="",$I97="En cartera"),"",($K97-$G97)*$F97-N($H97)-N($L97))</f>
        <v/>
      </c>
      <c r="R97" s="12" t="str">
        <f aca="false">IF(OR($B97="",$I97&lt;&gt;"En cartera",$M97=""),"",($M97-$G97)*$F97-N($H97))</f>
        <v/>
      </c>
      <c r="S97" s="12" t="str">
        <f aca="false">IF($B97="","",SUMIFS(Dividendos!$I$2:$I$301,Dividendos!$C$2:$C$301,$A97))</f>
        <v/>
      </c>
      <c r="T97" s="12" t="str">
        <f aca="false">IF($B97="","",SUMIFS(Operaciones!$AE$2:$AE$1001,Operaciones!$R$2:$R$1001,$A97))</f>
        <v/>
      </c>
      <c r="U97" s="12" t="str">
        <f aca="false">IF($B97="","",N($Q97)+$S97+$T97)</f>
        <v/>
      </c>
      <c r="V97" s="13" t="str">
        <f aca="false">IF(OR($B97="",N($F97)=0),"",(N($F97)*N($G97)-$S97-$T97)/$F97)</f>
        <v/>
      </c>
      <c r="W97" s="14" t="str">
        <f aca="false">IF(OR($B97="",N($F97)*N($G97)=0),"",$U97/($F97*$G97))</f>
        <v/>
      </c>
      <c r="X97" s="14" t="str">
        <f aca="false">IF(OR($W97="",$P97=""),"",$W97*365/MAX($P97,1))</f>
        <v/>
      </c>
      <c r="Y97" s="10" t="str">
        <f aca="false">IF($B97="","",IF(OR($A97="",$E97="",$F97="",$G97="",$I97=""),"Faltan datos obligatorios",IF(COUNTIF($A$2:$A$201,$A97)&gt;1,"ID lote duplicado",IF(AND($I97&lt;&gt;"En cartera",OR($J97="",$K97="")),"Falta fecha o precio de salida",IF(AND($J97&lt;&gt;"",$J97&lt;$E97),"Salida anterior a entrada",IF(AND($I97="En cartera",$M97=""),"OK (sin precio actual)","OK"))))))</f>
        <v/>
      </c>
    </row>
    <row r="98" customFormat="false" ht="15" hidden="false" customHeight="true" outlineLevel="0" collapsed="false">
      <c r="A98" s="7"/>
      <c r="B98" s="7"/>
      <c r="C98" s="7"/>
      <c r="D98" s="5"/>
      <c r="E98" s="6"/>
      <c r="F98" s="5"/>
      <c r="G98" s="8"/>
      <c r="H98" s="9"/>
      <c r="I98" s="7"/>
      <c r="J98" s="6"/>
      <c r="K98" s="8"/>
      <c r="L98" s="9"/>
      <c r="M98" s="8"/>
      <c r="N98" s="7"/>
      <c r="O98" s="12" t="str">
        <f aca="false">IF($B98="","",N($F98)*N($G98)+N($H98))</f>
        <v/>
      </c>
      <c r="P98" s="11" t="str">
        <f aca="true">IF(OR($B98="",$E98=""),"",IF($J98&lt;&gt;"",$J98,TODAY())-$E98)</f>
        <v/>
      </c>
      <c r="Q98" s="12" t="str">
        <f aca="false">IF(OR($B98="",$I98="",$I98="En cartera"),"",($K98-$G98)*$F98-N($H98)-N($L98))</f>
        <v/>
      </c>
      <c r="R98" s="12" t="str">
        <f aca="false">IF(OR($B98="",$I98&lt;&gt;"En cartera",$M98=""),"",($M98-$G98)*$F98-N($H98))</f>
        <v/>
      </c>
      <c r="S98" s="12" t="str">
        <f aca="false">IF($B98="","",SUMIFS(Dividendos!$I$2:$I$301,Dividendos!$C$2:$C$301,$A98))</f>
        <v/>
      </c>
      <c r="T98" s="12" t="str">
        <f aca="false">IF($B98="","",SUMIFS(Operaciones!$AE$2:$AE$1001,Operaciones!$R$2:$R$1001,$A98))</f>
        <v/>
      </c>
      <c r="U98" s="12" t="str">
        <f aca="false">IF($B98="","",N($Q98)+$S98+$T98)</f>
        <v/>
      </c>
      <c r="V98" s="13" t="str">
        <f aca="false">IF(OR($B98="",N($F98)=0),"",(N($F98)*N($G98)-$S98-$T98)/$F98)</f>
        <v/>
      </c>
      <c r="W98" s="14" t="str">
        <f aca="false">IF(OR($B98="",N($F98)*N($G98)=0),"",$U98/($F98*$G98))</f>
        <v/>
      </c>
      <c r="X98" s="14" t="str">
        <f aca="false">IF(OR($W98="",$P98=""),"",$W98*365/MAX($P98,1))</f>
        <v/>
      </c>
      <c r="Y98" s="10" t="str">
        <f aca="false">IF($B98="","",IF(OR($A98="",$E98="",$F98="",$G98="",$I98=""),"Faltan datos obligatorios",IF(COUNTIF($A$2:$A$201,$A98)&gt;1,"ID lote duplicado",IF(AND($I98&lt;&gt;"En cartera",OR($J98="",$K98="")),"Falta fecha o precio de salida",IF(AND($J98&lt;&gt;"",$J98&lt;$E98),"Salida anterior a entrada",IF(AND($I98="En cartera",$M98=""),"OK (sin precio actual)","OK"))))))</f>
        <v/>
      </c>
    </row>
    <row r="99" customFormat="false" ht="15" hidden="false" customHeight="true" outlineLevel="0" collapsed="false">
      <c r="A99" s="7"/>
      <c r="B99" s="7"/>
      <c r="C99" s="7"/>
      <c r="D99" s="5"/>
      <c r="E99" s="6"/>
      <c r="F99" s="5"/>
      <c r="G99" s="8"/>
      <c r="H99" s="9"/>
      <c r="I99" s="7"/>
      <c r="J99" s="6"/>
      <c r="K99" s="8"/>
      <c r="L99" s="9"/>
      <c r="M99" s="8"/>
      <c r="N99" s="7"/>
      <c r="O99" s="12" t="str">
        <f aca="false">IF($B99="","",N($F99)*N($G99)+N($H99))</f>
        <v/>
      </c>
      <c r="P99" s="11" t="str">
        <f aca="true">IF(OR($B99="",$E99=""),"",IF($J99&lt;&gt;"",$J99,TODAY())-$E99)</f>
        <v/>
      </c>
      <c r="Q99" s="12" t="str">
        <f aca="false">IF(OR($B99="",$I99="",$I99="En cartera"),"",($K99-$G99)*$F99-N($H99)-N($L99))</f>
        <v/>
      </c>
      <c r="R99" s="12" t="str">
        <f aca="false">IF(OR($B99="",$I99&lt;&gt;"En cartera",$M99=""),"",($M99-$G99)*$F99-N($H99))</f>
        <v/>
      </c>
      <c r="S99" s="12" t="str">
        <f aca="false">IF($B99="","",SUMIFS(Dividendos!$I$2:$I$301,Dividendos!$C$2:$C$301,$A99))</f>
        <v/>
      </c>
      <c r="T99" s="12" t="str">
        <f aca="false">IF($B99="","",SUMIFS(Operaciones!$AE$2:$AE$1001,Operaciones!$R$2:$R$1001,$A99))</f>
        <v/>
      </c>
      <c r="U99" s="12" t="str">
        <f aca="false">IF($B99="","",N($Q99)+$S99+$T99)</f>
        <v/>
      </c>
      <c r="V99" s="13" t="str">
        <f aca="false">IF(OR($B99="",N($F99)=0),"",(N($F99)*N($G99)-$S99-$T99)/$F99)</f>
        <v/>
      </c>
      <c r="W99" s="14" t="str">
        <f aca="false">IF(OR($B99="",N($F99)*N($G99)=0),"",$U99/($F99*$G99))</f>
        <v/>
      </c>
      <c r="X99" s="14" t="str">
        <f aca="false">IF(OR($W99="",$P99=""),"",$W99*365/MAX($P99,1))</f>
        <v/>
      </c>
      <c r="Y99" s="10" t="str">
        <f aca="false">IF($B99="","",IF(OR($A99="",$E99="",$F99="",$G99="",$I99=""),"Faltan datos obligatorios",IF(COUNTIF($A$2:$A$201,$A99)&gt;1,"ID lote duplicado",IF(AND($I99&lt;&gt;"En cartera",OR($J99="",$K99="")),"Falta fecha o precio de salida",IF(AND($J99&lt;&gt;"",$J99&lt;$E99),"Salida anterior a entrada",IF(AND($I99="En cartera",$M99=""),"OK (sin precio actual)","OK"))))))</f>
        <v/>
      </c>
    </row>
    <row r="100" customFormat="false" ht="15" hidden="false" customHeight="true" outlineLevel="0" collapsed="false">
      <c r="A100" s="7"/>
      <c r="B100" s="7"/>
      <c r="C100" s="7"/>
      <c r="D100" s="5"/>
      <c r="E100" s="6"/>
      <c r="F100" s="5"/>
      <c r="G100" s="8"/>
      <c r="H100" s="9"/>
      <c r="I100" s="7"/>
      <c r="J100" s="6"/>
      <c r="K100" s="8"/>
      <c r="L100" s="9"/>
      <c r="M100" s="8"/>
      <c r="N100" s="7"/>
      <c r="O100" s="12" t="str">
        <f aca="false">IF($B100="","",N($F100)*N($G100)+N($H100))</f>
        <v/>
      </c>
      <c r="P100" s="11" t="str">
        <f aca="true">IF(OR($B100="",$E100=""),"",IF($J100&lt;&gt;"",$J100,TODAY())-$E100)</f>
        <v/>
      </c>
      <c r="Q100" s="12" t="str">
        <f aca="false">IF(OR($B100="",$I100="",$I100="En cartera"),"",($K100-$G100)*$F100-N($H100)-N($L100))</f>
        <v/>
      </c>
      <c r="R100" s="12" t="str">
        <f aca="false">IF(OR($B100="",$I100&lt;&gt;"En cartera",$M100=""),"",($M100-$G100)*$F100-N($H100))</f>
        <v/>
      </c>
      <c r="S100" s="12" t="str">
        <f aca="false">IF($B100="","",SUMIFS(Dividendos!$I$2:$I$301,Dividendos!$C$2:$C$301,$A100))</f>
        <v/>
      </c>
      <c r="T100" s="12" t="str">
        <f aca="false">IF($B100="","",SUMIFS(Operaciones!$AE$2:$AE$1001,Operaciones!$R$2:$R$1001,$A100))</f>
        <v/>
      </c>
      <c r="U100" s="12" t="str">
        <f aca="false">IF($B100="","",N($Q100)+$S100+$T100)</f>
        <v/>
      </c>
      <c r="V100" s="13" t="str">
        <f aca="false">IF(OR($B100="",N($F100)=0),"",(N($F100)*N($G100)-$S100-$T100)/$F100)</f>
        <v/>
      </c>
      <c r="W100" s="14" t="str">
        <f aca="false">IF(OR($B100="",N($F100)*N($G100)=0),"",$U100/($F100*$G100))</f>
        <v/>
      </c>
      <c r="X100" s="14" t="str">
        <f aca="false">IF(OR($W100="",$P100=""),"",$W100*365/MAX($P100,1))</f>
        <v/>
      </c>
      <c r="Y100" s="10" t="str">
        <f aca="false">IF($B100="","",IF(OR($A100="",$E100="",$F100="",$G100="",$I100=""),"Faltan datos obligatorios",IF(COUNTIF($A$2:$A$201,$A100)&gt;1,"ID lote duplicado",IF(AND($I100&lt;&gt;"En cartera",OR($J100="",$K100="")),"Falta fecha o precio de salida",IF(AND($J100&lt;&gt;"",$J100&lt;$E100),"Salida anterior a entrada",IF(AND($I100="En cartera",$M100=""),"OK (sin precio actual)","OK"))))))</f>
        <v/>
      </c>
    </row>
    <row r="101" customFormat="false" ht="15" hidden="false" customHeight="true" outlineLevel="0" collapsed="false">
      <c r="A101" s="7"/>
      <c r="B101" s="7"/>
      <c r="C101" s="7"/>
      <c r="D101" s="5"/>
      <c r="E101" s="6"/>
      <c r="F101" s="5"/>
      <c r="G101" s="8"/>
      <c r="H101" s="9"/>
      <c r="I101" s="7"/>
      <c r="J101" s="6"/>
      <c r="K101" s="8"/>
      <c r="L101" s="9"/>
      <c r="M101" s="8"/>
      <c r="N101" s="7"/>
      <c r="O101" s="12" t="str">
        <f aca="false">IF($B101="","",N($F101)*N($G101)+N($H101))</f>
        <v/>
      </c>
      <c r="P101" s="11" t="str">
        <f aca="true">IF(OR($B101="",$E101=""),"",IF($J101&lt;&gt;"",$J101,TODAY())-$E101)</f>
        <v/>
      </c>
      <c r="Q101" s="12" t="str">
        <f aca="false">IF(OR($B101="",$I101="",$I101="En cartera"),"",($K101-$G101)*$F101-N($H101)-N($L101))</f>
        <v/>
      </c>
      <c r="R101" s="12" t="str">
        <f aca="false">IF(OR($B101="",$I101&lt;&gt;"En cartera",$M101=""),"",($M101-$G101)*$F101-N($H101))</f>
        <v/>
      </c>
      <c r="S101" s="12" t="str">
        <f aca="false">IF($B101="","",SUMIFS(Dividendos!$I$2:$I$301,Dividendos!$C$2:$C$301,$A101))</f>
        <v/>
      </c>
      <c r="T101" s="12" t="str">
        <f aca="false">IF($B101="","",SUMIFS(Operaciones!$AE$2:$AE$1001,Operaciones!$R$2:$R$1001,$A101))</f>
        <v/>
      </c>
      <c r="U101" s="12" t="str">
        <f aca="false">IF($B101="","",N($Q101)+$S101+$T101)</f>
        <v/>
      </c>
      <c r="V101" s="13" t="str">
        <f aca="false">IF(OR($B101="",N($F101)=0),"",(N($F101)*N($G101)-$S101-$T101)/$F101)</f>
        <v/>
      </c>
      <c r="W101" s="14" t="str">
        <f aca="false">IF(OR($B101="",N($F101)*N($G101)=0),"",$U101/($F101*$G101))</f>
        <v/>
      </c>
      <c r="X101" s="14" t="str">
        <f aca="false">IF(OR($W101="",$P101=""),"",$W101*365/MAX($P101,1))</f>
        <v/>
      </c>
      <c r="Y101" s="10" t="str">
        <f aca="false">IF($B101="","",IF(OR($A101="",$E101="",$F101="",$G101="",$I101=""),"Faltan datos obligatorios",IF(COUNTIF($A$2:$A$201,$A101)&gt;1,"ID lote duplicado",IF(AND($I101&lt;&gt;"En cartera",OR($J101="",$K101="")),"Falta fecha o precio de salida",IF(AND($J101&lt;&gt;"",$J101&lt;$E101),"Salida anterior a entrada",IF(AND($I101="En cartera",$M101=""),"OK (sin precio actual)","OK"))))))</f>
        <v/>
      </c>
    </row>
    <row r="102" customFormat="false" ht="15" hidden="false" customHeight="true" outlineLevel="0" collapsed="false">
      <c r="A102" s="7"/>
      <c r="B102" s="7"/>
      <c r="C102" s="7"/>
      <c r="D102" s="5"/>
      <c r="E102" s="6"/>
      <c r="F102" s="5"/>
      <c r="G102" s="8"/>
      <c r="H102" s="9"/>
      <c r="I102" s="7"/>
      <c r="J102" s="6"/>
      <c r="K102" s="8"/>
      <c r="L102" s="9"/>
      <c r="M102" s="8"/>
      <c r="N102" s="7"/>
      <c r="O102" s="12" t="str">
        <f aca="false">IF($B102="","",N($F102)*N($G102)+N($H102))</f>
        <v/>
      </c>
      <c r="P102" s="11" t="str">
        <f aca="true">IF(OR($B102="",$E102=""),"",IF($J102&lt;&gt;"",$J102,TODAY())-$E102)</f>
        <v/>
      </c>
      <c r="Q102" s="12" t="str">
        <f aca="false">IF(OR($B102="",$I102="",$I102="En cartera"),"",($K102-$G102)*$F102-N($H102)-N($L102))</f>
        <v/>
      </c>
      <c r="R102" s="12" t="str">
        <f aca="false">IF(OR($B102="",$I102&lt;&gt;"En cartera",$M102=""),"",($M102-$G102)*$F102-N($H102))</f>
        <v/>
      </c>
      <c r="S102" s="12" t="str">
        <f aca="false">IF($B102="","",SUMIFS(Dividendos!$I$2:$I$301,Dividendos!$C$2:$C$301,$A102))</f>
        <v/>
      </c>
      <c r="T102" s="12" t="str">
        <f aca="false">IF($B102="","",SUMIFS(Operaciones!$AE$2:$AE$1001,Operaciones!$R$2:$R$1001,$A102))</f>
        <v/>
      </c>
      <c r="U102" s="12" t="str">
        <f aca="false">IF($B102="","",N($Q102)+$S102+$T102)</f>
        <v/>
      </c>
      <c r="V102" s="13" t="str">
        <f aca="false">IF(OR($B102="",N($F102)=0),"",(N($F102)*N($G102)-$S102-$T102)/$F102)</f>
        <v/>
      </c>
      <c r="W102" s="14" t="str">
        <f aca="false">IF(OR($B102="",N($F102)*N($G102)=0),"",$U102/($F102*$G102))</f>
        <v/>
      </c>
      <c r="X102" s="14" t="str">
        <f aca="false">IF(OR($W102="",$P102=""),"",$W102*365/MAX($P102,1))</f>
        <v/>
      </c>
      <c r="Y102" s="10" t="str">
        <f aca="false">IF($B102="","",IF(OR($A102="",$E102="",$F102="",$G102="",$I102=""),"Faltan datos obligatorios",IF(COUNTIF($A$2:$A$201,$A102)&gt;1,"ID lote duplicado",IF(AND($I102&lt;&gt;"En cartera",OR($J102="",$K102="")),"Falta fecha o precio de salida",IF(AND($J102&lt;&gt;"",$J102&lt;$E102),"Salida anterior a entrada",IF(AND($I102="En cartera",$M102=""),"OK (sin precio actual)","OK"))))))</f>
        <v/>
      </c>
    </row>
    <row r="103" customFormat="false" ht="15" hidden="false" customHeight="true" outlineLevel="0" collapsed="false">
      <c r="A103" s="7"/>
      <c r="B103" s="7"/>
      <c r="C103" s="7"/>
      <c r="D103" s="5"/>
      <c r="E103" s="6"/>
      <c r="F103" s="5"/>
      <c r="G103" s="8"/>
      <c r="H103" s="9"/>
      <c r="I103" s="7"/>
      <c r="J103" s="6"/>
      <c r="K103" s="8"/>
      <c r="L103" s="9"/>
      <c r="M103" s="8"/>
      <c r="N103" s="7"/>
      <c r="O103" s="12" t="str">
        <f aca="false">IF($B103="","",N($F103)*N($G103)+N($H103))</f>
        <v/>
      </c>
      <c r="P103" s="11" t="str">
        <f aca="true">IF(OR($B103="",$E103=""),"",IF($J103&lt;&gt;"",$J103,TODAY())-$E103)</f>
        <v/>
      </c>
      <c r="Q103" s="12" t="str">
        <f aca="false">IF(OR($B103="",$I103="",$I103="En cartera"),"",($K103-$G103)*$F103-N($H103)-N($L103))</f>
        <v/>
      </c>
      <c r="R103" s="12" t="str">
        <f aca="false">IF(OR($B103="",$I103&lt;&gt;"En cartera",$M103=""),"",($M103-$G103)*$F103-N($H103))</f>
        <v/>
      </c>
      <c r="S103" s="12" t="str">
        <f aca="false">IF($B103="","",SUMIFS(Dividendos!$I$2:$I$301,Dividendos!$C$2:$C$301,$A103))</f>
        <v/>
      </c>
      <c r="T103" s="12" t="str">
        <f aca="false">IF($B103="","",SUMIFS(Operaciones!$AE$2:$AE$1001,Operaciones!$R$2:$R$1001,$A103))</f>
        <v/>
      </c>
      <c r="U103" s="12" t="str">
        <f aca="false">IF($B103="","",N($Q103)+$S103+$T103)</f>
        <v/>
      </c>
      <c r="V103" s="13" t="str">
        <f aca="false">IF(OR($B103="",N($F103)=0),"",(N($F103)*N($G103)-$S103-$T103)/$F103)</f>
        <v/>
      </c>
      <c r="W103" s="14" t="str">
        <f aca="false">IF(OR($B103="",N($F103)*N($G103)=0),"",$U103/($F103*$G103))</f>
        <v/>
      </c>
      <c r="X103" s="14" t="str">
        <f aca="false">IF(OR($W103="",$P103=""),"",$W103*365/MAX($P103,1))</f>
        <v/>
      </c>
      <c r="Y103" s="10" t="str">
        <f aca="false">IF($B103="","",IF(OR($A103="",$E103="",$F103="",$G103="",$I103=""),"Faltan datos obligatorios",IF(COUNTIF($A$2:$A$201,$A103)&gt;1,"ID lote duplicado",IF(AND($I103&lt;&gt;"En cartera",OR($J103="",$K103="")),"Falta fecha o precio de salida",IF(AND($J103&lt;&gt;"",$J103&lt;$E103),"Salida anterior a entrada",IF(AND($I103="En cartera",$M103=""),"OK (sin precio actual)","OK"))))))</f>
        <v/>
      </c>
    </row>
    <row r="104" customFormat="false" ht="15" hidden="false" customHeight="true" outlineLevel="0" collapsed="false">
      <c r="A104" s="7"/>
      <c r="B104" s="7"/>
      <c r="C104" s="7"/>
      <c r="D104" s="5"/>
      <c r="E104" s="6"/>
      <c r="F104" s="5"/>
      <c r="G104" s="8"/>
      <c r="H104" s="9"/>
      <c r="I104" s="7"/>
      <c r="J104" s="6"/>
      <c r="K104" s="8"/>
      <c r="L104" s="9"/>
      <c r="M104" s="8"/>
      <c r="N104" s="7"/>
      <c r="O104" s="12" t="str">
        <f aca="false">IF($B104="","",N($F104)*N($G104)+N($H104))</f>
        <v/>
      </c>
      <c r="P104" s="11" t="str">
        <f aca="true">IF(OR($B104="",$E104=""),"",IF($J104&lt;&gt;"",$J104,TODAY())-$E104)</f>
        <v/>
      </c>
      <c r="Q104" s="12" t="str">
        <f aca="false">IF(OR($B104="",$I104="",$I104="En cartera"),"",($K104-$G104)*$F104-N($H104)-N($L104))</f>
        <v/>
      </c>
      <c r="R104" s="12" t="str">
        <f aca="false">IF(OR($B104="",$I104&lt;&gt;"En cartera",$M104=""),"",($M104-$G104)*$F104-N($H104))</f>
        <v/>
      </c>
      <c r="S104" s="12" t="str">
        <f aca="false">IF($B104="","",SUMIFS(Dividendos!$I$2:$I$301,Dividendos!$C$2:$C$301,$A104))</f>
        <v/>
      </c>
      <c r="T104" s="12" t="str">
        <f aca="false">IF($B104="","",SUMIFS(Operaciones!$AE$2:$AE$1001,Operaciones!$R$2:$R$1001,$A104))</f>
        <v/>
      </c>
      <c r="U104" s="12" t="str">
        <f aca="false">IF($B104="","",N($Q104)+$S104+$T104)</f>
        <v/>
      </c>
      <c r="V104" s="13" t="str">
        <f aca="false">IF(OR($B104="",N($F104)=0),"",(N($F104)*N($G104)-$S104-$T104)/$F104)</f>
        <v/>
      </c>
      <c r="W104" s="14" t="str">
        <f aca="false">IF(OR($B104="",N($F104)*N($G104)=0),"",$U104/($F104*$G104))</f>
        <v/>
      </c>
      <c r="X104" s="14" t="str">
        <f aca="false">IF(OR($W104="",$P104=""),"",$W104*365/MAX($P104,1))</f>
        <v/>
      </c>
      <c r="Y104" s="10" t="str">
        <f aca="false">IF($B104="","",IF(OR($A104="",$E104="",$F104="",$G104="",$I104=""),"Faltan datos obligatorios",IF(COUNTIF($A$2:$A$201,$A104)&gt;1,"ID lote duplicado",IF(AND($I104&lt;&gt;"En cartera",OR($J104="",$K104="")),"Falta fecha o precio de salida",IF(AND($J104&lt;&gt;"",$J104&lt;$E104),"Salida anterior a entrada",IF(AND($I104="En cartera",$M104=""),"OK (sin precio actual)","OK"))))))</f>
        <v/>
      </c>
    </row>
    <row r="105" customFormat="false" ht="15" hidden="false" customHeight="true" outlineLevel="0" collapsed="false">
      <c r="A105" s="7"/>
      <c r="B105" s="7"/>
      <c r="C105" s="7"/>
      <c r="D105" s="5"/>
      <c r="E105" s="6"/>
      <c r="F105" s="5"/>
      <c r="G105" s="8"/>
      <c r="H105" s="9"/>
      <c r="I105" s="7"/>
      <c r="J105" s="6"/>
      <c r="K105" s="8"/>
      <c r="L105" s="9"/>
      <c r="M105" s="8"/>
      <c r="N105" s="7"/>
      <c r="O105" s="12" t="str">
        <f aca="false">IF($B105="","",N($F105)*N($G105)+N($H105))</f>
        <v/>
      </c>
      <c r="P105" s="11" t="str">
        <f aca="true">IF(OR($B105="",$E105=""),"",IF($J105&lt;&gt;"",$J105,TODAY())-$E105)</f>
        <v/>
      </c>
      <c r="Q105" s="12" t="str">
        <f aca="false">IF(OR($B105="",$I105="",$I105="En cartera"),"",($K105-$G105)*$F105-N($H105)-N($L105))</f>
        <v/>
      </c>
      <c r="R105" s="12" t="str">
        <f aca="false">IF(OR($B105="",$I105&lt;&gt;"En cartera",$M105=""),"",($M105-$G105)*$F105-N($H105))</f>
        <v/>
      </c>
      <c r="S105" s="12" t="str">
        <f aca="false">IF($B105="","",SUMIFS(Dividendos!$I$2:$I$301,Dividendos!$C$2:$C$301,$A105))</f>
        <v/>
      </c>
      <c r="T105" s="12" t="str">
        <f aca="false">IF($B105="","",SUMIFS(Operaciones!$AE$2:$AE$1001,Operaciones!$R$2:$R$1001,$A105))</f>
        <v/>
      </c>
      <c r="U105" s="12" t="str">
        <f aca="false">IF($B105="","",N($Q105)+$S105+$T105)</f>
        <v/>
      </c>
      <c r="V105" s="13" t="str">
        <f aca="false">IF(OR($B105="",N($F105)=0),"",(N($F105)*N($G105)-$S105-$T105)/$F105)</f>
        <v/>
      </c>
      <c r="W105" s="14" t="str">
        <f aca="false">IF(OR($B105="",N($F105)*N($G105)=0),"",$U105/($F105*$G105))</f>
        <v/>
      </c>
      <c r="X105" s="14" t="str">
        <f aca="false">IF(OR($W105="",$P105=""),"",$W105*365/MAX($P105,1))</f>
        <v/>
      </c>
      <c r="Y105" s="10" t="str">
        <f aca="false">IF($B105="","",IF(OR($A105="",$E105="",$F105="",$G105="",$I105=""),"Faltan datos obligatorios",IF(COUNTIF($A$2:$A$201,$A105)&gt;1,"ID lote duplicado",IF(AND($I105&lt;&gt;"En cartera",OR($J105="",$K105="")),"Falta fecha o precio de salida",IF(AND($J105&lt;&gt;"",$J105&lt;$E105),"Salida anterior a entrada",IF(AND($I105="En cartera",$M105=""),"OK (sin precio actual)","OK"))))))</f>
        <v/>
      </c>
    </row>
    <row r="106" customFormat="false" ht="15" hidden="false" customHeight="true" outlineLevel="0" collapsed="false">
      <c r="A106" s="7"/>
      <c r="B106" s="7"/>
      <c r="C106" s="7"/>
      <c r="D106" s="5"/>
      <c r="E106" s="6"/>
      <c r="F106" s="5"/>
      <c r="G106" s="8"/>
      <c r="H106" s="9"/>
      <c r="I106" s="7"/>
      <c r="J106" s="6"/>
      <c r="K106" s="8"/>
      <c r="L106" s="9"/>
      <c r="M106" s="8"/>
      <c r="N106" s="7"/>
      <c r="O106" s="12" t="str">
        <f aca="false">IF($B106="","",N($F106)*N($G106)+N($H106))</f>
        <v/>
      </c>
      <c r="P106" s="11" t="str">
        <f aca="true">IF(OR($B106="",$E106=""),"",IF($J106&lt;&gt;"",$J106,TODAY())-$E106)</f>
        <v/>
      </c>
      <c r="Q106" s="12" t="str">
        <f aca="false">IF(OR($B106="",$I106="",$I106="En cartera"),"",($K106-$G106)*$F106-N($H106)-N($L106))</f>
        <v/>
      </c>
      <c r="R106" s="12" t="str">
        <f aca="false">IF(OR($B106="",$I106&lt;&gt;"En cartera",$M106=""),"",($M106-$G106)*$F106-N($H106))</f>
        <v/>
      </c>
      <c r="S106" s="12" t="str">
        <f aca="false">IF($B106="","",SUMIFS(Dividendos!$I$2:$I$301,Dividendos!$C$2:$C$301,$A106))</f>
        <v/>
      </c>
      <c r="T106" s="12" t="str">
        <f aca="false">IF($B106="","",SUMIFS(Operaciones!$AE$2:$AE$1001,Operaciones!$R$2:$R$1001,$A106))</f>
        <v/>
      </c>
      <c r="U106" s="12" t="str">
        <f aca="false">IF($B106="","",N($Q106)+$S106+$T106)</f>
        <v/>
      </c>
      <c r="V106" s="13" t="str">
        <f aca="false">IF(OR($B106="",N($F106)=0),"",(N($F106)*N($G106)-$S106-$T106)/$F106)</f>
        <v/>
      </c>
      <c r="W106" s="14" t="str">
        <f aca="false">IF(OR($B106="",N($F106)*N($G106)=0),"",$U106/($F106*$G106))</f>
        <v/>
      </c>
      <c r="X106" s="14" t="str">
        <f aca="false">IF(OR($W106="",$P106=""),"",$W106*365/MAX($P106,1))</f>
        <v/>
      </c>
      <c r="Y106" s="10" t="str">
        <f aca="false">IF($B106="","",IF(OR($A106="",$E106="",$F106="",$G106="",$I106=""),"Faltan datos obligatorios",IF(COUNTIF($A$2:$A$201,$A106)&gt;1,"ID lote duplicado",IF(AND($I106&lt;&gt;"En cartera",OR($J106="",$K106="")),"Falta fecha o precio de salida",IF(AND($J106&lt;&gt;"",$J106&lt;$E106),"Salida anterior a entrada",IF(AND($I106="En cartera",$M106=""),"OK (sin precio actual)","OK"))))))</f>
        <v/>
      </c>
    </row>
    <row r="107" customFormat="false" ht="15" hidden="false" customHeight="true" outlineLevel="0" collapsed="false">
      <c r="A107" s="7"/>
      <c r="B107" s="7"/>
      <c r="C107" s="7"/>
      <c r="D107" s="5"/>
      <c r="E107" s="6"/>
      <c r="F107" s="5"/>
      <c r="G107" s="8"/>
      <c r="H107" s="9"/>
      <c r="I107" s="7"/>
      <c r="J107" s="6"/>
      <c r="K107" s="8"/>
      <c r="L107" s="9"/>
      <c r="M107" s="8"/>
      <c r="N107" s="7"/>
      <c r="O107" s="12" t="str">
        <f aca="false">IF($B107="","",N($F107)*N($G107)+N($H107))</f>
        <v/>
      </c>
      <c r="P107" s="11" t="str">
        <f aca="true">IF(OR($B107="",$E107=""),"",IF($J107&lt;&gt;"",$J107,TODAY())-$E107)</f>
        <v/>
      </c>
      <c r="Q107" s="12" t="str">
        <f aca="false">IF(OR($B107="",$I107="",$I107="En cartera"),"",($K107-$G107)*$F107-N($H107)-N($L107))</f>
        <v/>
      </c>
      <c r="R107" s="12" t="str">
        <f aca="false">IF(OR($B107="",$I107&lt;&gt;"En cartera",$M107=""),"",($M107-$G107)*$F107-N($H107))</f>
        <v/>
      </c>
      <c r="S107" s="12" t="str">
        <f aca="false">IF($B107="","",SUMIFS(Dividendos!$I$2:$I$301,Dividendos!$C$2:$C$301,$A107))</f>
        <v/>
      </c>
      <c r="T107" s="12" t="str">
        <f aca="false">IF($B107="","",SUMIFS(Operaciones!$AE$2:$AE$1001,Operaciones!$R$2:$R$1001,$A107))</f>
        <v/>
      </c>
      <c r="U107" s="12" t="str">
        <f aca="false">IF($B107="","",N($Q107)+$S107+$T107)</f>
        <v/>
      </c>
      <c r="V107" s="13" t="str">
        <f aca="false">IF(OR($B107="",N($F107)=0),"",(N($F107)*N($G107)-$S107-$T107)/$F107)</f>
        <v/>
      </c>
      <c r="W107" s="14" t="str">
        <f aca="false">IF(OR($B107="",N($F107)*N($G107)=0),"",$U107/($F107*$G107))</f>
        <v/>
      </c>
      <c r="X107" s="14" t="str">
        <f aca="false">IF(OR($W107="",$P107=""),"",$W107*365/MAX($P107,1))</f>
        <v/>
      </c>
      <c r="Y107" s="10" t="str">
        <f aca="false">IF($B107="","",IF(OR($A107="",$E107="",$F107="",$G107="",$I107=""),"Faltan datos obligatorios",IF(COUNTIF($A$2:$A$201,$A107)&gt;1,"ID lote duplicado",IF(AND($I107&lt;&gt;"En cartera",OR($J107="",$K107="")),"Falta fecha o precio de salida",IF(AND($J107&lt;&gt;"",$J107&lt;$E107),"Salida anterior a entrada",IF(AND($I107="En cartera",$M107=""),"OK (sin precio actual)","OK"))))))</f>
        <v/>
      </c>
    </row>
    <row r="108" customFormat="false" ht="15" hidden="false" customHeight="true" outlineLevel="0" collapsed="false">
      <c r="A108" s="7"/>
      <c r="B108" s="7"/>
      <c r="C108" s="7"/>
      <c r="D108" s="5"/>
      <c r="E108" s="6"/>
      <c r="F108" s="5"/>
      <c r="G108" s="8"/>
      <c r="H108" s="9"/>
      <c r="I108" s="7"/>
      <c r="J108" s="6"/>
      <c r="K108" s="8"/>
      <c r="L108" s="9"/>
      <c r="M108" s="8"/>
      <c r="N108" s="7"/>
      <c r="O108" s="12" t="str">
        <f aca="false">IF($B108="","",N($F108)*N($G108)+N($H108))</f>
        <v/>
      </c>
      <c r="P108" s="11" t="str">
        <f aca="true">IF(OR($B108="",$E108=""),"",IF($J108&lt;&gt;"",$J108,TODAY())-$E108)</f>
        <v/>
      </c>
      <c r="Q108" s="12" t="str">
        <f aca="false">IF(OR($B108="",$I108="",$I108="En cartera"),"",($K108-$G108)*$F108-N($H108)-N($L108))</f>
        <v/>
      </c>
      <c r="R108" s="12" t="str">
        <f aca="false">IF(OR($B108="",$I108&lt;&gt;"En cartera",$M108=""),"",($M108-$G108)*$F108-N($H108))</f>
        <v/>
      </c>
      <c r="S108" s="12" t="str">
        <f aca="false">IF($B108="","",SUMIFS(Dividendos!$I$2:$I$301,Dividendos!$C$2:$C$301,$A108))</f>
        <v/>
      </c>
      <c r="T108" s="12" t="str">
        <f aca="false">IF($B108="","",SUMIFS(Operaciones!$AE$2:$AE$1001,Operaciones!$R$2:$R$1001,$A108))</f>
        <v/>
      </c>
      <c r="U108" s="12" t="str">
        <f aca="false">IF($B108="","",N($Q108)+$S108+$T108)</f>
        <v/>
      </c>
      <c r="V108" s="13" t="str">
        <f aca="false">IF(OR($B108="",N($F108)=0),"",(N($F108)*N($G108)-$S108-$T108)/$F108)</f>
        <v/>
      </c>
      <c r="W108" s="14" t="str">
        <f aca="false">IF(OR($B108="",N($F108)*N($G108)=0),"",$U108/($F108*$G108))</f>
        <v/>
      </c>
      <c r="X108" s="14" t="str">
        <f aca="false">IF(OR($W108="",$P108=""),"",$W108*365/MAX($P108,1))</f>
        <v/>
      </c>
      <c r="Y108" s="10" t="str">
        <f aca="false">IF($B108="","",IF(OR($A108="",$E108="",$F108="",$G108="",$I108=""),"Faltan datos obligatorios",IF(COUNTIF($A$2:$A$201,$A108)&gt;1,"ID lote duplicado",IF(AND($I108&lt;&gt;"En cartera",OR($J108="",$K108="")),"Falta fecha o precio de salida",IF(AND($J108&lt;&gt;"",$J108&lt;$E108),"Salida anterior a entrada",IF(AND($I108="En cartera",$M108=""),"OK (sin precio actual)","OK"))))))</f>
        <v/>
      </c>
    </row>
    <row r="109" customFormat="false" ht="15" hidden="false" customHeight="true" outlineLevel="0" collapsed="false">
      <c r="A109" s="7"/>
      <c r="B109" s="7"/>
      <c r="C109" s="7"/>
      <c r="D109" s="5"/>
      <c r="E109" s="6"/>
      <c r="F109" s="5"/>
      <c r="G109" s="8"/>
      <c r="H109" s="9"/>
      <c r="I109" s="7"/>
      <c r="J109" s="6"/>
      <c r="K109" s="8"/>
      <c r="L109" s="9"/>
      <c r="M109" s="8"/>
      <c r="N109" s="7"/>
      <c r="O109" s="12" t="str">
        <f aca="false">IF($B109="","",N($F109)*N($G109)+N($H109))</f>
        <v/>
      </c>
      <c r="P109" s="11" t="str">
        <f aca="true">IF(OR($B109="",$E109=""),"",IF($J109&lt;&gt;"",$J109,TODAY())-$E109)</f>
        <v/>
      </c>
      <c r="Q109" s="12" t="str">
        <f aca="false">IF(OR($B109="",$I109="",$I109="En cartera"),"",($K109-$G109)*$F109-N($H109)-N($L109))</f>
        <v/>
      </c>
      <c r="R109" s="12" t="str">
        <f aca="false">IF(OR($B109="",$I109&lt;&gt;"En cartera",$M109=""),"",($M109-$G109)*$F109-N($H109))</f>
        <v/>
      </c>
      <c r="S109" s="12" t="str">
        <f aca="false">IF($B109="","",SUMIFS(Dividendos!$I$2:$I$301,Dividendos!$C$2:$C$301,$A109))</f>
        <v/>
      </c>
      <c r="T109" s="12" t="str">
        <f aca="false">IF($B109="","",SUMIFS(Operaciones!$AE$2:$AE$1001,Operaciones!$R$2:$R$1001,$A109))</f>
        <v/>
      </c>
      <c r="U109" s="12" t="str">
        <f aca="false">IF($B109="","",N($Q109)+$S109+$T109)</f>
        <v/>
      </c>
      <c r="V109" s="13" t="str">
        <f aca="false">IF(OR($B109="",N($F109)=0),"",(N($F109)*N($G109)-$S109-$T109)/$F109)</f>
        <v/>
      </c>
      <c r="W109" s="14" t="str">
        <f aca="false">IF(OR($B109="",N($F109)*N($G109)=0),"",$U109/($F109*$G109))</f>
        <v/>
      </c>
      <c r="X109" s="14" t="str">
        <f aca="false">IF(OR($W109="",$P109=""),"",$W109*365/MAX($P109,1))</f>
        <v/>
      </c>
      <c r="Y109" s="10" t="str">
        <f aca="false">IF($B109="","",IF(OR($A109="",$E109="",$F109="",$G109="",$I109=""),"Faltan datos obligatorios",IF(COUNTIF($A$2:$A$201,$A109)&gt;1,"ID lote duplicado",IF(AND($I109&lt;&gt;"En cartera",OR($J109="",$K109="")),"Falta fecha o precio de salida",IF(AND($J109&lt;&gt;"",$J109&lt;$E109),"Salida anterior a entrada",IF(AND($I109="En cartera",$M109=""),"OK (sin precio actual)","OK"))))))</f>
        <v/>
      </c>
    </row>
    <row r="110" customFormat="false" ht="15" hidden="false" customHeight="true" outlineLevel="0" collapsed="false">
      <c r="A110" s="7"/>
      <c r="B110" s="7"/>
      <c r="C110" s="7"/>
      <c r="D110" s="5"/>
      <c r="E110" s="6"/>
      <c r="F110" s="5"/>
      <c r="G110" s="8"/>
      <c r="H110" s="9"/>
      <c r="I110" s="7"/>
      <c r="J110" s="6"/>
      <c r="K110" s="8"/>
      <c r="L110" s="9"/>
      <c r="M110" s="8"/>
      <c r="N110" s="7"/>
      <c r="O110" s="12" t="str">
        <f aca="false">IF($B110="","",N($F110)*N($G110)+N($H110))</f>
        <v/>
      </c>
      <c r="P110" s="11" t="str">
        <f aca="true">IF(OR($B110="",$E110=""),"",IF($J110&lt;&gt;"",$J110,TODAY())-$E110)</f>
        <v/>
      </c>
      <c r="Q110" s="12" t="str">
        <f aca="false">IF(OR($B110="",$I110="",$I110="En cartera"),"",($K110-$G110)*$F110-N($H110)-N($L110))</f>
        <v/>
      </c>
      <c r="R110" s="12" t="str">
        <f aca="false">IF(OR($B110="",$I110&lt;&gt;"En cartera",$M110=""),"",($M110-$G110)*$F110-N($H110))</f>
        <v/>
      </c>
      <c r="S110" s="12" t="str">
        <f aca="false">IF($B110="","",SUMIFS(Dividendos!$I$2:$I$301,Dividendos!$C$2:$C$301,$A110))</f>
        <v/>
      </c>
      <c r="T110" s="12" t="str">
        <f aca="false">IF($B110="","",SUMIFS(Operaciones!$AE$2:$AE$1001,Operaciones!$R$2:$R$1001,$A110))</f>
        <v/>
      </c>
      <c r="U110" s="12" t="str">
        <f aca="false">IF($B110="","",N($Q110)+$S110+$T110)</f>
        <v/>
      </c>
      <c r="V110" s="13" t="str">
        <f aca="false">IF(OR($B110="",N($F110)=0),"",(N($F110)*N($G110)-$S110-$T110)/$F110)</f>
        <v/>
      </c>
      <c r="W110" s="14" t="str">
        <f aca="false">IF(OR($B110="",N($F110)*N($G110)=0),"",$U110/($F110*$G110))</f>
        <v/>
      </c>
      <c r="X110" s="14" t="str">
        <f aca="false">IF(OR($W110="",$P110=""),"",$W110*365/MAX($P110,1))</f>
        <v/>
      </c>
      <c r="Y110" s="10" t="str">
        <f aca="false">IF($B110="","",IF(OR($A110="",$E110="",$F110="",$G110="",$I110=""),"Faltan datos obligatorios",IF(COUNTIF($A$2:$A$201,$A110)&gt;1,"ID lote duplicado",IF(AND($I110&lt;&gt;"En cartera",OR($J110="",$K110="")),"Falta fecha o precio de salida",IF(AND($J110&lt;&gt;"",$J110&lt;$E110),"Salida anterior a entrada",IF(AND($I110="En cartera",$M110=""),"OK (sin precio actual)","OK"))))))</f>
        <v/>
      </c>
    </row>
    <row r="111" customFormat="false" ht="15" hidden="false" customHeight="true" outlineLevel="0" collapsed="false">
      <c r="A111" s="7"/>
      <c r="B111" s="7"/>
      <c r="C111" s="7"/>
      <c r="D111" s="5"/>
      <c r="E111" s="6"/>
      <c r="F111" s="5"/>
      <c r="G111" s="8"/>
      <c r="H111" s="9"/>
      <c r="I111" s="7"/>
      <c r="J111" s="6"/>
      <c r="K111" s="8"/>
      <c r="L111" s="9"/>
      <c r="M111" s="8"/>
      <c r="N111" s="7"/>
      <c r="O111" s="12" t="str">
        <f aca="false">IF($B111="","",N($F111)*N($G111)+N($H111))</f>
        <v/>
      </c>
      <c r="P111" s="11" t="str">
        <f aca="true">IF(OR($B111="",$E111=""),"",IF($J111&lt;&gt;"",$J111,TODAY())-$E111)</f>
        <v/>
      </c>
      <c r="Q111" s="12" t="str">
        <f aca="false">IF(OR($B111="",$I111="",$I111="En cartera"),"",($K111-$G111)*$F111-N($H111)-N($L111))</f>
        <v/>
      </c>
      <c r="R111" s="12" t="str">
        <f aca="false">IF(OR($B111="",$I111&lt;&gt;"En cartera",$M111=""),"",($M111-$G111)*$F111-N($H111))</f>
        <v/>
      </c>
      <c r="S111" s="12" t="str">
        <f aca="false">IF($B111="","",SUMIFS(Dividendos!$I$2:$I$301,Dividendos!$C$2:$C$301,$A111))</f>
        <v/>
      </c>
      <c r="T111" s="12" t="str">
        <f aca="false">IF($B111="","",SUMIFS(Operaciones!$AE$2:$AE$1001,Operaciones!$R$2:$R$1001,$A111))</f>
        <v/>
      </c>
      <c r="U111" s="12" t="str">
        <f aca="false">IF($B111="","",N($Q111)+$S111+$T111)</f>
        <v/>
      </c>
      <c r="V111" s="13" t="str">
        <f aca="false">IF(OR($B111="",N($F111)=0),"",(N($F111)*N($G111)-$S111-$T111)/$F111)</f>
        <v/>
      </c>
      <c r="W111" s="14" t="str">
        <f aca="false">IF(OR($B111="",N($F111)*N($G111)=0),"",$U111/($F111*$G111))</f>
        <v/>
      </c>
      <c r="X111" s="14" t="str">
        <f aca="false">IF(OR($W111="",$P111=""),"",$W111*365/MAX($P111,1))</f>
        <v/>
      </c>
      <c r="Y111" s="10" t="str">
        <f aca="false">IF($B111="","",IF(OR($A111="",$E111="",$F111="",$G111="",$I111=""),"Faltan datos obligatorios",IF(COUNTIF($A$2:$A$201,$A111)&gt;1,"ID lote duplicado",IF(AND($I111&lt;&gt;"En cartera",OR($J111="",$K111="")),"Falta fecha o precio de salida",IF(AND($J111&lt;&gt;"",$J111&lt;$E111),"Salida anterior a entrada",IF(AND($I111="En cartera",$M111=""),"OK (sin precio actual)","OK"))))))</f>
        <v/>
      </c>
    </row>
    <row r="112" customFormat="false" ht="15" hidden="false" customHeight="true" outlineLevel="0" collapsed="false">
      <c r="A112" s="7"/>
      <c r="B112" s="7"/>
      <c r="C112" s="7"/>
      <c r="D112" s="5"/>
      <c r="E112" s="6"/>
      <c r="F112" s="5"/>
      <c r="G112" s="8"/>
      <c r="H112" s="9"/>
      <c r="I112" s="7"/>
      <c r="J112" s="6"/>
      <c r="K112" s="8"/>
      <c r="L112" s="9"/>
      <c r="M112" s="8"/>
      <c r="N112" s="7"/>
      <c r="O112" s="12" t="str">
        <f aca="false">IF($B112="","",N($F112)*N($G112)+N($H112))</f>
        <v/>
      </c>
      <c r="P112" s="11" t="str">
        <f aca="true">IF(OR($B112="",$E112=""),"",IF($J112&lt;&gt;"",$J112,TODAY())-$E112)</f>
        <v/>
      </c>
      <c r="Q112" s="12" t="str">
        <f aca="false">IF(OR($B112="",$I112="",$I112="En cartera"),"",($K112-$G112)*$F112-N($H112)-N($L112))</f>
        <v/>
      </c>
      <c r="R112" s="12" t="str">
        <f aca="false">IF(OR($B112="",$I112&lt;&gt;"En cartera",$M112=""),"",($M112-$G112)*$F112-N($H112))</f>
        <v/>
      </c>
      <c r="S112" s="12" t="str">
        <f aca="false">IF($B112="","",SUMIFS(Dividendos!$I$2:$I$301,Dividendos!$C$2:$C$301,$A112))</f>
        <v/>
      </c>
      <c r="T112" s="12" t="str">
        <f aca="false">IF($B112="","",SUMIFS(Operaciones!$AE$2:$AE$1001,Operaciones!$R$2:$R$1001,$A112))</f>
        <v/>
      </c>
      <c r="U112" s="12" t="str">
        <f aca="false">IF($B112="","",N($Q112)+$S112+$T112)</f>
        <v/>
      </c>
      <c r="V112" s="13" t="str">
        <f aca="false">IF(OR($B112="",N($F112)=0),"",(N($F112)*N($G112)-$S112-$T112)/$F112)</f>
        <v/>
      </c>
      <c r="W112" s="14" t="str">
        <f aca="false">IF(OR($B112="",N($F112)*N($G112)=0),"",$U112/($F112*$G112))</f>
        <v/>
      </c>
      <c r="X112" s="14" t="str">
        <f aca="false">IF(OR($W112="",$P112=""),"",$W112*365/MAX($P112,1))</f>
        <v/>
      </c>
      <c r="Y112" s="10" t="str">
        <f aca="false">IF($B112="","",IF(OR($A112="",$E112="",$F112="",$G112="",$I112=""),"Faltan datos obligatorios",IF(COUNTIF($A$2:$A$201,$A112)&gt;1,"ID lote duplicado",IF(AND($I112&lt;&gt;"En cartera",OR($J112="",$K112="")),"Falta fecha o precio de salida",IF(AND($J112&lt;&gt;"",$J112&lt;$E112),"Salida anterior a entrada",IF(AND($I112="En cartera",$M112=""),"OK (sin precio actual)","OK"))))))</f>
        <v/>
      </c>
    </row>
    <row r="113" customFormat="false" ht="15" hidden="false" customHeight="true" outlineLevel="0" collapsed="false">
      <c r="A113" s="7"/>
      <c r="B113" s="7"/>
      <c r="C113" s="7"/>
      <c r="D113" s="5"/>
      <c r="E113" s="6"/>
      <c r="F113" s="5"/>
      <c r="G113" s="8"/>
      <c r="H113" s="9"/>
      <c r="I113" s="7"/>
      <c r="J113" s="6"/>
      <c r="K113" s="8"/>
      <c r="L113" s="9"/>
      <c r="M113" s="8"/>
      <c r="N113" s="7"/>
      <c r="O113" s="12" t="str">
        <f aca="false">IF($B113="","",N($F113)*N($G113)+N($H113))</f>
        <v/>
      </c>
      <c r="P113" s="11" t="str">
        <f aca="true">IF(OR($B113="",$E113=""),"",IF($J113&lt;&gt;"",$J113,TODAY())-$E113)</f>
        <v/>
      </c>
      <c r="Q113" s="12" t="str">
        <f aca="false">IF(OR($B113="",$I113="",$I113="En cartera"),"",($K113-$G113)*$F113-N($H113)-N($L113))</f>
        <v/>
      </c>
      <c r="R113" s="12" t="str">
        <f aca="false">IF(OR($B113="",$I113&lt;&gt;"En cartera",$M113=""),"",($M113-$G113)*$F113-N($H113))</f>
        <v/>
      </c>
      <c r="S113" s="12" t="str">
        <f aca="false">IF($B113="","",SUMIFS(Dividendos!$I$2:$I$301,Dividendos!$C$2:$C$301,$A113))</f>
        <v/>
      </c>
      <c r="T113" s="12" t="str">
        <f aca="false">IF($B113="","",SUMIFS(Operaciones!$AE$2:$AE$1001,Operaciones!$R$2:$R$1001,$A113))</f>
        <v/>
      </c>
      <c r="U113" s="12" t="str">
        <f aca="false">IF($B113="","",N($Q113)+$S113+$T113)</f>
        <v/>
      </c>
      <c r="V113" s="13" t="str">
        <f aca="false">IF(OR($B113="",N($F113)=0),"",(N($F113)*N($G113)-$S113-$T113)/$F113)</f>
        <v/>
      </c>
      <c r="W113" s="14" t="str">
        <f aca="false">IF(OR($B113="",N($F113)*N($G113)=0),"",$U113/($F113*$G113))</f>
        <v/>
      </c>
      <c r="X113" s="14" t="str">
        <f aca="false">IF(OR($W113="",$P113=""),"",$W113*365/MAX($P113,1))</f>
        <v/>
      </c>
      <c r="Y113" s="10" t="str">
        <f aca="false">IF($B113="","",IF(OR($A113="",$E113="",$F113="",$G113="",$I113=""),"Faltan datos obligatorios",IF(COUNTIF($A$2:$A$201,$A113)&gt;1,"ID lote duplicado",IF(AND($I113&lt;&gt;"En cartera",OR($J113="",$K113="")),"Falta fecha o precio de salida",IF(AND($J113&lt;&gt;"",$J113&lt;$E113),"Salida anterior a entrada",IF(AND($I113="En cartera",$M113=""),"OK (sin precio actual)","OK"))))))</f>
        <v/>
      </c>
    </row>
    <row r="114" customFormat="false" ht="15" hidden="false" customHeight="true" outlineLevel="0" collapsed="false">
      <c r="A114" s="7"/>
      <c r="B114" s="7"/>
      <c r="C114" s="7"/>
      <c r="D114" s="5"/>
      <c r="E114" s="6"/>
      <c r="F114" s="5"/>
      <c r="G114" s="8"/>
      <c r="H114" s="9"/>
      <c r="I114" s="7"/>
      <c r="J114" s="6"/>
      <c r="K114" s="8"/>
      <c r="L114" s="9"/>
      <c r="M114" s="8"/>
      <c r="N114" s="7"/>
      <c r="O114" s="12" t="str">
        <f aca="false">IF($B114="","",N($F114)*N($G114)+N($H114))</f>
        <v/>
      </c>
      <c r="P114" s="11" t="str">
        <f aca="true">IF(OR($B114="",$E114=""),"",IF($J114&lt;&gt;"",$J114,TODAY())-$E114)</f>
        <v/>
      </c>
      <c r="Q114" s="12" t="str">
        <f aca="false">IF(OR($B114="",$I114="",$I114="En cartera"),"",($K114-$G114)*$F114-N($H114)-N($L114))</f>
        <v/>
      </c>
      <c r="R114" s="12" t="str">
        <f aca="false">IF(OR($B114="",$I114&lt;&gt;"En cartera",$M114=""),"",($M114-$G114)*$F114-N($H114))</f>
        <v/>
      </c>
      <c r="S114" s="12" t="str">
        <f aca="false">IF($B114="","",SUMIFS(Dividendos!$I$2:$I$301,Dividendos!$C$2:$C$301,$A114))</f>
        <v/>
      </c>
      <c r="T114" s="12" t="str">
        <f aca="false">IF($B114="","",SUMIFS(Operaciones!$AE$2:$AE$1001,Operaciones!$R$2:$R$1001,$A114))</f>
        <v/>
      </c>
      <c r="U114" s="12" t="str">
        <f aca="false">IF($B114="","",N($Q114)+$S114+$T114)</f>
        <v/>
      </c>
      <c r="V114" s="13" t="str">
        <f aca="false">IF(OR($B114="",N($F114)=0),"",(N($F114)*N($G114)-$S114-$T114)/$F114)</f>
        <v/>
      </c>
      <c r="W114" s="14" t="str">
        <f aca="false">IF(OR($B114="",N($F114)*N($G114)=0),"",$U114/($F114*$G114))</f>
        <v/>
      </c>
      <c r="X114" s="14" t="str">
        <f aca="false">IF(OR($W114="",$P114=""),"",$W114*365/MAX($P114,1))</f>
        <v/>
      </c>
      <c r="Y114" s="10" t="str">
        <f aca="false">IF($B114="","",IF(OR($A114="",$E114="",$F114="",$G114="",$I114=""),"Faltan datos obligatorios",IF(COUNTIF($A$2:$A$201,$A114)&gt;1,"ID lote duplicado",IF(AND($I114&lt;&gt;"En cartera",OR($J114="",$K114="")),"Falta fecha o precio de salida",IF(AND($J114&lt;&gt;"",$J114&lt;$E114),"Salida anterior a entrada",IF(AND($I114="En cartera",$M114=""),"OK (sin precio actual)","OK"))))))</f>
        <v/>
      </c>
    </row>
    <row r="115" customFormat="false" ht="15" hidden="false" customHeight="true" outlineLevel="0" collapsed="false">
      <c r="A115" s="7"/>
      <c r="B115" s="7"/>
      <c r="C115" s="7"/>
      <c r="D115" s="5"/>
      <c r="E115" s="6"/>
      <c r="F115" s="5"/>
      <c r="G115" s="8"/>
      <c r="H115" s="9"/>
      <c r="I115" s="7"/>
      <c r="J115" s="6"/>
      <c r="K115" s="8"/>
      <c r="L115" s="9"/>
      <c r="M115" s="8"/>
      <c r="N115" s="7"/>
      <c r="O115" s="12" t="str">
        <f aca="false">IF($B115="","",N($F115)*N($G115)+N($H115))</f>
        <v/>
      </c>
      <c r="P115" s="11" t="str">
        <f aca="true">IF(OR($B115="",$E115=""),"",IF($J115&lt;&gt;"",$J115,TODAY())-$E115)</f>
        <v/>
      </c>
      <c r="Q115" s="12" t="str">
        <f aca="false">IF(OR($B115="",$I115="",$I115="En cartera"),"",($K115-$G115)*$F115-N($H115)-N($L115))</f>
        <v/>
      </c>
      <c r="R115" s="12" t="str">
        <f aca="false">IF(OR($B115="",$I115&lt;&gt;"En cartera",$M115=""),"",($M115-$G115)*$F115-N($H115))</f>
        <v/>
      </c>
      <c r="S115" s="12" t="str">
        <f aca="false">IF($B115="","",SUMIFS(Dividendos!$I$2:$I$301,Dividendos!$C$2:$C$301,$A115))</f>
        <v/>
      </c>
      <c r="T115" s="12" t="str">
        <f aca="false">IF($B115="","",SUMIFS(Operaciones!$AE$2:$AE$1001,Operaciones!$R$2:$R$1001,$A115))</f>
        <v/>
      </c>
      <c r="U115" s="12" t="str">
        <f aca="false">IF($B115="","",N($Q115)+$S115+$T115)</f>
        <v/>
      </c>
      <c r="V115" s="13" t="str">
        <f aca="false">IF(OR($B115="",N($F115)=0),"",(N($F115)*N($G115)-$S115-$T115)/$F115)</f>
        <v/>
      </c>
      <c r="W115" s="14" t="str">
        <f aca="false">IF(OR($B115="",N($F115)*N($G115)=0),"",$U115/($F115*$G115))</f>
        <v/>
      </c>
      <c r="X115" s="14" t="str">
        <f aca="false">IF(OR($W115="",$P115=""),"",$W115*365/MAX($P115,1))</f>
        <v/>
      </c>
      <c r="Y115" s="10" t="str">
        <f aca="false">IF($B115="","",IF(OR($A115="",$E115="",$F115="",$G115="",$I115=""),"Faltan datos obligatorios",IF(COUNTIF($A$2:$A$201,$A115)&gt;1,"ID lote duplicado",IF(AND($I115&lt;&gt;"En cartera",OR($J115="",$K115="")),"Falta fecha o precio de salida",IF(AND($J115&lt;&gt;"",$J115&lt;$E115),"Salida anterior a entrada",IF(AND($I115="En cartera",$M115=""),"OK (sin precio actual)","OK"))))))</f>
        <v/>
      </c>
    </row>
    <row r="116" customFormat="false" ht="15" hidden="false" customHeight="true" outlineLevel="0" collapsed="false">
      <c r="A116" s="7"/>
      <c r="B116" s="7"/>
      <c r="C116" s="7"/>
      <c r="D116" s="5"/>
      <c r="E116" s="6"/>
      <c r="F116" s="5"/>
      <c r="G116" s="8"/>
      <c r="H116" s="9"/>
      <c r="I116" s="7"/>
      <c r="J116" s="6"/>
      <c r="K116" s="8"/>
      <c r="L116" s="9"/>
      <c r="M116" s="8"/>
      <c r="N116" s="7"/>
      <c r="O116" s="12" t="str">
        <f aca="false">IF($B116="","",N($F116)*N($G116)+N($H116))</f>
        <v/>
      </c>
      <c r="P116" s="11" t="str">
        <f aca="true">IF(OR($B116="",$E116=""),"",IF($J116&lt;&gt;"",$J116,TODAY())-$E116)</f>
        <v/>
      </c>
      <c r="Q116" s="12" t="str">
        <f aca="false">IF(OR($B116="",$I116="",$I116="En cartera"),"",($K116-$G116)*$F116-N($H116)-N($L116))</f>
        <v/>
      </c>
      <c r="R116" s="12" t="str">
        <f aca="false">IF(OR($B116="",$I116&lt;&gt;"En cartera",$M116=""),"",($M116-$G116)*$F116-N($H116))</f>
        <v/>
      </c>
      <c r="S116" s="12" t="str">
        <f aca="false">IF($B116="","",SUMIFS(Dividendos!$I$2:$I$301,Dividendos!$C$2:$C$301,$A116))</f>
        <v/>
      </c>
      <c r="T116" s="12" t="str">
        <f aca="false">IF($B116="","",SUMIFS(Operaciones!$AE$2:$AE$1001,Operaciones!$R$2:$R$1001,$A116))</f>
        <v/>
      </c>
      <c r="U116" s="12" t="str">
        <f aca="false">IF($B116="","",N($Q116)+$S116+$T116)</f>
        <v/>
      </c>
      <c r="V116" s="13" t="str">
        <f aca="false">IF(OR($B116="",N($F116)=0),"",(N($F116)*N($G116)-$S116-$T116)/$F116)</f>
        <v/>
      </c>
      <c r="W116" s="14" t="str">
        <f aca="false">IF(OR($B116="",N($F116)*N($G116)=0),"",$U116/($F116*$G116))</f>
        <v/>
      </c>
      <c r="X116" s="14" t="str">
        <f aca="false">IF(OR($W116="",$P116=""),"",$W116*365/MAX($P116,1))</f>
        <v/>
      </c>
      <c r="Y116" s="10" t="str">
        <f aca="false">IF($B116="","",IF(OR($A116="",$E116="",$F116="",$G116="",$I116=""),"Faltan datos obligatorios",IF(COUNTIF($A$2:$A$201,$A116)&gt;1,"ID lote duplicado",IF(AND($I116&lt;&gt;"En cartera",OR($J116="",$K116="")),"Falta fecha o precio de salida",IF(AND($J116&lt;&gt;"",$J116&lt;$E116),"Salida anterior a entrada",IF(AND($I116="En cartera",$M116=""),"OK (sin precio actual)","OK"))))))</f>
        <v/>
      </c>
    </row>
    <row r="117" customFormat="false" ht="15" hidden="false" customHeight="true" outlineLevel="0" collapsed="false">
      <c r="A117" s="7"/>
      <c r="B117" s="7"/>
      <c r="C117" s="7"/>
      <c r="D117" s="5"/>
      <c r="E117" s="6"/>
      <c r="F117" s="5"/>
      <c r="G117" s="8"/>
      <c r="H117" s="9"/>
      <c r="I117" s="7"/>
      <c r="J117" s="6"/>
      <c r="K117" s="8"/>
      <c r="L117" s="9"/>
      <c r="M117" s="8"/>
      <c r="N117" s="7"/>
      <c r="O117" s="12" t="str">
        <f aca="false">IF($B117="","",N($F117)*N($G117)+N($H117))</f>
        <v/>
      </c>
      <c r="P117" s="11" t="str">
        <f aca="true">IF(OR($B117="",$E117=""),"",IF($J117&lt;&gt;"",$J117,TODAY())-$E117)</f>
        <v/>
      </c>
      <c r="Q117" s="12" t="str">
        <f aca="false">IF(OR($B117="",$I117="",$I117="En cartera"),"",($K117-$G117)*$F117-N($H117)-N($L117))</f>
        <v/>
      </c>
      <c r="R117" s="12" t="str">
        <f aca="false">IF(OR($B117="",$I117&lt;&gt;"En cartera",$M117=""),"",($M117-$G117)*$F117-N($H117))</f>
        <v/>
      </c>
      <c r="S117" s="12" t="str">
        <f aca="false">IF($B117="","",SUMIFS(Dividendos!$I$2:$I$301,Dividendos!$C$2:$C$301,$A117))</f>
        <v/>
      </c>
      <c r="T117" s="12" t="str">
        <f aca="false">IF($B117="","",SUMIFS(Operaciones!$AE$2:$AE$1001,Operaciones!$R$2:$R$1001,$A117))</f>
        <v/>
      </c>
      <c r="U117" s="12" t="str">
        <f aca="false">IF($B117="","",N($Q117)+$S117+$T117)</f>
        <v/>
      </c>
      <c r="V117" s="13" t="str">
        <f aca="false">IF(OR($B117="",N($F117)=0),"",(N($F117)*N($G117)-$S117-$T117)/$F117)</f>
        <v/>
      </c>
      <c r="W117" s="14" t="str">
        <f aca="false">IF(OR($B117="",N($F117)*N($G117)=0),"",$U117/($F117*$G117))</f>
        <v/>
      </c>
      <c r="X117" s="14" t="str">
        <f aca="false">IF(OR($W117="",$P117=""),"",$W117*365/MAX($P117,1))</f>
        <v/>
      </c>
      <c r="Y117" s="10" t="str">
        <f aca="false">IF($B117="","",IF(OR($A117="",$E117="",$F117="",$G117="",$I117=""),"Faltan datos obligatorios",IF(COUNTIF($A$2:$A$201,$A117)&gt;1,"ID lote duplicado",IF(AND($I117&lt;&gt;"En cartera",OR($J117="",$K117="")),"Falta fecha o precio de salida",IF(AND($J117&lt;&gt;"",$J117&lt;$E117),"Salida anterior a entrada",IF(AND($I117="En cartera",$M117=""),"OK (sin precio actual)","OK"))))))</f>
        <v/>
      </c>
    </row>
    <row r="118" customFormat="false" ht="15" hidden="false" customHeight="true" outlineLevel="0" collapsed="false">
      <c r="A118" s="7"/>
      <c r="B118" s="7"/>
      <c r="C118" s="7"/>
      <c r="D118" s="5"/>
      <c r="E118" s="6"/>
      <c r="F118" s="5"/>
      <c r="G118" s="8"/>
      <c r="H118" s="9"/>
      <c r="I118" s="7"/>
      <c r="J118" s="6"/>
      <c r="K118" s="8"/>
      <c r="L118" s="9"/>
      <c r="M118" s="8"/>
      <c r="N118" s="7"/>
      <c r="O118" s="12" t="str">
        <f aca="false">IF($B118="","",N($F118)*N($G118)+N($H118))</f>
        <v/>
      </c>
      <c r="P118" s="11" t="str">
        <f aca="true">IF(OR($B118="",$E118=""),"",IF($J118&lt;&gt;"",$J118,TODAY())-$E118)</f>
        <v/>
      </c>
      <c r="Q118" s="12" t="str">
        <f aca="false">IF(OR($B118="",$I118="",$I118="En cartera"),"",($K118-$G118)*$F118-N($H118)-N($L118))</f>
        <v/>
      </c>
      <c r="R118" s="12" t="str">
        <f aca="false">IF(OR($B118="",$I118&lt;&gt;"En cartera",$M118=""),"",($M118-$G118)*$F118-N($H118))</f>
        <v/>
      </c>
      <c r="S118" s="12" t="str">
        <f aca="false">IF($B118="","",SUMIFS(Dividendos!$I$2:$I$301,Dividendos!$C$2:$C$301,$A118))</f>
        <v/>
      </c>
      <c r="T118" s="12" t="str">
        <f aca="false">IF($B118="","",SUMIFS(Operaciones!$AE$2:$AE$1001,Operaciones!$R$2:$R$1001,$A118))</f>
        <v/>
      </c>
      <c r="U118" s="12" t="str">
        <f aca="false">IF($B118="","",N($Q118)+$S118+$T118)</f>
        <v/>
      </c>
      <c r="V118" s="13" t="str">
        <f aca="false">IF(OR($B118="",N($F118)=0),"",(N($F118)*N($G118)-$S118-$T118)/$F118)</f>
        <v/>
      </c>
      <c r="W118" s="14" t="str">
        <f aca="false">IF(OR($B118="",N($F118)*N($G118)=0),"",$U118/($F118*$G118))</f>
        <v/>
      </c>
      <c r="X118" s="14" t="str">
        <f aca="false">IF(OR($W118="",$P118=""),"",$W118*365/MAX($P118,1))</f>
        <v/>
      </c>
      <c r="Y118" s="10" t="str">
        <f aca="false">IF($B118="","",IF(OR($A118="",$E118="",$F118="",$G118="",$I118=""),"Faltan datos obligatorios",IF(COUNTIF($A$2:$A$201,$A118)&gt;1,"ID lote duplicado",IF(AND($I118&lt;&gt;"En cartera",OR($J118="",$K118="")),"Falta fecha o precio de salida",IF(AND($J118&lt;&gt;"",$J118&lt;$E118),"Salida anterior a entrada",IF(AND($I118="En cartera",$M118=""),"OK (sin precio actual)","OK"))))))</f>
        <v/>
      </c>
    </row>
    <row r="119" customFormat="false" ht="15" hidden="false" customHeight="true" outlineLevel="0" collapsed="false">
      <c r="A119" s="7"/>
      <c r="B119" s="7"/>
      <c r="C119" s="7"/>
      <c r="D119" s="5"/>
      <c r="E119" s="6"/>
      <c r="F119" s="5"/>
      <c r="G119" s="8"/>
      <c r="H119" s="9"/>
      <c r="I119" s="7"/>
      <c r="J119" s="6"/>
      <c r="K119" s="8"/>
      <c r="L119" s="9"/>
      <c r="M119" s="8"/>
      <c r="N119" s="7"/>
      <c r="O119" s="12" t="str">
        <f aca="false">IF($B119="","",N($F119)*N($G119)+N($H119))</f>
        <v/>
      </c>
      <c r="P119" s="11" t="str">
        <f aca="true">IF(OR($B119="",$E119=""),"",IF($J119&lt;&gt;"",$J119,TODAY())-$E119)</f>
        <v/>
      </c>
      <c r="Q119" s="12" t="str">
        <f aca="false">IF(OR($B119="",$I119="",$I119="En cartera"),"",($K119-$G119)*$F119-N($H119)-N($L119))</f>
        <v/>
      </c>
      <c r="R119" s="12" t="str">
        <f aca="false">IF(OR($B119="",$I119&lt;&gt;"En cartera",$M119=""),"",($M119-$G119)*$F119-N($H119))</f>
        <v/>
      </c>
      <c r="S119" s="12" t="str">
        <f aca="false">IF($B119="","",SUMIFS(Dividendos!$I$2:$I$301,Dividendos!$C$2:$C$301,$A119))</f>
        <v/>
      </c>
      <c r="T119" s="12" t="str">
        <f aca="false">IF($B119="","",SUMIFS(Operaciones!$AE$2:$AE$1001,Operaciones!$R$2:$R$1001,$A119))</f>
        <v/>
      </c>
      <c r="U119" s="12" t="str">
        <f aca="false">IF($B119="","",N($Q119)+$S119+$T119)</f>
        <v/>
      </c>
      <c r="V119" s="13" t="str">
        <f aca="false">IF(OR($B119="",N($F119)=0),"",(N($F119)*N($G119)-$S119-$T119)/$F119)</f>
        <v/>
      </c>
      <c r="W119" s="14" t="str">
        <f aca="false">IF(OR($B119="",N($F119)*N($G119)=0),"",$U119/($F119*$G119))</f>
        <v/>
      </c>
      <c r="X119" s="14" t="str">
        <f aca="false">IF(OR($W119="",$P119=""),"",$W119*365/MAX($P119,1))</f>
        <v/>
      </c>
      <c r="Y119" s="10" t="str">
        <f aca="false">IF($B119="","",IF(OR($A119="",$E119="",$F119="",$G119="",$I119=""),"Faltan datos obligatorios",IF(COUNTIF($A$2:$A$201,$A119)&gt;1,"ID lote duplicado",IF(AND($I119&lt;&gt;"En cartera",OR($J119="",$K119="")),"Falta fecha o precio de salida",IF(AND($J119&lt;&gt;"",$J119&lt;$E119),"Salida anterior a entrada",IF(AND($I119="En cartera",$M119=""),"OK (sin precio actual)","OK"))))))</f>
        <v/>
      </c>
    </row>
    <row r="120" customFormat="false" ht="15" hidden="false" customHeight="true" outlineLevel="0" collapsed="false">
      <c r="A120" s="7"/>
      <c r="B120" s="7"/>
      <c r="C120" s="7"/>
      <c r="D120" s="5"/>
      <c r="E120" s="6"/>
      <c r="F120" s="5"/>
      <c r="G120" s="8"/>
      <c r="H120" s="9"/>
      <c r="I120" s="7"/>
      <c r="J120" s="6"/>
      <c r="K120" s="8"/>
      <c r="L120" s="9"/>
      <c r="M120" s="8"/>
      <c r="N120" s="7"/>
      <c r="O120" s="12" t="str">
        <f aca="false">IF($B120="","",N($F120)*N($G120)+N($H120))</f>
        <v/>
      </c>
      <c r="P120" s="11" t="str">
        <f aca="true">IF(OR($B120="",$E120=""),"",IF($J120&lt;&gt;"",$J120,TODAY())-$E120)</f>
        <v/>
      </c>
      <c r="Q120" s="12" t="str">
        <f aca="false">IF(OR($B120="",$I120="",$I120="En cartera"),"",($K120-$G120)*$F120-N($H120)-N($L120))</f>
        <v/>
      </c>
      <c r="R120" s="12" t="str">
        <f aca="false">IF(OR($B120="",$I120&lt;&gt;"En cartera",$M120=""),"",($M120-$G120)*$F120-N($H120))</f>
        <v/>
      </c>
      <c r="S120" s="12" t="str">
        <f aca="false">IF($B120="","",SUMIFS(Dividendos!$I$2:$I$301,Dividendos!$C$2:$C$301,$A120))</f>
        <v/>
      </c>
      <c r="T120" s="12" t="str">
        <f aca="false">IF($B120="","",SUMIFS(Operaciones!$AE$2:$AE$1001,Operaciones!$R$2:$R$1001,$A120))</f>
        <v/>
      </c>
      <c r="U120" s="12" t="str">
        <f aca="false">IF($B120="","",N($Q120)+$S120+$T120)</f>
        <v/>
      </c>
      <c r="V120" s="13" t="str">
        <f aca="false">IF(OR($B120="",N($F120)=0),"",(N($F120)*N($G120)-$S120-$T120)/$F120)</f>
        <v/>
      </c>
      <c r="W120" s="14" t="str">
        <f aca="false">IF(OR($B120="",N($F120)*N($G120)=0),"",$U120/($F120*$G120))</f>
        <v/>
      </c>
      <c r="X120" s="14" t="str">
        <f aca="false">IF(OR($W120="",$P120=""),"",$W120*365/MAX($P120,1))</f>
        <v/>
      </c>
      <c r="Y120" s="10" t="str">
        <f aca="false">IF($B120="","",IF(OR($A120="",$E120="",$F120="",$G120="",$I120=""),"Faltan datos obligatorios",IF(COUNTIF($A$2:$A$201,$A120)&gt;1,"ID lote duplicado",IF(AND($I120&lt;&gt;"En cartera",OR($J120="",$K120="")),"Falta fecha o precio de salida",IF(AND($J120&lt;&gt;"",$J120&lt;$E120),"Salida anterior a entrada",IF(AND($I120="En cartera",$M120=""),"OK (sin precio actual)","OK"))))))</f>
        <v/>
      </c>
    </row>
    <row r="121" customFormat="false" ht="15" hidden="false" customHeight="true" outlineLevel="0" collapsed="false">
      <c r="A121" s="7"/>
      <c r="B121" s="7"/>
      <c r="C121" s="7"/>
      <c r="D121" s="5"/>
      <c r="E121" s="6"/>
      <c r="F121" s="5"/>
      <c r="G121" s="8"/>
      <c r="H121" s="9"/>
      <c r="I121" s="7"/>
      <c r="J121" s="6"/>
      <c r="K121" s="8"/>
      <c r="L121" s="9"/>
      <c r="M121" s="8"/>
      <c r="N121" s="7"/>
      <c r="O121" s="12" t="str">
        <f aca="false">IF($B121="","",N($F121)*N($G121)+N($H121))</f>
        <v/>
      </c>
      <c r="P121" s="11" t="str">
        <f aca="true">IF(OR($B121="",$E121=""),"",IF($J121&lt;&gt;"",$J121,TODAY())-$E121)</f>
        <v/>
      </c>
      <c r="Q121" s="12" t="str">
        <f aca="false">IF(OR($B121="",$I121="",$I121="En cartera"),"",($K121-$G121)*$F121-N($H121)-N($L121))</f>
        <v/>
      </c>
      <c r="R121" s="12" t="str">
        <f aca="false">IF(OR($B121="",$I121&lt;&gt;"En cartera",$M121=""),"",($M121-$G121)*$F121-N($H121))</f>
        <v/>
      </c>
      <c r="S121" s="12" t="str">
        <f aca="false">IF($B121="","",SUMIFS(Dividendos!$I$2:$I$301,Dividendos!$C$2:$C$301,$A121))</f>
        <v/>
      </c>
      <c r="T121" s="12" t="str">
        <f aca="false">IF($B121="","",SUMIFS(Operaciones!$AE$2:$AE$1001,Operaciones!$R$2:$R$1001,$A121))</f>
        <v/>
      </c>
      <c r="U121" s="12" t="str">
        <f aca="false">IF($B121="","",N($Q121)+$S121+$T121)</f>
        <v/>
      </c>
      <c r="V121" s="13" t="str">
        <f aca="false">IF(OR($B121="",N($F121)=0),"",(N($F121)*N($G121)-$S121-$T121)/$F121)</f>
        <v/>
      </c>
      <c r="W121" s="14" t="str">
        <f aca="false">IF(OR($B121="",N($F121)*N($G121)=0),"",$U121/($F121*$G121))</f>
        <v/>
      </c>
      <c r="X121" s="14" t="str">
        <f aca="false">IF(OR($W121="",$P121=""),"",$W121*365/MAX($P121,1))</f>
        <v/>
      </c>
      <c r="Y121" s="10" t="str">
        <f aca="false">IF($B121="","",IF(OR($A121="",$E121="",$F121="",$G121="",$I121=""),"Faltan datos obligatorios",IF(COUNTIF($A$2:$A$201,$A121)&gt;1,"ID lote duplicado",IF(AND($I121&lt;&gt;"En cartera",OR($J121="",$K121="")),"Falta fecha o precio de salida",IF(AND($J121&lt;&gt;"",$J121&lt;$E121),"Salida anterior a entrada",IF(AND($I121="En cartera",$M121=""),"OK (sin precio actual)","OK"))))))</f>
        <v/>
      </c>
    </row>
    <row r="122" customFormat="false" ht="15" hidden="false" customHeight="true" outlineLevel="0" collapsed="false">
      <c r="A122" s="7"/>
      <c r="B122" s="7"/>
      <c r="C122" s="7"/>
      <c r="D122" s="5"/>
      <c r="E122" s="6"/>
      <c r="F122" s="5"/>
      <c r="G122" s="8"/>
      <c r="H122" s="9"/>
      <c r="I122" s="7"/>
      <c r="J122" s="6"/>
      <c r="K122" s="8"/>
      <c r="L122" s="9"/>
      <c r="M122" s="8"/>
      <c r="N122" s="7"/>
      <c r="O122" s="12" t="str">
        <f aca="false">IF($B122="","",N($F122)*N($G122)+N($H122))</f>
        <v/>
      </c>
      <c r="P122" s="11" t="str">
        <f aca="true">IF(OR($B122="",$E122=""),"",IF($J122&lt;&gt;"",$J122,TODAY())-$E122)</f>
        <v/>
      </c>
      <c r="Q122" s="12" t="str">
        <f aca="false">IF(OR($B122="",$I122="",$I122="En cartera"),"",($K122-$G122)*$F122-N($H122)-N($L122))</f>
        <v/>
      </c>
      <c r="R122" s="12" t="str">
        <f aca="false">IF(OR($B122="",$I122&lt;&gt;"En cartera",$M122=""),"",($M122-$G122)*$F122-N($H122))</f>
        <v/>
      </c>
      <c r="S122" s="12" t="str">
        <f aca="false">IF($B122="","",SUMIFS(Dividendos!$I$2:$I$301,Dividendos!$C$2:$C$301,$A122))</f>
        <v/>
      </c>
      <c r="T122" s="12" t="str">
        <f aca="false">IF($B122="","",SUMIFS(Operaciones!$AE$2:$AE$1001,Operaciones!$R$2:$R$1001,$A122))</f>
        <v/>
      </c>
      <c r="U122" s="12" t="str">
        <f aca="false">IF($B122="","",N($Q122)+$S122+$T122)</f>
        <v/>
      </c>
      <c r="V122" s="13" t="str">
        <f aca="false">IF(OR($B122="",N($F122)=0),"",(N($F122)*N($G122)-$S122-$T122)/$F122)</f>
        <v/>
      </c>
      <c r="W122" s="14" t="str">
        <f aca="false">IF(OR($B122="",N($F122)*N($G122)=0),"",$U122/($F122*$G122))</f>
        <v/>
      </c>
      <c r="X122" s="14" t="str">
        <f aca="false">IF(OR($W122="",$P122=""),"",$W122*365/MAX($P122,1))</f>
        <v/>
      </c>
      <c r="Y122" s="10" t="str">
        <f aca="false">IF($B122="","",IF(OR($A122="",$E122="",$F122="",$G122="",$I122=""),"Faltan datos obligatorios",IF(COUNTIF($A$2:$A$201,$A122)&gt;1,"ID lote duplicado",IF(AND($I122&lt;&gt;"En cartera",OR($J122="",$K122="")),"Falta fecha o precio de salida",IF(AND($J122&lt;&gt;"",$J122&lt;$E122),"Salida anterior a entrada",IF(AND($I122="En cartera",$M122=""),"OK (sin precio actual)","OK"))))))</f>
        <v/>
      </c>
    </row>
    <row r="123" customFormat="false" ht="15" hidden="false" customHeight="true" outlineLevel="0" collapsed="false">
      <c r="A123" s="7"/>
      <c r="B123" s="7"/>
      <c r="C123" s="7"/>
      <c r="D123" s="5"/>
      <c r="E123" s="6"/>
      <c r="F123" s="5"/>
      <c r="G123" s="8"/>
      <c r="H123" s="9"/>
      <c r="I123" s="7"/>
      <c r="J123" s="6"/>
      <c r="K123" s="8"/>
      <c r="L123" s="9"/>
      <c r="M123" s="8"/>
      <c r="N123" s="7"/>
      <c r="O123" s="12" t="str">
        <f aca="false">IF($B123="","",N($F123)*N($G123)+N($H123))</f>
        <v/>
      </c>
      <c r="P123" s="11" t="str">
        <f aca="true">IF(OR($B123="",$E123=""),"",IF($J123&lt;&gt;"",$J123,TODAY())-$E123)</f>
        <v/>
      </c>
      <c r="Q123" s="12" t="str">
        <f aca="false">IF(OR($B123="",$I123="",$I123="En cartera"),"",($K123-$G123)*$F123-N($H123)-N($L123))</f>
        <v/>
      </c>
      <c r="R123" s="12" t="str">
        <f aca="false">IF(OR($B123="",$I123&lt;&gt;"En cartera",$M123=""),"",($M123-$G123)*$F123-N($H123))</f>
        <v/>
      </c>
      <c r="S123" s="12" t="str">
        <f aca="false">IF($B123="","",SUMIFS(Dividendos!$I$2:$I$301,Dividendos!$C$2:$C$301,$A123))</f>
        <v/>
      </c>
      <c r="T123" s="12" t="str">
        <f aca="false">IF($B123="","",SUMIFS(Operaciones!$AE$2:$AE$1001,Operaciones!$R$2:$R$1001,$A123))</f>
        <v/>
      </c>
      <c r="U123" s="12" t="str">
        <f aca="false">IF($B123="","",N($Q123)+$S123+$T123)</f>
        <v/>
      </c>
      <c r="V123" s="13" t="str">
        <f aca="false">IF(OR($B123="",N($F123)=0),"",(N($F123)*N($G123)-$S123-$T123)/$F123)</f>
        <v/>
      </c>
      <c r="W123" s="14" t="str">
        <f aca="false">IF(OR($B123="",N($F123)*N($G123)=0),"",$U123/($F123*$G123))</f>
        <v/>
      </c>
      <c r="X123" s="14" t="str">
        <f aca="false">IF(OR($W123="",$P123=""),"",$W123*365/MAX($P123,1))</f>
        <v/>
      </c>
      <c r="Y123" s="10" t="str">
        <f aca="false">IF($B123="","",IF(OR($A123="",$E123="",$F123="",$G123="",$I123=""),"Faltan datos obligatorios",IF(COUNTIF($A$2:$A$201,$A123)&gt;1,"ID lote duplicado",IF(AND($I123&lt;&gt;"En cartera",OR($J123="",$K123="")),"Falta fecha o precio de salida",IF(AND($J123&lt;&gt;"",$J123&lt;$E123),"Salida anterior a entrada",IF(AND($I123="En cartera",$M123=""),"OK (sin precio actual)","OK"))))))</f>
        <v/>
      </c>
    </row>
    <row r="124" customFormat="false" ht="15" hidden="false" customHeight="true" outlineLevel="0" collapsed="false">
      <c r="A124" s="7"/>
      <c r="B124" s="7"/>
      <c r="C124" s="7"/>
      <c r="D124" s="5"/>
      <c r="E124" s="6"/>
      <c r="F124" s="5"/>
      <c r="G124" s="8"/>
      <c r="H124" s="9"/>
      <c r="I124" s="7"/>
      <c r="J124" s="6"/>
      <c r="K124" s="8"/>
      <c r="L124" s="9"/>
      <c r="M124" s="8"/>
      <c r="N124" s="7"/>
      <c r="O124" s="12" t="str">
        <f aca="false">IF($B124="","",N($F124)*N($G124)+N($H124))</f>
        <v/>
      </c>
      <c r="P124" s="11" t="str">
        <f aca="true">IF(OR($B124="",$E124=""),"",IF($J124&lt;&gt;"",$J124,TODAY())-$E124)</f>
        <v/>
      </c>
      <c r="Q124" s="12" t="str">
        <f aca="false">IF(OR($B124="",$I124="",$I124="En cartera"),"",($K124-$G124)*$F124-N($H124)-N($L124))</f>
        <v/>
      </c>
      <c r="R124" s="12" t="str">
        <f aca="false">IF(OR($B124="",$I124&lt;&gt;"En cartera",$M124=""),"",($M124-$G124)*$F124-N($H124))</f>
        <v/>
      </c>
      <c r="S124" s="12" t="str">
        <f aca="false">IF($B124="","",SUMIFS(Dividendos!$I$2:$I$301,Dividendos!$C$2:$C$301,$A124))</f>
        <v/>
      </c>
      <c r="T124" s="12" t="str">
        <f aca="false">IF($B124="","",SUMIFS(Operaciones!$AE$2:$AE$1001,Operaciones!$R$2:$R$1001,$A124))</f>
        <v/>
      </c>
      <c r="U124" s="12" t="str">
        <f aca="false">IF($B124="","",N($Q124)+$S124+$T124)</f>
        <v/>
      </c>
      <c r="V124" s="13" t="str">
        <f aca="false">IF(OR($B124="",N($F124)=0),"",(N($F124)*N($G124)-$S124-$T124)/$F124)</f>
        <v/>
      </c>
      <c r="W124" s="14" t="str">
        <f aca="false">IF(OR($B124="",N($F124)*N($G124)=0),"",$U124/($F124*$G124))</f>
        <v/>
      </c>
      <c r="X124" s="14" t="str">
        <f aca="false">IF(OR($W124="",$P124=""),"",$W124*365/MAX($P124,1))</f>
        <v/>
      </c>
      <c r="Y124" s="10" t="str">
        <f aca="false">IF($B124="","",IF(OR($A124="",$E124="",$F124="",$G124="",$I124=""),"Faltan datos obligatorios",IF(COUNTIF($A$2:$A$201,$A124)&gt;1,"ID lote duplicado",IF(AND($I124&lt;&gt;"En cartera",OR($J124="",$K124="")),"Falta fecha o precio de salida",IF(AND($J124&lt;&gt;"",$J124&lt;$E124),"Salida anterior a entrada",IF(AND($I124="En cartera",$M124=""),"OK (sin precio actual)","OK"))))))</f>
        <v/>
      </c>
    </row>
    <row r="125" customFormat="false" ht="15" hidden="false" customHeight="true" outlineLevel="0" collapsed="false">
      <c r="A125" s="7"/>
      <c r="B125" s="7"/>
      <c r="C125" s="7"/>
      <c r="D125" s="5"/>
      <c r="E125" s="6"/>
      <c r="F125" s="5"/>
      <c r="G125" s="8"/>
      <c r="H125" s="9"/>
      <c r="I125" s="7"/>
      <c r="J125" s="6"/>
      <c r="K125" s="8"/>
      <c r="L125" s="9"/>
      <c r="M125" s="8"/>
      <c r="N125" s="7"/>
      <c r="O125" s="12" t="str">
        <f aca="false">IF($B125="","",N($F125)*N($G125)+N($H125))</f>
        <v/>
      </c>
      <c r="P125" s="11" t="str">
        <f aca="true">IF(OR($B125="",$E125=""),"",IF($J125&lt;&gt;"",$J125,TODAY())-$E125)</f>
        <v/>
      </c>
      <c r="Q125" s="12" t="str">
        <f aca="false">IF(OR($B125="",$I125="",$I125="En cartera"),"",($K125-$G125)*$F125-N($H125)-N($L125))</f>
        <v/>
      </c>
      <c r="R125" s="12" t="str">
        <f aca="false">IF(OR($B125="",$I125&lt;&gt;"En cartera",$M125=""),"",($M125-$G125)*$F125-N($H125))</f>
        <v/>
      </c>
      <c r="S125" s="12" t="str">
        <f aca="false">IF($B125="","",SUMIFS(Dividendos!$I$2:$I$301,Dividendos!$C$2:$C$301,$A125))</f>
        <v/>
      </c>
      <c r="T125" s="12" t="str">
        <f aca="false">IF($B125="","",SUMIFS(Operaciones!$AE$2:$AE$1001,Operaciones!$R$2:$R$1001,$A125))</f>
        <v/>
      </c>
      <c r="U125" s="12" t="str">
        <f aca="false">IF($B125="","",N($Q125)+$S125+$T125)</f>
        <v/>
      </c>
      <c r="V125" s="13" t="str">
        <f aca="false">IF(OR($B125="",N($F125)=0),"",(N($F125)*N($G125)-$S125-$T125)/$F125)</f>
        <v/>
      </c>
      <c r="W125" s="14" t="str">
        <f aca="false">IF(OR($B125="",N($F125)*N($G125)=0),"",$U125/($F125*$G125))</f>
        <v/>
      </c>
      <c r="X125" s="14" t="str">
        <f aca="false">IF(OR($W125="",$P125=""),"",$W125*365/MAX($P125,1))</f>
        <v/>
      </c>
      <c r="Y125" s="10" t="str">
        <f aca="false">IF($B125="","",IF(OR($A125="",$E125="",$F125="",$G125="",$I125=""),"Faltan datos obligatorios",IF(COUNTIF($A$2:$A$201,$A125)&gt;1,"ID lote duplicado",IF(AND($I125&lt;&gt;"En cartera",OR($J125="",$K125="")),"Falta fecha o precio de salida",IF(AND($J125&lt;&gt;"",$J125&lt;$E125),"Salida anterior a entrada",IF(AND($I125="En cartera",$M125=""),"OK (sin precio actual)","OK"))))))</f>
        <v/>
      </c>
    </row>
    <row r="126" customFormat="false" ht="15" hidden="false" customHeight="true" outlineLevel="0" collapsed="false">
      <c r="A126" s="7"/>
      <c r="B126" s="7"/>
      <c r="C126" s="7"/>
      <c r="D126" s="5"/>
      <c r="E126" s="6"/>
      <c r="F126" s="5"/>
      <c r="G126" s="8"/>
      <c r="H126" s="9"/>
      <c r="I126" s="7"/>
      <c r="J126" s="6"/>
      <c r="K126" s="8"/>
      <c r="L126" s="9"/>
      <c r="M126" s="8"/>
      <c r="N126" s="7"/>
      <c r="O126" s="12" t="str">
        <f aca="false">IF($B126="","",N($F126)*N($G126)+N($H126))</f>
        <v/>
      </c>
      <c r="P126" s="11" t="str">
        <f aca="true">IF(OR($B126="",$E126=""),"",IF($J126&lt;&gt;"",$J126,TODAY())-$E126)</f>
        <v/>
      </c>
      <c r="Q126" s="12" t="str">
        <f aca="false">IF(OR($B126="",$I126="",$I126="En cartera"),"",($K126-$G126)*$F126-N($H126)-N($L126))</f>
        <v/>
      </c>
      <c r="R126" s="12" t="str">
        <f aca="false">IF(OR($B126="",$I126&lt;&gt;"En cartera",$M126=""),"",($M126-$G126)*$F126-N($H126))</f>
        <v/>
      </c>
      <c r="S126" s="12" t="str">
        <f aca="false">IF($B126="","",SUMIFS(Dividendos!$I$2:$I$301,Dividendos!$C$2:$C$301,$A126))</f>
        <v/>
      </c>
      <c r="T126" s="12" t="str">
        <f aca="false">IF($B126="","",SUMIFS(Operaciones!$AE$2:$AE$1001,Operaciones!$R$2:$R$1001,$A126))</f>
        <v/>
      </c>
      <c r="U126" s="12" t="str">
        <f aca="false">IF($B126="","",N($Q126)+$S126+$T126)</f>
        <v/>
      </c>
      <c r="V126" s="13" t="str">
        <f aca="false">IF(OR($B126="",N($F126)=0),"",(N($F126)*N($G126)-$S126-$T126)/$F126)</f>
        <v/>
      </c>
      <c r="W126" s="14" t="str">
        <f aca="false">IF(OR($B126="",N($F126)*N($G126)=0),"",$U126/($F126*$G126))</f>
        <v/>
      </c>
      <c r="X126" s="14" t="str">
        <f aca="false">IF(OR($W126="",$P126=""),"",$W126*365/MAX($P126,1))</f>
        <v/>
      </c>
      <c r="Y126" s="10" t="str">
        <f aca="false">IF($B126="","",IF(OR($A126="",$E126="",$F126="",$G126="",$I126=""),"Faltan datos obligatorios",IF(COUNTIF($A$2:$A$201,$A126)&gt;1,"ID lote duplicado",IF(AND($I126&lt;&gt;"En cartera",OR($J126="",$K126="")),"Falta fecha o precio de salida",IF(AND($J126&lt;&gt;"",$J126&lt;$E126),"Salida anterior a entrada",IF(AND($I126="En cartera",$M126=""),"OK (sin precio actual)","OK"))))))</f>
        <v/>
      </c>
    </row>
    <row r="127" customFormat="false" ht="15" hidden="false" customHeight="true" outlineLevel="0" collapsed="false">
      <c r="A127" s="7"/>
      <c r="B127" s="7"/>
      <c r="C127" s="7"/>
      <c r="D127" s="5"/>
      <c r="E127" s="6"/>
      <c r="F127" s="5"/>
      <c r="G127" s="8"/>
      <c r="H127" s="9"/>
      <c r="I127" s="7"/>
      <c r="J127" s="6"/>
      <c r="K127" s="8"/>
      <c r="L127" s="9"/>
      <c r="M127" s="8"/>
      <c r="N127" s="7"/>
      <c r="O127" s="12" t="str">
        <f aca="false">IF($B127="","",N($F127)*N($G127)+N($H127))</f>
        <v/>
      </c>
      <c r="P127" s="11" t="str">
        <f aca="true">IF(OR($B127="",$E127=""),"",IF($J127&lt;&gt;"",$J127,TODAY())-$E127)</f>
        <v/>
      </c>
      <c r="Q127" s="12" t="str">
        <f aca="false">IF(OR($B127="",$I127="",$I127="En cartera"),"",($K127-$G127)*$F127-N($H127)-N($L127))</f>
        <v/>
      </c>
      <c r="R127" s="12" t="str">
        <f aca="false">IF(OR($B127="",$I127&lt;&gt;"En cartera",$M127=""),"",($M127-$G127)*$F127-N($H127))</f>
        <v/>
      </c>
      <c r="S127" s="12" t="str">
        <f aca="false">IF($B127="","",SUMIFS(Dividendos!$I$2:$I$301,Dividendos!$C$2:$C$301,$A127))</f>
        <v/>
      </c>
      <c r="T127" s="12" t="str">
        <f aca="false">IF($B127="","",SUMIFS(Operaciones!$AE$2:$AE$1001,Operaciones!$R$2:$R$1001,$A127))</f>
        <v/>
      </c>
      <c r="U127" s="12" t="str">
        <f aca="false">IF($B127="","",N($Q127)+$S127+$T127)</f>
        <v/>
      </c>
      <c r="V127" s="13" t="str">
        <f aca="false">IF(OR($B127="",N($F127)=0),"",(N($F127)*N($G127)-$S127-$T127)/$F127)</f>
        <v/>
      </c>
      <c r="W127" s="14" t="str">
        <f aca="false">IF(OR($B127="",N($F127)*N($G127)=0),"",$U127/($F127*$G127))</f>
        <v/>
      </c>
      <c r="X127" s="14" t="str">
        <f aca="false">IF(OR($W127="",$P127=""),"",$W127*365/MAX($P127,1))</f>
        <v/>
      </c>
      <c r="Y127" s="10" t="str">
        <f aca="false">IF($B127="","",IF(OR($A127="",$E127="",$F127="",$G127="",$I127=""),"Faltan datos obligatorios",IF(COUNTIF($A$2:$A$201,$A127)&gt;1,"ID lote duplicado",IF(AND($I127&lt;&gt;"En cartera",OR($J127="",$K127="")),"Falta fecha o precio de salida",IF(AND($J127&lt;&gt;"",$J127&lt;$E127),"Salida anterior a entrada",IF(AND($I127="En cartera",$M127=""),"OK (sin precio actual)","OK"))))))</f>
        <v/>
      </c>
    </row>
    <row r="128" customFormat="false" ht="15" hidden="false" customHeight="true" outlineLevel="0" collapsed="false">
      <c r="A128" s="7"/>
      <c r="B128" s="7"/>
      <c r="C128" s="7"/>
      <c r="D128" s="5"/>
      <c r="E128" s="6"/>
      <c r="F128" s="5"/>
      <c r="G128" s="8"/>
      <c r="H128" s="9"/>
      <c r="I128" s="7"/>
      <c r="J128" s="6"/>
      <c r="K128" s="8"/>
      <c r="L128" s="9"/>
      <c r="M128" s="8"/>
      <c r="N128" s="7"/>
      <c r="O128" s="12" t="str">
        <f aca="false">IF($B128="","",N($F128)*N($G128)+N($H128))</f>
        <v/>
      </c>
      <c r="P128" s="11" t="str">
        <f aca="true">IF(OR($B128="",$E128=""),"",IF($J128&lt;&gt;"",$J128,TODAY())-$E128)</f>
        <v/>
      </c>
      <c r="Q128" s="12" t="str">
        <f aca="false">IF(OR($B128="",$I128="",$I128="En cartera"),"",($K128-$G128)*$F128-N($H128)-N($L128))</f>
        <v/>
      </c>
      <c r="R128" s="12" t="str">
        <f aca="false">IF(OR($B128="",$I128&lt;&gt;"En cartera",$M128=""),"",($M128-$G128)*$F128-N($H128))</f>
        <v/>
      </c>
      <c r="S128" s="12" t="str">
        <f aca="false">IF($B128="","",SUMIFS(Dividendos!$I$2:$I$301,Dividendos!$C$2:$C$301,$A128))</f>
        <v/>
      </c>
      <c r="T128" s="12" t="str">
        <f aca="false">IF($B128="","",SUMIFS(Operaciones!$AE$2:$AE$1001,Operaciones!$R$2:$R$1001,$A128))</f>
        <v/>
      </c>
      <c r="U128" s="12" t="str">
        <f aca="false">IF($B128="","",N($Q128)+$S128+$T128)</f>
        <v/>
      </c>
      <c r="V128" s="13" t="str">
        <f aca="false">IF(OR($B128="",N($F128)=0),"",(N($F128)*N($G128)-$S128-$T128)/$F128)</f>
        <v/>
      </c>
      <c r="W128" s="14" t="str">
        <f aca="false">IF(OR($B128="",N($F128)*N($G128)=0),"",$U128/($F128*$G128))</f>
        <v/>
      </c>
      <c r="X128" s="14" t="str">
        <f aca="false">IF(OR($W128="",$P128=""),"",$W128*365/MAX($P128,1))</f>
        <v/>
      </c>
      <c r="Y128" s="10" t="str">
        <f aca="false">IF($B128="","",IF(OR($A128="",$E128="",$F128="",$G128="",$I128=""),"Faltan datos obligatorios",IF(COUNTIF($A$2:$A$201,$A128)&gt;1,"ID lote duplicado",IF(AND($I128&lt;&gt;"En cartera",OR($J128="",$K128="")),"Falta fecha o precio de salida",IF(AND($J128&lt;&gt;"",$J128&lt;$E128),"Salida anterior a entrada",IF(AND($I128="En cartera",$M128=""),"OK (sin precio actual)","OK"))))))</f>
        <v/>
      </c>
    </row>
    <row r="129" customFormat="false" ht="15" hidden="false" customHeight="true" outlineLevel="0" collapsed="false">
      <c r="A129" s="7"/>
      <c r="B129" s="7"/>
      <c r="C129" s="7"/>
      <c r="D129" s="5"/>
      <c r="E129" s="6"/>
      <c r="F129" s="5"/>
      <c r="G129" s="8"/>
      <c r="H129" s="9"/>
      <c r="I129" s="7"/>
      <c r="J129" s="6"/>
      <c r="K129" s="8"/>
      <c r="L129" s="9"/>
      <c r="M129" s="8"/>
      <c r="N129" s="7"/>
      <c r="O129" s="12" t="str">
        <f aca="false">IF($B129="","",N($F129)*N($G129)+N($H129))</f>
        <v/>
      </c>
      <c r="P129" s="11" t="str">
        <f aca="true">IF(OR($B129="",$E129=""),"",IF($J129&lt;&gt;"",$J129,TODAY())-$E129)</f>
        <v/>
      </c>
      <c r="Q129" s="12" t="str">
        <f aca="false">IF(OR($B129="",$I129="",$I129="En cartera"),"",($K129-$G129)*$F129-N($H129)-N($L129))</f>
        <v/>
      </c>
      <c r="R129" s="12" t="str">
        <f aca="false">IF(OR($B129="",$I129&lt;&gt;"En cartera",$M129=""),"",($M129-$G129)*$F129-N($H129))</f>
        <v/>
      </c>
      <c r="S129" s="12" t="str">
        <f aca="false">IF($B129="","",SUMIFS(Dividendos!$I$2:$I$301,Dividendos!$C$2:$C$301,$A129))</f>
        <v/>
      </c>
      <c r="T129" s="12" t="str">
        <f aca="false">IF($B129="","",SUMIFS(Operaciones!$AE$2:$AE$1001,Operaciones!$R$2:$R$1001,$A129))</f>
        <v/>
      </c>
      <c r="U129" s="12" t="str">
        <f aca="false">IF($B129="","",N($Q129)+$S129+$T129)</f>
        <v/>
      </c>
      <c r="V129" s="13" t="str">
        <f aca="false">IF(OR($B129="",N($F129)=0),"",(N($F129)*N($G129)-$S129-$T129)/$F129)</f>
        <v/>
      </c>
      <c r="W129" s="14" t="str">
        <f aca="false">IF(OR($B129="",N($F129)*N($G129)=0),"",$U129/($F129*$G129))</f>
        <v/>
      </c>
      <c r="X129" s="14" t="str">
        <f aca="false">IF(OR($W129="",$P129=""),"",$W129*365/MAX($P129,1))</f>
        <v/>
      </c>
      <c r="Y129" s="10" t="str">
        <f aca="false">IF($B129="","",IF(OR($A129="",$E129="",$F129="",$G129="",$I129=""),"Faltan datos obligatorios",IF(COUNTIF($A$2:$A$201,$A129)&gt;1,"ID lote duplicado",IF(AND($I129&lt;&gt;"En cartera",OR($J129="",$K129="")),"Falta fecha o precio de salida",IF(AND($J129&lt;&gt;"",$J129&lt;$E129),"Salida anterior a entrada",IF(AND($I129="En cartera",$M129=""),"OK (sin precio actual)","OK"))))))</f>
        <v/>
      </c>
    </row>
    <row r="130" customFormat="false" ht="15" hidden="false" customHeight="true" outlineLevel="0" collapsed="false">
      <c r="A130" s="7"/>
      <c r="B130" s="7"/>
      <c r="C130" s="7"/>
      <c r="D130" s="5"/>
      <c r="E130" s="6"/>
      <c r="F130" s="5"/>
      <c r="G130" s="8"/>
      <c r="H130" s="9"/>
      <c r="I130" s="7"/>
      <c r="J130" s="6"/>
      <c r="K130" s="8"/>
      <c r="L130" s="9"/>
      <c r="M130" s="8"/>
      <c r="N130" s="7"/>
      <c r="O130" s="12" t="str">
        <f aca="false">IF($B130="","",N($F130)*N($G130)+N($H130))</f>
        <v/>
      </c>
      <c r="P130" s="11" t="str">
        <f aca="true">IF(OR($B130="",$E130=""),"",IF($J130&lt;&gt;"",$J130,TODAY())-$E130)</f>
        <v/>
      </c>
      <c r="Q130" s="12" t="str">
        <f aca="false">IF(OR($B130="",$I130="",$I130="En cartera"),"",($K130-$G130)*$F130-N($H130)-N($L130))</f>
        <v/>
      </c>
      <c r="R130" s="12" t="str">
        <f aca="false">IF(OR($B130="",$I130&lt;&gt;"En cartera",$M130=""),"",($M130-$G130)*$F130-N($H130))</f>
        <v/>
      </c>
      <c r="S130" s="12" t="str">
        <f aca="false">IF($B130="","",SUMIFS(Dividendos!$I$2:$I$301,Dividendos!$C$2:$C$301,$A130))</f>
        <v/>
      </c>
      <c r="T130" s="12" t="str">
        <f aca="false">IF($B130="","",SUMIFS(Operaciones!$AE$2:$AE$1001,Operaciones!$R$2:$R$1001,$A130))</f>
        <v/>
      </c>
      <c r="U130" s="12" t="str">
        <f aca="false">IF($B130="","",N($Q130)+$S130+$T130)</f>
        <v/>
      </c>
      <c r="V130" s="13" t="str">
        <f aca="false">IF(OR($B130="",N($F130)=0),"",(N($F130)*N($G130)-$S130-$T130)/$F130)</f>
        <v/>
      </c>
      <c r="W130" s="14" t="str">
        <f aca="false">IF(OR($B130="",N($F130)*N($G130)=0),"",$U130/($F130*$G130))</f>
        <v/>
      </c>
      <c r="X130" s="14" t="str">
        <f aca="false">IF(OR($W130="",$P130=""),"",$W130*365/MAX($P130,1))</f>
        <v/>
      </c>
      <c r="Y130" s="10" t="str">
        <f aca="false">IF($B130="","",IF(OR($A130="",$E130="",$F130="",$G130="",$I130=""),"Faltan datos obligatorios",IF(COUNTIF($A$2:$A$201,$A130)&gt;1,"ID lote duplicado",IF(AND($I130&lt;&gt;"En cartera",OR($J130="",$K130="")),"Falta fecha o precio de salida",IF(AND($J130&lt;&gt;"",$J130&lt;$E130),"Salida anterior a entrada",IF(AND($I130="En cartera",$M130=""),"OK (sin precio actual)","OK"))))))</f>
        <v/>
      </c>
    </row>
    <row r="131" customFormat="false" ht="15" hidden="false" customHeight="true" outlineLevel="0" collapsed="false">
      <c r="A131" s="7"/>
      <c r="B131" s="7"/>
      <c r="C131" s="7"/>
      <c r="D131" s="5"/>
      <c r="E131" s="6"/>
      <c r="F131" s="5"/>
      <c r="G131" s="8"/>
      <c r="H131" s="9"/>
      <c r="I131" s="7"/>
      <c r="J131" s="6"/>
      <c r="K131" s="8"/>
      <c r="L131" s="9"/>
      <c r="M131" s="8"/>
      <c r="N131" s="7"/>
      <c r="O131" s="12" t="str">
        <f aca="false">IF($B131="","",N($F131)*N($G131)+N($H131))</f>
        <v/>
      </c>
      <c r="P131" s="11" t="str">
        <f aca="true">IF(OR($B131="",$E131=""),"",IF($J131&lt;&gt;"",$J131,TODAY())-$E131)</f>
        <v/>
      </c>
      <c r="Q131" s="12" t="str">
        <f aca="false">IF(OR($B131="",$I131="",$I131="En cartera"),"",($K131-$G131)*$F131-N($H131)-N($L131))</f>
        <v/>
      </c>
      <c r="R131" s="12" t="str">
        <f aca="false">IF(OR($B131="",$I131&lt;&gt;"En cartera",$M131=""),"",($M131-$G131)*$F131-N($H131))</f>
        <v/>
      </c>
      <c r="S131" s="12" t="str">
        <f aca="false">IF($B131="","",SUMIFS(Dividendos!$I$2:$I$301,Dividendos!$C$2:$C$301,$A131))</f>
        <v/>
      </c>
      <c r="T131" s="12" t="str">
        <f aca="false">IF($B131="","",SUMIFS(Operaciones!$AE$2:$AE$1001,Operaciones!$R$2:$R$1001,$A131))</f>
        <v/>
      </c>
      <c r="U131" s="12" t="str">
        <f aca="false">IF($B131="","",N($Q131)+$S131+$T131)</f>
        <v/>
      </c>
      <c r="V131" s="13" t="str">
        <f aca="false">IF(OR($B131="",N($F131)=0),"",(N($F131)*N($G131)-$S131-$T131)/$F131)</f>
        <v/>
      </c>
      <c r="W131" s="14" t="str">
        <f aca="false">IF(OR($B131="",N($F131)*N($G131)=0),"",$U131/($F131*$G131))</f>
        <v/>
      </c>
      <c r="X131" s="14" t="str">
        <f aca="false">IF(OR($W131="",$P131=""),"",$W131*365/MAX($P131,1))</f>
        <v/>
      </c>
      <c r="Y131" s="10" t="str">
        <f aca="false">IF($B131="","",IF(OR($A131="",$E131="",$F131="",$G131="",$I131=""),"Faltan datos obligatorios",IF(COUNTIF($A$2:$A$201,$A131)&gt;1,"ID lote duplicado",IF(AND($I131&lt;&gt;"En cartera",OR($J131="",$K131="")),"Falta fecha o precio de salida",IF(AND($J131&lt;&gt;"",$J131&lt;$E131),"Salida anterior a entrada",IF(AND($I131="En cartera",$M131=""),"OK (sin precio actual)","OK"))))))</f>
        <v/>
      </c>
    </row>
    <row r="132" customFormat="false" ht="15" hidden="false" customHeight="true" outlineLevel="0" collapsed="false">
      <c r="A132" s="7"/>
      <c r="B132" s="7"/>
      <c r="C132" s="7"/>
      <c r="D132" s="5"/>
      <c r="E132" s="6"/>
      <c r="F132" s="5"/>
      <c r="G132" s="8"/>
      <c r="H132" s="9"/>
      <c r="I132" s="7"/>
      <c r="J132" s="6"/>
      <c r="K132" s="8"/>
      <c r="L132" s="9"/>
      <c r="M132" s="8"/>
      <c r="N132" s="7"/>
      <c r="O132" s="12" t="str">
        <f aca="false">IF($B132="","",N($F132)*N($G132)+N($H132))</f>
        <v/>
      </c>
      <c r="P132" s="11" t="str">
        <f aca="true">IF(OR($B132="",$E132=""),"",IF($J132&lt;&gt;"",$J132,TODAY())-$E132)</f>
        <v/>
      </c>
      <c r="Q132" s="12" t="str">
        <f aca="false">IF(OR($B132="",$I132="",$I132="En cartera"),"",($K132-$G132)*$F132-N($H132)-N($L132))</f>
        <v/>
      </c>
      <c r="R132" s="12" t="str">
        <f aca="false">IF(OR($B132="",$I132&lt;&gt;"En cartera",$M132=""),"",($M132-$G132)*$F132-N($H132))</f>
        <v/>
      </c>
      <c r="S132" s="12" t="str">
        <f aca="false">IF($B132="","",SUMIFS(Dividendos!$I$2:$I$301,Dividendos!$C$2:$C$301,$A132))</f>
        <v/>
      </c>
      <c r="T132" s="12" t="str">
        <f aca="false">IF($B132="","",SUMIFS(Operaciones!$AE$2:$AE$1001,Operaciones!$R$2:$R$1001,$A132))</f>
        <v/>
      </c>
      <c r="U132" s="12" t="str">
        <f aca="false">IF($B132="","",N($Q132)+$S132+$T132)</f>
        <v/>
      </c>
      <c r="V132" s="13" t="str">
        <f aca="false">IF(OR($B132="",N($F132)=0),"",(N($F132)*N($G132)-$S132-$T132)/$F132)</f>
        <v/>
      </c>
      <c r="W132" s="14" t="str">
        <f aca="false">IF(OR($B132="",N($F132)*N($G132)=0),"",$U132/($F132*$G132))</f>
        <v/>
      </c>
      <c r="X132" s="14" t="str">
        <f aca="false">IF(OR($W132="",$P132=""),"",$W132*365/MAX($P132,1))</f>
        <v/>
      </c>
      <c r="Y132" s="10" t="str">
        <f aca="false">IF($B132="","",IF(OR($A132="",$E132="",$F132="",$G132="",$I132=""),"Faltan datos obligatorios",IF(COUNTIF($A$2:$A$201,$A132)&gt;1,"ID lote duplicado",IF(AND($I132&lt;&gt;"En cartera",OR($J132="",$K132="")),"Falta fecha o precio de salida",IF(AND($J132&lt;&gt;"",$J132&lt;$E132),"Salida anterior a entrada",IF(AND($I132="En cartera",$M132=""),"OK (sin precio actual)","OK"))))))</f>
        <v/>
      </c>
    </row>
    <row r="133" customFormat="false" ht="15" hidden="false" customHeight="true" outlineLevel="0" collapsed="false">
      <c r="A133" s="7"/>
      <c r="B133" s="7"/>
      <c r="C133" s="7"/>
      <c r="D133" s="5"/>
      <c r="E133" s="6"/>
      <c r="F133" s="5"/>
      <c r="G133" s="8"/>
      <c r="H133" s="9"/>
      <c r="I133" s="7"/>
      <c r="J133" s="6"/>
      <c r="K133" s="8"/>
      <c r="L133" s="9"/>
      <c r="M133" s="8"/>
      <c r="N133" s="7"/>
      <c r="O133" s="12" t="str">
        <f aca="false">IF($B133="","",N($F133)*N($G133)+N($H133))</f>
        <v/>
      </c>
      <c r="P133" s="11" t="str">
        <f aca="true">IF(OR($B133="",$E133=""),"",IF($J133&lt;&gt;"",$J133,TODAY())-$E133)</f>
        <v/>
      </c>
      <c r="Q133" s="12" t="str">
        <f aca="false">IF(OR($B133="",$I133="",$I133="En cartera"),"",($K133-$G133)*$F133-N($H133)-N($L133))</f>
        <v/>
      </c>
      <c r="R133" s="12" t="str">
        <f aca="false">IF(OR($B133="",$I133&lt;&gt;"En cartera",$M133=""),"",($M133-$G133)*$F133-N($H133))</f>
        <v/>
      </c>
      <c r="S133" s="12" t="str">
        <f aca="false">IF($B133="","",SUMIFS(Dividendos!$I$2:$I$301,Dividendos!$C$2:$C$301,$A133))</f>
        <v/>
      </c>
      <c r="T133" s="12" t="str">
        <f aca="false">IF($B133="","",SUMIFS(Operaciones!$AE$2:$AE$1001,Operaciones!$R$2:$R$1001,$A133))</f>
        <v/>
      </c>
      <c r="U133" s="12" t="str">
        <f aca="false">IF($B133="","",N($Q133)+$S133+$T133)</f>
        <v/>
      </c>
      <c r="V133" s="13" t="str">
        <f aca="false">IF(OR($B133="",N($F133)=0),"",(N($F133)*N($G133)-$S133-$T133)/$F133)</f>
        <v/>
      </c>
      <c r="W133" s="14" t="str">
        <f aca="false">IF(OR($B133="",N($F133)*N($G133)=0),"",$U133/($F133*$G133))</f>
        <v/>
      </c>
      <c r="X133" s="14" t="str">
        <f aca="false">IF(OR($W133="",$P133=""),"",$W133*365/MAX($P133,1))</f>
        <v/>
      </c>
      <c r="Y133" s="10" t="str">
        <f aca="false">IF($B133="","",IF(OR($A133="",$E133="",$F133="",$G133="",$I133=""),"Faltan datos obligatorios",IF(COUNTIF($A$2:$A$201,$A133)&gt;1,"ID lote duplicado",IF(AND($I133&lt;&gt;"En cartera",OR($J133="",$K133="")),"Falta fecha o precio de salida",IF(AND($J133&lt;&gt;"",$J133&lt;$E133),"Salida anterior a entrada",IF(AND($I133="En cartera",$M133=""),"OK (sin precio actual)","OK"))))))</f>
        <v/>
      </c>
    </row>
    <row r="134" customFormat="false" ht="15" hidden="false" customHeight="true" outlineLevel="0" collapsed="false">
      <c r="A134" s="7"/>
      <c r="B134" s="7"/>
      <c r="C134" s="7"/>
      <c r="D134" s="5"/>
      <c r="E134" s="6"/>
      <c r="F134" s="5"/>
      <c r="G134" s="8"/>
      <c r="H134" s="9"/>
      <c r="I134" s="7"/>
      <c r="J134" s="6"/>
      <c r="K134" s="8"/>
      <c r="L134" s="9"/>
      <c r="M134" s="8"/>
      <c r="N134" s="7"/>
      <c r="O134" s="12" t="str">
        <f aca="false">IF($B134="","",N($F134)*N($G134)+N($H134))</f>
        <v/>
      </c>
      <c r="P134" s="11" t="str">
        <f aca="true">IF(OR($B134="",$E134=""),"",IF($J134&lt;&gt;"",$J134,TODAY())-$E134)</f>
        <v/>
      </c>
      <c r="Q134" s="12" t="str">
        <f aca="false">IF(OR($B134="",$I134="",$I134="En cartera"),"",($K134-$G134)*$F134-N($H134)-N($L134))</f>
        <v/>
      </c>
      <c r="R134" s="12" t="str">
        <f aca="false">IF(OR($B134="",$I134&lt;&gt;"En cartera",$M134=""),"",($M134-$G134)*$F134-N($H134))</f>
        <v/>
      </c>
      <c r="S134" s="12" t="str">
        <f aca="false">IF($B134="","",SUMIFS(Dividendos!$I$2:$I$301,Dividendos!$C$2:$C$301,$A134))</f>
        <v/>
      </c>
      <c r="T134" s="12" t="str">
        <f aca="false">IF($B134="","",SUMIFS(Operaciones!$AE$2:$AE$1001,Operaciones!$R$2:$R$1001,$A134))</f>
        <v/>
      </c>
      <c r="U134" s="12" t="str">
        <f aca="false">IF($B134="","",N($Q134)+$S134+$T134)</f>
        <v/>
      </c>
      <c r="V134" s="13" t="str">
        <f aca="false">IF(OR($B134="",N($F134)=0),"",(N($F134)*N($G134)-$S134-$T134)/$F134)</f>
        <v/>
      </c>
      <c r="W134" s="14" t="str">
        <f aca="false">IF(OR($B134="",N($F134)*N($G134)=0),"",$U134/($F134*$G134))</f>
        <v/>
      </c>
      <c r="X134" s="14" t="str">
        <f aca="false">IF(OR($W134="",$P134=""),"",$W134*365/MAX($P134,1))</f>
        <v/>
      </c>
      <c r="Y134" s="10" t="str">
        <f aca="false">IF($B134="","",IF(OR($A134="",$E134="",$F134="",$G134="",$I134=""),"Faltan datos obligatorios",IF(COUNTIF($A$2:$A$201,$A134)&gt;1,"ID lote duplicado",IF(AND($I134&lt;&gt;"En cartera",OR($J134="",$K134="")),"Falta fecha o precio de salida",IF(AND($J134&lt;&gt;"",$J134&lt;$E134),"Salida anterior a entrada",IF(AND($I134="En cartera",$M134=""),"OK (sin precio actual)","OK"))))))</f>
        <v/>
      </c>
    </row>
    <row r="135" customFormat="false" ht="15" hidden="false" customHeight="true" outlineLevel="0" collapsed="false">
      <c r="A135" s="7"/>
      <c r="B135" s="7"/>
      <c r="C135" s="7"/>
      <c r="D135" s="5"/>
      <c r="E135" s="6"/>
      <c r="F135" s="5"/>
      <c r="G135" s="8"/>
      <c r="H135" s="9"/>
      <c r="I135" s="7"/>
      <c r="J135" s="6"/>
      <c r="K135" s="8"/>
      <c r="L135" s="9"/>
      <c r="M135" s="8"/>
      <c r="N135" s="7"/>
      <c r="O135" s="12" t="str">
        <f aca="false">IF($B135="","",N($F135)*N($G135)+N($H135))</f>
        <v/>
      </c>
      <c r="P135" s="11" t="str">
        <f aca="true">IF(OR($B135="",$E135=""),"",IF($J135&lt;&gt;"",$J135,TODAY())-$E135)</f>
        <v/>
      </c>
      <c r="Q135" s="12" t="str">
        <f aca="false">IF(OR($B135="",$I135="",$I135="En cartera"),"",($K135-$G135)*$F135-N($H135)-N($L135))</f>
        <v/>
      </c>
      <c r="R135" s="12" t="str">
        <f aca="false">IF(OR($B135="",$I135&lt;&gt;"En cartera",$M135=""),"",($M135-$G135)*$F135-N($H135))</f>
        <v/>
      </c>
      <c r="S135" s="12" t="str">
        <f aca="false">IF($B135="","",SUMIFS(Dividendos!$I$2:$I$301,Dividendos!$C$2:$C$301,$A135))</f>
        <v/>
      </c>
      <c r="T135" s="12" t="str">
        <f aca="false">IF($B135="","",SUMIFS(Operaciones!$AE$2:$AE$1001,Operaciones!$R$2:$R$1001,$A135))</f>
        <v/>
      </c>
      <c r="U135" s="12" t="str">
        <f aca="false">IF($B135="","",N($Q135)+$S135+$T135)</f>
        <v/>
      </c>
      <c r="V135" s="13" t="str">
        <f aca="false">IF(OR($B135="",N($F135)=0),"",(N($F135)*N($G135)-$S135-$T135)/$F135)</f>
        <v/>
      </c>
      <c r="W135" s="14" t="str">
        <f aca="false">IF(OR($B135="",N($F135)*N($G135)=0),"",$U135/($F135*$G135))</f>
        <v/>
      </c>
      <c r="X135" s="14" t="str">
        <f aca="false">IF(OR($W135="",$P135=""),"",$W135*365/MAX($P135,1))</f>
        <v/>
      </c>
      <c r="Y135" s="10" t="str">
        <f aca="false">IF($B135="","",IF(OR($A135="",$E135="",$F135="",$G135="",$I135=""),"Faltan datos obligatorios",IF(COUNTIF($A$2:$A$201,$A135)&gt;1,"ID lote duplicado",IF(AND($I135&lt;&gt;"En cartera",OR($J135="",$K135="")),"Falta fecha o precio de salida",IF(AND($J135&lt;&gt;"",$J135&lt;$E135),"Salida anterior a entrada",IF(AND($I135="En cartera",$M135=""),"OK (sin precio actual)","OK"))))))</f>
        <v/>
      </c>
    </row>
    <row r="136" customFormat="false" ht="15" hidden="false" customHeight="true" outlineLevel="0" collapsed="false">
      <c r="A136" s="7"/>
      <c r="B136" s="7"/>
      <c r="C136" s="7"/>
      <c r="D136" s="5"/>
      <c r="E136" s="6"/>
      <c r="F136" s="5"/>
      <c r="G136" s="8"/>
      <c r="H136" s="9"/>
      <c r="I136" s="7"/>
      <c r="J136" s="6"/>
      <c r="K136" s="8"/>
      <c r="L136" s="9"/>
      <c r="M136" s="8"/>
      <c r="N136" s="7"/>
      <c r="O136" s="12" t="str">
        <f aca="false">IF($B136="","",N($F136)*N($G136)+N($H136))</f>
        <v/>
      </c>
      <c r="P136" s="11" t="str">
        <f aca="true">IF(OR($B136="",$E136=""),"",IF($J136&lt;&gt;"",$J136,TODAY())-$E136)</f>
        <v/>
      </c>
      <c r="Q136" s="12" t="str">
        <f aca="false">IF(OR($B136="",$I136="",$I136="En cartera"),"",($K136-$G136)*$F136-N($H136)-N($L136))</f>
        <v/>
      </c>
      <c r="R136" s="12" t="str">
        <f aca="false">IF(OR($B136="",$I136&lt;&gt;"En cartera",$M136=""),"",($M136-$G136)*$F136-N($H136))</f>
        <v/>
      </c>
      <c r="S136" s="12" t="str">
        <f aca="false">IF($B136="","",SUMIFS(Dividendos!$I$2:$I$301,Dividendos!$C$2:$C$301,$A136))</f>
        <v/>
      </c>
      <c r="T136" s="12" t="str">
        <f aca="false">IF($B136="","",SUMIFS(Operaciones!$AE$2:$AE$1001,Operaciones!$R$2:$R$1001,$A136))</f>
        <v/>
      </c>
      <c r="U136" s="12" t="str">
        <f aca="false">IF($B136="","",N($Q136)+$S136+$T136)</f>
        <v/>
      </c>
      <c r="V136" s="13" t="str">
        <f aca="false">IF(OR($B136="",N($F136)=0),"",(N($F136)*N($G136)-$S136-$T136)/$F136)</f>
        <v/>
      </c>
      <c r="W136" s="14" t="str">
        <f aca="false">IF(OR($B136="",N($F136)*N($G136)=0),"",$U136/($F136*$G136))</f>
        <v/>
      </c>
      <c r="X136" s="14" t="str">
        <f aca="false">IF(OR($W136="",$P136=""),"",$W136*365/MAX($P136,1))</f>
        <v/>
      </c>
      <c r="Y136" s="10" t="str">
        <f aca="false">IF($B136="","",IF(OR($A136="",$E136="",$F136="",$G136="",$I136=""),"Faltan datos obligatorios",IF(COUNTIF($A$2:$A$201,$A136)&gt;1,"ID lote duplicado",IF(AND($I136&lt;&gt;"En cartera",OR($J136="",$K136="")),"Falta fecha o precio de salida",IF(AND($J136&lt;&gt;"",$J136&lt;$E136),"Salida anterior a entrada",IF(AND($I136="En cartera",$M136=""),"OK (sin precio actual)","OK"))))))</f>
        <v/>
      </c>
    </row>
    <row r="137" customFormat="false" ht="15" hidden="false" customHeight="true" outlineLevel="0" collapsed="false">
      <c r="A137" s="7"/>
      <c r="B137" s="7"/>
      <c r="C137" s="7"/>
      <c r="D137" s="5"/>
      <c r="E137" s="6"/>
      <c r="F137" s="5"/>
      <c r="G137" s="8"/>
      <c r="H137" s="9"/>
      <c r="I137" s="7"/>
      <c r="J137" s="6"/>
      <c r="K137" s="8"/>
      <c r="L137" s="9"/>
      <c r="M137" s="8"/>
      <c r="N137" s="7"/>
      <c r="O137" s="12" t="str">
        <f aca="false">IF($B137="","",N($F137)*N($G137)+N($H137))</f>
        <v/>
      </c>
      <c r="P137" s="11" t="str">
        <f aca="true">IF(OR($B137="",$E137=""),"",IF($J137&lt;&gt;"",$J137,TODAY())-$E137)</f>
        <v/>
      </c>
      <c r="Q137" s="12" t="str">
        <f aca="false">IF(OR($B137="",$I137="",$I137="En cartera"),"",($K137-$G137)*$F137-N($H137)-N($L137))</f>
        <v/>
      </c>
      <c r="R137" s="12" t="str">
        <f aca="false">IF(OR($B137="",$I137&lt;&gt;"En cartera",$M137=""),"",($M137-$G137)*$F137-N($H137))</f>
        <v/>
      </c>
      <c r="S137" s="12" t="str">
        <f aca="false">IF($B137="","",SUMIFS(Dividendos!$I$2:$I$301,Dividendos!$C$2:$C$301,$A137))</f>
        <v/>
      </c>
      <c r="T137" s="12" t="str">
        <f aca="false">IF($B137="","",SUMIFS(Operaciones!$AE$2:$AE$1001,Operaciones!$R$2:$R$1001,$A137))</f>
        <v/>
      </c>
      <c r="U137" s="12" t="str">
        <f aca="false">IF($B137="","",N($Q137)+$S137+$T137)</f>
        <v/>
      </c>
      <c r="V137" s="13" t="str">
        <f aca="false">IF(OR($B137="",N($F137)=0),"",(N($F137)*N($G137)-$S137-$T137)/$F137)</f>
        <v/>
      </c>
      <c r="W137" s="14" t="str">
        <f aca="false">IF(OR($B137="",N($F137)*N($G137)=0),"",$U137/($F137*$G137))</f>
        <v/>
      </c>
      <c r="X137" s="14" t="str">
        <f aca="false">IF(OR($W137="",$P137=""),"",$W137*365/MAX($P137,1))</f>
        <v/>
      </c>
      <c r="Y137" s="10" t="str">
        <f aca="false">IF($B137="","",IF(OR($A137="",$E137="",$F137="",$G137="",$I137=""),"Faltan datos obligatorios",IF(COUNTIF($A$2:$A$201,$A137)&gt;1,"ID lote duplicado",IF(AND($I137&lt;&gt;"En cartera",OR($J137="",$K137="")),"Falta fecha o precio de salida",IF(AND($J137&lt;&gt;"",$J137&lt;$E137),"Salida anterior a entrada",IF(AND($I137="En cartera",$M137=""),"OK (sin precio actual)","OK"))))))</f>
        <v/>
      </c>
    </row>
    <row r="138" customFormat="false" ht="15" hidden="false" customHeight="true" outlineLevel="0" collapsed="false">
      <c r="A138" s="7"/>
      <c r="B138" s="7"/>
      <c r="C138" s="7"/>
      <c r="D138" s="5"/>
      <c r="E138" s="6"/>
      <c r="F138" s="5"/>
      <c r="G138" s="8"/>
      <c r="H138" s="9"/>
      <c r="I138" s="7"/>
      <c r="J138" s="6"/>
      <c r="K138" s="8"/>
      <c r="L138" s="9"/>
      <c r="M138" s="8"/>
      <c r="N138" s="7"/>
      <c r="O138" s="12" t="str">
        <f aca="false">IF($B138="","",N($F138)*N($G138)+N($H138))</f>
        <v/>
      </c>
      <c r="P138" s="11" t="str">
        <f aca="true">IF(OR($B138="",$E138=""),"",IF($J138&lt;&gt;"",$J138,TODAY())-$E138)</f>
        <v/>
      </c>
      <c r="Q138" s="12" t="str">
        <f aca="false">IF(OR($B138="",$I138="",$I138="En cartera"),"",($K138-$G138)*$F138-N($H138)-N($L138))</f>
        <v/>
      </c>
      <c r="R138" s="12" t="str">
        <f aca="false">IF(OR($B138="",$I138&lt;&gt;"En cartera",$M138=""),"",($M138-$G138)*$F138-N($H138))</f>
        <v/>
      </c>
      <c r="S138" s="12" t="str">
        <f aca="false">IF($B138="","",SUMIFS(Dividendos!$I$2:$I$301,Dividendos!$C$2:$C$301,$A138))</f>
        <v/>
      </c>
      <c r="T138" s="12" t="str">
        <f aca="false">IF($B138="","",SUMIFS(Operaciones!$AE$2:$AE$1001,Operaciones!$R$2:$R$1001,$A138))</f>
        <v/>
      </c>
      <c r="U138" s="12" t="str">
        <f aca="false">IF($B138="","",N($Q138)+$S138+$T138)</f>
        <v/>
      </c>
      <c r="V138" s="13" t="str">
        <f aca="false">IF(OR($B138="",N($F138)=0),"",(N($F138)*N($G138)-$S138-$T138)/$F138)</f>
        <v/>
      </c>
      <c r="W138" s="14" t="str">
        <f aca="false">IF(OR($B138="",N($F138)*N($G138)=0),"",$U138/($F138*$G138))</f>
        <v/>
      </c>
      <c r="X138" s="14" t="str">
        <f aca="false">IF(OR($W138="",$P138=""),"",$W138*365/MAX($P138,1))</f>
        <v/>
      </c>
      <c r="Y138" s="10" t="str">
        <f aca="false">IF($B138="","",IF(OR($A138="",$E138="",$F138="",$G138="",$I138=""),"Faltan datos obligatorios",IF(COUNTIF($A$2:$A$201,$A138)&gt;1,"ID lote duplicado",IF(AND($I138&lt;&gt;"En cartera",OR($J138="",$K138="")),"Falta fecha o precio de salida",IF(AND($J138&lt;&gt;"",$J138&lt;$E138),"Salida anterior a entrada",IF(AND($I138="En cartera",$M138=""),"OK (sin precio actual)","OK"))))))</f>
        <v/>
      </c>
    </row>
    <row r="139" customFormat="false" ht="15" hidden="false" customHeight="true" outlineLevel="0" collapsed="false">
      <c r="A139" s="7"/>
      <c r="B139" s="7"/>
      <c r="C139" s="7"/>
      <c r="D139" s="5"/>
      <c r="E139" s="6"/>
      <c r="F139" s="5"/>
      <c r="G139" s="8"/>
      <c r="H139" s="9"/>
      <c r="I139" s="7"/>
      <c r="J139" s="6"/>
      <c r="K139" s="8"/>
      <c r="L139" s="9"/>
      <c r="M139" s="8"/>
      <c r="N139" s="7"/>
      <c r="O139" s="12" t="str">
        <f aca="false">IF($B139="","",N($F139)*N($G139)+N($H139))</f>
        <v/>
      </c>
      <c r="P139" s="11" t="str">
        <f aca="true">IF(OR($B139="",$E139=""),"",IF($J139&lt;&gt;"",$J139,TODAY())-$E139)</f>
        <v/>
      </c>
      <c r="Q139" s="12" t="str">
        <f aca="false">IF(OR($B139="",$I139="",$I139="En cartera"),"",($K139-$G139)*$F139-N($H139)-N($L139))</f>
        <v/>
      </c>
      <c r="R139" s="12" t="str">
        <f aca="false">IF(OR($B139="",$I139&lt;&gt;"En cartera",$M139=""),"",($M139-$G139)*$F139-N($H139))</f>
        <v/>
      </c>
      <c r="S139" s="12" t="str">
        <f aca="false">IF($B139="","",SUMIFS(Dividendos!$I$2:$I$301,Dividendos!$C$2:$C$301,$A139))</f>
        <v/>
      </c>
      <c r="T139" s="12" t="str">
        <f aca="false">IF($B139="","",SUMIFS(Operaciones!$AE$2:$AE$1001,Operaciones!$R$2:$R$1001,$A139))</f>
        <v/>
      </c>
      <c r="U139" s="12" t="str">
        <f aca="false">IF($B139="","",N($Q139)+$S139+$T139)</f>
        <v/>
      </c>
      <c r="V139" s="13" t="str">
        <f aca="false">IF(OR($B139="",N($F139)=0),"",(N($F139)*N($G139)-$S139-$T139)/$F139)</f>
        <v/>
      </c>
      <c r="W139" s="14" t="str">
        <f aca="false">IF(OR($B139="",N($F139)*N($G139)=0),"",$U139/($F139*$G139))</f>
        <v/>
      </c>
      <c r="X139" s="14" t="str">
        <f aca="false">IF(OR($W139="",$P139=""),"",$W139*365/MAX($P139,1))</f>
        <v/>
      </c>
      <c r="Y139" s="10" t="str">
        <f aca="false">IF($B139="","",IF(OR($A139="",$E139="",$F139="",$G139="",$I139=""),"Faltan datos obligatorios",IF(COUNTIF($A$2:$A$201,$A139)&gt;1,"ID lote duplicado",IF(AND($I139&lt;&gt;"En cartera",OR($J139="",$K139="")),"Falta fecha o precio de salida",IF(AND($J139&lt;&gt;"",$J139&lt;$E139),"Salida anterior a entrada",IF(AND($I139="En cartera",$M139=""),"OK (sin precio actual)","OK"))))))</f>
        <v/>
      </c>
    </row>
    <row r="140" customFormat="false" ht="15" hidden="false" customHeight="true" outlineLevel="0" collapsed="false">
      <c r="A140" s="7"/>
      <c r="B140" s="7"/>
      <c r="C140" s="7"/>
      <c r="D140" s="5"/>
      <c r="E140" s="6"/>
      <c r="F140" s="5"/>
      <c r="G140" s="8"/>
      <c r="H140" s="9"/>
      <c r="I140" s="7"/>
      <c r="J140" s="6"/>
      <c r="K140" s="8"/>
      <c r="L140" s="9"/>
      <c r="M140" s="8"/>
      <c r="N140" s="7"/>
      <c r="O140" s="12" t="str">
        <f aca="false">IF($B140="","",N($F140)*N($G140)+N($H140))</f>
        <v/>
      </c>
      <c r="P140" s="11" t="str">
        <f aca="true">IF(OR($B140="",$E140=""),"",IF($J140&lt;&gt;"",$J140,TODAY())-$E140)</f>
        <v/>
      </c>
      <c r="Q140" s="12" t="str">
        <f aca="false">IF(OR($B140="",$I140="",$I140="En cartera"),"",($K140-$G140)*$F140-N($H140)-N($L140))</f>
        <v/>
      </c>
      <c r="R140" s="12" t="str">
        <f aca="false">IF(OR($B140="",$I140&lt;&gt;"En cartera",$M140=""),"",($M140-$G140)*$F140-N($H140))</f>
        <v/>
      </c>
      <c r="S140" s="12" t="str">
        <f aca="false">IF($B140="","",SUMIFS(Dividendos!$I$2:$I$301,Dividendos!$C$2:$C$301,$A140))</f>
        <v/>
      </c>
      <c r="T140" s="12" t="str">
        <f aca="false">IF($B140="","",SUMIFS(Operaciones!$AE$2:$AE$1001,Operaciones!$R$2:$R$1001,$A140))</f>
        <v/>
      </c>
      <c r="U140" s="12" t="str">
        <f aca="false">IF($B140="","",N($Q140)+$S140+$T140)</f>
        <v/>
      </c>
      <c r="V140" s="13" t="str">
        <f aca="false">IF(OR($B140="",N($F140)=0),"",(N($F140)*N($G140)-$S140-$T140)/$F140)</f>
        <v/>
      </c>
      <c r="W140" s="14" t="str">
        <f aca="false">IF(OR($B140="",N($F140)*N($G140)=0),"",$U140/($F140*$G140))</f>
        <v/>
      </c>
      <c r="X140" s="14" t="str">
        <f aca="false">IF(OR($W140="",$P140=""),"",$W140*365/MAX($P140,1))</f>
        <v/>
      </c>
      <c r="Y140" s="10" t="str">
        <f aca="false">IF($B140="","",IF(OR($A140="",$E140="",$F140="",$G140="",$I140=""),"Faltan datos obligatorios",IF(COUNTIF($A$2:$A$201,$A140)&gt;1,"ID lote duplicado",IF(AND($I140&lt;&gt;"En cartera",OR($J140="",$K140="")),"Falta fecha o precio de salida",IF(AND($J140&lt;&gt;"",$J140&lt;$E140),"Salida anterior a entrada",IF(AND($I140="En cartera",$M140=""),"OK (sin precio actual)","OK"))))))</f>
        <v/>
      </c>
    </row>
    <row r="141" customFormat="false" ht="15" hidden="false" customHeight="true" outlineLevel="0" collapsed="false">
      <c r="A141" s="7"/>
      <c r="B141" s="7"/>
      <c r="C141" s="7"/>
      <c r="D141" s="5"/>
      <c r="E141" s="6"/>
      <c r="F141" s="5"/>
      <c r="G141" s="8"/>
      <c r="H141" s="9"/>
      <c r="I141" s="7"/>
      <c r="J141" s="6"/>
      <c r="K141" s="8"/>
      <c r="L141" s="9"/>
      <c r="M141" s="8"/>
      <c r="N141" s="7"/>
      <c r="O141" s="12" t="str">
        <f aca="false">IF($B141="","",N($F141)*N($G141)+N($H141))</f>
        <v/>
      </c>
      <c r="P141" s="11" t="str">
        <f aca="true">IF(OR($B141="",$E141=""),"",IF($J141&lt;&gt;"",$J141,TODAY())-$E141)</f>
        <v/>
      </c>
      <c r="Q141" s="12" t="str">
        <f aca="false">IF(OR($B141="",$I141="",$I141="En cartera"),"",($K141-$G141)*$F141-N($H141)-N($L141))</f>
        <v/>
      </c>
      <c r="R141" s="12" t="str">
        <f aca="false">IF(OR($B141="",$I141&lt;&gt;"En cartera",$M141=""),"",($M141-$G141)*$F141-N($H141))</f>
        <v/>
      </c>
      <c r="S141" s="12" t="str">
        <f aca="false">IF($B141="","",SUMIFS(Dividendos!$I$2:$I$301,Dividendos!$C$2:$C$301,$A141))</f>
        <v/>
      </c>
      <c r="T141" s="12" t="str">
        <f aca="false">IF($B141="","",SUMIFS(Operaciones!$AE$2:$AE$1001,Operaciones!$R$2:$R$1001,$A141))</f>
        <v/>
      </c>
      <c r="U141" s="12" t="str">
        <f aca="false">IF($B141="","",N($Q141)+$S141+$T141)</f>
        <v/>
      </c>
      <c r="V141" s="13" t="str">
        <f aca="false">IF(OR($B141="",N($F141)=0),"",(N($F141)*N($G141)-$S141-$T141)/$F141)</f>
        <v/>
      </c>
      <c r="W141" s="14" t="str">
        <f aca="false">IF(OR($B141="",N($F141)*N($G141)=0),"",$U141/($F141*$G141))</f>
        <v/>
      </c>
      <c r="X141" s="14" t="str">
        <f aca="false">IF(OR($W141="",$P141=""),"",$W141*365/MAX($P141,1))</f>
        <v/>
      </c>
      <c r="Y141" s="10" t="str">
        <f aca="false">IF($B141="","",IF(OR($A141="",$E141="",$F141="",$G141="",$I141=""),"Faltan datos obligatorios",IF(COUNTIF($A$2:$A$201,$A141)&gt;1,"ID lote duplicado",IF(AND($I141&lt;&gt;"En cartera",OR($J141="",$K141="")),"Falta fecha o precio de salida",IF(AND($J141&lt;&gt;"",$J141&lt;$E141),"Salida anterior a entrada",IF(AND($I141="En cartera",$M141=""),"OK (sin precio actual)","OK"))))))</f>
        <v/>
      </c>
    </row>
    <row r="142" customFormat="false" ht="15" hidden="false" customHeight="true" outlineLevel="0" collapsed="false">
      <c r="A142" s="7"/>
      <c r="B142" s="7"/>
      <c r="C142" s="7"/>
      <c r="D142" s="5"/>
      <c r="E142" s="6"/>
      <c r="F142" s="5"/>
      <c r="G142" s="8"/>
      <c r="H142" s="9"/>
      <c r="I142" s="7"/>
      <c r="J142" s="6"/>
      <c r="K142" s="8"/>
      <c r="L142" s="9"/>
      <c r="M142" s="8"/>
      <c r="N142" s="7"/>
      <c r="O142" s="12" t="str">
        <f aca="false">IF($B142="","",N($F142)*N($G142)+N($H142))</f>
        <v/>
      </c>
      <c r="P142" s="11" t="str">
        <f aca="true">IF(OR($B142="",$E142=""),"",IF($J142&lt;&gt;"",$J142,TODAY())-$E142)</f>
        <v/>
      </c>
      <c r="Q142" s="12" t="str">
        <f aca="false">IF(OR($B142="",$I142="",$I142="En cartera"),"",($K142-$G142)*$F142-N($H142)-N($L142))</f>
        <v/>
      </c>
      <c r="R142" s="12" t="str">
        <f aca="false">IF(OR($B142="",$I142&lt;&gt;"En cartera",$M142=""),"",($M142-$G142)*$F142-N($H142))</f>
        <v/>
      </c>
      <c r="S142" s="12" t="str">
        <f aca="false">IF($B142="","",SUMIFS(Dividendos!$I$2:$I$301,Dividendos!$C$2:$C$301,$A142))</f>
        <v/>
      </c>
      <c r="T142" s="12" t="str">
        <f aca="false">IF($B142="","",SUMIFS(Operaciones!$AE$2:$AE$1001,Operaciones!$R$2:$R$1001,$A142))</f>
        <v/>
      </c>
      <c r="U142" s="12" t="str">
        <f aca="false">IF($B142="","",N($Q142)+$S142+$T142)</f>
        <v/>
      </c>
      <c r="V142" s="13" t="str">
        <f aca="false">IF(OR($B142="",N($F142)=0),"",(N($F142)*N($G142)-$S142-$T142)/$F142)</f>
        <v/>
      </c>
      <c r="W142" s="14" t="str">
        <f aca="false">IF(OR($B142="",N($F142)*N($G142)=0),"",$U142/($F142*$G142))</f>
        <v/>
      </c>
      <c r="X142" s="14" t="str">
        <f aca="false">IF(OR($W142="",$P142=""),"",$W142*365/MAX($P142,1))</f>
        <v/>
      </c>
      <c r="Y142" s="10" t="str">
        <f aca="false">IF($B142="","",IF(OR($A142="",$E142="",$F142="",$G142="",$I142=""),"Faltan datos obligatorios",IF(COUNTIF($A$2:$A$201,$A142)&gt;1,"ID lote duplicado",IF(AND($I142&lt;&gt;"En cartera",OR($J142="",$K142="")),"Falta fecha o precio de salida",IF(AND($J142&lt;&gt;"",$J142&lt;$E142),"Salida anterior a entrada",IF(AND($I142="En cartera",$M142=""),"OK (sin precio actual)","OK"))))))</f>
        <v/>
      </c>
    </row>
    <row r="143" customFormat="false" ht="15" hidden="false" customHeight="true" outlineLevel="0" collapsed="false">
      <c r="A143" s="7"/>
      <c r="B143" s="7"/>
      <c r="C143" s="7"/>
      <c r="D143" s="5"/>
      <c r="E143" s="6"/>
      <c r="F143" s="5"/>
      <c r="G143" s="8"/>
      <c r="H143" s="9"/>
      <c r="I143" s="7"/>
      <c r="J143" s="6"/>
      <c r="K143" s="8"/>
      <c r="L143" s="9"/>
      <c r="M143" s="8"/>
      <c r="N143" s="7"/>
      <c r="O143" s="12" t="str">
        <f aca="false">IF($B143="","",N($F143)*N($G143)+N($H143))</f>
        <v/>
      </c>
      <c r="P143" s="11" t="str">
        <f aca="true">IF(OR($B143="",$E143=""),"",IF($J143&lt;&gt;"",$J143,TODAY())-$E143)</f>
        <v/>
      </c>
      <c r="Q143" s="12" t="str">
        <f aca="false">IF(OR($B143="",$I143="",$I143="En cartera"),"",($K143-$G143)*$F143-N($H143)-N($L143))</f>
        <v/>
      </c>
      <c r="R143" s="12" t="str">
        <f aca="false">IF(OR($B143="",$I143&lt;&gt;"En cartera",$M143=""),"",($M143-$G143)*$F143-N($H143))</f>
        <v/>
      </c>
      <c r="S143" s="12" t="str">
        <f aca="false">IF($B143="","",SUMIFS(Dividendos!$I$2:$I$301,Dividendos!$C$2:$C$301,$A143))</f>
        <v/>
      </c>
      <c r="T143" s="12" t="str">
        <f aca="false">IF($B143="","",SUMIFS(Operaciones!$AE$2:$AE$1001,Operaciones!$R$2:$R$1001,$A143))</f>
        <v/>
      </c>
      <c r="U143" s="12" t="str">
        <f aca="false">IF($B143="","",N($Q143)+$S143+$T143)</f>
        <v/>
      </c>
      <c r="V143" s="13" t="str">
        <f aca="false">IF(OR($B143="",N($F143)=0),"",(N($F143)*N($G143)-$S143-$T143)/$F143)</f>
        <v/>
      </c>
      <c r="W143" s="14" t="str">
        <f aca="false">IF(OR($B143="",N($F143)*N($G143)=0),"",$U143/($F143*$G143))</f>
        <v/>
      </c>
      <c r="X143" s="14" t="str">
        <f aca="false">IF(OR($W143="",$P143=""),"",$W143*365/MAX($P143,1))</f>
        <v/>
      </c>
      <c r="Y143" s="10" t="str">
        <f aca="false">IF($B143="","",IF(OR($A143="",$E143="",$F143="",$G143="",$I143=""),"Faltan datos obligatorios",IF(COUNTIF($A$2:$A$201,$A143)&gt;1,"ID lote duplicado",IF(AND($I143&lt;&gt;"En cartera",OR($J143="",$K143="")),"Falta fecha o precio de salida",IF(AND($J143&lt;&gt;"",$J143&lt;$E143),"Salida anterior a entrada",IF(AND($I143="En cartera",$M143=""),"OK (sin precio actual)","OK"))))))</f>
        <v/>
      </c>
    </row>
    <row r="144" customFormat="false" ht="15" hidden="false" customHeight="true" outlineLevel="0" collapsed="false">
      <c r="A144" s="7"/>
      <c r="B144" s="7"/>
      <c r="C144" s="7"/>
      <c r="D144" s="5"/>
      <c r="E144" s="6"/>
      <c r="F144" s="5"/>
      <c r="G144" s="8"/>
      <c r="H144" s="9"/>
      <c r="I144" s="7"/>
      <c r="J144" s="6"/>
      <c r="K144" s="8"/>
      <c r="L144" s="9"/>
      <c r="M144" s="8"/>
      <c r="N144" s="7"/>
      <c r="O144" s="12" t="str">
        <f aca="false">IF($B144="","",N($F144)*N($G144)+N($H144))</f>
        <v/>
      </c>
      <c r="P144" s="11" t="str">
        <f aca="true">IF(OR($B144="",$E144=""),"",IF($J144&lt;&gt;"",$J144,TODAY())-$E144)</f>
        <v/>
      </c>
      <c r="Q144" s="12" t="str">
        <f aca="false">IF(OR($B144="",$I144="",$I144="En cartera"),"",($K144-$G144)*$F144-N($H144)-N($L144))</f>
        <v/>
      </c>
      <c r="R144" s="12" t="str">
        <f aca="false">IF(OR($B144="",$I144&lt;&gt;"En cartera",$M144=""),"",($M144-$G144)*$F144-N($H144))</f>
        <v/>
      </c>
      <c r="S144" s="12" t="str">
        <f aca="false">IF($B144="","",SUMIFS(Dividendos!$I$2:$I$301,Dividendos!$C$2:$C$301,$A144))</f>
        <v/>
      </c>
      <c r="T144" s="12" t="str">
        <f aca="false">IF($B144="","",SUMIFS(Operaciones!$AE$2:$AE$1001,Operaciones!$R$2:$R$1001,$A144))</f>
        <v/>
      </c>
      <c r="U144" s="12" t="str">
        <f aca="false">IF($B144="","",N($Q144)+$S144+$T144)</f>
        <v/>
      </c>
      <c r="V144" s="13" t="str">
        <f aca="false">IF(OR($B144="",N($F144)=0),"",(N($F144)*N($G144)-$S144-$T144)/$F144)</f>
        <v/>
      </c>
      <c r="W144" s="14" t="str">
        <f aca="false">IF(OR($B144="",N($F144)*N($G144)=0),"",$U144/($F144*$G144))</f>
        <v/>
      </c>
      <c r="X144" s="14" t="str">
        <f aca="false">IF(OR($W144="",$P144=""),"",$W144*365/MAX($P144,1))</f>
        <v/>
      </c>
      <c r="Y144" s="10" t="str">
        <f aca="false">IF($B144="","",IF(OR($A144="",$E144="",$F144="",$G144="",$I144=""),"Faltan datos obligatorios",IF(COUNTIF($A$2:$A$201,$A144)&gt;1,"ID lote duplicado",IF(AND($I144&lt;&gt;"En cartera",OR($J144="",$K144="")),"Falta fecha o precio de salida",IF(AND($J144&lt;&gt;"",$J144&lt;$E144),"Salida anterior a entrada",IF(AND($I144="En cartera",$M144=""),"OK (sin precio actual)","OK"))))))</f>
        <v/>
      </c>
    </row>
    <row r="145" customFormat="false" ht="15" hidden="false" customHeight="true" outlineLevel="0" collapsed="false">
      <c r="A145" s="7"/>
      <c r="B145" s="7"/>
      <c r="C145" s="7"/>
      <c r="D145" s="5"/>
      <c r="E145" s="6"/>
      <c r="F145" s="5"/>
      <c r="G145" s="8"/>
      <c r="H145" s="9"/>
      <c r="I145" s="7"/>
      <c r="J145" s="6"/>
      <c r="K145" s="8"/>
      <c r="L145" s="9"/>
      <c r="M145" s="8"/>
      <c r="N145" s="7"/>
      <c r="O145" s="12" t="str">
        <f aca="false">IF($B145="","",N($F145)*N($G145)+N($H145))</f>
        <v/>
      </c>
      <c r="P145" s="11" t="str">
        <f aca="true">IF(OR($B145="",$E145=""),"",IF($J145&lt;&gt;"",$J145,TODAY())-$E145)</f>
        <v/>
      </c>
      <c r="Q145" s="12" t="str">
        <f aca="false">IF(OR($B145="",$I145="",$I145="En cartera"),"",($K145-$G145)*$F145-N($H145)-N($L145))</f>
        <v/>
      </c>
      <c r="R145" s="12" t="str">
        <f aca="false">IF(OR($B145="",$I145&lt;&gt;"En cartera",$M145=""),"",($M145-$G145)*$F145-N($H145))</f>
        <v/>
      </c>
      <c r="S145" s="12" t="str">
        <f aca="false">IF($B145="","",SUMIFS(Dividendos!$I$2:$I$301,Dividendos!$C$2:$C$301,$A145))</f>
        <v/>
      </c>
      <c r="T145" s="12" t="str">
        <f aca="false">IF($B145="","",SUMIFS(Operaciones!$AE$2:$AE$1001,Operaciones!$R$2:$R$1001,$A145))</f>
        <v/>
      </c>
      <c r="U145" s="12" t="str">
        <f aca="false">IF($B145="","",N($Q145)+$S145+$T145)</f>
        <v/>
      </c>
      <c r="V145" s="13" t="str">
        <f aca="false">IF(OR($B145="",N($F145)=0),"",(N($F145)*N($G145)-$S145-$T145)/$F145)</f>
        <v/>
      </c>
      <c r="W145" s="14" t="str">
        <f aca="false">IF(OR($B145="",N($F145)*N($G145)=0),"",$U145/($F145*$G145))</f>
        <v/>
      </c>
      <c r="X145" s="14" t="str">
        <f aca="false">IF(OR($W145="",$P145=""),"",$W145*365/MAX($P145,1))</f>
        <v/>
      </c>
      <c r="Y145" s="10" t="str">
        <f aca="false">IF($B145="","",IF(OR($A145="",$E145="",$F145="",$G145="",$I145=""),"Faltan datos obligatorios",IF(COUNTIF($A$2:$A$201,$A145)&gt;1,"ID lote duplicado",IF(AND($I145&lt;&gt;"En cartera",OR($J145="",$K145="")),"Falta fecha o precio de salida",IF(AND($J145&lt;&gt;"",$J145&lt;$E145),"Salida anterior a entrada",IF(AND($I145="En cartera",$M145=""),"OK (sin precio actual)","OK"))))))</f>
        <v/>
      </c>
    </row>
    <row r="146" customFormat="false" ht="15" hidden="false" customHeight="true" outlineLevel="0" collapsed="false">
      <c r="A146" s="7"/>
      <c r="B146" s="7"/>
      <c r="C146" s="7"/>
      <c r="D146" s="5"/>
      <c r="E146" s="6"/>
      <c r="F146" s="5"/>
      <c r="G146" s="8"/>
      <c r="H146" s="9"/>
      <c r="I146" s="7"/>
      <c r="J146" s="6"/>
      <c r="K146" s="8"/>
      <c r="L146" s="9"/>
      <c r="M146" s="8"/>
      <c r="N146" s="7"/>
      <c r="O146" s="12" t="str">
        <f aca="false">IF($B146="","",N($F146)*N($G146)+N($H146))</f>
        <v/>
      </c>
      <c r="P146" s="11" t="str">
        <f aca="true">IF(OR($B146="",$E146=""),"",IF($J146&lt;&gt;"",$J146,TODAY())-$E146)</f>
        <v/>
      </c>
      <c r="Q146" s="12" t="str">
        <f aca="false">IF(OR($B146="",$I146="",$I146="En cartera"),"",($K146-$G146)*$F146-N($H146)-N($L146))</f>
        <v/>
      </c>
      <c r="R146" s="12" t="str">
        <f aca="false">IF(OR($B146="",$I146&lt;&gt;"En cartera",$M146=""),"",($M146-$G146)*$F146-N($H146))</f>
        <v/>
      </c>
      <c r="S146" s="12" t="str">
        <f aca="false">IF($B146="","",SUMIFS(Dividendos!$I$2:$I$301,Dividendos!$C$2:$C$301,$A146))</f>
        <v/>
      </c>
      <c r="T146" s="12" t="str">
        <f aca="false">IF($B146="","",SUMIFS(Operaciones!$AE$2:$AE$1001,Operaciones!$R$2:$R$1001,$A146))</f>
        <v/>
      </c>
      <c r="U146" s="12" t="str">
        <f aca="false">IF($B146="","",N($Q146)+$S146+$T146)</f>
        <v/>
      </c>
      <c r="V146" s="13" t="str">
        <f aca="false">IF(OR($B146="",N($F146)=0),"",(N($F146)*N($G146)-$S146-$T146)/$F146)</f>
        <v/>
      </c>
      <c r="W146" s="14" t="str">
        <f aca="false">IF(OR($B146="",N($F146)*N($G146)=0),"",$U146/($F146*$G146))</f>
        <v/>
      </c>
      <c r="X146" s="14" t="str">
        <f aca="false">IF(OR($W146="",$P146=""),"",$W146*365/MAX($P146,1))</f>
        <v/>
      </c>
      <c r="Y146" s="10" t="str">
        <f aca="false">IF($B146="","",IF(OR($A146="",$E146="",$F146="",$G146="",$I146=""),"Faltan datos obligatorios",IF(COUNTIF($A$2:$A$201,$A146)&gt;1,"ID lote duplicado",IF(AND($I146&lt;&gt;"En cartera",OR($J146="",$K146="")),"Falta fecha o precio de salida",IF(AND($J146&lt;&gt;"",$J146&lt;$E146),"Salida anterior a entrada",IF(AND($I146="En cartera",$M146=""),"OK (sin precio actual)","OK"))))))</f>
        <v/>
      </c>
    </row>
    <row r="147" customFormat="false" ht="15" hidden="false" customHeight="true" outlineLevel="0" collapsed="false">
      <c r="A147" s="7"/>
      <c r="B147" s="7"/>
      <c r="C147" s="7"/>
      <c r="D147" s="5"/>
      <c r="E147" s="6"/>
      <c r="F147" s="5"/>
      <c r="G147" s="8"/>
      <c r="H147" s="9"/>
      <c r="I147" s="7"/>
      <c r="J147" s="6"/>
      <c r="K147" s="8"/>
      <c r="L147" s="9"/>
      <c r="M147" s="8"/>
      <c r="N147" s="7"/>
      <c r="O147" s="12" t="str">
        <f aca="false">IF($B147="","",N($F147)*N($G147)+N($H147))</f>
        <v/>
      </c>
      <c r="P147" s="11" t="str">
        <f aca="true">IF(OR($B147="",$E147=""),"",IF($J147&lt;&gt;"",$J147,TODAY())-$E147)</f>
        <v/>
      </c>
      <c r="Q147" s="12" t="str">
        <f aca="false">IF(OR($B147="",$I147="",$I147="En cartera"),"",($K147-$G147)*$F147-N($H147)-N($L147))</f>
        <v/>
      </c>
      <c r="R147" s="12" t="str">
        <f aca="false">IF(OR($B147="",$I147&lt;&gt;"En cartera",$M147=""),"",($M147-$G147)*$F147-N($H147))</f>
        <v/>
      </c>
      <c r="S147" s="12" t="str">
        <f aca="false">IF($B147="","",SUMIFS(Dividendos!$I$2:$I$301,Dividendos!$C$2:$C$301,$A147))</f>
        <v/>
      </c>
      <c r="T147" s="12" t="str">
        <f aca="false">IF($B147="","",SUMIFS(Operaciones!$AE$2:$AE$1001,Operaciones!$R$2:$R$1001,$A147))</f>
        <v/>
      </c>
      <c r="U147" s="12" t="str">
        <f aca="false">IF($B147="","",N($Q147)+$S147+$T147)</f>
        <v/>
      </c>
      <c r="V147" s="13" t="str">
        <f aca="false">IF(OR($B147="",N($F147)=0),"",(N($F147)*N($G147)-$S147-$T147)/$F147)</f>
        <v/>
      </c>
      <c r="W147" s="14" t="str">
        <f aca="false">IF(OR($B147="",N($F147)*N($G147)=0),"",$U147/($F147*$G147))</f>
        <v/>
      </c>
      <c r="X147" s="14" t="str">
        <f aca="false">IF(OR($W147="",$P147=""),"",$W147*365/MAX($P147,1))</f>
        <v/>
      </c>
      <c r="Y147" s="10" t="str">
        <f aca="false">IF($B147="","",IF(OR($A147="",$E147="",$F147="",$G147="",$I147=""),"Faltan datos obligatorios",IF(COUNTIF($A$2:$A$201,$A147)&gt;1,"ID lote duplicado",IF(AND($I147&lt;&gt;"En cartera",OR($J147="",$K147="")),"Falta fecha o precio de salida",IF(AND($J147&lt;&gt;"",$J147&lt;$E147),"Salida anterior a entrada",IF(AND($I147="En cartera",$M147=""),"OK (sin precio actual)","OK"))))))</f>
        <v/>
      </c>
    </row>
    <row r="148" customFormat="false" ht="15" hidden="false" customHeight="true" outlineLevel="0" collapsed="false">
      <c r="A148" s="7"/>
      <c r="B148" s="7"/>
      <c r="C148" s="7"/>
      <c r="D148" s="5"/>
      <c r="E148" s="6"/>
      <c r="F148" s="5"/>
      <c r="G148" s="8"/>
      <c r="H148" s="9"/>
      <c r="I148" s="7"/>
      <c r="J148" s="6"/>
      <c r="K148" s="8"/>
      <c r="L148" s="9"/>
      <c r="M148" s="8"/>
      <c r="N148" s="7"/>
      <c r="O148" s="12" t="str">
        <f aca="false">IF($B148="","",N($F148)*N($G148)+N($H148))</f>
        <v/>
      </c>
      <c r="P148" s="11" t="str">
        <f aca="true">IF(OR($B148="",$E148=""),"",IF($J148&lt;&gt;"",$J148,TODAY())-$E148)</f>
        <v/>
      </c>
      <c r="Q148" s="12" t="str">
        <f aca="false">IF(OR($B148="",$I148="",$I148="En cartera"),"",($K148-$G148)*$F148-N($H148)-N($L148))</f>
        <v/>
      </c>
      <c r="R148" s="12" t="str">
        <f aca="false">IF(OR($B148="",$I148&lt;&gt;"En cartera",$M148=""),"",($M148-$G148)*$F148-N($H148))</f>
        <v/>
      </c>
      <c r="S148" s="12" t="str">
        <f aca="false">IF($B148="","",SUMIFS(Dividendos!$I$2:$I$301,Dividendos!$C$2:$C$301,$A148))</f>
        <v/>
      </c>
      <c r="T148" s="12" t="str">
        <f aca="false">IF($B148="","",SUMIFS(Operaciones!$AE$2:$AE$1001,Operaciones!$R$2:$R$1001,$A148))</f>
        <v/>
      </c>
      <c r="U148" s="12" t="str">
        <f aca="false">IF($B148="","",N($Q148)+$S148+$T148)</f>
        <v/>
      </c>
      <c r="V148" s="13" t="str">
        <f aca="false">IF(OR($B148="",N($F148)=0),"",(N($F148)*N($G148)-$S148-$T148)/$F148)</f>
        <v/>
      </c>
      <c r="W148" s="14" t="str">
        <f aca="false">IF(OR($B148="",N($F148)*N($G148)=0),"",$U148/($F148*$G148))</f>
        <v/>
      </c>
      <c r="X148" s="14" t="str">
        <f aca="false">IF(OR($W148="",$P148=""),"",$W148*365/MAX($P148,1))</f>
        <v/>
      </c>
      <c r="Y148" s="10" t="str">
        <f aca="false">IF($B148="","",IF(OR($A148="",$E148="",$F148="",$G148="",$I148=""),"Faltan datos obligatorios",IF(COUNTIF($A$2:$A$201,$A148)&gt;1,"ID lote duplicado",IF(AND($I148&lt;&gt;"En cartera",OR($J148="",$K148="")),"Falta fecha o precio de salida",IF(AND($J148&lt;&gt;"",$J148&lt;$E148),"Salida anterior a entrada",IF(AND($I148="En cartera",$M148=""),"OK (sin precio actual)","OK"))))))</f>
        <v/>
      </c>
    </row>
    <row r="149" customFormat="false" ht="15" hidden="false" customHeight="true" outlineLevel="0" collapsed="false">
      <c r="A149" s="7"/>
      <c r="B149" s="7"/>
      <c r="C149" s="7"/>
      <c r="D149" s="5"/>
      <c r="E149" s="6"/>
      <c r="F149" s="5"/>
      <c r="G149" s="8"/>
      <c r="H149" s="9"/>
      <c r="I149" s="7"/>
      <c r="J149" s="6"/>
      <c r="K149" s="8"/>
      <c r="L149" s="9"/>
      <c r="M149" s="8"/>
      <c r="N149" s="7"/>
      <c r="O149" s="12" t="str">
        <f aca="false">IF($B149="","",N($F149)*N($G149)+N($H149))</f>
        <v/>
      </c>
      <c r="P149" s="11" t="str">
        <f aca="true">IF(OR($B149="",$E149=""),"",IF($J149&lt;&gt;"",$J149,TODAY())-$E149)</f>
        <v/>
      </c>
      <c r="Q149" s="12" t="str">
        <f aca="false">IF(OR($B149="",$I149="",$I149="En cartera"),"",($K149-$G149)*$F149-N($H149)-N($L149))</f>
        <v/>
      </c>
      <c r="R149" s="12" t="str">
        <f aca="false">IF(OR($B149="",$I149&lt;&gt;"En cartera",$M149=""),"",($M149-$G149)*$F149-N($H149))</f>
        <v/>
      </c>
      <c r="S149" s="12" t="str">
        <f aca="false">IF($B149="","",SUMIFS(Dividendos!$I$2:$I$301,Dividendos!$C$2:$C$301,$A149))</f>
        <v/>
      </c>
      <c r="T149" s="12" t="str">
        <f aca="false">IF($B149="","",SUMIFS(Operaciones!$AE$2:$AE$1001,Operaciones!$R$2:$R$1001,$A149))</f>
        <v/>
      </c>
      <c r="U149" s="12" t="str">
        <f aca="false">IF($B149="","",N($Q149)+$S149+$T149)</f>
        <v/>
      </c>
      <c r="V149" s="13" t="str">
        <f aca="false">IF(OR($B149="",N($F149)=0),"",(N($F149)*N($G149)-$S149-$T149)/$F149)</f>
        <v/>
      </c>
      <c r="W149" s="14" t="str">
        <f aca="false">IF(OR($B149="",N($F149)*N($G149)=0),"",$U149/($F149*$G149))</f>
        <v/>
      </c>
      <c r="X149" s="14" t="str">
        <f aca="false">IF(OR($W149="",$P149=""),"",$W149*365/MAX($P149,1))</f>
        <v/>
      </c>
      <c r="Y149" s="10" t="str">
        <f aca="false">IF($B149="","",IF(OR($A149="",$E149="",$F149="",$G149="",$I149=""),"Faltan datos obligatorios",IF(COUNTIF($A$2:$A$201,$A149)&gt;1,"ID lote duplicado",IF(AND($I149&lt;&gt;"En cartera",OR($J149="",$K149="")),"Falta fecha o precio de salida",IF(AND($J149&lt;&gt;"",$J149&lt;$E149),"Salida anterior a entrada",IF(AND($I149="En cartera",$M149=""),"OK (sin precio actual)","OK"))))))</f>
        <v/>
      </c>
    </row>
    <row r="150" customFormat="false" ht="15" hidden="false" customHeight="true" outlineLevel="0" collapsed="false">
      <c r="A150" s="7"/>
      <c r="B150" s="7"/>
      <c r="C150" s="7"/>
      <c r="D150" s="5"/>
      <c r="E150" s="6"/>
      <c r="F150" s="5"/>
      <c r="G150" s="8"/>
      <c r="H150" s="9"/>
      <c r="I150" s="7"/>
      <c r="J150" s="6"/>
      <c r="K150" s="8"/>
      <c r="L150" s="9"/>
      <c r="M150" s="8"/>
      <c r="N150" s="7"/>
      <c r="O150" s="12" t="str">
        <f aca="false">IF($B150="","",N($F150)*N($G150)+N($H150))</f>
        <v/>
      </c>
      <c r="P150" s="11" t="str">
        <f aca="true">IF(OR($B150="",$E150=""),"",IF($J150&lt;&gt;"",$J150,TODAY())-$E150)</f>
        <v/>
      </c>
      <c r="Q150" s="12" t="str">
        <f aca="false">IF(OR($B150="",$I150="",$I150="En cartera"),"",($K150-$G150)*$F150-N($H150)-N($L150))</f>
        <v/>
      </c>
      <c r="R150" s="12" t="str">
        <f aca="false">IF(OR($B150="",$I150&lt;&gt;"En cartera",$M150=""),"",($M150-$G150)*$F150-N($H150))</f>
        <v/>
      </c>
      <c r="S150" s="12" t="str">
        <f aca="false">IF($B150="","",SUMIFS(Dividendos!$I$2:$I$301,Dividendos!$C$2:$C$301,$A150))</f>
        <v/>
      </c>
      <c r="T150" s="12" t="str">
        <f aca="false">IF($B150="","",SUMIFS(Operaciones!$AE$2:$AE$1001,Operaciones!$R$2:$R$1001,$A150))</f>
        <v/>
      </c>
      <c r="U150" s="12" t="str">
        <f aca="false">IF($B150="","",N($Q150)+$S150+$T150)</f>
        <v/>
      </c>
      <c r="V150" s="13" t="str">
        <f aca="false">IF(OR($B150="",N($F150)=0),"",(N($F150)*N($G150)-$S150-$T150)/$F150)</f>
        <v/>
      </c>
      <c r="W150" s="14" t="str">
        <f aca="false">IF(OR($B150="",N($F150)*N($G150)=0),"",$U150/($F150*$G150))</f>
        <v/>
      </c>
      <c r="X150" s="14" t="str">
        <f aca="false">IF(OR($W150="",$P150=""),"",$W150*365/MAX($P150,1))</f>
        <v/>
      </c>
      <c r="Y150" s="10" t="str">
        <f aca="false">IF($B150="","",IF(OR($A150="",$E150="",$F150="",$G150="",$I150=""),"Faltan datos obligatorios",IF(COUNTIF($A$2:$A$201,$A150)&gt;1,"ID lote duplicado",IF(AND($I150&lt;&gt;"En cartera",OR($J150="",$K150="")),"Falta fecha o precio de salida",IF(AND($J150&lt;&gt;"",$J150&lt;$E150),"Salida anterior a entrada",IF(AND($I150="En cartera",$M150=""),"OK (sin precio actual)","OK"))))))</f>
        <v/>
      </c>
    </row>
    <row r="151" customFormat="false" ht="15" hidden="false" customHeight="true" outlineLevel="0" collapsed="false">
      <c r="A151" s="7"/>
      <c r="B151" s="7"/>
      <c r="C151" s="7"/>
      <c r="D151" s="5"/>
      <c r="E151" s="6"/>
      <c r="F151" s="5"/>
      <c r="G151" s="8"/>
      <c r="H151" s="9"/>
      <c r="I151" s="7"/>
      <c r="J151" s="6"/>
      <c r="K151" s="8"/>
      <c r="L151" s="9"/>
      <c r="M151" s="8"/>
      <c r="N151" s="7"/>
      <c r="O151" s="12" t="str">
        <f aca="false">IF($B151="","",N($F151)*N($G151)+N($H151))</f>
        <v/>
      </c>
      <c r="P151" s="11" t="str">
        <f aca="true">IF(OR($B151="",$E151=""),"",IF($J151&lt;&gt;"",$J151,TODAY())-$E151)</f>
        <v/>
      </c>
      <c r="Q151" s="12" t="str">
        <f aca="false">IF(OR($B151="",$I151="",$I151="En cartera"),"",($K151-$G151)*$F151-N($H151)-N($L151))</f>
        <v/>
      </c>
      <c r="R151" s="12" t="str">
        <f aca="false">IF(OR($B151="",$I151&lt;&gt;"En cartera",$M151=""),"",($M151-$G151)*$F151-N($H151))</f>
        <v/>
      </c>
      <c r="S151" s="12" t="str">
        <f aca="false">IF($B151="","",SUMIFS(Dividendos!$I$2:$I$301,Dividendos!$C$2:$C$301,$A151))</f>
        <v/>
      </c>
      <c r="T151" s="12" t="str">
        <f aca="false">IF($B151="","",SUMIFS(Operaciones!$AE$2:$AE$1001,Operaciones!$R$2:$R$1001,$A151))</f>
        <v/>
      </c>
      <c r="U151" s="12" t="str">
        <f aca="false">IF($B151="","",N($Q151)+$S151+$T151)</f>
        <v/>
      </c>
      <c r="V151" s="13" t="str">
        <f aca="false">IF(OR($B151="",N($F151)=0),"",(N($F151)*N($G151)-$S151-$T151)/$F151)</f>
        <v/>
      </c>
      <c r="W151" s="14" t="str">
        <f aca="false">IF(OR($B151="",N($F151)*N($G151)=0),"",$U151/($F151*$G151))</f>
        <v/>
      </c>
      <c r="X151" s="14" t="str">
        <f aca="false">IF(OR($W151="",$P151=""),"",$W151*365/MAX($P151,1))</f>
        <v/>
      </c>
      <c r="Y151" s="10" t="str">
        <f aca="false">IF($B151="","",IF(OR($A151="",$E151="",$F151="",$G151="",$I151=""),"Faltan datos obligatorios",IF(COUNTIF($A$2:$A$201,$A151)&gt;1,"ID lote duplicado",IF(AND($I151&lt;&gt;"En cartera",OR($J151="",$K151="")),"Falta fecha o precio de salida",IF(AND($J151&lt;&gt;"",$J151&lt;$E151),"Salida anterior a entrada",IF(AND($I151="En cartera",$M151=""),"OK (sin precio actual)","OK"))))))</f>
        <v/>
      </c>
    </row>
    <row r="152" customFormat="false" ht="15" hidden="false" customHeight="true" outlineLevel="0" collapsed="false">
      <c r="A152" s="7"/>
      <c r="B152" s="7"/>
      <c r="C152" s="7"/>
      <c r="D152" s="5"/>
      <c r="E152" s="6"/>
      <c r="F152" s="5"/>
      <c r="G152" s="8"/>
      <c r="H152" s="9"/>
      <c r="I152" s="7"/>
      <c r="J152" s="6"/>
      <c r="K152" s="8"/>
      <c r="L152" s="9"/>
      <c r="M152" s="8"/>
      <c r="N152" s="7"/>
      <c r="O152" s="12" t="str">
        <f aca="false">IF($B152="","",N($F152)*N($G152)+N($H152))</f>
        <v/>
      </c>
      <c r="P152" s="11" t="str">
        <f aca="true">IF(OR($B152="",$E152=""),"",IF($J152&lt;&gt;"",$J152,TODAY())-$E152)</f>
        <v/>
      </c>
      <c r="Q152" s="12" t="str">
        <f aca="false">IF(OR($B152="",$I152="",$I152="En cartera"),"",($K152-$G152)*$F152-N($H152)-N($L152))</f>
        <v/>
      </c>
      <c r="R152" s="12" t="str">
        <f aca="false">IF(OR($B152="",$I152&lt;&gt;"En cartera",$M152=""),"",($M152-$G152)*$F152-N($H152))</f>
        <v/>
      </c>
      <c r="S152" s="12" t="str">
        <f aca="false">IF($B152="","",SUMIFS(Dividendos!$I$2:$I$301,Dividendos!$C$2:$C$301,$A152))</f>
        <v/>
      </c>
      <c r="T152" s="12" t="str">
        <f aca="false">IF($B152="","",SUMIFS(Operaciones!$AE$2:$AE$1001,Operaciones!$R$2:$R$1001,$A152))</f>
        <v/>
      </c>
      <c r="U152" s="12" t="str">
        <f aca="false">IF($B152="","",N($Q152)+$S152+$T152)</f>
        <v/>
      </c>
      <c r="V152" s="13" t="str">
        <f aca="false">IF(OR($B152="",N($F152)=0),"",(N($F152)*N($G152)-$S152-$T152)/$F152)</f>
        <v/>
      </c>
      <c r="W152" s="14" t="str">
        <f aca="false">IF(OR($B152="",N($F152)*N($G152)=0),"",$U152/($F152*$G152))</f>
        <v/>
      </c>
      <c r="X152" s="14" t="str">
        <f aca="false">IF(OR($W152="",$P152=""),"",$W152*365/MAX($P152,1))</f>
        <v/>
      </c>
      <c r="Y152" s="10" t="str">
        <f aca="false">IF($B152="","",IF(OR($A152="",$E152="",$F152="",$G152="",$I152=""),"Faltan datos obligatorios",IF(COUNTIF($A$2:$A$201,$A152)&gt;1,"ID lote duplicado",IF(AND($I152&lt;&gt;"En cartera",OR($J152="",$K152="")),"Falta fecha o precio de salida",IF(AND($J152&lt;&gt;"",$J152&lt;$E152),"Salida anterior a entrada",IF(AND($I152="En cartera",$M152=""),"OK (sin precio actual)","OK"))))))</f>
        <v/>
      </c>
    </row>
    <row r="153" customFormat="false" ht="15" hidden="false" customHeight="true" outlineLevel="0" collapsed="false">
      <c r="A153" s="7"/>
      <c r="B153" s="7"/>
      <c r="C153" s="7"/>
      <c r="D153" s="5"/>
      <c r="E153" s="6"/>
      <c r="F153" s="5"/>
      <c r="G153" s="8"/>
      <c r="H153" s="9"/>
      <c r="I153" s="7"/>
      <c r="J153" s="6"/>
      <c r="K153" s="8"/>
      <c r="L153" s="9"/>
      <c r="M153" s="8"/>
      <c r="N153" s="7"/>
      <c r="O153" s="12" t="str">
        <f aca="false">IF($B153="","",N($F153)*N($G153)+N($H153))</f>
        <v/>
      </c>
      <c r="P153" s="11" t="str">
        <f aca="true">IF(OR($B153="",$E153=""),"",IF($J153&lt;&gt;"",$J153,TODAY())-$E153)</f>
        <v/>
      </c>
      <c r="Q153" s="12" t="str">
        <f aca="false">IF(OR($B153="",$I153="",$I153="En cartera"),"",($K153-$G153)*$F153-N($H153)-N($L153))</f>
        <v/>
      </c>
      <c r="R153" s="12" t="str">
        <f aca="false">IF(OR($B153="",$I153&lt;&gt;"En cartera",$M153=""),"",($M153-$G153)*$F153-N($H153))</f>
        <v/>
      </c>
      <c r="S153" s="12" t="str">
        <f aca="false">IF($B153="","",SUMIFS(Dividendos!$I$2:$I$301,Dividendos!$C$2:$C$301,$A153))</f>
        <v/>
      </c>
      <c r="T153" s="12" t="str">
        <f aca="false">IF($B153="","",SUMIFS(Operaciones!$AE$2:$AE$1001,Operaciones!$R$2:$R$1001,$A153))</f>
        <v/>
      </c>
      <c r="U153" s="12" t="str">
        <f aca="false">IF($B153="","",N($Q153)+$S153+$T153)</f>
        <v/>
      </c>
      <c r="V153" s="13" t="str">
        <f aca="false">IF(OR($B153="",N($F153)=0),"",(N($F153)*N($G153)-$S153-$T153)/$F153)</f>
        <v/>
      </c>
      <c r="W153" s="14" t="str">
        <f aca="false">IF(OR($B153="",N($F153)*N($G153)=0),"",$U153/($F153*$G153))</f>
        <v/>
      </c>
      <c r="X153" s="14" t="str">
        <f aca="false">IF(OR($W153="",$P153=""),"",$W153*365/MAX($P153,1))</f>
        <v/>
      </c>
      <c r="Y153" s="10" t="str">
        <f aca="false">IF($B153="","",IF(OR($A153="",$E153="",$F153="",$G153="",$I153=""),"Faltan datos obligatorios",IF(COUNTIF($A$2:$A$201,$A153)&gt;1,"ID lote duplicado",IF(AND($I153&lt;&gt;"En cartera",OR($J153="",$K153="")),"Falta fecha o precio de salida",IF(AND($J153&lt;&gt;"",$J153&lt;$E153),"Salida anterior a entrada",IF(AND($I153="En cartera",$M153=""),"OK (sin precio actual)","OK"))))))</f>
        <v/>
      </c>
    </row>
    <row r="154" customFormat="false" ht="15" hidden="false" customHeight="true" outlineLevel="0" collapsed="false">
      <c r="A154" s="7"/>
      <c r="B154" s="7"/>
      <c r="C154" s="7"/>
      <c r="D154" s="5"/>
      <c r="E154" s="6"/>
      <c r="F154" s="5"/>
      <c r="G154" s="8"/>
      <c r="H154" s="9"/>
      <c r="I154" s="7"/>
      <c r="J154" s="6"/>
      <c r="K154" s="8"/>
      <c r="L154" s="9"/>
      <c r="M154" s="8"/>
      <c r="N154" s="7"/>
      <c r="O154" s="12" t="str">
        <f aca="false">IF($B154="","",N($F154)*N($G154)+N($H154))</f>
        <v/>
      </c>
      <c r="P154" s="11" t="str">
        <f aca="true">IF(OR($B154="",$E154=""),"",IF($J154&lt;&gt;"",$J154,TODAY())-$E154)</f>
        <v/>
      </c>
      <c r="Q154" s="12" t="str">
        <f aca="false">IF(OR($B154="",$I154="",$I154="En cartera"),"",($K154-$G154)*$F154-N($H154)-N($L154))</f>
        <v/>
      </c>
      <c r="R154" s="12" t="str">
        <f aca="false">IF(OR($B154="",$I154&lt;&gt;"En cartera",$M154=""),"",($M154-$G154)*$F154-N($H154))</f>
        <v/>
      </c>
      <c r="S154" s="12" t="str">
        <f aca="false">IF($B154="","",SUMIFS(Dividendos!$I$2:$I$301,Dividendos!$C$2:$C$301,$A154))</f>
        <v/>
      </c>
      <c r="T154" s="12" t="str">
        <f aca="false">IF($B154="","",SUMIFS(Operaciones!$AE$2:$AE$1001,Operaciones!$R$2:$R$1001,$A154))</f>
        <v/>
      </c>
      <c r="U154" s="12" t="str">
        <f aca="false">IF($B154="","",N($Q154)+$S154+$T154)</f>
        <v/>
      </c>
      <c r="V154" s="13" t="str">
        <f aca="false">IF(OR($B154="",N($F154)=0),"",(N($F154)*N($G154)-$S154-$T154)/$F154)</f>
        <v/>
      </c>
      <c r="W154" s="14" t="str">
        <f aca="false">IF(OR($B154="",N($F154)*N($G154)=0),"",$U154/($F154*$G154))</f>
        <v/>
      </c>
      <c r="X154" s="14" t="str">
        <f aca="false">IF(OR($W154="",$P154=""),"",$W154*365/MAX($P154,1))</f>
        <v/>
      </c>
      <c r="Y154" s="10" t="str">
        <f aca="false">IF($B154="","",IF(OR($A154="",$E154="",$F154="",$G154="",$I154=""),"Faltan datos obligatorios",IF(COUNTIF($A$2:$A$201,$A154)&gt;1,"ID lote duplicado",IF(AND($I154&lt;&gt;"En cartera",OR($J154="",$K154="")),"Falta fecha o precio de salida",IF(AND($J154&lt;&gt;"",$J154&lt;$E154),"Salida anterior a entrada",IF(AND($I154="En cartera",$M154=""),"OK (sin precio actual)","OK"))))))</f>
        <v/>
      </c>
    </row>
    <row r="155" customFormat="false" ht="15" hidden="false" customHeight="true" outlineLevel="0" collapsed="false">
      <c r="A155" s="7"/>
      <c r="B155" s="7"/>
      <c r="C155" s="7"/>
      <c r="D155" s="5"/>
      <c r="E155" s="6"/>
      <c r="F155" s="5"/>
      <c r="G155" s="8"/>
      <c r="H155" s="9"/>
      <c r="I155" s="7"/>
      <c r="J155" s="6"/>
      <c r="K155" s="8"/>
      <c r="L155" s="9"/>
      <c r="M155" s="8"/>
      <c r="N155" s="7"/>
      <c r="O155" s="12" t="str">
        <f aca="false">IF($B155="","",N($F155)*N($G155)+N($H155))</f>
        <v/>
      </c>
      <c r="P155" s="11" t="str">
        <f aca="true">IF(OR($B155="",$E155=""),"",IF($J155&lt;&gt;"",$J155,TODAY())-$E155)</f>
        <v/>
      </c>
      <c r="Q155" s="12" t="str">
        <f aca="false">IF(OR($B155="",$I155="",$I155="En cartera"),"",($K155-$G155)*$F155-N($H155)-N($L155))</f>
        <v/>
      </c>
      <c r="R155" s="12" t="str">
        <f aca="false">IF(OR($B155="",$I155&lt;&gt;"En cartera",$M155=""),"",($M155-$G155)*$F155-N($H155))</f>
        <v/>
      </c>
      <c r="S155" s="12" t="str">
        <f aca="false">IF($B155="","",SUMIFS(Dividendos!$I$2:$I$301,Dividendos!$C$2:$C$301,$A155))</f>
        <v/>
      </c>
      <c r="T155" s="12" t="str">
        <f aca="false">IF($B155="","",SUMIFS(Operaciones!$AE$2:$AE$1001,Operaciones!$R$2:$R$1001,$A155))</f>
        <v/>
      </c>
      <c r="U155" s="12" t="str">
        <f aca="false">IF($B155="","",N($Q155)+$S155+$T155)</f>
        <v/>
      </c>
      <c r="V155" s="13" t="str">
        <f aca="false">IF(OR($B155="",N($F155)=0),"",(N($F155)*N($G155)-$S155-$T155)/$F155)</f>
        <v/>
      </c>
      <c r="W155" s="14" t="str">
        <f aca="false">IF(OR($B155="",N($F155)*N($G155)=0),"",$U155/($F155*$G155))</f>
        <v/>
      </c>
      <c r="X155" s="14" t="str">
        <f aca="false">IF(OR($W155="",$P155=""),"",$W155*365/MAX($P155,1))</f>
        <v/>
      </c>
      <c r="Y155" s="10" t="str">
        <f aca="false">IF($B155="","",IF(OR($A155="",$E155="",$F155="",$G155="",$I155=""),"Faltan datos obligatorios",IF(COUNTIF($A$2:$A$201,$A155)&gt;1,"ID lote duplicado",IF(AND($I155&lt;&gt;"En cartera",OR($J155="",$K155="")),"Falta fecha o precio de salida",IF(AND($J155&lt;&gt;"",$J155&lt;$E155),"Salida anterior a entrada",IF(AND($I155="En cartera",$M155=""),"OK (sin precio actual)","OK"))))))</f>
        <v/>
      </c>
    </row>
    <row r="156" customFormat="false" ht="15" hidden="false" customHeight="true" outlineLevel="0" collapsed="false">
      <c r="A156" s="7"/>
      <c r="B156" s="7"/>
      <c r="C156" s="7"/>
      <c r="D156" s="5"/>
      <c r="E156" s="6"/>
      <c r="F156" s="5"/>
      <c r="G156" s="8"/>
      <c r="H156" s="9"/>
      <c r="I156" s="7"/>
      <c r="J156" s="6"/>
      <c r="K156" s="8"/>
      <c r="L156" s="9"/>
      <c r="M156" s="8"/>
      <c r="N156" s="7"/>
      <c r="O156" s="12" t="str">
        <f aca="false">IF($B156="","",N($F156)*N($G156)+N($H156))</f>
        <v/>
      </c>
      <c r="P156" s="11" t="str">
        <f aca="true">IF(OR($B156="",$E156=""),"",IF($J156&lt;&gt;"",$J156,TODAY())-$E156)</f>
        <v/>
      </c>
      <c r="Q156" s="12" t="str">
        <f aca="false">IF(OR($B156="",$I156="",$I156="En cartera"),"",($K156-$G156)*$F156-N($H156)-N($L156))</f>
        <v/>
      </c>
      <c r="R156" s="12" t="str">
        <f aca="false">IF(OR($B156="",$I156&lt;&gt;"En cartera",$M156=""),"",($M156-$G156)*$F156-N($H156))</f>
        <v/>
      </c>
      <c r="S156" s="12" t="str">
        <f aca="false">IF($B156="","",SUMIFS(Dividendos!$I$2:$I$301,Dividendos!$C$2:$C$301,$A156))</f>
        <v/>
      </c>
      <c r="T156" s="12" t="str">
        <f aca="false">IF($B156="","",SUMIFS(Operaciones!$AE$2:$AE$1001,Operaciones!$R$2:$R$1001,$A156))</f>
        <v/>
      </c>
      <c r="U156" s="12" t="str">
        <f aca="false">IF($B156="","",N($Q156)+$S156+$T156)</f>
        <v/>
      </c>
      <c r="V156" s="13" t="str">
        <f aca="false">IF(OR($B156="",N($F156)=0),"",(N($F156)*N($G156)-$S156-$T156)/$F156)</f>
        <v/>
      </c>
      <c r="W156" s="14" t="str">
        <f aca="false">IF(OR($B156="",N($F156)*N($G156)=0),"",$U156/($F156*$G156))</f>
        <v/>
      </c>
      <c r="X156" s="14" t="str">
        <f aca="false">IF(OR($W156="",$P156=""),"",$W156*365/MAX($P156,1))</f>
        <v/>
      </c>
      <c r="Y156" s="10" t="str">
        <f aca="false">IF($B156="","",IF(OR($A156="",$E156="",$F156="",$G156="",$I156=""),"Faltan datos obligatorios",IF(COUNTIF($A$2:$A$201,$A156)&gt;1,"ID lote duplicado",IF(AND($I156&lt;&gt;"En cartera",OR($J156="",$K156="")),"Falta fecha o precio de salida",IF(AND($J156&lt;&gt;"",$J156&lt;$E156),"Salida anterior a entrada",IF(AND($I156="En cartera",$M156=""),"OK (sin precio actual)","OK"))))))</f>
        <v/>
      </c>
    </row>
    <row r="157" customFormat="false" ht="15" hidden="false" customHeight="true" outlineLevel="0" collapsed="false">
      <c r="A157" s="7"/>
      <c r="B157" s="7"/>
      <c r="C157" s="7"/>
      <c r="D157" s="5"/>
      <c r="E157" s="6"/>
      <c r="F157" s="5"/>
      <c r="G157" s="8"/>
      <c r="H157" s="9"/>
      <c r="I157" s="7"/>
      <c r="J157" s="6"/>
      <c r="K157" s="8"/>
      <c r="L157" s="9"/>
      <c r="M157" s="8"/>
      <c r="N157" s="7"/>
      <c r="O157" s="12" t="str">
        <f aca="false">IF($B157="","",N($F157)*N($G157)+N($H157))</f>
        <v/>
      </c>
      <c r="P157" s="11" t="str">
        <f aca="true">IF(OR($B157="",$E157=""),"",IF($J157&lt;&gt;"",$J157,TODAY())-$E157)</f>
        <v/>
      </c>
      <c r="Q157" s="12" t="str">
        <f aca="false">IF(OR($B157="",$I157="",$I157="En cartera"),"",($K157-$G157)*$F157-N($H157)-N($L157))</f>
        <v/>
      </c>
      <c r="R157" s="12" t="str">
        <f aca="false">IF(OR($B157="",$I157&lt;&gt;"En cartera",$M157=""),"",($M157-$G157)*$F157-N($H157))</f>
        <v/>
      </c>
      <c r="S157" s="12" t="str">
        <f aca="false">IF($B157="","",SUMIFS(Dividendos!$I$2:$I$301,Dividendos!$C$2:$C$301,$A157))</f>
        <v/>
      </c>
      <c r="T157" s="12" t="str">
        <f aca="false">IF($B157="","",SUMIFS(Operaciones!$AE$2:$AE$1001,Operaciones!$R$2:$R$1001,$A157))</f>
        <v/>
      </c>
      <c r="U157" s="12" t="str">
        <f aca="false">IF($B157="","",N($Q157)+$S157+$T157)</f>
        <v/>
      </c>
      <c r="V157" s="13" t="str">
        <f aca="false">IF(OR($B157="",N($F157)=0),"",(N($F157)*N($G157)-$S157-$T157)/$F157)</f>
        <v/>
      </c>
      <c r="W157" s="14" t="str">
        <f aca="false">IF(OR($B157="",N($F157)*N($G157)=0),"",$U157/($F157*$G157))</f>
        <v/>
      </c>
      <c r="X157" s="14" t="str">
        <f aca="false">IF(OR($W157="",$P157=""),"",$W157*365/MAX($P157,1))</f>
        <v/>
      </c>
      <c r="Y157" s="10" t="str">
        <f aca="false">IF($B157="","",IF(OR($A157="",$E157="",$F157="",$G157="",$I157=""),"Faltan datos obligatorios",IF(COUNTIF($A$2:$A$201,$A157)&gt;1,"ID lote duplicado",IF(AND($I157&lt;&gt;"En cartera",OR($J157="",$K157="")),"Falta fecha o precio de salida",IF(AND($J157&lt;&gt;"",$J157&lt;$E157),"Salida anterior a entrada",IF(AND($I157="En cartera",$M157=""),"OK (sin precio actual)","OK"))))))</f>
        <v/>
      </c>
    </row>
    <row r="158" customFormat="false" ht="15" hidden="false" customHeight="true" outlineLevel="0" collapsed="false">
      <c r="A158" s="7"/>
      <c r="B158" s="7"/>
      <c r="C158" s="7"/>
      <c r="D158" s="5"/>
      <c r="E158" s="6"/>
      <c r="F158" s="5"/>
      <c r="G158" s="8"/>
      <c r="H158" s="9"/>
      <c r="I158" s="7"/>
      <c r="J158" s="6"/>
      <c r="K158" s="8"/>
      <c r="L158" s="9"/>
      <c r="M158" s="8"/>
      <c r="N158" s="7"/>
      <c r="O158" s="12" t="str">
        <f aca="false">IF($B158="","",N($F158)*N($G158)+N($H158))</f>
        <v/>
      </c>
      <c r="P158" s="11" t="str">
        <f aca="true">IF(OR($B158="",$E158=""),"",IF($J158&lt;&gt;"",$J158,TODAY())-$E158)</f>
        <v/>
      </c>
      <c r="Q158" s="12" t="str">
        <f aca="false">IF(OR($B158="",$I158="",$I158="En cartera"),"",($K158-$G158)*$F158-N($H158)-N($L158))</f>
        <v/>
      </c>
      <c r="R158" s="12" t="str">
        <f aca="false">IF(OR($B158="",$I158&lt;&gt;"En cartera",$M158=""),"",($M158-$G158)*$F158-N($H158))</f>
        <v/>
      </c>
      <c r="S158" s="12" t="str">
        <f aca="false">IF($B158="","",SUMIFS(Dividendos!$I$2:$I$301,Dividendos!$C$2:$C$301,$A158))</f>
        <v/>
      </c>
      <c r="T158" s="12" t="str">
        <f aca="false">IF($B158="","",SUMIFS(Operaciones!$AE$2:$AE$1001,Operaciones!$R$2:$R$1001,$A158))</f>
        <v/>
      </c>
      <c r="U158" s="12" t="str">
        <f aca="false">IF($B158="","",N($Q158)+$S158+$T158)</f>
        <v/>
      </c>
      <c r="V158" s="13" t="str">
        <f aca="false">IF(OR($B158="",N($F158)=0),"",(N($F158)*N($G158)-$S158-$T158)/$F158)</f>
        <v/>
      </c>
      <c r="W158" s="14" t="str">
        <f aca="false">IF(OR($B158="",N($F158)*N($G158)=0),"",$U158/($F158*$G158))</f>
        <v/>
      </c>
      <c r="X158" s="14" t="str">
        <f aca="false">IF(OR($W158="",$P158=""),"",$W158*365/MAX($P158,1))</f>
        <v/>
      </c>
      <c r="Y158" s="10" t="str">
        <f aca="false">IF($B158="","",IF(OR($A158="",$E158="",$F158="",$G158="",$I158=""),"Faltan datos obligatorios",IF(COUNTIF($A$2:$A$201,$A158)&gt;1,"ID lote duplicado",IF(AND($I158&lt;&gt;"En cartera",OR($J158="",$K158="")),"Falta fecha o precio de salida",IF(AND($J158&lt;&gt;"",$J158&lt;$E158),"Salida anterior a entrada",IF(AND($I158="En cartera",$M158=""),"OK (sin precio actual)","OK"))))))</f>
        <v/>
      </c>
    </row>
    <row r="159" customFormat="false" ht="15" hidden="false" customHeight="true" outlineLevel="0" collapsed="false">
      <c r="A159" s="7"/>
      <c r="B159" s="7"/>
      <c r="C159" s="7"/>
      <c r="D159" s="5"/>
      <c r="E159" s="6"/>
      <c r="F159" s="5"/>
      <c r="G159" s="8"/>
      <c r="H159" s="9"/>
      <c r="I159" s="7"/>
      <c r="J159" s="6"/>
      <c r="K159" s="8"/>
      <c r="L159" s="9"/>
      <c r="M159" s="8"/>
      <c r="N159" s="7"/>
      <c r="O159" s="12" t="str">
        <f aca="false">IF($B159="","",N($F159)*N($G159)+N($H159))</f>
        <v/>
      </c>
      <c r="P159" s="11" t="str">
        <f aca="true">IF(OR($B159="",$E159=""),"",IF($J159&lt;&gt;"",$J159,TODAY())-$E159)</f>
        <v/>
      </c>
      <c r="Q159" s="12" t="str">
        <f aca="false">IF(OR($B159="",$I159="",$I159="En cartera"),"",($K159-$G159)*$F159-N($H159)-N($L159))</f>
        <v/>
      </c>
      <c r="R159" s="12" t="str">
        <f aca="false">IF(OR($B159="",$I159&lt;&gt;"En cartera",$M159=""),"",($M159-$G159)*$F159-N($H159))</f>
        <v/>
      </c>
      <c r="S159" s="12" t="str">
        <f aca="false">IF($B159="","",SUMIFS(Dividendos!$I$2:$I$301,Dividendos!$C$2:$C$301,$A159))</f>
        <v/>
      </c>
      <c r="T159" s="12" t="str">
        <f aca="false">IF($B159="","",SUMIFS(Operaciones!$AE$2:$AE$1001,Operaciones!$R$2:$R$1001,$A159))</f>
        <v/>
      </c>
      <c r="U159" s="12" t="str">
        <f aca="false">IF($B159="","",N($Q159)+$S159+$T159)</f>
        <v/>
      </c>
      <c r="V159" s="13" t="str">
        <f aca="false">IF(OR($B159="",N($F159)=0),"",(N($F159)*N($G159)-$S159-$T159)/$F159)</f>
        <v/>
      </c>
      <c r="W159" s="14" t="str">
        <f aca="false">IF(OR($B159="",N($F159)*N($G159)=0),"",$U159/($F159*$G159))</f>
        <v/>
      </c>
      <c r="X159" s="14" t="str">
        <f aca="false">IF(OR($W159="",$P159=""),"",$W159*365/MAX($P159,1))</f>
        <v/>
      </c>
      <c r="Y159" s="10" t="str">
        <f aca="false">IF($B159="","",IF(OR($A159="",$E159="",$F159="",$G159="",$I159=""),"Faltan datos obligatorios",IF(COUNTIF($A$2:$A$201,$A159)&gt;1,"ID lote duplicado",IF(AND($I159&lt;&gt;"En cartera",OR($J159="",$K159="")),"Falta fecha o precio de salida",IF(AND($J159&lt;&gt;"",$J159&lt;$E159),"Salida anterior a entrada",IF(AND($I159="En cartera",$M159=""),"OK (sin precio actual)","OK"))))))</f>
        <v/>
      </c>
    </row>
    <row r="160" customFormat="false" ht="15" hidden="false" customHeight="true" outlineLevel="0" collapsed="false">
      <c r="A160" s="7"/>
      <c r="B160" s="7"/>
      <c r="C160" s="7"/>
      <c r="D160" s="5"/>
      <c r="E160" s="6"/>
      <c r="F160" s="5"/>
      <c r="G160" s="8"/>
      <c r="H160" s="9"/>
      <c r="I160" s="7"/>
      <c r="J160" s="6"/>
      <c r="K160" s="8"/>
      <c r="L160" s="9"/>
      <c r="M160" s="8"/>
      <c r="N160" s="7"/>
      <c r="O160" s="12" t="str">
        <f aca="false">IF($B160="","",N($F160)*N($G160)+N($H160))</f>
        <v/>
      </c>
      <c r="P160" s="11" t="str">
        <f aca="true">IF(OR($B160="",$E160=""),"",IF($J160&lt;&gt;"",$J160,TODAY())-$E160)</f>
        <v/>
      </c>
      <c r="Q160" s="12" t="str">
        <f aca="false">IF(OR($B160="",$I160="",$I160="En cartera"),"",($K160-$G160)*$F160-N($H160)-N($L160))</f>
        <v/>
      </c>
      <c r="R160" s="12" t="str">
        <f aca="false">IF(OR($B160="",$I160&lt;&gt;"En cartera",$M160=""),"",($M160-$G160)*$F160-N($H160))</f>
        <v/>
      </c>
      <c r="S160" s="12" t="str">
        <f aca="false">IF($B160="","",SUMIFS(Dividendos!$I$2:$I$301,Dividendos!$C$2:$C$301,$A160))</f>
        <v/>
      </c>
      <c r="T160" s="12" t="str">
        <f aca="false">IF($B160="","",SUMIFS(Operaciones!$AE$2:$AE$1001,Operaciones!$R$2:$R$1001,$A160))</f>
        <v/>
      </c>
      <c r="U160" s="12" t="str">
        <f aca="false">IF($B160="","",N($Q160)+$S160+$T160)</f>
        <v/>
      </c>
      <c r="V160" s="13" t="str">
        <f aca="false">IF(OR($B160="",N($F160)=0),"",(N($F160)*N($G160)-$S160-$T160)/$F160)</f>
        <v/>
      </c>
      <c r="W160" s="14" t="str">
        <f aca="false">IF(OR($B160="",N($F160)*N($G160)=0),"",$U160/($F160*$G160))</f>
        <v/>
      </c>
      <c r="X160" s="14" t="str">
        <f aca="false">IF(OR($W160="",$P160=""),"",$W160*365/MAX($P160,1))</f>
        <v/>
      </c>
      <c r="Y160" s="10" t="str">
        <f aca="false">IF($B160="","",IF(OR($A160="",$E160="",$F160="",$G160="",$I160=""),"Faltan datos obligatorios",IF(COUNTIF($A$2:$A$201,$A160)&gt;1,"ID lote duplicado",IF(AND($I160&lt;&gt;"En cartera",OR($J160="",$K160="")),"Falta fecha o precio de salida",IF(AND($J160&lt;&gt;"",$J160&lt;$E160),"Salida anterior a entrada",IF(AND($I160="En cartera",$M160=""),"OK (sin precio actual)","OK"))))))</f>
        <v/>
      </c>
    </row>
    <row r="161" customFormat="false" ht="15" hidden="false" customHeight="true" outlineLevel="0" collapsed="false">
      <c r="A161" s="7"/>
      <c r="B161" s="7"/>
      <c r="C161" s="7"/>
      <c r="D161" s="5"/>
      <c r="E161" s="6"/>
      <c r="F161" s="5"/>
      <c r="G161" s="8"/>
      <c r="H161" s="9"/>
      <c r="I161" s="7"/>
      <c r="J161" s="6"/>
      <c r="K161" s="8"/>
      <c r="L161" s="9"/>
      <c r="M161" s="8"/>
      <c r="N161" s="7"/>
      <c r="O161" s="12" t="str">
        <f aca="false">IF($B161="","",N($F161)*N($G161)+N($H161))</f>
        <v/>
      </c>
      <c r="P161" s="11" t="str">
        <f aca="true">IF(OR($B161="",$E161=""),"",IF($J161&lt;&gt;"",$J161,TODAY())-$E161)</f>
        <v/>
      </c>
      <c r="Q161" s="12" t="str">
        <f aca="false">IF(OR($B161="",$I161="",$I161="En cartera"),"",($K161-$G161)*$F161-N($H161)-N($L161))</f>
        <v/>
      </c>
      <c r="R161" s="12" t="str">
        <f aca="false">IF(OR($B161="",$I161&lt;&gt;"En cartera",$M161=""),"",($M161-$G161)*$F161-N($H161))</f>
        <v/>
      </c>
      <c r="S161" s="12" t="str">
        <f aca="false">IF($B161="","",SUMIFS(Dividendos!$I$2:$I$301,Dividendos!$C$2:$C$301,$A161))</f>
        <v/>
      </c>
      <c r="T161" s="12" t="str">
        <f aca="false">IF($B161="","",SUMIFS(Operaciones!$AE$2:$AE$1001,Operaciones!$R$2:$R$1001,$A161))</f>
        <v/>
      </c>
      <c r="U161" s="12" t="str">
        <f aca="false">IF($B161="","",N($Q161)+$S161+$T161)</f>
        <v/>
      </c>
      <c r="V161" s="13" t="str">
        <f aca="false">IF(OR($B161="",N($F161)=0),"",(N($F161)*N($G161)-$S161-$T161)/$F161)</f>
        <v/>
      </c>
      <c r="W161" s="14" t="str">
        <f aca="false">IF(OR($B161="",N($F161)*N($G161)=0),"",$U161/($F161*$G161))</f>
        <v/>
      </c>
      <c r="X161" s="14" t="str">
        <f aca="false">IF(OR($W161="",$P161=""),"",$W161*365/MAX($P161,1))</f>
        <v/>
      </c>
      <c r="Y161" s="10" t="str">
        <f aca="false">IF($B161="","",IF(OR($A161="",$E161="",$F161="",$G161="",$I161=""),"Faltan datos obligatorios",IF(COUNTIF($A$2:$A$201,$A161)&gt;1,"ID lote duplicado",IF(AND($I161&lt;&gt;"En cartera",OR($J161="",$K161="")),"Falta fecha o precio de salida",IF(AND($J161&lt;&gt;"",$J161&lt;$E161),"Salida anterior a entrada",IF(AND($I161="En cartera",$M161=""),"OK (sin precio actual)","OK"))))))</f>
        <v/>
      </c>
    </row>
    <row r="162" customFormat="false" ht="15" hidden="false" customHeight="true" outlineLevel="0" collapsed="false">
      <c r="A162" s="7"/>
      <c r="B162" s="7"/>
      <c r="C162" s="7"/>
      <c r="D162" s="5"/>
      <c r="E162" s="6"/>
      <c r="F162" s="5"/>
      <c r="G162" s="8"/>
      <c r="H162" s="9"/>
      <c r="I162" s="7"/>
      <c r="J162" s="6"/>
      <c r="K162" s="8"/>
      <c r="L162" s="9"/>
      <c r="M162" s="8"/>
      <c r="N162" s="7"/>
      <c r="O162" s="12" t="str">
        <f aca="false">IF($B162="","",N($F162)*N($G162)+N($H162))</f>
        <v/>
      </c>
      <c r="P162" s="11" t="str">
        <f aca="true">IF(OR($B162="",$E162=""),"",IF($J162&lt;&gt;"",$J162,TODAY())-$E162)</f>
        <v/>
      </c>
      <c r="Q162" s="12" t="str">
        <f aca="false">IF(OR($B162="",$I162="",$I162="En cartera"),"",($K162-$G162)*$F162-N($H162)-N($L162))</f>
        <v/>
      </c>
      <c r="R162" s="12" t="str">
        <f aca="false">IF(OR($B162="",$I162&lt;&gt;"En cartera",$M162=""),"",($M162-$G162)*$F162-N($H162))</f>
        <v/>
      </c>
      <c r="S162" s="12" t="str">
        <f aca="false">IF($B162="","",SUMIFS(Dividendos!$I$2:$I$301,Dividendos!$C$2:$C$301,$A162))</f>
        <v/>
      </c>
      <c r="T162" s="12" t="str">
        <f aca="false">IF($B162="","",SUMIFS(Operaciones!$AE$2:$AE$1001,Operaciones!$R$2:$R$1001,$A162))</f>
        <v/>
      </c>
      <c r="U162" s="12" t="str">
        <f aca="false">IF($B162="","",N($Q162)+$S162+$T162)</f>
        <v/>
      </c>
      <c r="V162" s="13" t="str">
        <f aca="false">IF(OR($B162="",N($F162)=0),"",(N($F162)*N($G162)-$S162-$T162)/$F162)</f>
        <v/>
      </c>
      <c r="W162" s="14" t="str">
        <f aca="false">IF(OR($B162="",N($F162)*N($G162)=0),"",$U162/($F162*$G162))</f>
        <v/>
      </c>
      <c r="X162" s="14" t="str">
        <f aca="false">IF(OR($W162="",$P162=""),"",$W162*365/MAX($P162,1))</f>
        <v/>
      </c>
      <c r="Y162" s="10" t="str">
        <f aca="false">IF($B162="","",IF(OR($A162="",$E162="",$F162="",$G162="",$I162=""),"Faltan datos obligatorios",IF(COUNTIF($A$2:$A$201,$A162)&gt;1,"ID lote duplicado",IF(AND($I162&lt;&gt;"En cartera",OR($J162="",$K162="")),"Falta fecha o precio de salida",IF(AND($J162&lt;&gt;"",$J162&lt;$E162),"Salida anterior a entrada",IF(AND($I162="En cartera",$M162=""),"OK (sin precio actual)","OK"))))))</f>
        <v/>
      </c>
    </row>
    <row r="163" customFormat="false" ht="15" hidden="false" customHeight="true" outlineLevel="0" collapsed="false">
      <c r="A163" s="7"/>
      <c r="B163" s="7"/>
      <c r="C163" s="7"/>
      <c r="D163" s="5"/>
      <c r="E163" s="6"/>
      <c r="F163" s="5"/>
      <c r="G163" s="8"/>
      <c r="H163" s="9"/>
      <c r="I163" s="7"/>
      <c r="J163" s="6"/>
      <c r="K163" s="8"/>
      <c r="L163" s="9"/>
      <c r="M163" s="8"/>
      <c r="N163" s="7"/>
      <c r="O163" s="12" t="str">
        <f aca="false">IF($B163="","",N($F163)*N($G163)+N($H163))</f>
        <v/>
      </c>
      <c r="P163" s="11" t="str">
        <f aca="true">IF(OR($B163="",$E163=""),"",IF($J163&lt;&gt;"",$J163,TODAY())-$E163)</f>
        <v/>
      </c>
      <c r="Q163" s="12" t="str">
        <f aca="false">IF(OR($B163="",$I163="",$I163="En cartera"),"",($K163-$G163)*$F163-N($H163)-N($L163))</f>
        <v/>
      </c>
      <c r="R163" s="12" t="str">
        <f aca="false">IF(OR($B163="",$I163&lt;&gt;"En cartera",$M163=""),"",($M163-$G163)*$F163-N($H163))</f>
        <v/>
      </c>
      <c r="S163" s="12" t="str">
        <f aca="false">IF($B163="","",SUMIFS(Dividendos!$I$2:$I$301,Dividendos!$C$2:$C$301,$A163))</f>
        <v/>
      </c>
      <c r="T163" s="12" t="str">
        <f aca="false">IF($B163="","",SUMIFS(Operaciones!$AE$2:$AE$1001,Operaciones!$R$2:$R$1001,$A163))</f>
        <v/>
      </c>
      <c r="U163" s="12" t="str">
        <f aca="false">IF($B163="","",N($Q163)+$S163+$T163)</f>
        <v/>
      </c>
      <c r="V163" s="13" t="str">
        <f aca="false">IF(OR($B163="",N($F163)=0),"",(N($F163)*N($G163)-$S163-$T163)/$F163)</f>
        <v/>
      </c>
      <c r="W163" s="14" t="str">
        <f aca="false">IF(OR($B163="",N($F163)*N($G163)=0),"",$U163/($F163*$G163))</f>
        <v/>
      </c>
      <c r="X163" s="14" t="str">
        <f aca="false">IF(OR($W163="",$P163=""),"",$W163*365/MAX($P163,1))</f>
        <v/>
      </c>
      <c r="Y163" s="10" t="str">
        <f aca="false">IF($B163="","",IF(OR($A163="",$E163="",$F163="",$G163="",$I163=""),"Faltan datos obligatorios",IF(COUNTIF($A$2:$A$201,$A163)&gt;1,"ID lote duplicado",IF(AND($I163&lt;&gt;"En cartera",OR($J163="",$K163="")),"Falta fecha o precio de salida",IF(AND($J163&lt;&gt;"",$J163&lt;$E163),"Salida anterior a entrada",IF(AND($I163="En cartera",$M163=""),"OK (sin precio actual)","OK"))))))</f>
        <v/>
      </c>
    </row>
    <row r="164" customFormat="false" ht="15" hidden="false" customHeight="true" outlineLevel="0" collapsed="false">
      <c r="A164" s="7"/>
      <c r="B164" s="7"/>
      <c r="C164" s="7"/>
      <c r="D164" s="5"/>
      <c r="E164" s="6"/>
      <c r="F164" s="5"/>
      <c r="G164" s="8"/>
      <c r="H164" s="9"/>
      <c r="I164" s="7"/>
      <c r="J164" s="6"/>
      <c r="K164" s="8"/>
      <c r="L164" s="9"/>
      <c r="M164" s="8"/>
      <c r="N164" s="7"/>
      <c r="O164" s="12" t="str">
        <f aca="false">IF($B164="","",N($F164)*N($G164)+N($H164))</f>
        <v/>
      </c>
      <c r="P164" s="11" t="str">
        <f aca="true">IF(OR($B164="",$E164=""),"",IF($J164&lt;&gt;"",$J164,TODAY())-$E164)</f>
        <v/>
      </c>
      <c r="Q164" s="12" t="str">
        <f aca="false">IF(OR($B164="",$I164="",$I164="En cartera"),"",($K164-$G164)*$F164-N($H164)-N($L164))</f>
        <v/>
      </c>
      <c r="R164" s="12" t="str">
        <f aca="false">IF(OR($B164="",$I164&lt;&gt;"En cartera",$M164=""),"",($M164-$G164)*$F164-N($H164))</f>
        <v/>
      </c>
      <c r="S164" s="12" t="str">
        <f aca="false">IF($B164="","",SUMIFS(Dividendos!$I$2:$I$301,Dividendos!$C$2:$C$301,$A164))</f>
        <v/>
      </c>
      <c r="T164" s="12" t="str">
        <f aca="false">IF($B164="","",SUMIFS(Operaciones!$AE$2:$AE$1001,Operaciones!$R$2:$R$1001,$A164))</f>
        <v/>
      </c>
      <c r="U164" s="12" t="str">
        <f aca="false">IF($B164="","",N($Q164)+$S164+$T164)</f>
        <v/>
      </c>
      <c r="V164" s="13" t="str">
        <f aca="false">IF(OR($B164="",N($F164)=0),"",(N($F164)*N($G164)-$S164-$T164)/$F164)</f>
        <v/>
      </c>
      <c r="W164" s="14" t="str">
        <f aca="false">IF(OR($B164="",N($F164)*N($G164)=0),"",$U164/($F164*$G164))</f>
        <v/>
      </c>
      <c r="X164" s="14" t="str">
        <f aca="false">IF(OR($W164="",$P164=""),"",$W164*365/MAX($P164,1))</f>
        <v/>
      </c>
      <c r="Y164" s="10" t="str">
        <f aca="false">IF($B164="","",IF(OR($A164="",$E164="",$F164="",$G164="",$I164=""),"Faltan datos obligatorios",IF(COUNTIF($A$2:$A$201,$A164)&gt;1,"ID lote duplicado",IF(AND($I164&lt;&gt;"En cartera",OR($J164="",$K164="")),"Falta fecha o precio de salida",IF(AND($J164&lt;&gt;"",$J164&lt;$E164),"Salida anterior a entrada",IF(AND($I164="En cartera",$M164=""),"OK (sin precio actual)","OK"))))))</f>
        <v/>
      </c>
    </row>
    <row r="165" customFormat="false" ht="15" hidden="false" customHeight="true" outlineLevel="0" collapsed="false">
      <c r="A165" s="7"/>
      <c r="B165" s="7"/>
      <c r="C165" s="7"/>
      <c r="D165" s="5"/>
      <c r="E165" s="6"/>
      <c r="F165" s="5"/>
      <c r="G165" s="8"/>
      <c r="H165" s="9"/>
      <c r="I165" s="7"/>
      <c r="J165" s="6"/>
      <c r="K165" s="8"/>
      <c r="L165" s="9"/>
      <c r="M165" s="8"/>
      <c r="N165" s="7"/>
      <c r="O165" s="12" t="str">
        <f aca="false">IF($B165="","",N($F165)*N($G165)+N($H165))</f>
        <v/>
      </c>
      <c r="P165" s="11" t="str">
        <f aca="true">IF(OR($B165="",$E165=""),"",IF($J165&lt;&gt;"",$J165,TODAY())-$E165)</f>
        <v/>
      </c>
      <c r="Q165" s="12" t="str">
        <f aca="false">IF(OR($B165="",$I165="",$I165="En cartera"),"",($K165-$G165)*$F165-N($H165)-N($L165))</f>
        <v/>
      </c>
      <c r="R165" s="12" t="str">
        <f aca="false">IF(OR($B165="",$I165&lt;&gt;"En cartera",$M165=""),"",($M165-$G165)*$F165-N($H165))</f>
        <v/>
      </c>
      <c r="S165" s="12" t="str">
        <f aca="false">IF($B165="","",SUMIFS(Dividendos!$I$2:$I$301,Dividendos!$C$2:$C$301,$A165))</f>
        <v/>
      </c>
      <c r="T165" s="12" t="str">
        <f aca="false">IF($B165="","",SUMIFS(Operaciones!$AE$2:$AE$1001,Operaciones!$R$2:$R$1001,$A165))</f>
        <v/>
      </c>
      <c r="U165" s="12" t="str">
        <f aca="false">IF($B165="","",N($Q165)+$S165+$T165)</f>
        <v/>
      </c>
      <c r="V165" s="13" t="str">
        <f aca="false">IF(OR($B165="",N($F165)=0),"",(N($F165)*N($G165)-$S165-$T165)/$F165)</f>
        <v/>
      </c>
      <c r="W165" s="14" t="str">
        <f aca="false">IF(OR($B165="",N($F165)*N($G165)=0),"",$U165/($F165*$G165))</f>
        <v/>
      </c>
      <c r="X165" s="14" t="str">
        <f aca="false">IF(OR($W165="",$P165=""),"",$W165*365/MAX($P165,1))</f>
        <v/>
      </c>
      <c r="Y165" s="10" t="str">
        <f aca="false">IF($B165="","",IF(OR($A165="",$E165="",$F165="",$G165="",$I165=""),"Faltan datos obligatorios",IF(COUNTIF($A$2:$A$201,$A165)&gt;1,"ID lote duplicado",IF(AND($I165&lt;&gt;"En cartera",OR($J165="",$K165="")),"Falta fecha o precio de salida",IF(AND($J165&lt;&gt;"",$J165&lt;$E165),"Salida anterior a entrada",IF(AND($I165="En cartera",$M165=""),"OK (sin precio actual)","OK"))))))</f>
        <v/>
      </c>
    </row>
    <row r="166" customFormat="false" ht="15" hidden="false" customHeight="true" outlineLevel="0" collapsed="false">
      <c r="A166" s="7"/>
      <c r="B166" s="7"/>
      <c r="C166" s="7"/>
      <c r="D166" s="5"/>
      <c r="E166" s="6"/>
      <c r="F166" s="5"/>
      <c r="G166" s="8"/>
      <c r="H166" s="9"/>
      <c r="I166" s="7"/>
      <c r="J166" s="6"/>
      <c r="K166" s="8"/>
      <c r="L166" s="9"/>
      <c r="M166" s="8"/>
      <c r="N166" s="7"/>
      <c r="O166" s="12" t="str">
        <f aca="false">IF($B166="","",N($F166)*N($G166)+N($H166))</f>
        <v/>
      </c>
      <c r="P166" s="11" t="str">
        <f aca="true">IF(OR($B166="",$E166=""),"",IF($J166&lt;&gt;"",$J166,TODAY())-$E166)</f>
        <v/>
      </c>
      <c r="Q166" s="12" t="str">
        <f aca="false">IF(OR($B166="",$I166="",$I166="En cartera"),"",($K166-$G166)*$F166-N($H166)-N($L166))</f>
        <v/>
      </c>
      <c r="R166" s="12" t="str">
        <f aca="false">IF(OR($B166="",$I166&lt;&gt;"En cartera",$M166=""),"",($M166-$G166)*$F166-N($H166))</f>
        <v/>
      </c>
      <c r="S166" s="12" t="str">
        <f aca="false">IF($B166="","",SUMIFS(Dividendos!$I$2:$I$301,Dividendos!$C$2:$C$301,$A166))</f>
        <v/>
      </c>
      <c r="T166" s="12" t="str">
        <f aca="false">IF($B166="","",SUMIFS(Operaciones!$AE$2:$AE$1001,Operaciones!$R$2:$R$1001,$A166))</f>
        <v/>
      </c>
      <c r="U166" s="12" t="str">
        <f aca="false">IF($B166="","",N($Q166)+$S166+$T166)</f>
        <v/>
      </c>
      <c r="V166" s="13" t="str">
        <f aca="false">IF(OR($B166="",N($F166)=0),"",(N($F166)*N($G166)-$S166-$T166)/$F166)</f>
        <v/>
      </c>
      <c r="W166" s="14" t="str">
        <f aca="false">IF(OR($B166="",N($F166)*N($G166)=0),"",$U166/($F166*$G166))</f>
        <v/>
      </c>
      <c r="X166" s="14" t="str">
        <f aca="false">IF(OR($W166="",$P166=""),"",$W166*365/MAX($P166,1))</f>
        <v/>
      </c>
      <c r="Y166" s="10" t="str">
        <f aca="false">IF($B166="","",IF(OR($A166="",$E166="",$F166="",$G166="",$I166=""),"Faltan datos obligatorios",IF(COUNTIF($A$2:$A$201,$A166)&gt;1,"ID lote duplicado",IF(AND($I166&lt;&gt;"En cartera",OR($J166="",$K166="")),"Falta fecha o precio de salida",IF(AND($J166&lt;&gt;"",$J166&lt;$E166),"Salida anterior a entrada",IF(AND($I166="En cartera",$M166=""),"OK (sin precio actual)","OK"))))))</f>
        <v/>
      </c>
    </row>
    <row r="167" customFormat="false" ht="15" hidden="false" customHeight="true" outlineLevel="0" collapsed="false">
      <c r="A167" s="7"/>
      <c r="B167" s="7"/>
      <c r="C167" s="7"/>
      <c r="D167" s="5"/>
      <c r="E167" s="6"/>
      <c r="F167" s="5"/>
      <c r="G167" s="8"/>
      <c r="H167" s="9"/>
      <c r="I167" s="7"/>
      <c r="J167" s="6"/>
      <c r="K167" s="8"/>
      <c r="L167" s="9"/>
      <c r="M167" s="8"/>
      <c r="N167" s="7"/>
      <c r="O167" s="12" t="str">
        <f aca="false">IF($B167="","",N($F167)*N($G167)+N($H167))</f>
        <v/>
      </c>
      <c r="P167" s="11" t="str">
        <f aca="true">IF(OR($B167="",$E167=""),"",IF($J167&lt;&gt;"",$J167,TODAY())-$E167)</f>
        <v/>
      </c>
      <c r="Q167" s="12" t="str">
        <f aca="false">IF(OR($B167="",$I167="",$I167="En cartera"),"",($K167-$G167)*$F167-N($H167)-N($L167))</f>
        <v/>
      </c>
      <c r="R167" s="12" t="str">
        <f aca="false">IF(OR($B167="",$I167&lt;&gt;"En cartera",$M167=""),"",($M167-$G167)*$F167-N($H167))</f>
        <v/>
      </c>
      <c r="S167" s="12" t="str">
        <f aca="false">IF($B167="","",SUMIFS(Dividendos!$I$2:$I$301,Dividendos!$C$2:$C$301,$A167))</f>
        <v/>
      </c>
      <c r="T167" s="12" t="str">
        <f aca="false">IF($B167="","",SUMIFS(Operaciones!$AE$2:$AE$1001,Operaciones!$R$2:$R$1001,$A167))</f>
        <v/>
      </c>
      <c r="U167" s="12" t="str">
        <f aca="false">IF($B167="","",N($Q167)+$S167+$T167)</f>
        <v/>
      </c>
      <c r="V167" s="13" t="str">
        <f aca="false">IF(OR($B167="",N($F167)=0),"",(N($F167)*N($G167)-$S167-$T167)/$F167)</f>
        <v/>
      </c>
      <c r="W167" s="14" t="str">
        <f aca="false">IF(OR($B167="",N($F167)*N($G167)=0),"",$U167/($F167*$G167))</f>
        <v/>
      </c>
      <c r="X167" s="14" t="str">
        <f aca="false">IF(OR($W167="",$P167=""),"",$W167*365/MAX($P167,1))</f>
        <v/>
      </c>
      <c r="Y167" s="10" t="str">
        <f aca="false">IF($B167="","",IF(OR($A167="",$E167="",$F167="",$G167="",$I167=""),"Faltan datos obligatorios",IF(COUNTIF($A$2:$A$201,$A167)&gt;1,"ID lote duplicado",IF(AND($I167&lt;&gt;"En cartera",OR($J167="",$K167="")),"Falta fecha o precio de salida",IF(AND($J167&lt;&gt;"",$J167&lt;$E167),"Salida anterior a entrada",IF(AND($I167="En cartera",$M167=""),"OK (sin precio actual)","OK"))))))</f>
        <v/>
      </c>
    </row>
    <row r="168" customFormat="false" ht="15" hidden="false" customHeight="true" outlineLevel="0" collapsed="false">
      <c r="A168" s="7"/>
      <c r="B168" s="7"/>
      <c r="C168" s="7"/>
      <c r="D168" s="5"/>
      <c r="E168" s="6"/>
      <c r="F168" s="5"/>
      <c r="G168" s="8"/>
      <c r="H168" s="9"/>
      <c r="I168" s="7"/>
      <c r="J168" s="6"/>
      <c r="K168" s="8"/>
      <c r="L168" s="9"/>
      <c r="M168" s="8"/>
      <c r="N168" s="7"/>
      <c r="O168" s="12" t="str">
        <f aca="false">IF($B168="","",N($F168)*N($G168)+N($H168))</f>
        <v/>
      </c>
      <c r="P168" s="11" t="str">
        <f aca="true">IF(OR($B168="",$E168=""),"",IF($J168&lt;&gt;"",$J168,TODAY())-$E168)</f>
        <v/>
      </c>
      <c r="Q168" s="12" t="str">
        <f aca="false">IF(OR($B168="",$I168="",$I168="En cartera"),"",($K168-$G168)*$F168-N($H168)-N($L168))</f>
        <v/>
      </c>
      <c r="R168" s="12" t="str">
        <f aca="false">IF(OR($B168="",$I168&lt;&gt;"En cartera",$M168=""),"",($M168-$G168)*$F168-N($H168))</f>
        <v/>
      </c>
      <c r="S168" s="12" t="str">
        <f aca="false">IF($B168="","",SUMIFS(Dividendos!$I$2:$I$301,Dividendos!$C$2:$C$301,$A168))</f>
        <v/>
      </c>
      <c r="T168" s="12" t="str">
        <f aca="false">IF($B168="","",SUMIFS(Operaciones!$AE$2:$AE$1001,Operaciones!$R$2:$R$1001,$A168))</f>
        <v/>
      </c>
      <c r="U168" s="12" t="str">
        <f aca="false">IF($B168="","",N($Q168)+$S168+$T168)</f>
        <v/>
      </c>
      <c r="V168" s="13" t="str">
        <f aca="false">IF(OR($B168="",N($F168)=0),"",(N($F168)*N($G168)-$S168-$T168)/$F168)</f>
        <v/>
      </c>
      <c r="W168" s="14" t="str">
        <f aca="false">IF(OR($B168="",N($F168)*N($G168)=0),"",$U168/($F168*$G168))</f>
        <v/>
      </c>
      <c r="X168" s="14" t="str">
        <f aca="false">IF(OR($W168="",$P168=""),"",$W168*365/MAX($P168,1))</f>
        <v/>
      </c>
      <c r="Y168" s="10" t="str">
        <f aca="false">IF($B168="","",IF(OR($A168="",$E168="",$F168="",$G168="",$I168=""),"Faltan datos obligatorios",IF(COUNTIF($A$2:$A$201,$A168)&gt;1,"ID lote duplicado",IF(AND($I168&lt;&gt;"En cartera",OR($J168="",$K168="")),"Falta fecha o precio de salida",IF(AND($J168&lt;&gt;"",$J168&lt;$E168),"Salida anterior a entrada",IF(AND($I168="En cartera",$M168=""),"OK (sin precio actual)","OK"))))))</f>
        <v/>
      </c>
    </row>
    <row r="169" customFormat="false" ht="15" hidden="false" customHeight="true" outlineLevel="0" collapsed="false">
      <c r="A169" s="7"/>
      <c r="B169" s="7"/>
      <c r="C169" s="7"/>
      <c r="D169" s="5"/>
      <c r="E169" s="6"/>
      <c r="F169" s="5"/>
      <c r="G169" s="8"/>
      <c r="H169" s="9"/>
      <c r="I169" s="7"/>
      <c r="J169" s="6"/>
      <c r="K169" s="8"/>
      <c r="L169" s="9"/>
      <c r="M169" s="8"/>
      <c r="N169" s="7"/>
      <c r="O169" s="12" t="str">
        <f aca="false">IF($B169="","",N($F169)*N($G169)+N($H169))</f>
        <v/>
      </c>
      <c r="P169" s="11" t="str">
        <f aca="true">IF(OR($B169="",$E169=""),"",IF($J169&lt;&gt;"",$J169,TODAY())-$E169)</f>
        <v/>
      </c>
      <c r="Q169" s="12" t="str">
        <f aca="false">IF(OR($B169="",$I169="",$I169="En cartera"),"",($K169-$G169)*$F169-N($H169)-N($L169))</f>
        <v/>
      </c>
      <c r="R169" s="12" t="str">
        <f aca="false">IF(OR($B169="",$I169&lt;&gt;"En cartera",$M169=""),"",($M169-$G169)*$F169-N($H169))</f>
        <v/>
      </c>
      <c r="S169" s="12" t="str">
        <f aca="false">IF($B169="","",SUMIFS(Dividendos!$I$2:$I$301,Dividendos!$C$2:$C$301,$A169))</f>
        <v/>
      </c>
      <c r="T169" s="12" t="str">
        <f aca="false">IF($B169="","",SUMIFS(Operaciones!$AE$2:$AE$1001,Operaciones!$R$2:$R$1001,$A169))</f>
        <v/>
      </c>
      <c r="U169" s="12" t="str">
        <f aca="false">IF($B169="","",N($Q169)+$S169+$T169)</f>
        <v/>
      </c>
      <c r="V169" s="13" t="str">
        <f aca="false">IF(OR($B169="",N($F169)=0),"",(N($F169)*N($G169)-$S169-$T169)/$F169)</f>
        <v/>
      </c>
      <c r="W169" s="14" t="str">
        <f aca="false">IF(OR($B169="",N($F169)*N($G169)=0),"",$U169/($F169*$G169))</f>
        <v/>
      </c>
      <c r="X169" s="14" t="str">
        <f aca="false">IF(OR($W169="",$P169=""),"",$W169*365/MAX($P169,1))</f>
        <v/>
      </c>
      <c r="Y169" s="10" t="str">
        <f aca="false">IF($B169="","",IF(OR($A169="",$E169="",$F169="",$G169="",$I169=""),"Faltan datos obligatorios",IF(COUNTIF($A$2:$A$201,$A169)&gt;1,"ID lote duplicado",IF(AND($I169&lt;&gt;"En cartera",OR($J169="",$K169="")),"Falta fecha o precio de salida",IF(AND($J169&lt;&gt;"",$J169&lt;$E169),"Salida anterior a entrada",IF(AND($I169="En cartera",$M169=""),"OK (sin precio actual)","OK"))))))</f>
        <v/>
      </c>
    </row>
    <row r="170" customFormat="false" ht="15" hidden="false" customHeight="true" outlineLevel="0" collapsed="false">
      <c r="A170" s="7"/>
      <c r="B170" s="7"/>
      <c r="C170" s="7"/>
      <c r="D170" s="5"/>
      <c r="E170" s="6"/>
      <c r="F170" s="5"/>
      <c r="G170" s="8"/>
      <c r="H170" s="9"/>
      <c r="I170" s="7"/>
      <c r="J170" s="6"/>
      <c r="K170" s="8"/>
      <c r="L170" s="9"/>
      <c r="M170" s="8"/>
      <c r="N170" s="7"/>
      <c r="O170" s="12" t="str">
        <f aca="false">IF($B170="","",N($F170)*N($G170)+N($H170))</f>
        <v/>
      </c>
      <c r="P170" s="11" t="str">
        <f aca="true">IF(OR($B170="",$E170=""),"",IF($J170&lt;&gt;"",$J170,TODAY())-$E170)</f>
        <v/>
      </c>
      <c r="Q170" s="12" t="str">
        <f aca="false">IF(OR($B170="",$I170="",$I170="En cartera"),"",($K170-$G170)*$F170-N($H170)-N($L170))</f>
        <v/>
      </c>
      <c r="R170" s="12" t="str">
        <f aca="false">IF(OR($B170="",$I170&lt;&gt;"En cartera",$M170=""),"",($M170-$G170)*$F170-N($H170))</f>
        <v/>
      </c>
      <c r="S170" s="12" t="str">
        <f aca="false">IF($B170="","",SUMIFS(Dividendos!$I$2:$I$301,Dividendos!$C$2:$C$301,$A170))</f>
        <v/>
      </c>
      <c r="T170" s="12" t="str">
        <f aca="false">IF($B170="","",SUMIFS(Operaciones!$AE$2:$AE$1001,Operaciones!$R$2:$R$1001,$A170))</f>
        <v/>
      </c>
      <c r="U170" s="12" t="str">
        <f aca="false">IF($B170="","",N($Q170)+$S170+$T170)</f>
        <v/>
      </c>
      <c r="V170" s="13" t="str">
        <f aca="false">IF(OR($B170="",N($F170)=0),"",(N($F170)*N($G170)-$S170-$T170)/$F170)</f>
        <v/>
      </c>
      <c r="W170" s="14" t="str">
        <f aca="false">IF(OR($B170="",N($F170)*N($G170)=0),"",$U170/($F170*$G170))</f>
        <v/>
      </c>
      <c r="X170" s="14" t="str">
        <f aca="false">IF(OR($W170="",$P170=""),"",$W170*365/MAX($P170,1))</f>
        <v/>
      </c>
      <c r="Y170" s="10" t="str">
        <f aca="false">IF($B170="","",IF(OR($A170="",$E170="",$F170="",$G170="",$I170=""),"Faltan datos obligatorios",IF(COUNTIF($A$2:$A$201,$A170)&gt;1,"ID lote duplicado",IF(AND($I170&lt;&gt;"En cartera",OR($J170="",$K170="")),"Falta fecha o precio de salida",IF(AND($J170&lt;&gt;"",$J170&lt;$E170),"Salida anterior a entrada",IF(AND($I170="En cartera",$M170=""),"OK (sin precio actual)","OK"))))))</f>
        <v/>
      </c>
    </row>
    <row r="171" customFormat="false" ht="15" hidden="false" customHeight="true" outlineLevel="0" collapsed="false">
      <c r="A171" s="7"/>
      <c r="B171" s="7"/>
      <c r="C171" s="7"/>
      <c r="D171" s="5"/>
      <c r="E171" s="6"/>
      <c r="F171" s="5"/>
      <c r="G171" s="8"/>
      <c r="H171" s="9"/>
      <c r="I171" s="7"/>
      <c r="J171" s="6"/>
      <c r="K171" s="8"/>
      <c r="L171" s="9"/>
      <c r="M171" s="8"/>
      <c r="N171" s="7"/>
      <c r="O171" s="12" t="str">
        <f aca="false">IF($B171="","",N($F171)*N($G171)+N($H171))</f>
        <v/>
      </c>
      <c r="P171" s="11" t="str">
        <f aca="true">IF(OR($B171="",$E171=""),"",IF($J171&lt;&gt;"",$J171,TODAY())-$E171)</f>
        <v/>
      </c>
      <c r="Q171" s="12" t="str">
        <f aca="false">IF(OR($B171="",$I171="",$I171="En cartera"),"",($K171-$G171)*$F171-N($H171)-N($L171))</f>
        <v/>
      </c>
      <c r="R171" s="12" t="str">
        <f aca="false">IF(OR($B171="",$I171&lt;&gt;"En cartera",$M171=""),"",($M171-$G171)*$F171-N($H171))</f>
        <v/>
      </c>
      <c r="S171" s="12" t="str">
        <f aca="false">IF($B171="","",SUMIFS(Dividendos!$I$2:$I$301,Dividendos!$C$2:$C$301,$A171))</f>
        <v/>
      </c>
      <c r="T171" s="12" t="str">
        <f aca="false">IF($B171="","",SUMIFS(Operaciones!$AE$2:$AE$1001,Operaciones!$R$2:$R$1001,$A171))</f>
        <v/>
      </c>
      <c r="U171" s="12" t="str">
        <f aca="false">IF($B171="","",N($Q171)+$S171+$T171)</f>
        <v/>
      </c>
      <c r="V171" s="13" t="str">
        <f aca="false">IF(OR($B171="",N($F171)=0),"",(N($F171)*N($G171)-$S171-$T171)/$F171)</f>
        <v/>
      </c>
      <c r="W171" s="14" t="str">
        <f aca="false">IF(OR($B171="",N($F171)*N($G171)=0),"",$U171/($F171*$G171))</f>
        <v/>
      </c>
      <c r="X171" s="14" t="str">
        <f aca="false">IF(OR($W171="",$P171=""),"",$W171*365/MAX($P171,1))</f>
        <v/>
      </c>
      <c r="Y171" s="10" t="str">
        <f aca="false">IF($B171="","",IF(OR($A171="",$E171="",$F171="",$G171="",$I171=""),"Faltan datos obligatorios",IF(COUNTIF($A$2:$A$201,$A171)&gt;1,"ID lote duplicado",IF(AND($I171&lt;&gt;"En cartera",OR($J171="",$K171="")),"Falta fecha o precio de salida",IF(AND($J171&lt;&gt;"",$J171&lt;$E171),"Salida anterior a entrada",IF(AND($I171="En cartera",$M171=""),"OK (sin precio actual)","OK"))))))</f>
        <v/>
      </c>
    </row>
    <row r="172" customFormat="false" ht="15" hidden="false" customHeight="true" outlineLevel="0" collapsed="false">
      <c r="A172" s="7"/>
      <c r="B172" s="7"/>
      <c r="C172" s="7"/>
      <c r="D172" s="5"/>
      <c r="E172" s="6"/>
      <c r="F172" s="5"/>
      <c r="G172" s="8"/>
      <c r="H172" s="9"/>
      <c r="I172" s="7"/>
      <c r="J172" s="6"/>
      <c r="K172" s="8"/>
      <c r="L172" s="9"/>
      <c r="M172" s="8"/>
      <c r="N172" s="7"/>
      <c r="O172" s="12" t="str">
        <f aca="false">IF($B172="","",N($F172)*N($G172)+N($H172))</f>
        <v/>
      </c>
      <c r="P172" s="11" t="str">
        <f aca="true">IF(OR($B172="",$E172=""),"",IF($J172&lt;&gt;"",$J172,TODAY())-$E172)</f>
        <v/>
      </c>
      <c r="Q172" s="12" t="str">
        <f aca="false">IF(OR($B172="",$I172="",$I172="En cartera"),"",($K172-$G172)*$F172-N($H172)-N($L172))</f>
        <v/>
      </c>
      <c r="R172" s="12" t="str">
        <f aca="false">IF(OR($B172="",$I172&lt;&gt;"En cartera",$M172=""),"",($M172-$G172)*$F172-N($H172))</f>
        <v/>
      </c>
      <c r="S172" s="12" t="str">
        <f aca="false">IF($B172="","",SUMIFS(Dividendos!$I$2:$I$301,Dividendos!$C$2:$C$301,$A172))</f>
        <v/>
      </c>
      <c r="T172" s="12" t="str">
        <f aca="false">IF($B172="","",SUMIFS(Operaciones!$AE$2:$AE$1001,Operaciones!$R$2:$R$1001,$A172))</f>
        <v/>
      </c>
      <c r="U172" s="12" t="str">
        <f aca="false">IF($B172="","",N($Q172)+$S172+$T172)</f>
        <v/>
      </c>
      <c r="V172" s="13" t="str">
        <f aca="false">IF(OR($B172="",N($F172)=0),"",(N($F172)*N($G172)-$S172-$T172)/$F172)</f>
        <v/>
      </c>
      <c r="W172" s="14" t="str">
        <f aca="false">IF(OR($B172="",N($F172)*N($G172)=0),"",$U172/($F172*$G172))</f>
        <v/>
      </c>
      <c r="X172" s="14" t="str">
        <f aca="false">IF(OR($W172="",$P172=""),"",$W172*365/MAX($P172,1))</f>
        <v/>
      </c>
      <c r="Y172" s="10" t="str">
        <f aca="false">IF($B172="","",IF(OR($A172="",$E172="",$F172="",$G172="",$I172=""),"Faltan datos obligatorios",IF(COUNTIF($A$2:$A$201,$A172)&gt;1,"ID lote duplicado",IF(AND($I172&lt;&gt;"En cartera",OR($J172="",$K172="")),"Falta fecha o precio de salida",IF(AND($J172&lt;&gt;"",$J172&lt;$E172),"Salida anterior a entrada",IF(AND($I172="En cartera",$M172=""),"OK (sin precio actual)","OK"))))))</f>
        <v/>
      </c>
    </row>
    <row r="173" customFormat="false" ht="15" hidden="false" customHeight="true" outlineLevel="0" collapsed="false">
      <c r="A173" s="7"/>
      <c r="B173" s="7"/>
      <c r="C173" s="7"/>
      <c r="D173" s="5"/>
      <c r="E173" s="6"/>
      <c r="F173" s="5"/>
      <c r="G173" s="8"/>
      <c r="H173" s="9"/>
      <c r="I173" s="7"/>
      <c r="J173" s="6"/>
      <c r="K173" s="8"/>
      <c r="L173" s="9"/>
      <c r="M173" s="8"/>
      <c r="N173" s="7"/>
      <c r="O173" s="12" t="str">
        <f aca="false">IF($B173="","",N($F173)*N($G173)+N($H173))</f>
        <v/>
      </c>
      <c r="P173" s="11" t="str">
        <f aca="true">IF(OR($B173="",$E173=""),"",IF($J173&lt;&gt;"",$J173,TODAY())-$E173)</f>
        <v/>
      </c>
      <c r="Q173" s="12" t="str">
        <f aca="false">IF(OR($B173="",$I173="",$I173="En cartera"),"",($K173-$G173)*$F173-N($H173)-N($L173))</f>
        <v/>
      </c>
      <c r="R173" s="12" t="str">
        <f aca="false">IF(OR($B173="",$I173&lt;&gt;"En cartera",$M173=""),"",($M173-$G173)*$F173-N($H173))</f>
        <v/>
      </c>
      <c r="S173" s="12" t="str">
        <f aca="false">IF($B173="","",SUMIFS(Dividendos!$I$2:$I$301,Dividendos!$C$2:$C$301,$A173))</f>
        <v/>
      </c>
      <c r="T173" s="12" t="str">
        <f aca="false">IF($B173="","",SUMIFS(Operaciones!$AE$2:$AE$1001,Operaciones!$R$2:$R$1001,$A173))</f>
        <v/>
      </c>
      <c r="U173" s="12" t="str">
        <f aca="false">IF($B173="","",N($Q173)+$S173+$T173)</f>
        <v/>
      </c>
      <c r="V173" s="13" t="str">
        <f aca="false">IF(OR($B173="",N($F173)=0),"",(N($F173)*N($G173)-$S173-$T173)/$F173)</f>
        <v/>
      </c>
      <c r="W173" s="14" t="str">
        <f aca="false">IF(OR($B173="",N($F173)*N($G173)=0),"",$U173/($F173*$G173))</f>
        <v/>
      </c>
      <c r="X173" s="14" t="str">
        <f aca="false">IF(OR($W173="",$P173=""),"",$W173*365/MAX($P173,1))</f>
        <v/>
      </c>
      <c r="Y173" s="10" t="str">
        <f aca="false">IF($B173="","",IF(OR($A173="",$E173="",$F173="",$G173="",$I173=""),"Faltan datos obligatorios",IF(COUNTIF($A$2:$A$201,$A173)&gt;1,"ID lote duplicado",IF(AND($I173&lt;&gt;"En cartera",OR($J173="",$K173="")),"Falta fecha o precio de salida",IF(AND($J173&lt;&gt;"",$J173&lt;$E173),"Salida anterior a entrada",IF(AND($I173="En cartera",$M173=""),"OK (sin precio actual)","OK"))))))</f>
        <v/>
      </c>
    </row>
    <row r="174" customFormat="false" ht="15" hidden="false" customHeight="true" outlineLevel="0" collapsed="false">
      <c r="A174" s="7"/>
      <c r="B174" s="7"/>
      <c r="C174" s="7"/>
      <c r="D174" s="5"/>
      <c r="E174" s="6"/>
      <c r="F174" s="5"/>
      <c r="G174" s="8"/>
      <c r="H174" s="9"/>
      <c r="I174" s="7"/>
      <c r="J174" s="6"/>
      <c r="K174" s="8"/>
      <c r="L174" s="9"/>
      <c r="M174" s="8"/>
      <c r="N174" s="7"/>
      <c r="O174" s="12" t="str">
        <f aca="false">IF($B174="","",N($F174)*N($G174)+N($H174))</f>
        <v/>
      </c>
      <c r="P174" s="11" t="str">
        <f aca="true">IF(OR($B174="",$E174=""),"",IF($J174&lt;&gt;"",$J174,TODAY())-$E174)</f>
        <v/>
      </c>
      <c r="Q174" s="12" t="str">
        <f aca="false">IF(OR($B174="",$I174="",$I174="En cartera"),"",($K174-$G174)*$F174-N($H174)-N($L174))</f>
        <v/>
      </c>
      <c r="R174" s="12" t="str">
        <f aca="false">IF(OR($B174="",$I174&lt;&gt;"En cartera",$M174=""),"",($M174-$G174)*$F174-N($H174))</f>
        <v/>
      </c>
      <c r="S174" s="12" t="str">
        <f aca="false">IF($B174="","",SUMIFS(Dividendos!$I$2:$I$301,Dividendos!$C$2:$C$301,$A174))</f>
        <v/>
      </c>
      <c r="T174" s="12" t="str">
        <f aca="false">IF($B174="","",SUMIFS(Operaciones!$AE$2:$AE$1001,Operaciones!$R$2:$R$1001,$A174))</f>
        <v/>
      </c>
      <c r="U174" s="12" t="str">
        <f aca="false">IF($B174="","",N($Q174)+$S174+$T174)</f>
        <v/>
      </c>
      <c r="V174" s="13" t="str">
        <f aca="false">IF(OR($B174="",N($F174)=0),"",(N($F174)*N($G174)-$S174-$T174)/$F174)</f>
        <v/>
      </c>
      <c r="W174" s="14" t="str">
        <f aca="false">IF(OR($B174="",N($F174)*N($G174)=0),"",$U174/($F174*$G174))</f>
        <v/>
      </c>
      <c r="X174" s="14" t="str">
        <f aca="false">IF(OR($W174="",$P174=""),"",$W174*365/MAX($P174,1))</f>
        <v/>
      </c>
      <c r="Y174" s="10" t="str">
        <f aca="false">IF($B174="","",IF(OR($A174="",$E174="",$F174="",$G174="",$I174=""),"Faltan datos obligatorios",IF(COUNTIF($A$2:$A$201,$A174)&gt;1,"ID lote duplicado",IF(AND($I174&lt;&gt;"En cartera",OR($J174="",$K174="")),"Falta fecha o precio de salida",IF(AND($J174&lt;&gt;"",$J174&lt;$E174),"Salida anterior a entrada",IF(AND($I174="En cartera",$M174=""),"OK (sin precio actual)","OK"))))))</f>
        <v/>
      </c>
    </row>
    <row r="175" customFormat="false" ht="15" hidden="false" customHeight="true" outlineLevel="0" collapsed="false">
      <c r="A175" s="7"/>
      <c r="B175" s="7"/>
      <c r="C175" s="7"/>
      <c r="D175" s="5"/>
      <c r="E175" s="6"/>
      <c r="F175" s="5"/>
      <c r="G175" s="8"/>
      <c r="H175" s="9"/>
      <c r="I175" s="7"/>
      <c r="J175" s="6"/>
      <c r="K175" s="8"/>
      <c r="L175" s="9"/>
      <c r="M175" s="8"/>
      <c r="N175" s="7"/>
      <c r="O175" s="12" t="str">
        <f aca="false">IF($B175="","",N($F175)*N($G175)+N($H175))</f>
        <v/>
      </c>
      <c r="P175" s="11" t="str">
        <f aca="true">IF(OR($B175="",$E175=""),"",IF($J175&lt;&gt;"",$J175,TODAY())-$E175)</f>
        <v/>
      </c>
      <c r="Q175" s="12" t="str">
        <f aca="false">IF(OR($B175="",$I175="",$I175="En cartera"),"",($K175-$G175)*$F175-N($H175)-N($L175))</f>
        <v/>
      </c>
      <c r="R175" s="12" t="str">
        <f aca="false">IF(OR($B175="",$I175&lt;&gt;"En cartera",$M175=""),"",($M175-$G175)*$F175-N($H175))</f>
        <v/>
      </c>
      <c r="S175" s="12" t="str">
        <f aca="false">IF($B175="","",SUMIFS(Dividendos!$I$2:$I$301,Dividendos!$C$2:$C$301,$A175))</f>
        <v/>
      </c>
      <c r="T175" s="12" t="str">
        <f aca="false">IF($B175="","",SUMIFS(Operaciones!$AE$2:$AE$1001,Operaciones!$R$2:$R$1001,$A175))</f>
        <v/>
      </c>
      <c r="U175" s="12" t="str">
        <f aca="false">IF($B175="","",N($Q175)+$S175+$T175)</f>
        <v/>
      </c>
      <c r="V175" s="13" t="str">
        <f aca="false">IF(OR($B175="",N($F175)=0),"",(N($F175)*N($G175)-$S175-$T175)/$F175)</f>
        <v/>
      </c>
      <c r="W175" s="14" t="str">
        <f aca="false">IF(OR($B175="",N($F175)*N($G175)=0),"",$U175/($F175*$G175))</f>
        <v/>
      </c>
      <c r="X175" s="14" t="str">
        <f aca="false">IF(OR($W175="",$P175=""),"",$W175*365/MAX($P175,1))</f>
        <v/>
      </c>
      <c r="Y175" s="10" t="str">
        <f aca="false">IF($B175="","",IF(OR($A175="",$E175="",$F175="",$G175="",$I175=""),"Faltan datos obligatorios",IF(COUNTIF($A$2:$A$201,$A175)&gt;1,"ID lote duplicado",IF(AND($I175&lt;&gt;"En cartera",OR($J175="",$K175="")),"Falta fecha o precio de salida",IF(AND($J175&lt;&gt;"",$J175&lt;$E175),"Salida anterior a entrada",IF(AND($I175="En cartera",$M175=""),"OK (sin precio actual)","OK"))))))</f>
        <v/>
      </c>
    </row>
    <row r="176" customFormat="false" ht="15" hidden="false" customHeight="true" outlineLevel="0" collapsed="false">
      <c r="A176" s="7"/>
      <c r="B176" s="7"/>
      <c r="C176" s="7"/>
      <c r="D176" s="5"/>
      <c r="E176" s="6"/>
      <c r="F176" s="5"/>
      <c r="G176" s="8"/>
      <c r="H176" s="9"/>
      <c r="I176" s="7"/>
      <c r="J176" s="6"/>
      <c r="K176" s="8"/>
      <c r="L176" s="9"/>
      <c r="M176" s="8"/>
      <c r="N176" s="7"/>
      <c r="O176" s="12" t="str">
        <f aca="false">IF($B176="","",N($F176)*N($G176)+N($H176))</f>
        <v/>
      </c>
      <c r="P176" s="11" t="str">
        <f aca="true">IF(OR($B176="",$E176=""),"",IF($J176&lt;&gt;"",$J176,TODAY())-$E176)</f>
        <v/>
      </c>
      <c r="Q176" s="12" t="str">
        <f aca="false">IF(OR($B176="",$I176="",$I176="En cartera"),"",($K176-$G176)*$F176-N($H176)-N($L176))</f>
        <v/>
      </c>
      <c r="R176" s="12" t="str">
        <f aca="false">IF(OR($B176="",$I176&lt;&gt;"En cartera",$M176=""),"",($M176-$G176)*$F176-N($H176))</f>
        <v/>
      </c>
      <c r="S176" s="12" t="str">
        <f aca="false">IF($B176="","",SUMIFS(Dividendos!$I$2:$I$301,Dividendos!$C$2:$C$301,$A176))</f>
        <v/>
      </c>
      <c r="T176" s="12" t="str">
        <f aca="false">IF($B176="","",SUMIFS(Operaciones!$AE$2:$AE$1001,Operaciones!$R$2:$R$1001,$A176))</f>
        <v/>
      </c>
      <c r="U176" s="12" t="str">
        <f aca="false">IF($B176="","",N($Q176)+$S176+$T176)</f>
        <v/>
      </c>
      <c r="V176" s="13" t="str">
        <f aca="false">IF(OR($B176="",N($F176)=0),"",(N($F176)*N($G176)-$S176-$T176)/$F176)</f>
        <v/>
      </c>
      <c r="W176" s="14" t="str">
        <f aca="false">IF(OR($B176="",N($F176)*N($G176)=0),"",$U176/($F176*$G176))</f>
        <v/>
      </c>
      <c r="X176" s="14" t="str">
        <f aca="false">IF(OR($W176="",$P176=""),"",$W176*365/MAX($P176,1))</f>
        <v/>
      </c>
      <c r="Y176" s="10" t="str">
        <f aca="false">IF($B176="","",IF(OR($A176="",$E176="",$F176="",$G176="",$I176=""),"Faltan datos obligatorios",IF(COUNTIF($A$2:$A$201,$A176)&gt;1,"ID lote duplicado",IF(AND($I176&lt;&gt;"En cartera",OR($J176="",$K176="")),"Falta fecha o precio de salida",IF(AND($J176&lt;&gt;"",$J176&lt;$E176),"Salida anterior a entrada",IF(AND($I176="En cartera",$M176=""),"OK (sin precio actual)","OK"))))))</f>
        <v/>
      </c>
    </row>
    <row r="177" customFormat="false" ht="15" hidden="false" customHeight="true" outlineLevel="0" collapsed="false">
      <c r="A177" s="7"/>
      <c r="B177" s="7"/>
      <c r="C177" s="7"/>
      <c r="D177" s="5"/>
      <c r="E177" s="6"/>
      <c r="F177" s="5"/>
      <c r="G177" s="8"/>
      <c r="H177" s="9"/>
      <c r="I177" s="7"/>
      <c r="J177" s="6"/>
      <c r="K177" s="8"/>
      <c r="L177" s="9"/>
      <c r="M177" s="8"/>
      <c r="N177" s="7"/>
      <c r="O177" s="12" t="str">
        <f aca="false">IF($B177="","",N($F177)*N($G177)+N($H177))</f>
        <v/>
      </c>
      <c r="P177" s="11" t="str">
        <f aca="true">IF(OR($B177="",$E177=""),"",IF($J177&lt;&gt;"",$J177,TODAY())-$E177)</f>
        <v/>
      </c>
      <c r="Q177" s="12" t="str">
        <f aca="false">IF(OR($B177="",$I177="",$I177="En cartera"),"",($K177-$G177)*$F177-N($H177)-N($L177))</f>
        <v/>
      </c>
      <c r="R177" s="12" t="str">
        <f aca="false">IF(OR($B177="",$I177&lt;&gt;"En cartera",$M177=""),"",($M177-$G177)*$F177-N($H177))</f>
        <v/>
      </c>
      <c r="S177" s="12" t="str">
        <f aca="false">IF($B177="","",SUMIFS(Dividendos!$I$2:$I$301,Dividendos!$C$2:$C$301,$A177))</f>
        <v/>
      </c>
      <c r="T177" s="12" t="str">
        <f aca="false">IF($B177="","",SUMIFS(Operaciones!$AE$2:$AE$1001,Operaciones!$R$2:$R$1001,$A177))</f>
        <v/>
      </c>
      <c r="U177" s="12" t="str">
        <f aca="false">IF($B177="","",N($Q177)+$S177+$T177)</f>
        <v/>
      </c>
      <c r="V177" s="13" t="str">
        <f aca="false">IF(OR($B177="",N($F177)=0),"",(N($F177)*N($G177)-$S177-$T177)/$F177)</f>
        <v/>
      </c>
      <c r="W177" s="14" t="str">
        <f aca="false">IF(OR($B177="",N($F177)*N($G177)=0),"",$U177/($F177*$G177))</f>
        <v/>
      </c>
      <c r="X177" s="14" t="str">
        <f aca="false">IF(OR($W177="",$P177=""),"",$W177*365/MAX($P177,1))</f>
        <v/>
      </c>
      <c r="Y177" s="10" t="str">
        <f aca="false">IF($B177="","",IF(OR($A177="",$E177="",$F177="",$G177="",$I177=""),"Faltan datos obligatorios",IF(COUNTIF($A$2:$A$201,$A177)&gt;1,"ID lote duplicado",IF(AND($I177&lt;&gt;"En cartera",OR($J177="",$K177="")),"Falta fecha o precio de salida",IF(AND($J177&lt;&gt;"",$J177&lt;$E177),"Salida anterior a entrada",IF(AND($I177="En cartera",$M177=""),"OK (sin precio actual)","OK"))))))</f>
        <v/>
      </c>
    </row>
    <row r="178" customFormat="false" ht="15" hidden="false" customHeight="true" outlineLevel="0" collapsed="false">
      <c r="A178" s="7"/>
      <c r="B178" s="7"/>
      <c r="C178" s="7"/>
      <c r="D178" s="5"/>
      <c r="E178" s="6"/>
      <c r="F178" s="5"/>
      <c r="G178" s="8"/>
      <c r="H178" s="9"/>
      <c r="I178" s="7"/>
      <c r="J178" s="6"/>
      <c r="K178" s="8"/>
      <c r="L178" s="9"/>
      <c r="M178" s="8"/>
      <c r="N178" s="7"/>
      <c r="O178" s="12" t="str">
        <f aca="false">IF($B178="","",N($F178)*N($G178)+N($H178))</f>
        <v/>
      </c>
      <c r="P178" s="11" t="str">
        <f aca="true">IF(OR($B178="",$E178=""),"",IF($J178&lt;&gt;"",$J178,TODAY())-$E178)</f>
        <v/>
      </c>
      <c r="Q178" s="12" t="str">
        <f aca="false">IF(OR($B178="",$I178="",$I178="En cartera"),"",($K178-$G178)*$F178-N($H178)-N($L178))</f>
        <v/>
      </c>
      <c r="R178" s="12" t="str">
        <f aca="false">IF(OR($B178="",$I178&lt;&gt;"En cartera",$M178=""),"",($M178-$G178)*$F178-N($H178))</f>
        <v/>
      </c>
      <c r="S178" s="12" t="str">
        <f aca="false">IF($B178="","",SUMIFS(Dividendos!$I$2:$I$301,Dividendos!$C$2:$C$301,$A178))</f>
        <v/>
      </c>
      <c r="T178" s="12" t="str">
        <f aca="false">IF($B178="","",SUMIFS(Operaciones!$AE$2:$AE$1001,Operaciones!$R$2:$R$1001,$A178))</f>
        <v/>
      </c>
      <c r="U178" s="12" t="str">
        <f aca="false">IF($B178="","",N($Q178)+$S178+$T178)</f>
        <v/>
      </c>
      <c r="V178" s="13" t="str">
        <f aca="false">IF(OR($B178="",N($F178)=0),"",(N($F178)*N($G178)-$S178-$T178)/$F178)</f>
        <v/>
      </c>
      <c r="W178" s="14" t="str">
        <f aca="false">IF(OR($B178="",N($F178)*N($G178)=0),"",$U178/($F178*$G178))</f>
        <v/>
      </c>
      <c r="X178" s="14" t="str">
        <f aca="false">IF(OR($W178="",$P178=""),"",$W178*365/MAX($P178,1))</f>
        <v/>
      </c>
      <c r="Y178" s="10" t="str">
        <f aca="false">IF($B178="","",IF(OR($A178="",$E178="",$F178="",$G178="",$I178=""),"Faltan datos obligatorios",IF(COUNTIF($A$2:$A$201,$A178)&gt;1,"ID lote duplicado",IF(AND($I178&lt;&gt;"En cartera",OR($J178="",$K178="")),"Falta fecha o precio de salida",IF(AND($J178&lt;&gt;"",$J178&lt;$E178),"Salida anterior a entrada",IF(AND($I178="En cartera",$M178=""),"OK (sin precio actual)","OK"))))))</f>
        <v/>
      </c>
    </row>
    <row r="179" customFormat="false" ht="15" hidden="false" customHeight="true" outlineLevel="0" collapsed="false">
      <c r="A179" s="7"/>
      <c r="B179" s="7"/>
      <c r="C179" s="7"/>
      <c r="D179" s="5"/>
      <c r="E179" s="6"/>
      <c r="F179" s="5"/>
      <c r="G179" s="8"/>
      <c r="H179" s="9"/>
      <c r="I179" s="7"/>
      <c r="J179" s="6"/>
      <c r="K179" s="8"/>
      <c r="L179" s="9"/>
      <c r="M179" s="8"/>
      <c r="N179" s="7"/>
      <c r="O179" s="12" t="str">
        <f aca="false">IF($B179="","",N($F179)*N($G179)+N($H179))</f>
        <v/>
      </c>
      <c r="P179" s="11" t="str">
        <f aca="true">IF(OR($B179="",$E179=""),"",IF($J179&lt;&gt;"",$J179,TODAY())-$E179)</f>
        <v/>
      </c>
      <c r="Q179" s="12" t="str">
        <f aca="false">IF(OR($B179="",$I179="",$I179="En cartera"),"",($K179-$G179)*$F179-N($H179)-N($L179))</f>
        <v/>
      </c>
      <c r="R179" s="12" t="str">
        <f aca="false">IF(OR($B179="",$I179&lt;&gt;"En cartera",$M179=""),"",($M179-$G179)*$F179-N($H179))</f>
        <v/>
      </c>
      <c r="S179" s="12" t="str">
        <f aca="false">IF($B179="","",SUMIFS(Dividendos!$I$2:$I$301,Dividendos!$C$2:$C$301,$A179))</f>
        <v/>
      </c>
      <c r="T179" s="12" t="str">
        <f aca="false">IF($B179="","",SUMIFS(Operaciones!$AE$2:$AE$1001,Operaciones!$R$2:$R$1001,$A179))</f>
        <v/>
      </c>
      <c r="U179" s="12" t="str">
        <f aca="false">IF($B179="","",N($Q179)+$S179+$T179)</f>
        <v/>
      </c>
      <c r="V179" s="13" t="str">
        <f aca="false">IF(OR($B179="",N($F179)=0),"",(N($F179)*N($G179)-$S179-$T179)/$F179)</f>
        <v/>
      </c>
      <c r="W179" s="14" t="str">
        <f aca="false">IF(OR($B179="",N($F179)*N($G179)=0),"",$U179/($F179*$G179))</f>
        <v/>
      </c>
      <c r="X179" s="14" t="str">
        <f aca="false">IF(OR($W179="",$P179=""),"",$W179*365/MAX($P179,1))</f>
        <v/>
      </c>
      <c r="Y179" s="10" t="str">
        <f aca="false">IF($B179="","",IF(OR($A179="",$E179="",$F179="",$G179="",$I179=""),"Faltan datos obligatorios",IF(COUNTIF($A$2:$A$201,$A179)&gt;1,"ID lote duplicado",IF(AND($I179&lt;&gt;"En cartera",OR($J179="",$K179="")),"Falta fecha o precio de salida",IF(AND($J179&lt;&gt;"",$J179&lt;$E179),"Salida anterior a entrada",IF(AND($I179="En cartera",$M179=""),"OK (sin precio actual)","OK"))))))</f>
        <v/>
      </c>
    </row>
    <row r="180" customFormat="false" ht="15" hidden="false" customHeight="true" outlineLevel="0" collapsed="false">
      <c r="A180" s="7"/>
      <c r="B180" s="7"/>
      <c r="C180" s="7"/>
      <c r="D180" s="5"/>
      <c r="E180" s="6"/>
      <c r="F180" s="5"/>
      <c r="G180" s="8"/>
      <c r="H180" s="9"/>
      <c r="I180" s="7"/>
      <c r="J180" s="6"/>
      <c r="K180" s="8"/>
      <c r="L180" s="9"/>
      <c r="M180" s="8"/>
      <c r="N180" s="7"/>
      <c r="O180" s="12" t="str">
        <f aca="false">IF($B180="","",N($F180)*N($G180)+N($H180))</f>
        <v/>
      </c>
      <c r="P180" s="11" t="str">
        <f aca="true">IF(OR($B180="",$E180=""),"",IF($J180&lt;&gt;"",$J180,TODAY())-$E180)</f>
        <v/>
      </c>
      <c r="Q180" s="12" t="str">
        <f aca="false">IF(OR($B180="",$I180="",$I180="En cartera"),"",($K180-$G180)*$F180-N($H180)-N($L180))</f>
        <v/>
      </c>
      <c r="R180" s="12" t="str">
        <f aca="false">IF(OR($B180="",$I180&lt;&gt;"En cartera",$M180=""),"",($M180-$G180)*$F180-N($H180))</f>
        <v/>
      </c>
      <c r="S180" s="12" t="str">
        <f aca="false">IF($B180="","",SUMIFS(Dividendos!$I$2:$I$301,Dividendos!$C$2:$C$301,$A180))</f>
        <v/>
      </c>
      <c r="T180" s="12" t="str">
        <f aca="false">IF($B180="","",SUMIFS(Operaciones!$AE$2:$AE$1001,Operaciones!$R$2:$R$1001,$A180))</f>
        <v/>
      </c>
      <c r="U180" s="12" t="str">
        <f aca="false">IF($B180="","",N($Q180)+$S180+$T180)</f>
        <v/>
      </c>
      <c r="V180" s="13" t="str">
        <f aca="false">IF(OR($B180="",N($F180)=0),"",(N($F180)*N($G180)-$S180-$T180)/$F180)</f>
        <v/>
      </c>
      <c r="W180" s="14" t="str">
        <f aca="false">IF(OR($B180="",N($F180)*N($G180)=0),"",$U180/($F180*$G180))</f>
        <v/>
      </c>
      <c r="X180" s="14" t="str">
        <f aca="false">IF(OR($W180="",$P180=""),"",$W180*365/MAX($P180,1))</f>
        <v/>
      </c>
      <c r="Y180" s="10" t="str">
        <f aca="false">IF($B180="","",IF(OR($A180="",$E180="",$F180="",$G180="",$I180=""),"Faltan datos obligatorios",IF(COUNTIF($A$2:$A$201,$A180)&gt;1,"ID lote duplicado",IF(AND($I180&lt;&gt;"En cartera",OR($J180="",$K180="")),"Falta fecha o precio de salida",IF(AND($J180&lt;&gt;"",$J180&lt;$E180),"Salida anterior a entrada",IF(AND($I180="En cartera",$M180=""),"OK (sin precio actual)","OK"))))))</f>
        <v/>
      </c>
    </row>
    <row r="181" customFormat="false" ht="15" hidden="false" customHeight="true" outlineLevel="0" collapsed="false">
      <c r="A181" s="7"/>
      <c r="B181" s="7"/>
      <c r="C181" s="7"/>
      <c r="D181" s="5"/>
      <c r="E181" s="6"/>
      <c r="F181" s="5"/>
      <c r="G181" s="8"/>
      <c r="H181" s="9"/>
      <c r="I181" s="7"/>
      <c r="J181" s="6"/>
      <c r="K181" s="8"/>
      <c r="L181" s="9"/>
      <c r="M181" s="8"/>
      <c r="N181" s="7"/>
      <c r="O181" s="12" t="str">
        <f aca="false">IF($B181="","",N($F181)*N($G181)+N($H181))</f>
        <v/>
      </c>
      <c r="P181" s="11" t="str">
        <f aca="true">IF(OR($B181="",$E181=""),"",IF($J181&lt;&gt;"",$J181,TODAY())-$E181)</f>
        <v/>
      </c>
      <c r="Q181" s="12" t="str">
        <f aca="false">IF(OR($B181="",$I181="",$I181="En cartera"),"",($K181-$G181)*$F181-N($H181)-N($L181))</f>
        <v/>
      </c>
      <c r="R181" s="12" t="str">
        <f aca="false">IF(OR($B181="",$I181&lt;&gt;"En cartera",$M181=""),"",($M181-$G181)*$F181-N($H181))</f>
        <v/>
      </c>
      <c r="S181" s="12" t="str">
        <f aca="false">IF($B181="","",SUMIFS(Dividendos!$I$2:$I$301,Dividendos!$C$2:$C$301,$A181))</f>
        <v/>
      </c>
      <c r="T181" s="12" t="str">
        <f aca="false">IF($B181="","",SUMIFS(Operaciones!$AE$2:$AE$1001,Operaciones!$R$2:$R$1001,$A181))</f>
        <v/>
      </c>
      <c r="U181" s="12" t="str">
        <f aca="false">IF($B181="","",N($Q181)+$S181+$T181)</f>
        <v/>
      </c>
      <c r="V181" s="13" t="str">
        <f aca="false">IF(OR($B181="",N($F181)=0),"",(N($F181)*N($G181)-$S181-$T181)/$F181)</f>
        <v/>
      </c>
      <c r="W181" s="14" t="str">
        <f aca="false">IF(OR($B181="",N($F181)*N($G181)=0),"",$U181/($F181*$G181))</f>
        <v/>
      </c>
      <c r="X181" s="14" t="str">
        <f aca="false">IF(OR($W181="",$P181=""),"",$W181*365/MAX($P181,1))</f>
        <v/>
      </c>
      <c r="Y181" s="10" t="str">
        <f aca="false">IF($B181="","",IF(OR($A181="",$E181="",$F181="",$G181="",$I181=""),"Faltan datos obligatorios",IF(COUNTIF($A$2:$A$201,$A181)&gt;1,"ID lote duplicado",IF(AND($I181&lt;&gt;"En cartera",OR($J181="",$K181="")),"Falta fecha o precio de salida",IF(AND($J181&lt;&gt;"",$J181&lt;$E181),"Salida anterior a entrada",IF(AND($I181="En cartera",$M181=""),"OK (sin precio actual)","OK"))))))</f>
        <v/>
      </c>
    </row>
    <row r="182" customFormat="false" ht="15" hidden="false" customHeight="true" outlineLevel="0" collapsed="false">
      <c r="A182" s="7"/>
      <c r="B182" s="7"/>
      <c r="C182" s="7"/>
      <c r="D182" s="5"/>
      <c r="E182" s="6"/>
      <c r="F182" s="5"/>
      <c r="G182" s="8"/>
      <c r="H182" s="9"/>
      <c r="I182" s="7"/>
      <c r="J182" s="6"/>
      <c r="K182" s="8"/>
      <c r="L182" s="9"/>
      <c r="M182" s="8"/>
      <c r="N182" s="7"/>
      <c r="O182" s="12" t="str">
        <f aca="false">IF($B182="","",N($F182)*N($G182)+N($H182))</f>
        <v/>
      </c>
      <c r="P182" s="11" t="str">
        <f aca="true">IF(OR($B182="",$E182=""),"",IF($J182&lt;&gt;"",$J182,TODAY())-$E182)</f>
        <v/>
      </c>
      <c r="Q182" s="12" t="str">
        <f aca="false">IF(OR($B182="",$I182="",$I182="En cartera"),"",($K182-$G182)*$F182-N($H182)-N($L182))</f>
        <v/>
      </c>
      <c r="R182" s="12" t="str">
        <f aca="false">IF(OR($B182="",$I182&lt;&gt;"En cartera",$M182=""),"",($M182-$G182)*$F182-N($H182))</f>
        <v/>
      </c>
      <c r="S182" s="12" t="str">
        <f aca="false">IF($B182="","",SUMIFS(Dividendos!$I$2:$I$301,Dividendos!$C$2:$C$301,$A182))</f>
        <v/>
      </c>
      <c r="T182" s="12" t="str">
        <f aca="false">IF($B182="","",SUMIFS(Operaciones!$AE$2:$AE$1001,Operaciones!$R$2:$R$1001,$A182))</f>
        <v/>
      </c>
      <c r="U182" s="12" t="str">
        <f aca="false">IF($B182="","",N($Q182)+$S182+$T182)</f>
        <v/>
      </c>
      <c r="V182" s="13" t="str">
        <f aca="false">IF(OR($B182="",N($F182)=0),"",(N($F182)*N($G182)-$S182-$T182)/$F182)</f>
        <v/>
      </c>
      <c r="W182" s="14" t="str">
        <f aca="false">IF(OR($B182="",N($F182)*N($G182)=0),"",$U182/($F182*$G182))</f>
        <v/>
      </c>
      <c r="X182" s="14" t="str">
        <f aca="false">IF(OR($W182="",$P182=""),"",$W182*365/MAX($P182,1))</f>
        <v/>
      </c>
      <c r="Y182" s="10" t="str">
        <f aca="false">IF($B182="","",IF(OR($A182="",$E182="",$F182="",$G182="",$I182=""),"Faltan datos obligatorios",IF(COUNTIF($A$2:$A$201,$A182)&gt;1,"ID lote duplicado",IF(AND($I182&lt;&gt;"En cartera",OR($J182="",$K182="")),"Falta fecha o precio de salida",IF(AND($J182&lt;&gt;"",$J182&lt;$E182),"Salida anterior a entrada",IF(AND($I182="En cartera",$M182=""),"OK (sin precio actual)","OK"))))))</f>
        <v/>
      </c>
    </row>
    <row r="183" customFormat="false" ht="15" hidden="false" customHeight="true" outlineLevel="0" collapsed="false">
      <c r="A183" s="7"/>
      <c r="B183" s="7"/>
      <c r="C183" s="7"/>
      <c r="D183" s="5"/>
      <c r="E183" s="6"/>
      <c r="F183" s="5"/>
      <c r="G183" s="8"/>
      <c r="H183" s="9"/>
      <c r="I183" s="7"/>
      <c r="J183" s="6"/>
      <c r="K183" s="8"/>
      <c r="L183" s="9"/>
      <c r="M183" s="8"/>
      <c r="N183" s="7"/>
      <c r="O183" s="12" t="str">
        <f aca="false">IF($B183="","",N($F183)*N($G183)+N($H183))</f>
        <v/>
      </c>
      <c r="P183" s="11" t="str">
        <f aca="true">IF(OR($B183="",$E183=""),"",IF($J183&lt;&gt;"",$J183,TODAY())-$E183)</f>
        <v/>
      </c>
      <c r="Q183" s="12" t="str">
        <f aca="false">IF(OR($B183="",$I183="",$I183="En cartera"),"",($K183-$G183)*$F183-N($H183)-N($L183))</f>
        <v/>
      </c>
      <c r="R183" s="12" t="str">
        <f aca="false">IF(OR($B183="",$I183&lt;&gt;"En cartera",$M183=""),"",($M183-$G183)*$F183-N($H183))</f>
        <v/>
      </c>
      <c r="S183" s="12" t="str">
        <f aca="false">IF($B183="","",SUMIFS(Dividendos!$I$2:$I$301,Dividendos!$C$2:$C$301,$A183))</f>
        <v/>
      </c>
      <c r="T183" s="12" t="str">
        <f aca="false">IF($B183="","",SUMIFS(Operaciones!$AE$2:$AE$1001,Operaciones!$R$2:$R$1001,$A183))</f>
        <v/>
      </c>
      <c r="U183" s="12" t="str">
        <f aca="false">IF($B183="","",N($Q183)+$S183+$T183)</f>
        <v/>
      </c>
      <c r="V183" s="13" t="str">
        <f aca="false">IF(OR($B183="",N($F183)=0),"",(N($F183)*N($G183)-$S183-$T183)/$F183)</f>
        <v/>
      </c>
      <c r="W183" s="14" t="str">
        <f aca="false">IF(OR($B183="",N($F183)*N($G183)=0),"",$U183/($F183*$G183))</f>
        <v/>
      </c>
      <c r="X183" s="14" t="str">
        <f aca="false">IF(OR($W183="",$P183=""),"",$W183*365/MAX($P183,1))</f>
        <v/>
      </c>
      <c r="Y183" s="10" t="str">
        <f aca="false">IF($B183="","",IF(OR($A183="",$E183="",$F183="",$G183="",$I183=""),"Faltan datos obligatorios",IF(COUNTIF($A$2:$A$201,$A183)&gt;1,"ID lote duplicado",IF(AND($I183&lt;&gt;"En cartera",OR($J183="",$K183="")),"Falta fecha o precio de salida",IF(AND($J183&lt;&gt;"",$J183&lt;$E183),"Salida anterior a entrada",IF(AND($I183="En cartera",$M183=""),"OK (sin precio actual)","OK"))))))</f>
        <v/>
      </c>
    </row>
    <row r="184" customFormat="false" ht="15" hidden="false" customHeight="true" outlineLevel="0" collapsed="false">
      <c r="A184" s="7"/>
      <c r="B184" s="7"/>
      <c r="C184" s="7"/>
      <c r="D184" s="5"/>
      <c r="E184" s="6"/>
      <c r="F184" s="5"/>
      <c r="G184" s="8"/>
      <c r="H184" s="9"/>
      <c r="I184" s="7"/>
      <c r="J184" s="6"/>
      <c r="K184" s="8"/>
      <c r="L184" s="9"/>
      <c r="M184" s="8"/>
      <c r="N184" s="7"/>
      <c r="O184" s="12" t="str">
        <f aca="false">IF($B184="","",N($F184)*N($G184)+N($H184))</f>
        <v/>
      </c>
      <c r="P184" s="11" t="str">
        <f aca="true">IF(OR($B184="",$E184=""),"",IF($J184&lt;&gt;"",$J184,TODAY())-$E184)</f>
        <v/>
      </c>
      <c r="Q184" s="12" t="str">
        <f aca="false">IF(OR($B184="",$I184="",$I184="En cartera"),"",($K184-$G184)*$F184-N($H184)-N($L184))</f>
        <v/>
      </c>
      <c r="R184" s="12" t="str">
        <f aca="false">IF(OR($B184="",$I184&lt;&gt;"En cartera",$M184=""),"",($M184-$G184)*$F184-N($H184))</f>
        <v/>
      </c>
      <c r="S184" s="12" t="str">
        <f aca="false">IF($B184="","",SUMIFS(Dividendos!$I$2:$I$301,Dividendos!$C$2:$C$301,$A184))</f>
        <v/>
      </c>
      <c r="T184" s="12" t="str">
        <f aca="false">IF($B184="","",SUMIFS(Operaciones!$AE$2:$AE$1001,Operaciones!$R$2:$R$1001,$A184))</f>
        <v/>
      </c>
      <c r="U184" s="12" t="str">
        <f aca="false">IF($B184="","",N($Q184)+$S184+$T184)</f>
        <v/>
      </c>
      <c r="V184" s="13" t="str">
        <f aca="false">IF(OR($B184="",N($F184)=0),"",(N($F184)*N($G184)-$S184-$T184)/$F184)</f>
        <v/>
      </c>
      <c r="W184" s="14" t="str">
        <f aca="false">IF(OR($B184="",N($F184)*N($G184)=0),"",$U184/($F184*$G184))</f>
        <v/>
      </c>
      <c r="X184" s="14" t="str">
        <f aca="false">IF(OR($W184="",$P184=""),"",$W184*365/MAX($P184,1))</f>
        <v/>
      </c>
      <c r="Y184" s="10" t="str">
        <f aca="false">IF($B184="","",IF(OR($A184="",$E184="",$F184="",$G184="",$I184=""),"Faltan datos obligatorios",IF(COUNTIF($A$2:$A$201,$A184)&gt;1,"ID lote duplicado",IF(AND($I184&lt;&gt;"En cartera",OR($J184="",$K184="")),"Falta fecha o precio de salida",IF(AND($J184&lt;&gt;"",$J184&lt;$E184),"Salida anterior a entrada",IF(AND($I184="En cartera",$M184=""),"OK (sin precio actual)","OK"))))))</f>
        <v/>
      </c>
    </row>
    <row r="185" customFormat="false" ht="15" hidden="false" customHeight="true" outlineLevel="0" collapsed="false">
      <c r="A185" s="7"/>
      <c r="B185" s="7"/>
      <c r="C185" s="7"/>
      <c r="D185" s="5"/>
      <c r="E185" s="6"/>
      <c r="F185" s="5"/>
      <c r="G185" s="8"/>
      <c r="H185" s="9"/>
      <c r="I185" s="7"/>
      <c r="J185" s="6"/>
      <c r="K185" s="8"/>
      <c r="L185" s="9"/>
      <c r="M185" s="8"/>
      <c r="N185" s="7"/>
      <c r="O185" s="12" t="str">
        <f aca="false">IF($B185="","",N($F185)*N($G185)+N($H185))</f>
        <v/>
      </c>
      <c r="P185" s="11" t="str">
        <f aca="true">IF(OR($B185="",$E185=""),"",IF($J185&lt;&gt;"",$J185,TODAY())-$E185)</f>
        <v/>
      </c>
      <c r="Q185" s="12" t="str">
        <f aca="false">IF(OR($B185="",$I185="",$I185="En cartera"),"",($K185-$G185)*$F185-N($H185)-N($L185))</f>
        <v/>
      </c>
      <c r="R185" s="12" t="str">
        <f aca="false">IF(OR($B185="",$I185&lt;&gt;"En cartera",$M185=""),"",($M185-$G185)*$F185-N($H185))</f>
        <v/>
      </c>
      <c r="S185" s="12" t="str">
        <f aca="false">IF($B185="","",SUMIFS(Dividendos!$I$2:$I$301,Dividendos!$C$2:$C$301,$A185))</f>
        <v/>
      </c>
      <c r="T185" s="12" t="str">
        <f aca="false">IF($B185="","",SUMIFS(Operaciones!$AE$2:$AE$1001,Operaciones!$R$2:$R$1001,$A185))</f>
        <v/>
      </c>
      <c r="U185" s="12" t="str">
        <f aca="false">IF($B185="","",N($Q185)+$S185+$T185)</f>
        <v/>
      </c>
      <c r="V185" s="13" t="str">
        <f aca="false">IF(OR($B185="",N($F185)=0),"",(N($F185)*N($G185)-$S185-$T185)/$F185)</f>
        <v/>
      </c>
      <c r="W185" s="14" t="str">
        <f aca="false">IF(OR($B185="",N($F185)*N($G185)=0),"",$U185/($F185*$G185))</f>
        <v/>
      </c>
      <c r="X185" s="14" t="str">
        <f aca="false">IF(OR($W185="",$P185=""),"",$W185*365/MAX($P185,1))</f>
        <v/>
      </c>
      <c r="Y185" s="10" t="str">
        <f aca="false">IF($B185="","",IF(OR($A185="",$E185="",$F185="",$G185="",$I185=""),"Faltan datos obligatorios",IF(COUNTIF($A$2:$A$201,$A185)&gt;1,"ID lote duplicado",IF(AND($I185&lt;&gt;"En cartera",OR($J185="",$K185="")),"Falta fecha o precio de salida",IF(AND($J185&lt;&gt;"",$J185&lt;$E185),"Salida anterior a entrada",IF(AND($I185="En cartera",$M185=""),"OK (sin precio actual)","OK"))))))</f>
        <v/>
      </c>
    </row>
    <row r="186" customFormat="false" ht="15" hidden="false" customHeight="true" outlineLevel="0" collapsed="false">
      <c r="A186" s="7"/>
      <c r="B186" s="7"/>
      <c r="C186" s="7"/>
      <c r="D186" s="5"/>
      <c r="E186" s="6"/>
      <c r="F186" s="5"/>
      <c r="G186" s="8"/>
      <c r="H186" s="9"/>
      <c r="I186" s="7"/>
      <c r="J186" s="6"/>
      <c r="K186" s="8"/>
      <c r="L186" s="9"/>
      <c r="M186" s="8"/>
      <c r="N186" s="7"/>
      <c r="O186" s="12" t="str">
        <f aca="false">IF($B186="","",N($F186)*N($G186)+N($H186))</f>
        <v/>
      </c>
      <c r="P186" s="11" t="str">
        <f aca="true">IF(OR($B186="",$E186=""),"",IF($J186&lt;&gt;"",$J186,TODAY())-$E186)</f>
        <v/>
      </c>
      <c r="Q186" s="12" t="str">
        <f aca="false">IF(OR($B186="",$I186="",$I186="En cartera"),"",($K186-$G186)*$F186-N($H186)-N($L186))</f>
        <v/>
      </c>
      <c r="R186" s="12" t="str">
        <f aca="false">IF(OR($B186="",$I186&lt;&gt;"En cartera",$M186=""),"",($M186-$G186)*$F186-N($H186))</f>
        <v/>
      </c>
      <c r="S186" s="12" t="str">
        <f aca="false">IF($B186="","",SUMIFS(Dividendos!$I$2:$I$301,Dividendos!$C$2:$C$301,$A186))</f>
        <v/>
      </c>
      <c r="T186" s="12" t="str">
        <f aca="false">IF($B186="","",SUMIFS(Operaciones!$AE$2:$AE$1001,Operaciones!$R$2:$R$1001,$A186))</f>
        <v/>
      </c>
      <c r="U186" s="12" t="str">
        <f aca="false">IF($B186="","",N($Q186)+$S186+$T186)</f>
        <v/>
      </c>
      <c r="V186" s="13" t="str">
        <f aca="false">IF(OR($B186="",N($F186)=0),"",(N($F186)*N($G186)-$S186-$T186)/$F186)</f>
        <v/>
      </c>
      <c r="W186" s="14" t="str">
        <f aca="false">IF(OR($B186="",N($F186)*N($G186)=0),"",$U186/($F186*$G186))</f>
        <v/>
      </c>
      <c r="X186" s="14" t="str">
        <f aca="false">IF(OR($W186="",$P186=""),"",$W186*365/MAX($P186,1))</f>
        <v/>
      </c>
      <c r="Y186" s="10" t="str">
        <f aca="false">IF($B186="","",IF(OR($A186="",$E186="",$F186="",$G186="",$I186=""),"Faltan datos obligatorios",IF(COUNTIF($A$2:$A$201,$A186)&gt;1,"ID lote duplicado",IF(AND($I186&lt;&gt;"En cartera",OR($J186="",$K186="")),"Falta fecha o precio de salida",IF(AND($J186&lt;&gt;"",$J186&lt;$E186),"Salida anterior a entrada",IF(AND($I186="En cartera",$M186=""),"OK (sin precio actual)","OK"))))))</f>
        <v/>
      </c>
    </row>
    <row r="187" customFormat="false" ht="15" hidden="false" customHeight="true" outlineLevel="0" collapsed="false">
      <c r="A187" s="7"/>
      <c r="B187" s="7"/>
      <c r="C187" s="7"/>
      <c r="D187" s="5"/>
      <c r="E187" s="6"/>
      <c r="F187" s="5"/>
      <c r="G187" s="8"/>
      <c r="H187" s="9"/>
      <c r="I187" s="7"/>
      <c r="J187" s="6"/>
      <c r="K187" s="8"/>
      <c r="L187" s="9"/>
      <c r="M187" s="8"/>
      <c r="N187" s="7"/>
      <c r="O187" s="12" t="str">
        <f aca="false">IF($B187="","",N($F187)*N($G187)+N($H187))</f>
        <v/>
      </c>
      <c r="P187" s="11" t="str">
        <f aca="true">IF(OR($B187="",$E187=""),"",IF($J187&lt;&gt;"",$J187,TODAY())-$E187)</f>
        <v/>
      </c>
      <c r="Q187" s="12" t="str">
        <f aca="false">IF(OR($B187="",$I187="",$I187="En cartera"),"",($K187-$G187)*$F187-N($H187)-N($L187))</f>
        <v/>
      </c>
      <c r="R187" s="12" t="str">
        <f aca="false">IF(OR($B187="",$I187&lt;&gt;"En cartera",$M187=""),"",($M187-$G187)*$F187-N($H187))</f>
        <v/>
      </c>
      <c r="S187" s="12" t="str">
        <f aca="false">IF($B187="","",SUMIFS(Dividendos!$I$2:$I$301,Dividendos!$C$2:$C$301,$A187))</f>
        <v/>
      </c>
      <c r="T187" s="12" t="str">
        <f aca="false">IF($B187="","",SUMIFS(Operaciones!$AE$2:$AE$1001,Operaciones!$R$2:$R$1001,$A187))</f>
        <v/>
      </c>
      <c r="U187" s="12" t="str">
        <f aca="false">IF($B187="","",N($Q187)+$S187+$T187)</f>
        <v/>
      </c>
      <c r="V187" s="13" t="str">
        <f aca="false">IF(OR($B187="",N($F187)=0),"",(N($F187)*N($G187)-$S187-$T187)/$F187)</f>
        <v/>
      </c>
      <c r="W187" s="14" t="str">
        <f aca="false">IF(OR($B187="",N($F187)*N($G187)=0),"",$U187/($F187*$G187))</f>
        <v/>
      </c>
      <c r="X187" s="14" t="str">
        <f aca="false">IF(OR($W187="",$P187=""),"",$W187*365/MAX($P187,1))</f>
        <v/>
      </c>
      <c r="Y187" s="10" t="str">
        <f aca="false">IF($B187="","",IF(OR($A187="",$E187="",$F187="",$G187="",$I187=""),"Faltan datos obligatorios",IF(COUNTIF($A$2:$A$201,$A187)&gt;1,"ID lote duplicado",IF(AND($I187&lt;&gt;"En cartera",OR($J187="",$K187="")),"Falta fecha o precio de salida",IF(AND($J187&lt;&gt;"",$J187&lt;$E187),"Salida anterior a entrada",IF(AND($I187="En cartera",$M187=""),"OK (sin precio actual)","OK"))))))</f>
        <v/>
      </c>
    </row>
    <row r="188" customFormat="false" ht="15" hidden="false" customHeight="true" outlineLevel="0" collapsed="false">
      <c r="A188" s="7"/>
      <c r="B188" s="7"/>
      <c r="C188" s="7"/>
      <c r="D188" s="5"/>
      <c r="E188" s="6"/>
      <c r="F188" s="5"/>
      <c r="G188" s="8"/>
      <c r="H188" s="9"/>
      <c r="I188" s="7"/>
      <c r="J188" s="6"/>
      <c r="K188" s="8"/>
      <c r="L188" s="9"/>
      <c r="M188" s="8"/>
      <c r="N188" s="7"/>
      <c r="O188" s="12" t="str">
        <f aca="false">IF($B188="","",N($F188)*N($G188)+N($H188))</f>
        <v/>
      </c>
      <c r="P188" s="11" t="str">
        <f aca="true">IF(OR($B188="",$E188=""),"",IF($J188&lt;&gt;"",$J188,TODAY())-$E188)</f>
        <v/>
      </c>
      <c r="Q188" s="12" t="str">
        <f aca="false">IF(OR($B188="",$I188="",$I188="En cartera"),"",($K188-$G188)*$F188-N($H188)-N($L188))</f>
        <v/>
      </c>
      <c r="R188" s="12" t="str">
        <f aca="false">IF(OR($B188="",$I188&lt;&gt;"En cartera",$M188=""),"",($M188-$G188)*$F188-N($H188))</f>
        <v/>
      </c>
      <c r="S188" s="12" t="str">
        <f aca="false">IF($B188="","",SUMIFS(Dividendos!$I$2:$I$301,Dividendos!$C$2:$C$301,$A188))</f>
        <v/>
      </c>
      <c r="T188" s="12" t="str">
        <f aca="false">IF($B188="","",SUMIFS(Operaciones!$AE$2:$AE$1001,Operaciones!$R$2:$R$1001,$A188))</f>
        <v/>
      </c>
      <c r="U188" s="12" t="str">
        <f aca="false">IF($B188="","",N($Q188)+$S188+$T188)</f>
        <v/>
      </c>
      <c r="V188" s="13" t="str">
        <f aca="false">IF(OR($B188="",N($F188)=0),"",(N($F188)*N($G188)-$S188-$T188)/$F188)</f>
        <v/>
      </c>
      <c r="W188" s="14" t="str">
        <f aca="false">IF(OR($B188="",N($F188)*N($G188)=0),"",$U188/($F188*$G188))</f>
        <v/>
      </c>
      <c r="X188" s="14" t="str">
        <f aca="false">IF(OR($W188="",$P188=""),"",$W188*365/MAX($P188,1))</f>
        <v/>
      </c>
      <c r="Y188" s="10" t="str">
        <f aca="false">IF($B188="","",IF(OR($A188="",$E188="",$F188="",$G188="",$I188=""),"Faltan datos obligatorios",IF(COUNTIF($A$2:$A$201,$A188)&gt;1,"ID lote duplicado",IF(AND($I188&lt;&gt;"En cartera",OR($J188="",$K188="")),"Falta fecha o precio de salida",IF(AND($J188&lt;&gt;"",$J188&lt;$E188),"Salida anterior a entrada",IF(AND($I188="En cartera",$M188=""),"OK (sin precio actual)","OK"))))))</f>
        <v/>
      </c>
    </row>
    <row r="189" customFormat="false" ht="15" hidden="false" customHeight="true" outlineLevel="0" collapsed="false">
      <c r="A189" s="7"/>
      <c r="B189" s="7"/>
      <c r="C189" s="7"/>
      <c r="D189" s="5"/>
      <c r="E189" s="6"/>
      <c r="F189" s="5"/>
      <c r="G189" s="8"/>
      <c r="H189" s="9"/>
      <c r="I189" s="7"/>
      <c r="J189" s="6"/>
      <c r="K189" s="8"/>
      <c r="L189" s="9"/>
      <c r="M189" s="8"/>
      <c r="N189" s="7"/>
      <c r="O189" s="12" t="str">
        <f aca="false">IF($B189="","",N($F189)*N($G189)+N($H189))</f>
        <v/>
      </c>
      <c r="P189" s="11" t="str">
        <f aca="true">IF(OR($B189="",$E189=""),"",IF($J189&lt;&gt;"",$J189,TODAY())-$E189)</f>
        <v/>
      </c>
      <c r="Q189" s="12" t="str">
        <f aca="false">IF(OR($B189="",$I189="",$I189="En cartera"),"",($K189-$G189)*$F189-N($H189)-N($L189))</f>
        <v/>
      </c>
      <c r="R189" s="12" t="str">
        <f aca="false">IF(OR($B189="",$I189&lt;&gt;"En cartera",$M189=""),"",($M189-$G189)*$F189-N($H189))</f>
        <v/>
      </c>
      <c r="S189" s="12" t="str">
        <f aca="false">IF($B189="","",SUMIFS(Dividendos!$I$2:$I$301,Dividendos!$C$2:$C$301,$A189))</f>
        <v/>
      </c>
      <c r="T189" s="12" t="str">
        <f aca="false">IF($B189="","",SUMIFS(Operaciones!$AE$2:$AE$1001,Operaciones!$R$2:$R$1001,$A189))</f>
        <v/>
      </c>
      <c r="U189" s="12" t="str">
        <f aca="false">IF($B189="","",N($Q189)+$S189+$T189)</f>
        <v/>
      </c>
      <c r="V189" s="13" t="str">
        <f aca="false">IF(OR($B189="",N($F189)=0),"",(N($F189)*N($G189)-$S189-$T189)/$F189)</f>
        <v/>
      </c>
      <c r="W189" s="14" t="str">
        <f aca="false">IF(OR($B189="",N($F189)*N($G189)=0),"",$U189/($F189*$G189))</f>
        <v/>
      </c>
      <c r="X189" s="14" t="str">
        <f aca="false">IF(OR($W189="",$P189=""),"",$W189*365/MAX($P189,1))</f>
        <v/>
      </c>
      <c r="Y189" s="10" t="str">
        <f aca="false">IF($B189="","",IF(OR($A189="",$E189="",$F189="",$G189="",$I189=""),"Faltan datos obligatorios",IF(COUNTIF($A$2:$A$201,$A189)&gt;1,"ID lote duplicado",IF(AND($I189&lt;&gt;"En cartera",OR($J189="",$K189="")),"Falta fecha o precio de salida",IF(AND($J189&lt;&gt;"",$J189&lt;$E189),"Salida anterior a entrada",IF(AND($I189="En cartera",$M189=""),"OK (sin precio actual)","OK"))))))</f>
        <v/>
      </c>
    </row>
    <row r="190" customFormat="false" ht="15" hidden="false" customHeight="true" outlineLevel="0" collapsed="false">
      <c r="A190" s="7"/>
      <c r="B190" s="7"/>
      <c r="C190" s="7"/>
      <c r="D190" s="5"/>
      <c r="E190" s="6"/>
      <c r="F190" s="5"/>
      <c r="G190" s="8"/>
      <c r="H190" s="9"/>
      <c r="I190" s="7"/>
      <c r="J190" s="6"/>
      <c r="K190" s="8"/>
      <c r="L190" s="9"/>
      <c r="M190" s="8"/>
      <c r="N190" s="7"/>
      <c r="O190" s="12" t="str">
        <f aca="false">IF($B190="","",N($F190)*N($G190)+N($H190))</f>
        <v/>
      </c>
      <c r="P190" s="11" t="str">
        <f aca="true">IF(OR($B190="",$E190=""),"",IF($J190&lt;&gt;"",$J190,TODAY())-$E190)</f>
        <v/>
      </c>
      <c r="Q190" s="12" t="str">
        <f aca="false">IF(OR($B190="",$I190="",$I190="En cartera"),"",($K190-$G190)*$F190-N($H190)-N($L190))</f>
        <v/>
      </c>
      <c r="R190" s="12" t="str">
        <f aca="false">IF(OR($B190="",$I190&lt;&gt;"En cartera",$M190=""),"",($M190-$G190)*$F190-N($H190))</f>
        <v/>
      </c>
      <c r="S190" s="12" t="str">
        <f aca="false">IF($B190="","",SUMIFS(Dividendos!$I$2:$I$301,Dividendos!$C$2:$C$301,$A190))</f>
        <v/>
      </c>
      <c r="T190" s="12" t="str">
        <f aca="false">IF($B190="","",SUMIFS(Operaciones!$AE$2:$AE$1001,Operaciones!$R$2:$R$1001,$A190))</f>
        <v/>
      </c>
      <c r="U190" s="12" t="str">
        <f aca="false">IF($B190="","",N($Q190)+$S190+$T190)</f>
        <v/>
      </c>
      <c r="V190" s="13" t="str">
        <f aca="false">IF(OR($B190="",N($F190)=0),"",(N($F190)*N($G190)-$S190-$T190)/$F190)</f>
        <v/>
      </c>
      <c r="W190" s="14" t="str">
        <f aca="false">IF(OR($B190="",N($F190)*N($G190)=0),"",$U190/($F190*$G190))</f>
        <v/>
      </c>
      <c r="X190" s="14" t="str">
        <f aca="false">IF(OR($W190="",$P190=""),"",$W190*365/MAX($P190,1))</f>
        <v/>
      </c>
      <c r="Y190" s="10" t="str">
        <f aca="false">IF($B190="","",IF(OR($A190="",$E190="",$F190="",$G190="",$I190=""),"Faltan datos obligatorios",IF(COUNTIF($A$2:$A$201,$A190)&gt;1,"ID lote duplicado",IF(AND($I190&lt;&gt;"En cartera",OR($J190="",$K190="")),"Falta fecha o precio de salida",IF(AND($J190&lt;&gt;"",$J190&lt;$E190),"Salida anterior a entrada",IF(AND($I190="En cartera",$M190=""),"OK (sin precio actual)","OK"))))))</f>
        <v/>
      </c>
    </row>
    <row r="191" customFormat="false" ht="15" hidden="false" customHeight="true" outlineLevel="0" collapsed="false">
      <c r="A191" s="7"/>
      <c r="B191" s="7"/>
      <c r="C191" s="7"/>
      <c r="D191" s="5"/>
      <c r="E191" s="6"/>
      <c r="F191" s="5"/>
      <c r="G191" s="8"/>
      <c r="H191" s="9"/>
      <c r="I191" s="7"/>
      <c r="J191" s="6"/>
      <c r="K191" s="8"/>
      <c r="L191" s="9"/>
      <c r="M191" s="8"/>
      <c r="N191" s="7"/>
      <c r="O191" s="12" t="str">
        <f aca="false">IF($B191="","",N($F191)*N($G191)+N($H191))</f>
        <v/>
      </c>
      <c r="P191" s="11" t="str">
        <f aca="true">IF(OR($B191="",$E191=""),"",IF($J191&lt;&gt;"",$J191,TODAY())-$E191)</f>
        <v/>
      </c>
      <c r="Q191" s="12" t="str">
        <f aca="false">IF(OR($B191="",$I191="",$I191="En cartera"),"",($K191-$G191)*$F191-N($H191)-N($L191))</f>
        <v/>
      </c>
      <c r="R191" s="12" t="str">
        <f aca="false">IF(OR($B191="",$I191&lt;&gt;"En cartera",$M191=""),"",($M191-$G191)*$F191-N($H191))</f>
        <v/>
      </c>
      <c r="S191" s="12" t="str">
        <f aca="false">IF($B191="","",SUMIFS(Dividendos!$I$2:$I$301,Dividendos!$C$2:$C$301,$A191))</f>
        <v/>
      </c>
      <c r="T191" s="12" t="str">
        <f aca="false">IF($B191="","",SUMIFS(Operaciones!$AE$2:$AE$1001,Operaciones!$R$2:$R$1001,$A191))</f>
        <v/>
      </c>
      <c r="U191" s="12" t="str">
        <f aca="false">IF($B191="","",N($Q191)+$S191+$T191)</f>
        <v/>
      </c>
      <c r="V191" s="13" t="str">
        <f aca="false">IF(OR($B191="",N($F191)=0),"",(N($F191)*N($G191)-$S191-$T191)/$F191)</f>
        <v/>
      </c>
      <c r="W191" s="14" t="str">
        <f aca="false">IF(OR($B191="",N($F191)*N($G191)=0),"",$U191/($F191*$G191))</f>
        <v/>
      </c>
      <c r="X191" s="14" t="str">
        <f aca="false">IF(OR($W191="",$P191=""),"",$W191*365/MAX($P191,1))</f>
        <v/>
      </c>
      <c r="Y191" s="10" t="str">
        <f aca="false">IF($B191="","",IF(OR($A191="",$E191="",$F191="",$G191="",$I191=""),"Faltan datos obligatorios",IF(COUNTIF($A$2:$A$201,$A191)&gt;1,"ID lote duplicado",IF(AND($I191&lt;&gt;"En cartera",OR($J191="",$K191="")),"Falta fecha o precio de salida",IF(AND($J191&lt;&gt;"",$J191&lt;$E191),"Salida anterior a entrada",IF(AND($I191="En cartera",$M191=""),"OK (sin precio actual)","OK"))))))</f>
        <v/>
      </c>
    </row>
    <row r="192" customFormat="false" ht="15" hidden="false" customHeight="true" outlineLevel="0" collapsed="false">
      <c r="A192" s="7"/>
      <c r="B192" s="7"/>
      <c r="C192" s="7"/>
      <c r="D192" s="5"/>
      <c r="E192" s="6"/>
      <c r="F192" s="5"/>
      <c r="G192" s="8"/>
      <c r="H192" s="9"/>
      <c r="I192" s="7"/>
      <c r="J192" s="6"/>
      <c r="K192" s="8"/>
      <c r="L192" s="9"/>
      <c r="M192" s="8"/>
      <c r="N192" s="7"/>
      <c r="O192" s="12" t="str">
        <f aca="false">IF($B192="","",N($F192)*N($G192)+N($H192))</f>
        <v/>
      </c>
      <c r="P192" s="11" t="str">
        <f aca="true">IF(OR($B192="",$E192=""),"",IF($J192&lt;&gt;"",$J192,TODAY())-$E192)</f>
        <v/>
      </c>
      <c r="Q192" s="12" t="str">
        <f aca="false">IF(OR($B192="",$I192="",$I192="En cartera"),"",($K192-$G192)*$F192-N($H192)-N($L192))</f>
        <v/>
      </c>
      <c r="R192" s="12" t="str">
        <f aca="false">IF(OR($B192="",$I192&lt;&gt;"En cartera",$M192=""),"",($M192-$G192)*$F192-N($H192))</f>
        <v/>
      </c>
      <c r="S192" s="12" t="str">
        <f aca="false">IF($B192="","",SUMIFS(Dividendos!$I$2:$I$301,Dividendos!$C$2:$C$301,$A192))</f>
        <v/>
      </c>
      <c r="T192" s="12" t="str">
        <f aca="false">IF($B192="","",SUMIFS(Operaciones!$AE$2:$AE$1001,Operaciones!$R$2:$R$1001,$A192))</f>
        <v/>
      </c>
      <c r="U192" s="12" t="str">
        <f aca="false">IF($B192="","",N($Q192)+$S192+$T192)</f>
        <v/>
      </c>
      <c r="V192" s="13" t="str">
        <f aca="false">IF(OR($B192="",N($F192)=0),"",(N($F192)*N($G192)-$S192-$T192)/$F192)</f>
        <v/>
      </c>
      <c r="W192" s="14" t="str">
        <f aca="false">IF(OR($B192="",N($F192)*N($G192)=0),"",$U192/($F192*$G192))</f>
        <v/>
      </c>
      <c r="X192" s="14" t="str">
        <f aca="false">IF(OR($W192="",$P192=""),"",$W192*365/MAX($P192,1))</f>
        <v/>
      </c>
      <c r="Y192" s="10" t="str">
        <f aca="false">IF($B192="","",IF(OR($A192="",$E192="",$F192="",$G192="",$I192=""),"Faltan datos obligatorios",IF(COUNTIF($A$2:$A$201,$A192)&gt;1,"ID lote duplicado",IF(AND($I192&lt;&gt;"En cartera",OR($J192="",$K192="")),"Falta fecha o precio de salida",IF(AND($J192&lt;&gt;"",$J192&lt;$E192),"Salida anterior a entrada",IF(AND($I192="En cartera",$M192=""),"OK (sin precio actual)","OK"))))))</f>
        <v/>
      </c>
    </row>
    <row r="193" customFormat="false" ht="15" hidden="false" customHeight="true" outlineLevel="0" collapsed="false">
      <c r="A193" s="7"/>
      <c r="B193" s="7"/>
      <c r="C193" s="7"/>
      <c r="D193" s="5"/>
      <c r="E193" s="6"/>
      <c r="F193" s="5"/>
      <c r="G193" s="8"/>
      <c r="H193" s="9"/>
      <c r="I193" s="7"/>
      <c r="J193" s="6"/>
      <c r="K193" s="8"/>
      <c r="L193" s="9"/>
      <c r="M193" s="8"/>
      <c r="N193" s="7"/>
      <c r="O193" s="12" t="str">
        <f aca="false">IF($B193="","",N($F193)*N($G193)+N($H193))</f>
        <v/>
      </c>
      <c r="P193" s="11" t="str">
        <f aca="true">IF(OR($B193="",$E193=""),"",IF($J193&lt;&gt;"",$J193,TODAY())-$E193)</f>
        <v/>
      </c>
      <c r="Q193" s="12" t="str">
        <f aca="false">IF(OR($B193="",$I193="",$I193="En cartera"),"",($K193-$G193)*$F193-N($H193)-N($L193))</f>
        <v/>
      </c>
      <c r="R193" s="12" t="str">
        <f aca="false">IF(OR($B193="",$I193&lt;&gt;"En cartera",$M193=""),"",($M193-$G193)*$F193-N($H193))</f>
        <v/>
      </c>
      <c r="S193" s="12" t="str">
        <f aca="false">IF($B193="","",SUMIFS(Dividendos!$I$2:$I$301,Dividendos!$C$2:$C$301,$A193))</f>
        <v/>
      </c>
      <c r="T193" s="12" t="str">
        <f aca="false">IF($B193="","",SUMIFS(Operaciones!$AE$2:$AE$1001,Operaciones!$R$2:$R$1001,$A193))</f>
        <v/>
      </c>
      <c r="U193" s="12" t="str">
        <f aca="false">IF($B193="","",N($Q193)+$S193+$T193)</f>
        <v/>
      </c>
      <c r="V193" s="13" t="str">
        <f aca="false">IF(OR($B193="",N($F193)=0),"",(N($F193)*N($G193)-$S193-$T193)/$F193)</f>
        <v/>
      </c>
      <c r="W193" s="14" t="str">
        <f aca="false">IF(OR($B193="",N($F193)*N($G193)=0),"",$U193/($F193*$G193))</f>
        <v/>
      </c>
      <c r="X193" s="14" t="str">
        <f aca="false">IF(OR($W193="",$P193=""),"",$W193*365/MAX($P193,1))</f>
        <v/>
      </c>
      <c r="Y193" s="10" t="str">
        <f aca="false">IF($B193="","",IF(OR($A193="",$E193="",$F193="",$G193="",$I193=""),"Faltan datos obligatorios",IF(COUNTIF($A$2:$A$201,$A193)&gt;1,"ID lote duplicado",IF(AND($I193&lt;&gt;"En cartera",OR($J193="",$K193="")),"Falta fecha o precio de salida",IF(AND($J193&lt;&gt;"",$J193&lt;$E193),"Salida anterior a entrada",IF(AND($I193="En cartera",$M193=""),"OK (sin precio actual)","OK"))))))</f>
        <v/>
      </c>
    </row>
    <row r="194" customFormat="false" ht="15" hidden="false" customHeight="true" outlineLevel="0" collapsed="false">
      <c r="A194" s="7"/>
      <c r="B194" s="7"/>
      <c r="C194" s="7"/>
      <c r="D194" s="5"/>
      <c r="E194" s="6"/>
      <c r="F194" s="5"/>
      <c r="G194" s="8"/>
      <c r="H194" s="9"/>
      <c r="I194" s="7"/>
      <c r="J194" s="6"/>
      <c r="K194" s="8"/>
      <c r="L194" s="9"/>
      <c r="M194" s="8"/>
      <c r="N194" s="7"/>
      <c r="O194" s="12" t="str">
        <f aca="false">IF($B194="","",N($F194)*N($G194)+N($H194))</f>
        <v/>
      </c>
      <c r="P194" s="11" t="str">
        <f aca="true">IF(OR($B194="",$E194=""),"",IF($J194&lt;&gt;"",$J194,TODAY())-$E194)</f>
        <v/>
      </c>
      <c r="Q194" s="12" t="str">
        <f aca="false">IF(OR($B194="",$I194="",$I194="En cartera"),"",($K194-$G194)*$F194-N($H194)-N($L194))</f>
        <v/>
      </c>
      <c r="R194" s="12" t="str">
        <f aca="false">IF(OR($B194="",$I194&lt;&gt;"En cartera",$M194=""),"",($M194-$G194)*$F194-N($H194))</f>
        <v/>
      </c>
      <c r="S194" s="12" t="str">
        <f aca="false">IF($B194="","",SUMIFS(Dividendos!$I$2:$I$301,Dividendos!$C$2:$C$301,$A194))</f>
        <v/>
      </c>
      <c r="T194" s="12" t="str">
        <f aca="false">IF($B194="","",SUMIFS(Operaciones!$AE$2:$AE$1001,Operaciones!$R$2:$R$1001,$A194))</f>
        <v/>
      </c>
      <c r="U194" s="12" t="str">
        <f aca="false">IF($B194="","",N($Q194)+$S194+$T194)</f>
        <v/>
      </c>
      <c r="V194" s="13" t="str">
        <f aca="false">IF(OR($B194="",N($F194)=0),"",(N($F194)*N($G194)-$S194-$T194)/$F194)</f>
        <v/>
      </c>
      <c r="W194" s="14" t="str">
        <f aca="false">IF(OR($B194="",N($F194)*N($G194)=0),"",$U194/($F194*$G194))</f>
        <v/>
      </c>
      <c r="X194" s="14" t="str">
        <f aca="false">IF(OR($W194="",$P194=""),"",$W194*365/MAX($P194,1))</f>
        <v/>
      </c>
      <c r="Y194" s="10" t="str">
        <f aca="false">IF($B194="","",IF(OR($A194="",$E194="",$F194="",$G194="",$I194=""),"Faltan datos obligatorios",IF(COUNTIF($A$2:$A$201,$A194)&gt;1,"ID lote duplicado",IF(AND($I194&lt;&gt;"En cartera",OR($J194="",$K194="")),"Falta fecha o precio de salida",IF(AND($J194&lt;&gt;"",$J194&lt;$E194),"Salida anterior a entrada",IF(AND($I194="En cartera",$M194=""),"OK (sin precio actual)","OK"))))))</f>
        <v/>
      </c>
    </row>
    <row r="195" customFormat="false" ht="15" hidden="false" customHeight="true" outlineLevel="0" collapsed="false">
      <c r="A195" s="7"/>
      <c r="B195" s="7"/>
      <c r="C195" s="7"/>
      <c r="D195" s="5"/>
      <c r="E195" s="6"/>
      <c r="F195" s="5"/>
      <c r="G195" s="8"/>
      <c r="H195" s="9"/>
      <c r="I195" s="7"/>
      <c r="J195" s="6"/>
      <c r="K195" s="8"/>
      <c r="L195" s="9"/>
      <c r="M195" s="8"/>
      <c r="N195" s="7"/>
      <c r="O195" s="12" t="str">
        <f aca="false">IF($B195="","",N($F195)*N($G195)+N($H195))</f>
        <v/>
      </c>
      <c r="P195" s="11" t="str">
        <f aca="true">IF(OR($B195="",$E195=""),"",IF($J195&lt;&gt;"",$J195,TODAY())-$E195)</f>
        <v/>
      </c>
      <c r="Q195" s="12" t="str">
        <f aca="false">IF(OR($B195="",$I195="",$I195="En cartera"),"",($K195-$G195)*$F195-N($H195)-N($L195))</f>
        <v/>
      </c>
      <c r="R195" s="12" t="str">
        <f aca="false">IF(OR($B195="",$I195&lt;&gt;"En cartera",$M195=""),"",($M195-$G195)*$F195-N($H195))</f>
        <v/>
      </c>
      <c r="S195" s="12" t="str">
        <f aca="false">IF($B195="","",SUMIFS(Dividendos!$I$2:$I$301,Dividendos!$C$2:$C$301,$A195))</f>
        <v/>
      </c>
      <c r="T195" s="12" t="str">
        <f aca="false">IF($B195="","",SUMIFS(Operaciones!$AE$2:$AE$1001,Operaciones!$R$2:$R$1001,$A195))</f>
        <v/>
      </c>
      <c r="U195" s="12" t="str">
        <f aca="false">IF($B195="","",N($Q195)+$S195+$T195)</f>
        <v/>
      </c>
      <c r="V195" s="13" t="str">
        <f aca="false">IF(OR($B195="",N($F195)=0),"",(N($F195)*N($G195)-$S195-$T195)/$F195)</f>
        <v/>
      </c>
      <c r="W195" s="14" t="str">
        <f aca="false">IF(OR($B195="",N($F195)*N($G195)=0),"",$U195/($F195*$G195))</f>
        <v/>
      </c>
      <c r="X195" s="14" t="str">
        <f aca="false">IF(OR($W195="",$P195=""),"",$W195*365/MAX($P195,1))</f>
        <v/>
      </c>
      <c r="Y195" s="10" t="str">
        <f aca="false">IF($B195="","",IF(OR($A195="",$E195="",$F195="",$G195="",$I195=""),"Faltan datos obligatorios",IF(COUNTIF($A$2:$A$201,$A195)&gt;1,"ID lote duplicado",IF(AND($I195&lt;&gt;"En cartera",OR($J195="",$K195="")),"Falta fecha o precio de salida",IF(AND($J195&lt;&gt;"",$J195&lt;$E195),"Salida anterior a entrada",IF(AND($I195="En cartera",$M195=""),"OK (sin precio actual)","OK"))))))</f>
        <v/>
      </c>
    </row>
    <row r="196" customFormat="false" ht="15" hidden="false" customHeight="true" outlineLevel="0" collapsed="false">
      <c r="A196" s="7"/>
      <c r="B196" s="7"/>
      <c r="C196" s="7"/>
      <c r="D196" s="5"/>
      <c r="E196" s="6"/>
      <c r="F196" s="5"/>
      <c r="G196" s="8"/>
      <c r="H196" s="9"/>
      <c r="I196" s="7"/>
      <c r="J196" s="6"/>
      <c r="K196" s="8"/>
      <c r="L196" s="9"/>
      <c r="M196" s="8"/>
      <c r="N196" s="7"/>
      <c r="O196" s="12" t="str">
        <f aca="false">IF($B196="","",N($F196)*N($G196)+N($H196))</f>
        <v/>
      </c>
      <c r="P196" s="11" t="str">
        <f aca="true">IF(OR($B196="",$E196=""),"",IF($J196&lt;&gt;"",$J196,TODAY())-$E196)</f>
        <v/>
      </c>
      <c r="Q196" s="12" t="str">
        <f aca="false">IF(OR($B196="",$I196="",$I196="En cartera"),"",($K196-$G196)*$F196-N($H196)-N($L196))</f>
        <v/>
      </c>
      <c r="R196" s="12" t="str">
        <f aca="false">IF(OR($B196="",$I196&lt;&gt;"En cartera",$M196=""),"",($M196-$G196)*$F196-N($H196))</f>
        <v/>
      </c>
      <c r="S196" s="12" t="str">
        <f aca="false">IF($B196="","",SUMIFS(Dividendos!$I$2:$I$301,Dividendos!$C$2:$C$301,$A196))</f>
        <v/>
      </c>
      <c r="T196" s="12" t="str">
        <f aca="false">IF($B196="","",SUMIFS(Operaciones!$AE$2:$AE$1001,Operaciones!$R$2:$R$1001,$A196))</f>
        <v/>
      </c>
      <c r="U196" s="12" t="str">
        <f aca="false">IF($B196="","",N($Q196)+$S196+$T196)</f>
        <v/>
      </c>
      <c r="V196" s="13" t="str">
        <f aca="false">IF(OR($B196="",N($F196)=0),"",(N($F196)*N($G196)-$S196-$T196)/$F196)</f>
        <v/>
      </c>
      <c r="W196" s="14" t="str">
        <f aca="false">IF(OR($B196="",N($F196)*N($G196)=0),"",$U196/($F196*$G196))</f>
        <v/>
      </c>
      <c r="X196" s="14" t="str">
        <f aca="false">IF(OR($W196="",$P196=""),"",$W196*365/MAX($P196,1))</f>
        <v/>
      </c>
      <c r="Y196" s="10" t="str">
        <f aca="false">IF($B196="","",IF(OR($A196="",$E196="",$F196="",$G196="",$I196=""),"Faltan datos obligatorios",IF(COUNTIF($A$2:$A$201,$A196)&gt;1,"ID lote duplicado",IF(AND($I196&lt;&gt;"En cartera",OR($J196="",$K196="")),"Falta fecha o precio de salida",IF(AND($J196&lt;&gt;"",$J196&lt;$E196),"Salida anterior a entrada",IF(AND($I196="En cartera",$M196=""),"OK (sin precio actual)","OK"))))))</f>
        <v/>
      </c>
    </row>
    <row r="197" customFormat="false" ht="15" hidden="false" customHeight="true" outlineLevel="0" collapsed="false">
      <c r="A197" s="7"/>
      <c r="B197" s="7"/>
      <c r="C197" s="7"/>
      <c r="D197" s="5"/>
      <c r="E197" s="6"/>
      <c r="F197" s="5"/>
      <c r="G197" s="8"/>
      <c r="H197" s="9"/>
      <c r="I197" s="7"/>
      <c r="J197" s="6"/>
      <c r="K197" s="8"/>
      <c r="L197" s="9"/>
      <c r="M197" s="8"/>
      <c r="N197" s="7"/>
      <c r="O197" s="12" t="str">
        <f aca="false">IF($B197="","",N($F197)*N($G197)+N($H197))</f>
        <v/>
      </c>
      <c r="P197" s="11" t="str">
        <f aca="true">IF(OR($B197="",$E197=""),"",IF($J197&lt;&gt;"",$J197,TODAY())-$E197)</f>
        <v/>
      </c>
      <c r="Q197" s="12" t="str">
        <f aca="false">IF(OR($B197="",$I197="",$I197="En cartera"),"",($K197-$G197)*$F197-N($H197)-N($L197))</f>
        <v/>
      </c>
      <c r="R197" s="12" t="str">
        <f aca="false">IF(OR($B197="",$I197&lt;&gt;"En cartera",$M197=""),"",($M197-$G197)*$F197-N($H197))</f>
        <v/>
      </c>
      <c r="S197" s="12" t="str">
        <f aca="false">IF($B197="","",SUMIFS(Dividendos!$I$2:$I$301,Dividendos!$C$2:$C$301,$A197))</f>
        <v/>
      </c>
      <c r="T197" s="12" t="str">
        <f aca="false">IF($B197="","",SUMIFS(Operaciones!$AE$2:$AE$1001,Operaciones!$R$2:$R$1001,$A197))</f>
        <v/>
      </c>
      <c r="U197" s="12" t="str">
        <f aca="false">IF($B197="","",N($Q197)+$S197+$T197)</f>
        <v/>
      </c>
      <c r="V197" s="13" t="str">
        <f aca="false">IF(OR($B197="",N($F197)=0),"",(N($F197)*N($G197)-$S197-$T197)/$F197)</f>
        <v/>
      </c>
      <c r="W197" s="14" t="str">
        <f aca="false">IF(OR($B197="",N($F197)*N($G197)=0),"",$U197/($F197*$G197))</f>
        <v/>
      </c>
      <c r="X197" s="14" t="str">
        <f aca="false">IF(OR($W197="",$P197=""),"",$W197*365/MAX($P197,1))</f>
        <v/>
      </c>
      <c r="Y197" s="10" t="str">
        <f aca="false">IF($B197="","",IF(OR($A197="",$E197="",$F197="",$G197="",$I197=""),"Faltan datos obligatorios",IF(COUNTIF($A$2:$A$201,$A197)&gt;1,"ID lote duplicado",IF(AND($I197&lt;&gt;"En cartera",OR($J197="",$K197="")),"Falta fecha o precio de salida",IF(AND($J197&lt;&gt;"",$J197&lt;$E197),"Salida anterior a entrada",IF(AND($I197="En cartera",$M197=""),"OK (sin precio actual)","OK"))))))</f>
        <v/>
      </c>
    </row>
    <row r="198" customFormat="false" ht="15" hidden="false" customHeight="true" outlineLevel="0" collapsed="false">
      <c r="A198" s="7"/>
      <c r="B198" s="7"/>
      <c r="C198" s="7"/>
      <c r="D198" s="5"/>
      <c r="E198" s="6"/>
      <c r="F198" s="5"/>
      <c r="G198" s="8"/>
      <c r="H198" s="9"/>
      <c r="I198" s="7"/>
      <c r="J198" s="6"/>
      <c r="K198" s="8"/>
      <c r="L198" s="9"/>
      <c r="M198" s="8"/>
      <c r="N198" s="7"/>
      <c r="O198" s="12" t="str">
        <f aca="false">IF($B198="","",N($F198)*N($G198)+N($H198))</f>
        <v/>
      </c>
      <c r="P198" s="11" t="str">
        <f aca="true">IF(OR($B198="",$E198=""),"",IF($J198&lt;&gt;"",$J198,TODAY())-$E198)</f>
        <v/>
      </c>
      <c r="Q198" s="12" t="str">
        <f aca="false">IF(OR($B198="",$I198="",$I198="En cartera"),"",($K198-$G198)*$F198-N($H198)-N($L198))</f>
        <v/>
      </c>
      <c r="R198" s="12" t="str">
        <f aca="false">IF(OR($B198="",$I198&lt;&gt;"En cartera",$M198=""),"",($M198-$G198)*$F198-N($H198))</f>
        <v/>
      </c>
      <c r="S198" s="12" t="str">
        <f aca="false">IF($B198="","",SUMIFS(Dividendos!$I$2:$I$301,Dividendos!$C$2:$C$301,$A198))</f>
        <v/>
      </c>
      <c r="T198" s="12" t="str">
        <f aca="false">IF($B198="","",SUMIFS(Operaciones!$AE$2:$AE$1001,Operaciones!$R$2:$R$1001,$A198))</f>
        <v/>
      </c>
      <c r="U198" s="12" t="str">
        <f aca="false">IF($B198="","",N($Q198)+$S198+$T198)</f>
        <v/>
      </c>
      <c r="V198" s="13" t="str">
        <f aca="false">IF(OR($B198="",N($F198)=0),"",(N($F198)*N($G198)-$S198-$T198)/$F198)</f>
        <v/>
      </c>
      <c r="W198" s="14" t="str">
        <f aca="false">IF(OR($B198="",N($F198)*N($G198)=0),"",$U198/($F198*$G198))</f>
        <v/>
      </c>
      <c r="X198" s="14" t="str">
        <f aca="false">IF(OR($W198="",$P198=""),"",$W198*365/MAX($P198,1))</f>
        <v/>
      </c>
      <c r="Y198" s="10" t="str">
        <f aca="false">IF($B198="","",IF(OR($A198="",$E198="",$F198="",$G198="",$I198=""),"Faltan datos obligatorios",IF(COUNTIF($A$2:$A$201,$A198)&gt;1,"ID lote duplicado",IF(AND($I198&lt;&gt;"En cartera",OR($J198="",$K198="")),"Falta fecha o precio de salida",IF(AND($J198&lt;&gt;"",$J198&lt;$E198),"Salida anterior a entrada",IF(AND($I198="En cartera",$M198=""),"OK (sin precio actual)","OK"))))))</f>
        <v/>
      </c>
    </row>
    <row r="199" customFormat="false" ht="15" hidden="false" customHeight="true" outlineLevel="0" collapsed="false">
      <c r="A199" s="7"/>
      <c r="B199" s="7"/>
      <c r="C199" s="7"/>
      <c r="D199" s="5"/>
      <c r="E199" s="6"/>
      <c r="F199" s="5"/>
      <c r="G199" s="8"/>
      <c r="H199" s="9"/>
      <c r="I199" s="7"/>
      <c r="J199" s="6"/>
      <c r="K199" s="8"/>
      <c r="L199" s="9"/>
      <c r="M199" s="8"/>
      <c r="N199" s="7"/>
      <c r="O199" s="12" t="str">
        <f aca="false">IF($B199="","",N($F199)*N($G199)+N($H199))</f>
        <v/>
      </c>
      <c r="P199" s="11" t="str">
        <f aca="true">IF(OR($B199="",$E199=""),"",IF($J199&lt;&gt;"",$J199,TODAY())-$E199)</f>
        <v/>
      </c>
      <c r="Q199" s="12" t="str">
        <f aca="false">IF(OR($B199="",$I199="",$I199="En cartera"),"",($K199-$G199)*$F199-N($H199)-N($L199))</f>
        <v/>
      </c>
      <c r="R199" s="12" t="str">
        <f aca="false">IF(OR($B199="",$I199&lt;&gt;"En cartera",$M199=""),"",($M199-$G199)*$F199-N($H199))</f>
        <v/>
      </c>
      <c r="S199" s="12" t="str">
        <f aca="false">IF($B199="","",SUMIFS(Dividendos!$I$2:$I$301,Dividendos!$C$2:$C$301,$A199))</f>
        <v/>
      </c>
      <c r="T199" s="12" t="str">
        <f aca="false">IF($B199="","",SUMIFS(Operaciones!$AE$2:$AE$1001,Operaciones!$R$2:$R$1001,$A199))</f>
        <v/>
      </c>
      <c r="U199" s="12" t="str">
        <f aca="false">IF($B199="","",N($Q199)+$S199+$T199)</f>
        <v/>
      </c>
      <c r="V199" s="13" t="str">
        <f aca="false">IF(OR($B199="",N($F199)=0),"",(N($F199)*N($G199)-$S199-$T199)/$F199)</f>
        <v/>
      </c>
      <c r="W199" s="14" t="str">
        <f aca="false">IF(OR($B199="",N($F199)*N($G199)=0),"",$U199/($F199*$G199))</f>
        <v/>
      </c>
      <c r="X199" s="14" t="str">
        <f aca="false">IF(OR($W199="",$P199=""),"",$W199*365/MAX($P199,1))</f>
        <v/>
      </c>
      <c r="Y199" s="10" t="str">
        <f aca="false">IF($B199="","",IF(OR($A199="",$E199="",$F199="",$G199="",$I199=""),"Faltan datos obligatorios",IF(COUNTIF($A$2:$A$201,$A199)&gt;1,"ID lote duplicado",IF(AND($I199&lt;&gt;"En cartera",OR($J199="",$K199="")),"Falta fecha o precio de salida",IF(AND($J199&lt;&gt;"",$J199&lt;$E199),"Salida anterior a entrada",IF(AND($I199="En cartera",$M199=""),"OK (sin precio actual)","OK"))))))</f>
        <v/>
      </c>
    </row>
    <row r="200" customFormat="false" ht="15" hidden="false" customHeight="true" outlineLevel="0" collapsed="false">
      <c r="A200" s="7"/>
      <c r="B200" s="7"/>
      <c r="C200" s="7"/>
      <c r="D200" s="5"/>
      <c r="E200" s="6"/>
      <c r="F200" s="5"/>
      <c r="G200" s="8"/>
      <c r="H200" s="9"/>
      <c r="I200" s="7"/>
      <c r="J200" s="6"/>
      <c r="K200" s="8"/>
      <c r="L200" s="9"/>
      <c r="M200" s="8"/>
      <c r="N200" s="7"/>
      <c r="O200" s="12" t="str">
        <f aca="false">IF($B200="","",N($F200)*N($G200)+N($H200))</f>
        <v/>
      </c>
      <c r="P200" s="11" t="str">
        <f aca="true">IF(OR($B200="",$E200=""),"",IF($J200&lt;&gt;"",$J200,TODAY())-$E200)</f>
        <v/>
      </c>
      <c r="Q200" s="12" t="str">
        <f aca="false">IF(OR($B200="",$I200="",$I200="En cartera"),"",($K200-$G200)*$F200-N($H200)-N($L200))</f>
        <v/>
      </c>
      <c r="R200" s="12" t="str">
        <f aca="false">IF(OR($B200="",$I200&lt;&gt;"En cartera",$M200=""),"",($M200-$G200)*$F200-N($H200))</f>
        <v/>
      </c>
      <c r="S200" s="12" t="str">
        <f aca="false">IF($B200="","",SUMIFS(Dividendos!$I$2:$I$301,Dividendos!$C$2:$C$301,$A200))</f>
        <v/>
      </c>
      <c r="T200" s="12" t="str">
        <f aca="false">IF($B200="","",SUMIFS(Operaciones!$AE$2:$AE$1001,Operaciones!$R$2:$R$1001,$A200))</f>
        <v/>
      </c>
      <c r="U200" s="12" t="str">
        <f aca="false">IF($B200="","",N($Q200)+$S200+$T200)</f>
        <v/>
      </c>
      <c r="V200" s="13" t="str">
        <f aca="false">IF(OR($B200="",N($F200)=0),"",(N($F200)*N($G200)-$S200-$T200)/$F200)</f>
        <v/>
      </c>
      <c r="W200" s="14" t="str">
        <f aca="false">IF(OR($B200="",N($F200)*N($G200)=0),"",$U200/($F200*$G200))</f>
        <v/>
      </c>
      <c r="X200" s="14" t="str">
        <f aca="false">IF(OR($W200="",$P200=""),"",$W200*365/MAX($P200,1))</f>
        <v/>
      </c>
      <c r="Y200" s="10" t="str">
        <f aca="false">IF($B200="","",IF(OR($A200="",$E200="",$F200="",$G200="",$I200=""),"Faltan datos obligatorios",IF(COUNTIF($A$2:$A$201,$A200)&gt;1,"ID lote duplicado",IF(AND($I200&lt;&gt;"En cartera",OR($J200="",$K200="")),"Falta fecha o precio de salida",IF(AND($J200&lt;&gt;"",$J200&lt;$E200),"Salida anterior a entrada",IF(AND($I200="En cartera",$M200=""),"OK (sin precio actual)","OK"))))))</f>
        <v/>
      </c>
    </row>
    <row r="201" customFormat="false" ht="15" hidden="false" customHeight="true" outlineLevel="0" collapsed="false">
      <c r="A201" s="7"/>
      <c r="B201" s="7"/>
      <c r="C201" s="7"/>
      <c r="D201" s="5"/>
      <c r="E201" s="6"/>
      <c r="F201" s="5"/>
      <c r="G201" s="8"/>
      <c r="H201" s="9"/>
      <c r="I201" s="7"/>
      <c r="J201" s="6"/>
      <c r="K201" s="8"/>
      <c r="L201" s="9"/>
      <c r="M201" s="8"/>
      <c r="N201" s="7"/>
      <c r="O201" s="12" t="str">
        <f aca="false">IF($B201="","",N($F201)*N($G201)+N($H201))</f>
        <v/>
      </c>
      <c r="P201" s="11" t="str">
        <f aca="true">IF(OR($B201="",$E201=""),"",IF($J201&lt;&gt;"",$J201,TODAY())-$E201)</f>
        <v/>
      </c>
      <c r="Q201" s="12" t="str">
        <f aca="false">IF(OR($B201="",$I201="",$I201="En cartera"),"",($K201-$G201)*$F201-N($H201)-N($L201))</f>
        <v/>
      </c>
      <c r="R201" s="12" t="str">
        <f aca="false">IF(OR($B201="",$I201&lt;&gt;"En cartera",$M201=""),"",($M201-$G201)*$F201-N($H201))</f>
        <v/>
      </c>
      <c r="S201" s="12" t="str">
        <f aca="false">IF($B201="","",SUMIFS(Dividendos!$I$2:$I$301,Dividendos!$C$2:$C$301,$A201))</f>
        <v/>
      </c>
      <c r="T201" s="12" t="str">
        <f aca="false">IF($B201="","",SUMIFS(Operaciones!$AE$2:$AE$1001,Operaciones!$R$2:$R$1001,$A201))</f>
        <v/>
      </c>
      <c r="U201" s="12" t="str">
        <f aca="false">IF($B201="","",N($Q201)+$S201+$T201)</f>
        <v/>
      </c>
      <c r="V201" s="13" t="str">
        <f aca="false">IF(OR($B201="",N($F201)=0),"",(N($F201)*N($G201)-$S201-$T201)/$F201)</f>
        <v/>
      </c>
      <c r="W201" s="14" t="str">
        <f aca="false">IF(OR($B201="",N($F201)*N($G201)=0),"",$U201/($F201*$G201))</f>
        <v/>
      </c>
      <c r="X201" s="14" t="str">
        <f aca="false">IF(OR($W201="",$P201=""),"",$W201*365/MAX($P201,1))</f>
        <v/>
      </c>
      <c r="Y201" s="10" t="str">
        <f aca="false">IF($B201="","",IF(OR($A201="",$E201="",$F201="",$G201="",$I201=""),"Faltan datos obligatorios",IF(COUNTIF($A$2:$A$201,$A201)&gt;1,"ID lote duplicado",IF(AND($I201&lt;&gt;"En cartera",OR($J201="",$K201="")),"Falta fecha o precio de salida",IF(AND($J201&lt;&gt;"",$J201&lt;$E201),"Salida anterior a entrada",IF(AND($I201="En cartera",$M201=""),"OK (sin precio actual)","OK"))))))</f>
        <v/>
      </c>
    </row>
  </sheetData>
  <autoFilter ref="A1:Y201"/>
  <conditionalFormatting sqref="Q2:Q201">
    <cfRule type="expression" priority="2" aboveAverage="0" equalAverage="0" bottom="0" percent="0" rank="0" text="" dxfId="11">
      <formula>AND(ISNUMBER(Q2),Q2&gt;0)</formula>
    </cfRule>
    <cfRule type="expression" priority="3" aboveAverage="0" equalAverage="0" bottom="0" percent="0" rank="0" text="" dxfId="12">
      <formula>AND(ISNUMBER(Q2),Q2&lt;0)</formula>
    </cfRule>
  </conditionalFormatting>
  <conditionalFormatting sqref="R2:R201">
    <cfRule type="expression" priority="4" aboveAverage="0" equalAverage="0" bottom="0" percent="0" rank="0" text="" dxfId="11">
      <formula>AND(ISNUMBER(R2),R2&gt;0)</formula>
    </cfRule>
    <cfRule type="expression" priority="5" aboveAverage="0" equalAverage="0" bottom="0" percent="0" rank="0" text="" dxfId="12">
      <formula>AND(ISNUMBER(R2),R2&lt;0)</formula>
    </cfRule>
  </conditionalFormatting>
  <conditionalFormatting sqref="U2:U201">
    <cfRule type="expression" priority="6" aboveAverage="0" equalAverage="0" bottom="0" percent="0" rank="0" text="" dxfId="11">
      <formula>AND(ISNUMBER(U2),U2&gt;0)</formula>
    </cfRule>
    <cfRule type="expression" priority="7" aboveAverage="0" equalAverage="0" bottom="0" percent="0" rank="0" text="" dxfId="12">
      <formula>AND(ISNUMBER(U2),U2&lt;0)</formula>
    </cfRule>
  </conditionalFormatting>
  <conditionalFormatting sqref="W2:W201">
    <cfRule type="expression" priority="8" aboveAverage="0" equalAverage="0" bottom="0" percent="0" rank="0" text="" dxfId="11">
      <formula>AND(ISNUMBER(W2),W2&gt;0)</formula>
    </cfRule>
    <cfRule type="expression" priority="9" aboveAverage="0" equalAverage="0" bottom="0" percent="0" rank="0" text="" dxfId="12">
      <formula>AND(ISNUMBER(W2),W2&lt;0)</formula>
    </cfRule>
  </conditionalFormatting>
  <conditionalFormatting sqref="Y2:Y201">
    <cfRule type="expression" priority="10" aboveAverage="0" equalAverage="0" bottom="0" percent="0" rank="0" text="" dxfId="13">
      <formula>AND(Y2&lt;&gt;"",LEFT(Y2,2)&lt;&gt;"OK")</formula>
    </cfRule>
  </conditionalFormatting>
  <dataValidations count="5">
    <dataValidation allowBlank="true" error="Origen no válido" errorStyle="stop" operator="between" showDropDown="false" showErrorMessage="true" showInputMessage="false" sqref="C2:C201" type="list">
      <formula1>Listas!$J$2:$J$3</formula1>
      <formula2>0</formula2>
    </dataValidation>
    <dataValidation allowBlank="true" error="Estado no válido" errorStyle="stop" operator="between" showDropDown="false" showErrorMessage="true" showInputMessage="false" sqref="I2:I201" type="list">
      <formula1>Listas!$H$2:$H$4</formula1>
      <formula2>0</formula2>
    </dataValidation>
    <dataValidation allowBlank="true" error="Introduce una fecha (dd/mm/aaaa)" errorStyle="stop" operator="greaterThan" showDropDown="false" showErrorMessage="true" showInputMessage="false" sqref="E2:E201 J2:J201" type="date">
      <formula1>36526</formula1>
      <formula2>0</formula2>
    </dataValidation>
    <dataValidation allowBlank="true" error="Número entero mayor que 0" errorStyle="stop" operator="greaterThan" showDropDown="false" showErrorMessage="true" showInputMessage="false" sqref="F2:F201" type="whole">
      <formula1>0</formula1>
      <formula2>0</formula2>
    </dataValidation>
    <dataValidation allowBlank="true" error="Número mayor o igual que 0" errorStyle="stop" operator="greaterThanOrEqual" showDropDown="false" showErrorMessage="true" showInputMessage="false" sqref="G2:H201 K2:M2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4" min="4" style="1" width="9"/>
    <col collapsed="false" customWidth="true" hidden="false" outlineLevel="0" max="6" min="5" style="1" width="11"/>
    <col collapsed="false" customWidth="true" hidden="false" outlineLevel="0" max="7" min="7" style="1" width="24"/>
    <col collapsed="false" customWidth="true" hidden="false" outlineLevel="0" max="9" min="8" style="1" width="11"/>
    <col collapsed="false" customWidth="true" hidden="false" outlineLevel="0" max="10" min="10" style="1" width="24"/>
  </cols>
  <sheetData>
    <row r="1" customFormat="false" ht="31.5" hidden="false" customHeight="true" outlineLevel="0" collapsed="false">
      <c r="A1" s="2" t="s">
        <v>78</v>
      </c>
      <c r="B1" s="2" t="s">
        <v>2</v>
      </c>
      <c r="C1" s="2" t="s">
        <v>55</v>
      </c>
      <c r="D1" s="2" t="s">
        <v>59</v>
      </c>
      <c r="E1" s="2" t="s">
        <v>79</v>
      </c>
      <c r="F1" s="2" t="s">
        <v>80</v>
      </c>
      <c r="G1" s="2" t="s">
        <v>18</v>
      </c>
      <c r="H1" s="4" t="s">
        <v>81</v>
      </c>
      <c r="I1" s="4" t="s">
        <v>82</v>
      </c>
      <c r="J1" s="4" t="s">
        <v>39</v>
      </c>
    </row>
    <row r="2" customFormat="false" ht="15" hidden="false" customHeight="true" outlineLevel="0" collapsed="false">
      <c r="A2" s="6" t="n">
        <v>46296</v>
      </c>
      <c r="B2" s="7" t="s">
        <v>49</v>
      </c>
      <c r="C2" s="7" t="s">
        <v>51</v>
      </c>
      <c r="D2" s="5" t="n">
        <v>100</v>
      </c>
      <c r="E2" s="17" t="n">
        <v>0.51</v>
      </c>
      <c r="F2" s="9" t="n">
        <v>7.65</v>
      </c>
      <c r="G2" s="7" t="s">
        <v>43</v>
      </c>
      <c r="H2" s="12" t="n">
        <f aca="false">IF($B2="","",N($D2)*N($E2))</f>
        <v>51</v>
      </c>
      <c r="I2" s="12" t="n">
        <f aca="false">IF($B2="","",$H2-N($F2))</f>
        <v>43.35</v>
      </c>
      <c r="J2" s="10" t="str">
        <f aca="false">IF($B2="","",IF(OR($A2="",$D2="",$E2=""),"Faltan datos obligatorios",IF(AND($C2&lt;&gt;"",ISNA(MATCH($C2,Acciones!$A$2:$A$201,0))),"El ID lote no existe en Acciones","OK")))</f>
        <v>OK</v>
      </c>
    </row>
    <row r="3" customFormat="false" ht="15" hidden="false" customHeight="true" outlineLevel="0" collapsed="false">
      <c r="A3" s="6"/>
      <c r="B3" s="7"/>
      <c r="C3" s="7"/>
      <c r="D3" s="5"/>
      <c r="E3" s="17"/>
      <c r="F3" s="9"/>
      <c r="G3" s="7"/>
      <c r="H3" s="12" t="str">
        <f aca="false">IF($B3="","",N($D3)*N($E3))</f>
        <v/>
      </c>
      <c r="I3" s="12" t="str">
        <f aca="false">IF($B3="","",$H3-N($F3))</f>
        <v/>
      </c>
      <c r="J3" s="10" t="str">
        <f aca="false">IF($B3="","",IF(OR($A3="",$D3="",$E3=""),"Faltan datos obligatorios",IF(AND($C3&lt;&gt;"",ISNA(MATCH($C3,Acciones!$A$2:$A$201,0))),"El ID lote no existe en Acciones","OK")))</f>
        <v/>
      </c>
    </row>
    <row r="4" customFormat="false" ht="15" hidden="false" customHeight="true" outlineLevel="0" collapsed="false">
      <c r="A4" s="6"/>
      <c r="B4" s="7"/>
      <c r="C4" s="7"/>
      <c r="D4" s="5"/>
      <c r="E4" s="17"/>
      <c r="F4" s="9"/>
      <c r="G4" s="7"/>
      <c r="H4" s="12" t="str">
        <f aca="false">IF($B4="","",N($D4)*N($E4))</f>
        <v/>
      </c>
      <c r="I4" s="12" t="str">
        <f aca="false">IF($B4="","",$H4-N($F4))</f>
        <v/>
      </c>
      <c r="J4" s="10" t="str">
        <f aca="false">IF($B4="","",IF(OR($A4="",$D4="",$E4=""),"Faltan datos obligatorios",IF(AND($C4&lt;&gt;"",ISNA(MATCH($C4,Acciones!$A$2:$A$201,0))),"El ID lote no existe en Acciones","OK")))</f>
        <v/>
      </c>
    </row>
    <row r="5" customFormat="false" ht="15" hidden="false" customHeight="true" outlineLevel="0" collapsed="false">
      <c r="A5" s="6"/>
      <c r="B5" s="7"/>
      <c r="C5" s="7"/>
      <c r="D5" s="5"/>
      <c r="E5" s="17"/>
      <c r="F5" s="9"/>
      <c r="G5" s="7"/>
      <c r="H5" s="12" t="str">
        <f aca="false">IF($B5="","",N($D5)*N($E5))</f>
        <v/>
      </c>
      <c r="I5" s="12" t="str">
        <f aca="false">IF($B5="","",$H5-N($F5))</f>
        <v/>
      </c>
      <c r="J5" s="10" t="str">
        <f aca="false">IF($B5="","",IF(OR($A5="",$D5="",$E5=""),"Faltan datos obligatorios",IF(AND($C5&lt;&gt;"",ISNA(MATCH($C5,Acciones!$A$2:$A$201,0))),"El ID lote no existe en Acciones","OK")))</f>
        <v/>
      </c>
    </row>
    <row r="6" customFormat="false" ht="15" hidden="false" customHeight="true" outlineLevel="0" collapsed="false">
      <c r="A6" s="6"/>
      <c r="B6" s="7"/>
      <c r="C6" s="7"/>
      <c r="D6" s="5"/>
      <c r="E6" s="17"/>
      <c r="F6" s="9"/>
      <c r="G6" s="7"/>
      <c r="H6" s="12" t="str">
        <f aca="false">IF($B6="","",N($D6)*N($E6))</f>
        <v/>
      </c>
      <c r="I6" s="12" t="str">
        <f aca="false">IF($B6="","",$H6-N($F6))</f>
        <v/>
      </c>
      <c r="J6" s="10" t="str">
        <f aca="false">IF($B6="","",IF(OR($A6="",$D6="",$E6=""),"Faltan datos obligatorios",IF(AND($C6&lt;&gt;"",ISNA(MATCH($C6,Acciones!$A$2:$A$201,0))),"El ID lote no existe en Acciones","OK")))</f>
        <v/>
      </c>
    </row>
    <row r="7" customFormat="false" ht="15" hidden="false" customHeight="true" outlineLevel="0" collapsed="false">
      <c r="A7" s="6"/>
      <c r="B7" s="7"/>
      <c r="C7" s="7"/>
      <c r="D7" s="5"/>
      <c r="E7" s="17"/>
      <c r="F7" s="9"/>
      <c r="G7" s="7"/>
      <c r="H7" s="12" t="str">
        <f aca="false">IF($B7="","",N($D7)*N($E7))</f>
        <v/>
      </c>
      <c r="I7" s="12" t="str">
        <f aca="false">IF($B7="","",$H7-N($F7))</f>
        <v/>
      </c>
      <c r="J7" s="10" t="str">
        <f aca="false">IF($B7="","",IF(OR($A7="",$D7="",$E7=""),"Faltan datos obligatorios",IF(AND($C7&lt;&gt;"",ISNA(MATCH($C7,Acciones!$A$2:$A$201,0))),"El ID lote no existe en Acciones","OK")))</f>
        <v/>
      </c>
    </row>
    <row r="8" customFormat="false" ht="15" hidden="false" customHeight="true" outlineLevel="0" collapsed="false">
      <c r="A8" s="6"/>
      <c r="B8" s="7"/>
      <c r="C8" s="7"/>
      <c r="D8" s="5"/>
      <c r="E8" s="17"/>
      <c r="F8" s="9"/>
      <c r="G8" s="7"/>
      <c r="H8" s="12" t="str">
        <f aca="false">IF($B8="","",N($D8)*N($E8))</f>
        <v/>
      </c>
      <c r="I8" s="12" t="str">
        <f aca="false">IF($B8="","",$H8-N($F8))</f>
        <v/>
      </c>
      <c r="J8" s="10" t="str">
        <f aca="false">IF($B8="","",IF(OR($A8="",$D8="",$E8=""),"Faltan datos obligatorios",IF(AND($C8&lt;&gt;"",ISNA(MATCH($C8,Acciones!$A$2:$A$201,0))),"El ID lote no existe en Acciones","OK")))</f>
        <v/>
      </c>
    </row>
    <row r="9" customFormat="false" ht="15" hidden="false" customHeight="true" outlineLevel="0" collapsed="false">
      <c r="A9" s="6"/>
      <c r="B9" s="7"/>
      <c r="C9" s="7"/>
      <c r="D9" s="5"/>
      <c r="E9" s="17"/>
      <c r="F9" s="9"/>
      <c r="G9" s="7"/>
      <c r="H9" s="12" t="str">
        <f aca="false">IF($B9="","",N($D9)*N($E9))</f>
        <v/>
      </c>
      <c r="I9" s="12" t="str">
        <f aca="false">IF($B9="","",$H9-N($F9))</f>
        <v/>
      </c>
      <c r="J9" s="10" t="str">
        <f aca="false">IF($B9="","",IF(OR($A9="",$D9="",$E9=""),"Faltan datos obligatorios",IF(AND($C9&lt;&gt;"",ISNA(MATCH($C9,Acciones!$A$2:$A$201,0))),"El ID lote no existe en Acciones","OK")))</f>
        <v/>
      </c>
    </row>
    <row r="10" customFormat="false" ht="15" hidden="false" customHeight="true" outlineLevel="0" collapsed="false">
      <c r="A10" s="6"/>
      <c r="B10" s="7"/>
      <c r="C10" s="7"/>
      <c r="D10" s="5"/>
      <c r="E10" s="17"/>
      <c r="F10" s="9"/>
      <c r="G10" s="7"/>
      <c r="H10" s="12" t="str">
        <f aca="false">IF($B10="","",N($D10)*N($E10))</f>
        <v/>
      </c>
      <c r="I10" s="12" t="str">
        <f aca="false">IF($B10="","",$H10-N($F10))</f>
        <v/>
      </c>
      <c r="J10" s="10" t="str">
        <f aca="false">IF($B10="","",IF(OR($A10="",$D10="",$E10=""),"Faltan datos obligatorios",IF(AND($C10&lt;&gt;"",ISNA(MATCH($C10,Acciones!$A$2:$A$201,0))),"El ID lote no existe en Acciones","OK")))</f>
        <v/>
      </c>
    </row>
    <row r="11" customFormat="false" ht="15" hidden="false" customHeight="true" outlineLevel="0" collapsed="false">
      <c r="A11" s="6"/>
      <c r="B11" s="7"/>
      <c r="C11" s="7"/>
      <c r="D11" s="5"/>
      <c r="E11" s="17"/>
      <c r="F11" s="9"/>
      <c r="G11" s="7"/>
      <c r="H11" s="12" t="str">
        <f aca="false">IF($B11="","",N($D11)*N($E11))</f>
        <v/>
      </c>
      <c r="I11" s="12" t="str">
        <f aca="false">IF($B11="","",$H11-N($F11))</f>
        <v/>
      </c>
      <c r="J11" s="10" t="str">
        <f aca="false">IF($B11="","",IF(OR($A11="",$D11="",$E11=""),"Faltan datos obligatorios",IF(AND($C11&lt;&gt;"",ISNA(MATCH($C11,Acciones!$A$2:$A$201,0))),"El ID lote no existe en Acciones","OK")))</f>
        <v/>
      </c>
    </row>
    <row r="12" customFormat="false" ht="15" hidden="false" customHeight="true" outlineLevel="0" collapsed="false">
      <c r="A12" s="6"/>
      <c r="B12" s="7"/>
      <c r="C12" s="7"/>
      <c r="D12" s="5"/>
      <c r="E12" s="17"/>
      <c r="F12" s="9"/>
      <c r="G12" s="7"/>
      <c r="H12" s="12" t="str">
        <f aca="false">IF($B12="","",N($D12)*N($E12))</f>
        <v/>
      </c>
      <c r="I12" s="12" t="str">
        <f aca="false">IF($B12="","",$H12-N($F12))</f>
        <v/>
      </c>
      <c r="J12" s="10" t="str">
        <f aca="false">IF($B12="","",IF(OR($A12="",$D12="",$E12=""),"Faltan datos obligatorios",IF(AND($C12&lt;&gt;"",ISNA(MATCH($C12,Acciones!$A$2:$A$201,0))),"El ID lote no existe en Acciones","OK")))</f>
        <v/>
      </c>
    </row>
    <row r="13" customFormat="false" ht="15" hidden="false" customHeight="true" outlineLevel="0" collapsed="false">
      <c r="A13" s="6"/>
      <c r="B13" s="7"/>
      <c r="C13" s="7"/>
      <c r="D13" s="5"/>
      <c r="E13" s="17"/>
      <c r="F13" s="9"/>
      <c r="G13" s="7"/>
      <c r="H13" s="12" t="str">
        <f aca="false">IF($B13="","",N($D13)*N($E13))</f>
        <v/>
      </c>
      <c r="I13" s="12" t="str">
        <f aca="false">IF($B13="","",$H13-N($F13))</f>
        <v/>
      </c>
      <c r="J13" s="10" t="str">
        <f aca="false">IF($B13="","",IF(OR($A13="",$D13="",$E13=""),"Faltan datos obligatorios",IF(AND($C13&lt;&gt;"",ISNA(MATCH($C13,Acciones!$A$2:$A$201,0))),"El ID lote no existe en Acciones","OK")))</f>
        <v/>
      </c>
    </row>
    <row r="14" customFormat="false" ht="15" hidden="false" customHeight="true" outlineLevel="0" collapsed="false">
      <c r="A14" s="6"/>
      <c r="B14" s="7"/>
      <c r="C14" s="7"/>
      <c r="D14" s="5"/>
      <c r="E14" s="17"/>
      <c r="F14" s="9"/>
      <c r="G14" s="7"/>
      <c r="H14" s="12" t="str">
        <f aca="false">IF($B14="","",N($D14)*N($E14))</f>
        <v/>
      </c>
      <c r="I14" s="12" t="str">
        <f aca="false">IF($B14="","",$H14-N($F14))</f>
        <v/>
      </c>
      <c r="J14" s="10" t="str">
        <f aca="false">IF($B14="","",IF(OR($A14="",$D14="",$E14=""),"Faltan datos obligatorios",IF(AND($C14&lt;&gt;"",ISNA(MATCH($C14,Acciones!$A$2:$A$201,0))),"El ID lote no existe en Acciones","OK")))</f>
        <v/>
      </c>
    </row>
    <row r="15" customFormat="false" ht="15" hidden="false" customHeight="true" outlineLevel="0" collapsed="false">
      <c r="A15" s="6"/>
      <c r="B15" s="7"/>
      <c r="C15" s="7"/>
      <c r="D15" s="5"/>
      <c r="E15" s="17"/>
      <c r="F15" s="9"/>
      <c r="G15" s="7"/>
      <c r="H15" s="12" t="str">
        <f aca="false">IF($B15="","",N($D15)*N($E15))</f>
        <v/>
      </c>
      <c r="I15" s="12" t="str">
        <f aca="false">IF($B15="","",$H15-N($F15))</f>
        <v/>
      </c>
      <c r="J15" s="10" t="str">
        <f aca="false">IF($B15="","",IF(OR($A15="",$D15="",$E15=""),"Faltan datos obligatorios",IF(AND($C15&lt;&gt;"",ISNA(MATCH($C15,Acciones!$A$2:$A$201,0))),"El ID lote no existe en Acciones","OK")))</f>
        <v/>
      </c>
    </row>
    <row r="16" customFormat="false" ht="15" hidden="false" customHeight="true" outlineLevel="0" collapsed="false">
      <c r="A16" s="6"/>
      <c r="B16" s="7"/>
      <c r="C16" s="7"/>
      <c r="D16" s="5"/>
      <c r="E16" s="17"/>
      <c r="F16" s="9"/>
      <c r="G16" s="7"/>
      <c r="H16" s="12" t="str">
        <f aca="false">IF($B16="","",N($D16)*N($E16))</f>
        <v/>
      </c>
      <c r="I16" s="12" t="str">
        <f aca="false">IF($B16="","",$H16-N($F16))</f>
        <v/>
      </c>
      <c r="J16" s="10" t="str">
        <f aca="false">IF($B16="","",IF(OR($A16="",$D16="",$E16=""),"Faltan datos obligatorios",IF(AND($C16&lt;&gt;"",ISNA(MATCH($C16,Acciones!$A$2:$A$201,0))),"El ID lote no existe en Acciones","OK")))</f>
        <v/>
      </c>
    </row>
    <row r="17" customFormat="false" ht="15" hidden="false" customHeight="true" outlineLevel="0" collapsed="false">
      <c r="A17" s="6"/>
      <c r="B17" s="7"/>
      <c r="C17" s="7"/>
      <c r="D17" s="5"/>
      <c r="E17" s="17"/>
      <c r="F17" s="9"/>
      <c r="G17" s="7"/>
      <c r="H17" s="12" t="str">
        <f aca="false">IF($B17="","",N($D17)*N($E17))</f>
        <v/>
      </c>
      <c r="I17" s="12" t="str">
        <f aca="false">IF($B17="","",$H17-N($F17))</f>
        <v/>
      </c>
      <c r="J17" s="10" t="str">
        <f aca="false">IF($B17="","",IF(OR($A17="",$D17="",$E17=""),"Faltan datos obligatorios",IF(AND($C17&lt;&gt;"",ISNA(MATCH($C17,Acciones!$A$2:$A$201,0))),"El ID lote no existe en Acciones","OK")))</f>
        <v/>
      </c>
    </row>
    <row r="18" customFormat="false" ht="15" hidden="false" customHeight="true" outlineLevel="0" collapsed="false">
      <c r="A18" s="6"/>
      <c r="B18" s="7"/>
      <c r="C18" s="7"/>
      <c r="D18" s="5"/>
      <c r="E18" s="17"/>
      <c r="F18" s="9"/>
      <c r="G18" s="7"/>
      <c r="H18" s="12" t="str">
        <f aca="false">IF($B18="","",N($D18)*N($E18))</f>
        <v/>
      </c>
      <c r="I18" s="12" t="str">
        <f aca="false">IF($B18="","",$H18-N($F18))</f>
        <v/>
      </c>
      <c r="J18" s="10" t="str">
        <f aca="false">IF($B18="","",IF(OR($A18="",$D18="",$E18=""),"Faltan datos obligatorios",IF(AND($C18&lt;&gt;"",ISNA(MATCH($C18,Acciones!$A$2:$A$201,0))),"El ID lote no existe en Acciones","OK")))</f>
        <v/>
      </c>
    </row>
    <row r="19" customFormat="false" ht="15" hidden="false" customHeight="true" outlineLevel="0" collapsed="false">
      <c r="A19" s="6"/>
      <c r="B19" s="7"/>
      <c r="C19" s="7"/>
      <c r="D19" s="5"/>
      <c r="E19" s="17"/>
      <c r="F19" s="9"/>
      <c r="G19" s="7"/>
      <c r="H19" s="12" t="str">
        <f aca="false">IF($B19="","",N($D19)*N($E19))</f>
        <v/>
      </c>
      <c r="I19" s="12" t="str">
        <f aca="false">IF($B19="","",$H19-N($F19))</f>
        <v/>
      </c>
      <c r="J19" s="10" t="str">
        <f aca="false">IF($B19="","",IF(OR($A19="",$D19="",$E19=""),"Faltan datos obligatorios",IF(AND($C19&lt;&gt;"",ISNA(MATCH($C19,Acciones!$A$2:$A$201,0))),"El ID lote no existe en Acciones","OK")))</f>
        <v/>
      </c>
    </row>
    <row r="20" customFormat="false" ht="15" hidden="false" customHeight="true" outlineLevel="0" collapsed="false">
      <c r="A20" s="6"/>
      <c r="B20" s="7"/>
      <c r="C20" s="7"/>
      <c r="D20" s="5"/>
      <c r="E20" s="17"/>
      <c r="F20" s="9"/>
      <c r="G20" s="7"/>
      <c r="H20" s="12" t="str">
        <f aca="false">IF($B20="","",N($D20)*N($E20))</f>
        <v/>
      </c>
      <c r="I20" s="12" t="str">
        <f aca="false">IF($B20="","",$H20-N($F20))</f>
        <v/>
      </c>
      <c r="J20" s="10" t="str">
        <f aca="false">IF($B20="","",IF(OR($A20="",$D20="",$E20=""),"Faltan datos obligatorios",IF(AND($C20&lt;&gt;"",ISNA(MATCH($C20,Acciones!$A$2:$A$201,0))),"El ID lote no existe en Acciones","OK")))</f>
        <v/>
      </c>
    </row>
    <row r="21" customFormat="false" ht="15" hidden="false" customHeight="true" outlineLevel="0" collapsed="false">
      <c r="A21" s="6"/>
      <c r="B21" s="7"/>
      <c r="C21" s="7"/>
      <c r="D21" s="5"/>
      <c r="E21" s="17"/>
      <c r="F21" s="9"/>
      <c r="G21" s="7"/>
      <c r="H21" s="12" t="str">
        <f aca="false">IF($B21="","",N($D21)*N($E21))</f>
        <v/>
      </c>
      <c r="I21" s="12" t="str">
        <f aca="false">IF($B21="","",$H21-N($F21))</f>
        <v/>
      </c>
      <c r="J21" s="10" t="str">
        <f aca="false">IF($B21="","",IF(OR($A21="",$D21="",$E21=""),"Faltan datos obligatorios",IF(AND($C21&lt;&gt;"",ISNA(MATCH($C21,Acciones!$A$2:$A$201,0))),"El ID lote no existe en Acciones","OK")))</f>
        <v/>
      </c>
    </row>
    <row r="22" customFormat="false" ht="15" hidden="false" customHeight="true" outlineLevel="0" collapsed="false">
      <c r="A22" s="6"/>
      <c r="B22" s="7"/>
      <c r="C22" s="7"/>
      <c r="D22" s="5"/>
      <c r="E22" s="17"/>
      <c r="F22" s="9"/>
      <c r="G22" s="7"/>
      <c r="H22" s="12" t="str">
        <f aca="false">IF($B22="","",N($D22)*N($E22))</f>
        <v/>
      </c>
      <c r="I22" s="12" t="str">
        <f aca="false">IF($B22="","",$H22-N($F22))</f>
        <v/>
      </c>
      <c r="J22" s="10" t="str">
        <f aca="false">IF($B22="","",IF(OR($A22="",$D22="",$E22=""),"Faltan datos obligatorios",IF(AND($C22&lt;&gt;"",ISNA(MATCH($C22,Acciones!$A$2:$A$201,0))),"El ID lote no existe en Acciones","OK")))</f>
        <v/>
      </c>
    </row>
    <row r="23" customFormat="false" ht="15" hidden="false" customHeight="true" outlineLevel="0" collapsed="false">
      <c r="A23" s="6"/>
      <c r="B23" s="7"/>
      <c r="C23" s="7"/>
      <c r="D23" s="5"/>
      <c r="E23" s="17"/>
      <c r="F23" s="9"/>
      <c r="G23" s="7"/>
      <c r="H23" s="12" t="str">
        <f aca="false">IF($B23="","",N($D23)*N($E23))</f>
        <v/>
      </c>
      <c r="I23" s="12" t="str">
        <f aca="false">IF($B23="","",$H23-N($F23))</f>
        <v/>
      </c>
      <c r="J23" s="10" t="str">
        <f aca="false">IF($B23="","",IF(OR($A23="",$D23="",$E23=""),"Faltan datos obligatorios",IF(AND($C23&lt;&gt;"",ISNA(MATCH($C23,Acciones!$A$2:$A$201,0))),"El ID lote no existe en Acciones","OK")))</f>
        <v/>
      </c>
    </row>
    <row r="24" customFormat="false" ht="15" hidden="false" customHeight="true" outlineLevel="0" collapsed="false">
      <c r="A24" s="6"/>
      <c r="B24" s="7"/>
      <c r="C24" s="7"/>
      <c r="D24" s="5"/>
      <c r="E24" s="17"/>
      <c r="F24" s="9"/>
      <c r="G24" s="7"/>
      <c r="H24" s="12" t="str">
        <f aca="false">IF($B24="","",N($D24)*N($E24))</f>
        <v/>
      </c>
      <c r="I24" s="12" t="str">
        <f aca="false">IF($B24="","",$H24-N($F24))</f>
        <v/>
      </c>
      <c r="J24" s="10" t="str">
        <f aca="false">IF($B24="","",IF(OR($A24="",$D24="",$E24=""),"Faltan datos obligatorios",IF(AND($C24&lt;&gt;"",ISNA(MATCH($C24,Acciones!$A$2:$A$201,0))),"El ID lote no existe en Acciones","OK")))</f>
        <v/>
      </c>
    </row>
    <row r="25" customFormat="false" ht="15" hidden="false" customHeight="true" outlineLevel="0" collapsed="false">
      <c r="A25" s="6"/>
      <c r="B25" s="7"/>
      <c r="C25" s="7"/>
      <c r="D25" s="5"/>
      <c r="E25" s="17"/>
      <c r="F25" s="9"/>
      <c r="G25" s="7"/>
      <c r="H25" s="12" t="str">
        <f aca="false">IF($B25="","",N($D25)*N($E25))</f>
        <v/>
      </c>
      <c r="I25" s="12" t="str">
        <f aca="false">IF($B25="","",$H25-N($F25))</f>
        <v/>
      </c>
      <c r="J25" s="10" t="str">
        <f aca="false">IF($B25="","",IF(OR($A25="",$D25="",$E25=""),"Faltan datos obligatorios",IF(AND($C25&lt;&gt;"",ISNA(MATCH($C25,Acciones!$A$2:$A$201,0))),"El ID lote no existe en Acciones","OK")))</f>
        <v/>
      </c>
    </row>
    <row r="26" customFormat="false" ht="15" hidden="false" customHeight="true" outlineLevel="0" collapsed="false">
      <c r="A26" s="6"/>
      <c r="B26" s="7"/>
      <c r="C26" s="7"/>
      <c r="D26" s="5"/>
      <c r="E26" s="17"/>
      <c r="F26" s="9"/>
      <c r="G26" s="7"/>
      <c r="H26" s="12" t="str">
        <f aca="false">IF($B26="","",N($D26)*N($E26))</f>
        <v/>
      </c>
      <c r="I26" s="12" t="str">
        <f aca="false">IF($B26="","",$H26-N($F26))</f>
        <v/>
      </c>
      <c r="J26" s="10" t="str">
        <f aca="false">IF($B26="","",IF(OR($A26="",$D26="",$E26=""),"Faltan datos obligatorios",IF(AND($C26&lt;&gt;"",ISNA(MATCH($C26,Acciones!$A$2:$A$201,0))),"El ID lote no existe en Acciones","OK")))</f>
        <v/>
      </c>
    </row>
    <row r="27" customFormat="false" ht="15" hidden="false" customHeight="true" outlineLevel="0" collapsed="false">
      <c r="A27" s="6"/>
      <c r="B27" s="7"/>
      <c r="C27" s="7"/>
      <c r="D27" s="5"/>
      <c r="E27" s="17"/>
      <c r="F27" s="9"/>
      <c r="G27" s="7"/>
      <c r="H27" s="12" t="str">
        <f aca="false">IF($B27="","",N($D27)*N($E27))</f>
        <v/>
      </c>
      <c r="I27" s="12" t="str">
        <f aca="false">IF($B27="","",$H27-N($F27))</f>
        <v/>
      </c>
      <c r="J27" s="10" t="str">
        <f aca="false">IF($B27="","",IF(OR($A27="",$D27="",$E27=""),"Faltan datos obligatorios",IF(AND($C27&lt;&gt;"",ISNA(MATCH($C27,Acciones!$A$2:$A$201,0))),"El ID lote no existe en Acciones","OK")))</f>
        <v/>
      </c>
    </row>
    <row r="28" customFormat="false" ht="15" hidden="false" customHeight="true" outlineLevel="0" collapsed="false">
      <c r="A28" s="6"/>
      <c r="B28" s="7"/>
      <c r="C28" s="7"/>
      <c r="D28" s="5"/>
      <c r="E28" s="17"/>
      <c r="F28" s="9"/>
      <c r="G28" s="7"/>
      <c r="H28" s="12" t="str">
        <f aca="false">IF($B28="","",N($D28)*N($E28))</f>
        <v/>
      </c>
      <c r="I28" s="12" t="str">
        <f aca="false">IF($B28="","",$H28-N($F28))</f>
        <v/>
      </c>
      <c r="J28" s="10" t="str">
        <f aca="false">IF($B28="","",IF(OR($A28="",$D28="",$E28=""),"Faltan datos obligatorios",IF(AND($C28&lt;&gt;"",ISNA(MATCH($C28,Acciones!$A$2:$A$201,0))),"El ID lote no existe en Acciones","OK")))</f>
        <v/>
      </c>
    </row>
    <row r="29" customFormat="false" ht="15" hidden="false" customHeight="true" outlineLevel="0" collapsed="false">
      <c r="A29" s="6"/>
      <c r="B29" s="7"/>
      <c r="C29" s="7"/>
      <c r="D29" s="5"/>
      <c r="E29" s="17"/>
      <c r="F29" s="9"/>
      <c r="G29" s="7"/>
      <c r="H29" s="12" t="str">
        <f aca="false">IF($B29="","",N($D29)*N($E29))</f>
        <v/>
      </c>
      <c r="I29" s="12" t="str">
        <f aca="false">IF($B29="","",$H29-N($F29))</f>
        <v/>
      </c>
      <c r="J29" s="10" t="str">
        <f aca="false">IF($B29="","",IF(OR($A29="",$D29="",$E29=""),"Faltan datos obligatorios",IF(AND($C29&lt;&gt;"",ISNA(MATCH($C29,Acciones!$A$2:$A$201,0))),"El ID lote no existe en Acciones","OK")))</f>
        <v/>
      </c>
    </row>
    <row r="30" customFormat="false" ht="15" hidden="false" customHeight="true" outlineLevel="0" collapsed="false">
      <c r="A30" s="6"/>
      <c r="B30" s="7"/>
      <c r="C30" s="7"/>
      <c r="D30" s="5"/>
      <c r="E30" s="17"/>
      <c r="F30" s="9"/>
      <c r="G30" s="7"/>
      <c r="H30" s="12" t="str">
        <f aca="false">IF($B30="","",N($D30)*N($E30))</f>
        <v/>
      </c>
      <c r="I30" s="12" t="str">
        <f aca="false">IF($B30="","",$H30-N($F30))</f>
        <v/>
      </c>
      <c r="J30" s="10" t="str">
        <f aca="false">IF($B30="","",IF(OR($A30="",$D30="",$E30=""),"Faltan datos obligatorios",IF(AND($C30&lt;&gt;"",ISNA(MATCH($C30,Acciones!$A$2:$A$201,0))),"El ID lote no existe en Acciones","OK")))</f>
        <v/>
      </c>
    </row>
    <row r="31" customFormat="false" ht="15" hidden="false" customHeight="true" outlineLevel="0" collapsed="false">
      <c r="A31" s="6"/>
      <c r="B31" s="7"/>
      <c r="C31" s="7"/>
      <c r="D31" s="5"/>
      <c r="E31" s="17"/>
      <c r="F31" s="9"/>
      <c r="G31" s="7"/>
      <c r="H31" s="12" t="str">
        <f aca="false">IF($B31="","",N($D31)*N($E31))</f>
        <v/>
      </c>
      <c r="I31" s="12" t="str">
        <f aca="false">IF($B31="","",$H31-N($F31))</f>
        <v/>
      </c>
      <c r="J31" s="10" t="str">
        <f aca="false">IF($B31="","",IF(OR($A31="",$D31="",$E31=""),"Faltan datos obligatorios",IF(AND($C31&lt;&gt;"",ISNA(MATCH($C31,Acciones!$A$2:$A$201,0))),"El ID lote no existe en Acciones","OK")))</f>
        <v/>
      </c>
    </row>
    <row r="32" customFormat="false" ht="15" hidden="false" customHeight="true" outlineLevel="0" collapsed="false">
      <c r="A32" s="6"/>
      <c r="B32" s="7"/>
      <c r="C32" s="7"/>
      <c r="D32" s="5"/>
      <c r="E32" s="17"/>
      <c r="F32" s="9"/>
      <c r="G32" s="7"/>
      <c r="H32" s="12" t="str">
        <f aca="false">IF($B32="","",N($D32)*N($E32))</f>
        <v/>
      </c>
      <c r="I32" s="12" t="str">
        <f aca="false">IF($B32="","",$H32-N($F32))</f>
        <v/>
      </c>
      <c r="J32" s="10" t="str">
        <f aca="false">IF($B32="","",IF(OR($A32="",$D32="",$E32=""),"Faltan datos obligatorios",IF(AND($C32&lt;&gt;"",ISNA(MATCH($C32,Acciones!$A$2:$A$201,0))),"El ID lote no existe en Acciones","OK")))</f>
        <v/>
      </c>
    </row>
    <row r="33" customFormat="false" ht="15" hidden="false" customHeight="true" outlineLevel="0" collapsed="false">
      <c r="A33" s="6"/>
      <c r="B33" s="7"/>
      <c r="C33" s="7"/>
      <c r="D33" s="5"/>
      <c r="E33" s="17"/>
      <c r="F33" s="9"/>
      <c r="G33" s="7"/>
      <c r="H33" s="12" t="str">
        <f aca="false">IF($B33="","",N($D33)*N($E33))</f>
        <v/>
      </c>
      <c r="I33" s="12" t="str">
        <f aca="false">IF($B33="","",$H33-N($F33))</f>
        <v/>
      </c>
      <c r="J33" s="10" t="str">
        <f aca="false">IF($B33="","",IF(OR($A33="",$D33="",$E33=""),"Faltan datos obligatorios",IF(AND($C33&lt;&gt;"",ISNA(MATCH($C33,Acciones!$A$2:$A$201,0))),"El ID lote no existe en Acciones","OK")))</f>
        <v/>
      </c>
    </row>
    <row r="34" customFormat="false" ht="15" hidden="false" customHeight="true" outlineLevel="0" collapsed="false">
      <c r="A34" s="6"/>
      <c r="B34" s="7"/>
      <c r="C34" s="7"/>
      <c r="D34" s="5"/>
      <c r="E34" s="17"/>
      <c r="F34" s="9"/>
      <c r="G34" s="7"/>
      <c r="H34" s="12" t="str">
        <f aca="false">IF($B34="","",N($D34)*N($E34))</f>
        <v/>
      </c>
      <c r="I34" s="12" t="str">
        <f aca="false">IF($B34="","",$H34-N($F34))</f>
        <v/>
      </c>
      <c r="J34" s="10" t="str">
        <f aca="false">IF($B34="","",IF(OR($A34="",$D34="",$E34=""),"Faltan datos obligatorios",IF(AND($C34&lt;&gt;"",ISNA(MATCH($C34,Acciones!$A$2:$A$201,0))),"El ID lote no existe en Acciones","OK")))</f>
        <v/>
      </c>
    </row>
    <row r="35" customFormat="false" ht="15" hidden="false" customHeight="true" outlineLevel="0" collapsed="false">
      <c r="A35" s="6"/>
      <c r="B35" s="7"/>
      <c r="C35" s="7"/>
      <c r="D35" s="5"/>
      <c r="E35" s="17"/>
      <c r="F35" s="9"/>
      <c r="G35" s="7"/>
      <c r="H35" s="12" t="str">
        <f aca="false">IF($B35="","",N($D35)*N($E35))</f>
        <v/>
      </c>
      <c r="I35" s="12" t="str">
        <f aca="false">IF($B35="","",$H35-N($F35))</f>
        <v/>
      </c>
      <c r="J35" s="10" t="str">
        <f aca="false">IF($B35="","",IF(OR($A35="",$D35="",$E35=""),"Faltan datos obligatorios",IF(AND($C35&lt;&gt;"",ISNA(MATCH($C35,Acciones!$A$2:$A$201,0))),"El ID lote no existe en Acciones","OK")))</f>
        <v/>
      </c>
    </row>
    <row r="36" customFormat="false" ht="15" hidden="false" customHeight="true" outlineLevel="0" collapsed="false">
      <c r="A36" s="6"/>
      <c r="B36" s="7"/>
      <c r="C36" s="7"/>
      <c r="D36" s="5"/>
      <c r="E36" s="17"/>
      <c r="F36" s="9"/>
      <c r="G36" s="7"/>
      <c r="H36" s="12" t="str">
        <f aca="false">IF($B36="","",N($D36)*N($E36))</f>
        <v/>
      </c>
      <c r="I36" s="12" t="str">
        <f aca="false">IF($B36="","",$H36-N($F36))</f>
        <v/>
      </c>
      <c r="J36" s="10" t="str">
        <f aca="false">IF($B36="","",IF(OR($A36="",$D36="",$E36=""),"Faltan datos obligatorios",IF(AND($C36&lt;&gt;"",ISNA(MATCH($C36,Acciones!$A$2:$A$201,0))),"El ID lote no existe en Acciones","OK")))</f>
        <v/>
      </c>
    </row>
    <row r="37" customFormat="false" ht="15" hidden="false" customHeight="true" outlineLevel="0" collapsed="false">
      <c r="A37" s="6"/>
      <c r="B37" s="7"/>
      <c r="C37" s="7"/>
      <c r="D37" s="5"/>
      <c r="E37" s="17"/>
      <c r="F37" s="9"/>
      <c r="G37" s="7"/>
      <c r="H37" s="12" t="str">
        <f aca="false">IF($B37="","",N($D37)*N($E37))</f>
        <v/>
      </c>
      <c r="I37" s="12" t="str">
        <f aca="false">IF($B37="","",$H37-N($F37))</f>
        <v/>
      </c>
      <c r="J37" s="10" t="str">
        <f aca="false">IF($B37="","",IF(OR($A37="",$D37="",$E37=""),"Faltan datos obligatorios",IF(AND($C37&lt;&gt;"",ISNA(MATCH($C37,Acciones!$A$2:$A$201,0))),"El ID lote no existe en Acciones","OK")))</f>
        <v/>
      </c>
    </row>
    <row r="38" customFormat="false" ht="15" hidden="false" customHeight="true" outlineLevel="0" collapsed="false">
      <c r="A38" s="6"/>
      <c r="B38" s="7"/>
      <c r="C38" s="7"/>
      <c r="D38" s="5"/>
      <c r="E38" s="17"/>
      <c r="F38" s="9"/>
      <c r="G38" s="7"/>
      <c r="H38" s="12" t="str">
        <f aca="false">IF($B38="","",N($D38)*N($E38))</f>
        <v/>
      </c>
      <c r="I38" s="12" t="str">
        <f aca="false">IF($B38="","",$H38-N($F38))</f>
        <v/>
      </c>
      <c r="J38" s="10" t="str">
        <f aca="false">IF($B38="","",IF(OR($A38="",$D38="",$E38=""),"Faltan datos obligatorios",IF(AND($C38&lt;&gt;"",ISNA(MATCH($C38,Acciones!$A$2:$A$201,0))),"El ID lote no existe en Acciones","OK")))</f>
        <v/>
      </c>
    </row>
    <row r="39" customFormat="false" ht="15" hidden="false" customHeight="true" outlineLevel="0" collapsed="false">
      <c r="A39" s="6"/>
      <c r="B39" s="7"/>
      <c r="C39" s="7"/>
      <c r="D39" s="5"/>
      <c r="E39" s="17"/>
      <c r="F39" s="9"/>
      <c r="G39" s="7"/>
      <c r="H39" s="12" t="str">
        <f aca="false">IF($B39="","",N($D39)*N($E39))</f>
        <v/>
      </c>
      <c r="I39" s="12" t="str">
        <f aca="false">IF($B39="","",$H39-N($F39))</f>
        <v/>
      </c>
      <c r="J39" s="10" t="str">
        <f aca="false">IF($B39="","",IF(OR($A39="",$D39="",$E39=""),"Faltan datos obligatorios",IF(AND($C39&lt;&gt;"",ISNA(MATCH($C39,Acciones!$A$2:$A$201,0))),"El ID lote no existe en Acciones","OK")))</f>
        <v/>
      </c>
    </row>
    <row r="40" customFormat="false" ht="15" hidden="false" customHeight="true" outlineLevel="0" collapsed="false">
      <c r="A40" s="6"/>
      <c r="B40" s="7"/>
      <c r="C40" s="7"/>
      <c r="D40" s="5"/>
      <c r="E40" s="17"/>
      <c r="F40" s="9"/>
      <c r="G40" s="7"/>
      <c r="H40" s="12" t="str">
        <f aca="false">IF($B40="","",N($D40)*N($E40))</f>
        <v/>
      </c>
      <c r="I40" s="12" t="str">
        <f aca="false">IF($B40="","",$H40-N($F40))</f>
        <v/>
      </c>
      <c r="J40" s="10" t="str">
        <f aca="false">IF($B40="","",IF(OR($A40="",$D40="",$E40=""),"Faltan datos obligatorios",IF(AND($C40&lt;&gt;"",ISNA(MATCH($C40,Acciones!$A$2:$A$201,0))),"El ID lote no existe en Acciones","OK")))</f>
        <v/>
      </c>
    </row>
    <row r="41" customFormat="false" ht="15" hidden="false" customHeight="true" outlineLevel="0" collapsed="false">
      <c r="A41" s="6"/>
      <c r="B41" s="7"/>
      <c r="C41" s="7"/>
      <c r="D41" s="5"/>
      <c r="E41" s="17"/>
      <c r="F41" s="9"/>
      <c r="G41" s="7"/>
      <c r="H41" s="12" t="str">
        <f aca="false">IF($B41="","",N($D41)*N($E41))</f>
        <v/>
      </c>
      <c r="I41" s="12" t="str">
        <f aca="false">IF($B41="","",$H41-N($F41))</f>
        <v/>
      </c>
      <c r="J41" s="10" t="str">
        <f aca="false">IF($B41="","",IF(OR($A41="",$D41="",$E41=""),"Faltan datos obligatorios",IF(AND($C41&lt;&gt;"",ISNA(MATCH($C41,Acciones!$A$2:$A$201,0))),"El ID lote no existe en Acciones","OK")))</f>
        <v/>
      </c>
    </row>
    <row r="42" customFormat="false" ht="15" hidden="false" customHeight="true" outlineLevel="0" collapsed="false">
      <c r="A42" s="6"/>
      <c r="B42" s="7"/>
      <c r="C42" s="7"/>
      <c r="D42" s="5"/>
      <c r="E42" s="17"/>
      <c r="F42" s="9"/>
      <c r="G42" s="7"/>
      <c r="H42" s="12" t="str">
        <f aca="false">IF($B42="","",N($D42)*N($E42))</f>
        <v/>
      </c>
      <c r="I42" s="12" t="str">
        <f aca="false">IF($B42="","",$H42-N($F42))</f>
        <v/>
      </c>
      <c r="J42" s="10" t="str">
        <f aca="false">IF($B42="","",IF(OR($A42="",$D42="",$E42=""),"Faltan datos obligatorios",IF(AND($C42&lt;&gt;"",ISNA(MATCH($C42,Acciones!$A$2:$A$201,0))),"El ID lote no existe en Acciones","OK")))</f>
        <v/>
      </c>
    </row>
    <row r="43" customFormat="false" ht="15" hidden="false" customHeight="true" outlineLevel="0" collapsed="false">
      <c r="A43" s="6"/>
      <c r="B43" s="7"/>
      <c r="C43" s="7"/>
      <c r="D43" s="5"/>
      <c r="E43" s="17"/>
      <c r="F43" s="9"/>
      <c r="G43" s="7"/>
      <c r="H43" s="12" t="str">
        <f aca="false">IF($B43="","",N($D43)*N($E43))</f>
        <v/>
      </c>
      <c r="I43" s="12" t="str">
        <f aca="false">IF($B43="","",$H43-N($F43))</f>
        <v/>
      </c>
      <c r="J43" s="10" t="str">
        <f aca="false">IF($B43="","",IF(OR($A43="",$D43="",$E43=""),"Faltan datos obligatorios",IF(AND($C43&lt;&gt;"",ISNA(MATCH($C43,Acciones!$A$2:$A$201,0))),"El ID lote no existe en Acciones","OK")))</f>
        <v/>
      </c>
    </row>
    <row r="44" customFormat="false" ht="15" hidden="false" customHeight="true" outlineLevel="0" collapsed="false">
      <c r="A44" s="6"/>
      <c r="B44" s="7"/>
      <c r="C44" s="7"/>
      <c r="D44" s="5"/>
      <c r="E44" s="17"/>
      <c r="F44" s="9"/>
      <c r="G44" s="7"/>
      <c r="H44" s="12" t="str">
        <f aca="false">IF($B44="","",N($D44)*N($E44))</f>
        <v/>
      </c>
      <c r="I44" s="12" t="str">
        <f aca="false">IF($B44="","",$H44-N($F44))</f>
        <v/>
      </c>
      <c r="J44" s="10" t="str">
        <f aca="false">IF($B44="","",IF(OR($A44="",$D44="",$E44=""),"Faltan datos obligatorios",IF(AND($C44&lt;&gt;"",ISNA(MATCH($C44,Acciones!$A$2:$A$201,0))),"El ID lote no existe en Acciones","OK")))</f>
        <v/>
      </c>
    </row>
    <row r="45" customFormat="false" ht="15" hidden="false" customHeight="true" outlineLevel="0" collapsed="false">
      <c r="A45" s="6"/>
      <c r="B45" s="7"/>
      <c r="C45" s="7"/>
      <c r="D45" s="5"/>
      <c r="E45" s="17"/>
      <c r="F45" s="9"/>
      <c r="G45" s="7"/>
      <c r="H45" s="12" t="str">
        <f aca="false">IF($B45="","",N($D45)*N($E45))</f>
        <v/>
      </c>
      <c r="I45" s="12" t="str">
        <f aca="false">IF($B45="","",$H45-N($F45))</f>
        <v/>
      </c>
      <c r="J45" s="10" t="str">
        <f aca="false">IF($B45="","",IF(OR($A45="",$D45="",$E45=""),"Faltan datos obligatorios",IF(AND($C45&lt;&gt;"",ISNA(MATCH($C45,Acciones!$A$2:$A$201,0))),"El ID lote no existe en Acciones","OK")))</f>
        <v/>
      </c>
    </row>
    <row r="46" customFormat="false" ht="15" hidden="false" customHeight="true" outlineLevel="0" collapsed="false">
      <c r="A46" s="6"/>
      <c r="B46" s="7"/>
      <c r="C46" s="7"/>
      <c r="D46" s="5"/>
      <c r="E46" s="17"/>
      <c r="F46" s="9"/>
      <c r="G46" s="7"/>
      <c r="H46" s="12" t="str">
        <f aca="false">IF($B46="","",N($D46)*N($E46))</f>
        <v/>
      </c>
      <c r="I46" s="12" t="str">
        <f aca="false">IF($B46="","",$H46-N($F46))</f>
        <v/>
      </c>
      <c r="J46" s="10" t="str">
        <f aca="false">IF($B46="","",IF(OR($A46="",$D46="",$E46=""),"Faltan datos obligatorios",IF(AND($C46&lt;&gt;"",ISNA(MATCH($C46,Acciones!$A$2:$A$201,0))),"El ID lote no existe en Acciones","OK")))</f>
        <v/>
      </c>
    </row>
    <row r="47" customFormat="false" ht="15" hidden="false" customHeight="true" outlineLevel="0" collapsed="false">
      <c r="A47" s="6"/>
      <c r="B47" s="7"/>
      <c r="C47" s="7"/>
      <c r="D47" s="5"/>
      <c r="E47" s="17"/>
      <c r="F47" s="9"/>
      <c r="G47" s="7"/>
      <c r="H47" s="12" t="str">
        <f aca="false">IF($B47="","",N($D47)*N($E47))</f>
        <v/>
      </c>
      <c r="I47" s="12" t="str">
        <f aca="false">IF($B47="","",$H47-N($F47))</f>
        <v/>
      </c>
      <c r="J47" s="10" t="str">
        <f aca="false">IF($B47="","",IF(OR($A47="",$D47="",$E47=""),"Faltan datos obligatorios",IF(AND($C47&lt;&gt;"",ISNA(MATCH($C47,Acciones!$A$2:$A$201,0))),"El ID lote no existe en Acciones","OK")))</f>
        <v/>
      </c>
    </row>
    <row r="48" customFormat="false" ht="15" hidden="false" customHeight="true" outlineLevel="0" collapsed="false">
      <c r="A48" s="6"/>
      <c r="B48" s="7"/>
      <c r="C48" s="7"/>
      <c r="D48" s="5"/>
      <c r="E48" s="17"/>
      <c r="F48" s="9"/>
      <c r="G48" s="7"/>
      <c r="H48" s="12" t="str">
        <f aca="false">IF($B48="","",N($D48)*N($E48))</f>
        <v/>
      </c>
      <c r="I48" s="12" t="str">
        <f aca="false">IF($B48="","",$H48-N($F48))</f>
        <v/>
      </c>
      <c r="J48" s="10" t="str">
        <f aca="false">IF($B48="","",IF(OR($A48="",$D48="",$E48=""),"Faltan datos obligatorios",IF(AND($C48&lt;&gt;"",ISNA(MATCH($C48,Acciones!$A$2:$A$201,0))),"El ID lote no existe en Acciones","OK")))</f>
        <v/>
      </c>
    </row>
    <row r="49" customFormat="false" ht="15" hidden="false" customHeight="true" outlineLevel="0" collapsed="false">
      <c r="A49" s="6"/>
      <c r="B49" s="7"/>
      <c r="C49" s="7"/>
      <c r="D49" s="5"/>
      <c r="E49" s="17"/>
      <c r="F49" s="9"/>
      <c r="G49" s="7"/>
      <c r="H49" s="12" t="str">
        <f aca="false">IF($B49="","",N($D49)*N($E49))</f>
        <v/>
      </c>
      <c r="I49" s="12" t="str">
        <f aca="false">IF($B49="","",$H49-N($F49))</f>
        <v/>
      </c>
      <c r="J49" s="10" t="str">
        <f aca="false">IF($B49="","",IF(OR($A49="",$D49="",$E49=""),"Faltan datos obligatorios",IF(AND($C49&lt;&gt;"",ISNA(MATCH($C49,Acciones!$A$2:$A$201,0))),"El ID lote no existe en Acciones","OK")))</f>
        <v/>
      </c>
    </row>
    <row r="50" customFormat="false" ht="15" hidden="false" customHeight="true" outlineLevel="0" collapsed="false">
      <c r="A50" s="6"/>
      <c r="B50" s="7"/>
      <c r="C50" s="7"/>
      <c r="D50" s="5"/>
      <c r="E50" s="17"/>
      <c r="F50" s="9"/>
      <c r="G50" s="7"/>
      <c r="H50" s="12" t="str">
        <f aca="false">IF($B50="","",N($D50)*N($E50))</f>
        <v/>
      </c>
      <c r="I50" s="12" t="str">
        <f aca="false">IF($B50="","",$H50-N($F50))</f>
        <v/>
      </c>
      <c r="J50" s="10" t="str">
        <f aca="false">IF($B50="","",IF(OR($A50="",$D50="",$E50=""),"Faltan datos obligatorios",IF(AND($C50&lt;&gt;"",ISNA(MATCH($C50,Acciones!$A$2:$A$201,0))),"El ID lote no existe en Acciones","OK")))</f>
        <v/>
      </c>
    </row>
    <row r="51" customFormat="false" ht="15" hidden="false" customHeight="true" outlineLevel="0" collapsed="false">
      <c r="A51" s="6"/>
      <c r="B51" s="7"/>
      <c r="C51" s="7"/>
      <c r="D51" s="5"/>
      <c r="E51" s="17"/>
      <c r="F51" s="9"/>
      <c r="G51" s="7"/>
      <c r="H51" s="12" t="str">
        <f aca="false">IF($B51="","",N($D51)*N($E51))</f>
        <v/>
      </c>
      <c r="I51" s="12" t="str">
        <f aca="false">IF($B51="","",$H51-N($F51))</f>
        <v/>
      </c>
      <c r="J51" s="10" t="str">
        <f aca="false">IF($B51="","",IF(OR($A51="",$D51="",$E51=""),"Faltan datos obligatorios",IF(AND($C51&lt;&gt;"",ISNA(MATCH($C51,Acciones!$A$2:$A$201,0))),"El ID lote no existe en Acciones","OK")))</f>
        <v/>
      </c>
    </row>
    <row r="52" customFormat="false" ht="15" hidden="false" customHeight="true" outlineLevel="0" collapsed="false">
      <c r="A52" s="6"/>
      <c r="B52" s="7"/>
      <c r="C52" s="7"/>
      <c r="D52" s="5"/>
      <c r="E52" s="17"/>
      <c r="F52" s="9"/>
      <c r="G52" s="7"/>
      <c r="H52" s="12" t="str">
        <f aca="false">IF($B52="","",N($D52)*N($E52))</f>
        <v/>
      </c>
      <c r="I52" s="12" t="str">
        <f aca="false">IF($B52="","",$H52-N($F52))</f>
        <v/>
      </c>
      <c r="J52" s="10" t="str">
        <f aca="false">IF($B52="","",IF(OR($A52="",$D52="",$E52=""),"Faltan datos obligatorios",IF(AND($C52&lt;&gt;"",ISNA(MATCH($C52,Acciones!$A$2:$A$201,0))),"El ID lote no existe en Acciones","OK")))</f>
        <v/>
      </c>
    </row>
    <row r="53" customFormat="false" ht="15" hidden="false" customHeight="true" outlineLevel="0" collapsed="false">
      <c r="A53" s="6"/>
      <c r="B53" s="7"/>
      <c r="C53" s="7"/>
      <c r="D53" s="5"/>
      <c r="E53" s="17"/>
      <c r="F53" s="9"/>
      <c r="G53" s="7"/>
      <c r="H53" s="12" t="str">
        <f aca="false">IF($B53="","",N($D53)*N($E53))</f>
        <v/>
      </c>
      <c r="I53" s="12" t="str">
        <f aca="false">IF($B53="","",$H53-N($F53))</f>
        <v/>
      </c>
      <c r="J53" s="10" t="str">
        <f aca="false">IF($B53="","",IF(OR($A53="",$D53="",$E53=""),"Faltan datos obligatorios",IF(AND($C53&lt;&gt;"",ISNA(MATCH($C53,Acciones!$A$2:$A$201,0))),"El ID lote no existe en Acciones","OK")))</f>
        <v/>
      </c>
    </row>
    <row r="54" customFormat="false" ht="15" hidden="false" customHeight="true" outlineLevel="0" collapsed="false">
      <c r="A54" s="6"/>
      <c r="B54" s="7"/>
      <c r="C54" s="7"/>
      <c r="D54" s="5"/>
      <c r="E54" s="17"/>
      <c r="F54" s="9"/>
      <c r="G54" s="7"/>
      <c r="H54" s="12" t="str">
        <f aca="false">IF($B54="","",N($D54)*N($E54))</f>
        <v/>
      </c>
      <c r="I54" s="12" t="str">
        <f aca="false">IF($B54="","",$H54-N($F54))</f>
        <v/>
      </c>
      <c r="J54" s="10" t="str">
        <f aca="false">IF($B54="","",IF(OR($A54="",$D54="",$E54=""),"Faltan datos obligatorios",IF(AND($C54&lt;&gt;"",ISNA(MATCH($C54,Acciones!$A$2:$A$201,0))),"El ID lote no existe en Acciones","OK")))</f>
        <v/>
      </c>
    </row>
    <row r="55" customFormat="false" ht="15" hidden="false" customHeight="true" outlineLevel="0" collapsed="false">
      <c r="A55" s="6"/>
      <c r="B55" s="7"/>
      <c r="C55" s="7"/>
      <c r="D55" s="5"/>
      <c r="E55" s="17"/>
      <c r="F55" s="9"/>
      <c r="G55" s="7"/>
      <c r="H55" s="12" t="str">
        <f aca="false">IF($B55="","",N($D55)*N($E55))</f>
        <v/>
      </c>
      <c r="I55" s="12" t="str">
        <f aca="false">IF($B55="","",$H55-N($F55))</f>
        <v/>
      </c>
      <c r="J55" s="10" t="str">
        <f aca="false">IF($B55="","",IF(OR($A55="",$D55="",$E55=""),"Faltan datos obligatorios",IF(AND($C55&lt;&gt;"",ISNA(MATCH($C55,Acciones!$A$2:$A$201,0))),"El ID lote no existe en Acciones","OK")))</f>
        <v/>
      </c>
    </row>
    <row r="56" customFormat="false" ht="15" hidden="false" customHeight="true" outlineLevel="0" collapsed="false">
      <c r="A56" s="6"/>
      <c r="B56" s="7"/>
      <c r="C56" s="7"/>
      <c r="D56" s="5"/>
      <c r="E56" s="17"/>
      <c r="F56" s="9"/>
      <c r="G56" s="7"/>
      <c r="H56" s="12" t="str">
        <f aca="false">IF($B56="","",N($D56)*N($E56))</f>
        <v/>
      </c>
      <c r="I56" s="12" t="str">
        <f aca="false">IF($B56="","",$H56-N($F56))</f>
        <v/>
      </c>
      <c r="J56" s="10" t="str">
        <f aca="false">IF($B56="","",IF(OR($A56="",$D56="",$E56=""),"Faltan datos obligatorios",IF(AND($C56&lt;&gt;"",ISNA(MATCH($C56,Acciones!$A$2:$A$201,0))),"El ID lote no existe en Acciones","OK")))</f>
        <v/>
      </c>
    </row>
    <row r="57" customFormat="false" ht="15" hidden="false" customHeight="true" outlineLevel="0" collapsed="false">
      <c r="A57" s="6"/>
      <c r="B57" s="7"/>
      <c r="C57" s="7"/>
      <c r="D57" s="5"/>
      <c r="E57" s="17"/>
      <c r="F57" s="9"/>
      <c r="G57" s="7"/>
      <c r="H57" s="12" t="str">
        <f aca="false">IF($B57="","",N($D57)*N($E57))</f>
        <v/>
      </c>
      <c r="I57" s="12" t="str">
        <f aca="false">IF($B57="","",$H57-N($F57))</f>
        <v/>
      </c>
      <c r="J57" s="10" t="str">
        <f aca="false">IF($B57="","",IF(OR($A57="",$D57="",$E57=""),"Faltan datos obligatorios",IF(AND($C57&lt;&gt;"",ISNA(MATCH($C57,Acciones!$A$2:$A$201,0))),"El ID lote no existe en Acciones","OK")))</f>
        <v/>
      </c>
    </row>
    <row r="58" customFormat="false" ht="15" hidden="false" customHeight="true" outlineLevel="0" collapsed="false">
      <c r="A58" s="6"/>
      <c r="B58" s="7"/>
      <c r="C58" s="7"/>
      <c r="D58" s="5"/>
      <c r="E58" s="17"/>
      <c r="F58" s="9"/>
      <c r="G58" s="7"/>
      <c r="H58" s="12" t="str">
        <f aca="false">IF($B58="","",N($D58)*N($E58))</f>
        <v/>
      </c>
      <c r="I58" s="12" t="str">
        <f aca="false">IF($B58="","",$H58-N($F58))</f>
        <v/>
      </c>
      <c r="J58" s="10" t="str">
        <f aca="false">IF($B58="","",IF(OR($A58="",$D58="",$E58=""),"Faltan datos obligatorios",IF(AND($C58&lt;&gt;"",ISNA(MATCH($C58,Acciones!$A$2:$A$201,0))),"El ID lote no existe en Acciones","OK")))</f>
        <v/>
      </c>
    </row>
    <row r="59" customFormat="false" ht="15" hidden="false" customHeight="true" outlineLevel="0" collapsed="false">
      <c r="A59" s="6"/>
      <c r="B59" s="7"/>
      <c r="C59" s="7"/>
      <c r="D59" s="5"/>
      <c r="E59" s="17"/>
      <c r="F59" s="9"/>
      <c r="G59" s="7"/>
      <c r="H59" s="12" t="str">
        <f aca="false">IF($B59="","",N($D59)*N($E59))</f>
        <v/>
      </c>
      <c r="I59" s="12" t="str">
        <f aca="false">IF($B59="","",$H59-N($F59))</f>
        <v/>
      </c>
      <c r="J59" s="10" t="str">
        <f aca="false">IF($B59="","",IF(OR($A59="",$D59="",$E59=""),"Faltan datos obligatorios",IF(AND($C59&lt;&gt;"",ISNA(MATCH($C59,Acciones!$A$2:$A$201,0))),"El ID lote no existe en Acciones","OK")))</f>
        <v/>
      </c>
    </row>
    <row r="60" customFormat="false" ht="15" hidden="false" customHeight="true" outlineLevel="0" collapsed="false">
      <c r="A60" s="6"/>
      <c r="B60" s="7"/>
      <c r="C60" s="7"/>
      <c r="D60" s="5"/>
      <c r="E60" s="17"/>
      <c r="F60" s="9"/>
      <c r="G60" s="7"/>
      <c r="H60" s="12" t="str">
        <f aca="false">IF($B60="","",N($D60)*N($E60))</f>
        <v/>
      </c>
      <c r="I60" s="12" t="str">
        <f aca="false">IF($B60="","",$H60-N($F60))</f>
        <v/>
      </c>
      <c r="J60" s="10" t="str">
        <f aca="false">IF($B60="","",IF(OR($A60="",$D60="",$E60=""),"Faltan datos obligatorios",IF(AND($C60&lt;&gt;"",ISNA(MATCH($C60,Acciones!$A$2:$A$201,0))),"El ID lote no existe en Acciones","OK")))</f>
        <v/>
      </c>
    </row>
    <row r="61" customFormat="false" ht="15" hidden="false" customHeight="true" outlineLevel="0" collapsed="false">
      <c r="A61" s="6"/>
      <c r="B61" s="7"/>
      <c r="C61" s="7"/>
      <c r="D61" s="5"/>
      <c r="E61" s="17"/>
      <c r="F61" s="9"/>
      <c r="G61" s="7"/>
      <c r="H61" s="12" t="str">
        <f aca="false">IF($B61="","",N($D61)*N($E61))</f>
        <v/>
      </c>
      <c r="I61" s="12" t="str">
        <f aca="false">IF($B61="","",$H61-N($F61))</f>
        <v/>
      </c>
      <c r="J61" s="10" t="str">
        <f aca="false">IF($B61="","",IF(OR($A61="",$D61="",$E61=""),"Faltan datos obligatorios",IF(AND($C61&lt;&gt;"",ISNA(MATCH($C61,Acciones!$A$2:$A$201,0))),"El ID lote no existe en Acciones","OK")))</f>
        <v/>
      </c>
    </row>
    <row r="62" customFormat="false" ht="15" hidden="false" customHeight="true" outlineLevel="0" collapsed="false">
      <c r="A62" s="6"/>
      <c r="B62" s="7"/>
      <c r="C62" s="7"/>
      <c r="D62" s="5"/>
      <c r="E62" s="17"/>
      <c r="F62" s="9"/>
      <c r="G62" s="7"/>
      <c r="H62" s="12" t="str">
        <f aca="false">IF($B62="","",N($D62)*N($E62))</f>
        <v/>
      </c>
      <c r="I62" s="12" t="str">
        <f aca="false">IF($B62="","",$H62-N($F62))</f>
        <v/>
      </c>
      <c r="J62" s="10" t="str">
        <f aca="false">IF($B62="","",IF(OR($A62="",$D62="",$E62=""),"Faltan datos obligatorios",IF(AND($C62&lt;&gt;"",ISNA(MATCH($C62,Acciones!$A$2:$A$201,0))),"El ID lote no existe en Acciones","OK")))</f>
        <v/>
      </c>
    </row>
    <row r="63" customFormat="false" ht="15" hidden="false" customHeight="true" outlineLevel="0" collapsed="false">
      <c r="A63" s="6"/>
      <c r="B63" s="7"/>
      <c r="C63" s="7"/>
      <c r="D63" s="5"/>
      <c r="E63" s="17"/>
      <c r="F63" s="9"/>
      <c r="G63" s="7"/>
      <c r="H63" s="12" t="str">
        <f aca="false">IF($B63="","",N($D63)*N($E63))</f>
        <v/>
      </c>
      <c r="I63" s="12" t="str">
        <f aca="false">IF($B63="","",$H63-N($F63))</f>
        <v/>
      </c>
      <c r="J63" s="10" t="str">
        <f aca="false">IF($B63="","",IF(OR($A63="",$D63="",$E63=""),"Faltan datos obligatorios",IF(AND($C63&lt;&gt;"",ISNA(MATCH($C63,Acciones!$A$2:$A$201,0))),"El ID lote no existe en Acciones","OK")))</f>
        <v/>
      </c>
    </row>
    <row r="64" customFormat="false" ht="15" hidden="false" customHeight="true" outlineLevel="0" collapsed="false">
      <c r="A64" s="6"/>
      <c r="B64" s="7"/>
      <c r="C64" s="7"/>
      <c r="D64" s="5"/>
      <c r="E64" s="17"/>
      <c r="F64" s="9"/>
      <c r="G64" s="7"/>
      <c r="H64" s="12" t="str">
        <f aca="false">IF($B64="","",N($D64)*N($E64))</f>
        <v/>
      </c>
      <c r="I64" s="12" t="str">
        <f aca="false">IF($B64="","",$H64-N($F64))</f>
        <v/>
      </c>
      <c r="J64" s="10" t="str">
        <f aca="false">IF($B64="","",IF(OR($A64="",$D64="",$E64=""),"Faltan datos obligatorios",IF(AND($C64&lt;&gt;"",ISNA(MATCH($C64,Acciones!$A$2:$A$201,0))),"El ID lote no existe en Acciones","OK")))</f>
        <v/>
      </c>
    </row>
    <row r="65" customFormat="false" ht="15" hidden="false" customHeight="true" outlineLevel="0" collapsed="false">
      <c r="A65" s="6"/>
      <c r="B65" s="7"/>
      <c r="C65" s="7"/>
      <c r="D65" s="5"/>
      <c r="E65" s="17"/>
      <c r="F65" s="9"/>
      <c r="G65" s="7"/>
      <c r="H65" s="12" t="str">
        <f aca="false">IF($B65="","",N($D65)*N($E65))</f>
        <v/>
      </c>
      <c r="I65" s="12" t="str">
        <f aca="false">IF($B65="","",$H65-N($F65))</f>
        <v/>
      </c>
      <c r="J65" s="10" t="str">
        <f aca="false">IF($B65="","",IF(OR($A65="",$D65="",$E65=""),"Faltan datos obligatorios",IF(AND($C65&lt;&gt;"",ISNA(MATCH($C65,Acciones!$A$2:$A$201,0))),"El ID lote no existe en Acciones","OK")))</f>
        <v/>
      </c>
    </row>
    <row r="66" customFormat="false" ht="15" hidden="false" customHeight="true" outlineLevel="0" collapsed="false">
      <c r="A66" s="6"/>
      <c r="B66" s="7"/>
      <c r="C66" s="7"/>
      <c r="D66" s="5"/>
      <c r="E66" s="17"/>
      <c r="F66" s="9"/>
      <c r="G66" s="7"/>
      <c r="H66" s="12" t="str">
        <f aca="false">IF($B66="","",N($D66)*N($E66))</f>
        <v/>
      </c>
      <c r="I66" s="12" t="str">
        <f aca="false">IF($B66="","",$H66-N($F66))</f>
        <v/>
      </c>
      <c r="J66" s="10" t="str">
        <f aca="false">IF($B66="","",IF(OR($A66="",$D66="",$E66=""),"Faltan datos obligatorios",IF(AND($C66&lt;&gt;"",ISNA(MATCH($C66,Acciones!$A$2:$A$201,0))),"El ID lote no existe en Acciones","OK")))</f>
        <v/>
      </c>
    </row>
    <row r="67" customFormat="false" ht="15" hidden="false" customHeight="true" outlineLevel="0" collapsed="false">
      <c r="A67" s="6"/>
      <c r="B67" s="7"/>
      <c r="C67" s="7"/>
      <c r="D67" s="5"/>
      <c r="E67" s="17"/>
      <c r="F67" s="9"/>
      <c r="G67" s="7"/>
      <c r="H67" s="12" t="str">
        <f aca="false">IF($B67="","",N($D67)*N($E67))</f>
        <v/>
      </c>
      <c r="I67" s="12" t="str">
        <f aca="false">IF($B67="","",$H67-N($F67))</f>
        <v/>
      </c>
      <c r="J67" s="10" t="str">
        <f aca="false">IF($B67="","",IF(OR($A67="",$D67="",$E67=""),"Faltan datos obligatorios",IF(AND($C67&lt;&gt;"",ISNA(MATCH($C67,Acciones!$A$2:$A$201,0))),"El ID lote no existe en Acciones","OK")))</f>
        <v/>
      </c>
    </row>
    <row r="68" customFormat="false" ht="15" hidden="false" customHeight="true" outlineLevel="0" collapsed="false">
      <c r="A68" s="6"/>
      <c r="B68" s="7"/>
      <c r="C68" s="7"/>
      <c r="D68" s="5"/>
      <c r="E68" s="17"/>
      <c r="F68" s="9"/>
      <c r="G68" s="7"/>
      <c r="H68" s="12" t="str">
        <f aca="false">IF($B68="","",N($D68)*N($E68))</f>
        <v/>
      </c>
      <c r="I68" s="12" t="str">
        <f aca="false">IF($B68="","",$H68-N($F68))</f>
        <v/>
      </c>
      <c r="J68" s="10" t="str">
        <f aca="false">IF($B68="","",IF(OR($A68="",$D68="",$E68=""),"Faltan datos obligatorios",IF(AND($C68&lt;&gt;"",ISNA(MATCH($C68,Acciones!$A$2:$A$201,0))),"El ID lote no existe en Acciones","OK")))</f>
        <v/>
      </c>
    </row>
    <row r="69" customFormat="false" ht="15" hidden="false" customHeight="true" outlineLevel="0" collapsed="false">
      <c r="A69" s="6"/>
      <c r="B69" s="7"/>
      <c r="C69" s="7"/>
      <c r="D69" s="5"/>
      <c r="E69" s="17"/>
      <c r="F69" s="9"/>
      <c r="G69" s="7"/>
      <c r="H69" s="12" t="str">
        <f aca="false">IF($B69="","",N($D69)*N($E69))</f>
        <v/>
      </c>
      <c r="I69" s="12" t="str">
        <f aca="false">IF($B69="","",$H69-N($F69))</f>
        <v/>
      </c>
      <c r="J69" s="10" t="str">
        <f aca="false">IF($B69="","",IF(OR($A69="",$D69="",$E69=""),"Faltan datos obligatorios",IF(AND($C69&lt;&gt;"",ISNA(MATCH($C69,Acciones!$A$2:$A$201,0))),"El ID lote no existe en Acciones","OK")))</f>
        <v/>
      </c>
    </row>
    <row r="70" customFormat="false" ht="15" hidden="false" customHeight="true" outlineLevel="0" collapsed="false">
      <c r="A70" s="6"/>
      <c r="B70" s="7"/>
      <c r="C70" s="7"/>
      <c r="D70" s="5"/>
      <c r="E70" s="17"/>
      <c r="F70" s="9"/>
      <c r="G70" s="7"/>
      <c r="H70" s="12" t="str">
        <f aca="false">IF($B70="","",N($D70)*N($E70))</f>
        <v/>
      </c>
      <c r="I70" s="12" t="str">
        <f aca="false">IF($B70="","",$H70-N($F70))</f>
        <v/>
      </c>
      <c r="J70" s="10" t="str">
        <f aca="false">IF($B70="","",IF(OR($A70="",$D70="",$E70=""),"Faltan datos obligatorios",IF(AND($C70&lt;&gt;"",ISNA(MATCH($C70,Acciones!$A$2:$A$201,0))),"El ID lote no existe en Acciones","OK")))</f>
        <v/>
      </c>
    </row>
    <row r="71" customFormat="false" ht="15" hidden="false" customHeight="true" outlineLevel="0" collapsed="false">
      <c r="A71" s="6"/>
      <c r="B71" s="7"/>
      <c r="C71" s="7"/>
      <c r="D71" s="5"/>
      <c r="E71" s="17"/>
      <c r="F71" s="9"/>
      <c r="G71" s="7"/>
      <c r="H71" s="12" t="str">
        <f aca="false">IF($B71="","",N($D71)*N($E71))</f>
        <v/>
      </c>
      <c r="I71" s="12" t="str">
        <f aca="false">IF($B71="","",$H71-N($F71))</f>
        <v/>
      </c>
      <c r="J71" s="10" t="str">
        <f aca="false">IF($B71="","",IF(OR($A71="",$D71="",$E71=""),"Faltan datos obligatorios",IF(AND($C71&lt;&gt;"",ISNA(MATCH($C71,Acciones!$A$2:$A$201,0))),"El ID lote no existe en Acciones","OK")))</f>
        <v/>
      </c>
    </row>
    <row r="72" customFormat="false" ht="15" hidden="false" customHeight="true" outlineLevel="0" collapsed="false">
      <c r="A72" s="6"/>
      <c r="B72" s="7"/>
      <c r="C72" s="7"/>
      <c r="D72" s="5"/>
      <c r="E72" s="17"/>
      <c r="F72" s="9"/>
      <c r="G72" s="7"/>
      <c r="H72" s="12" t="str">
        <f aca="false">IF($B72="","",N($D72)*N($E72))</f>
        <v/>
      </c>
      <c r="I72" s="12" t="str">
        <f aca="false">IF($B72="","",$H72-N($F72))</f>
        <v/>
      </c>
      <c r="J72" s="10" t="str">
        <f aca="false">IF($B72="","",IF(OR($A72="",$D72="",$E72=""),"Faltan datos obligatorios",IF(AND($C72&lt;&gt;"",ISNA(MATCH($C72,Acciones!$A$2:$A$201,0))),"El ID lote no existe en Acciones","OK")))</f>
        <v/>
      </c>
    </row>
    <row r="73" customFormat="false" ht="15" hidden="false" customHeight="true" outlineLevel="0" collapsed="false">
      <c r="A73" s="6"/>
      <c r="B73" s="7"/>
      <c r="C73" s="7"/>
      <c r="D73" s="5"/>
      <c r="E73" s="17"/>
      <c r="F73" s="9"/>
      <c r="G73" s="7"/>
      <c r="H73" s="12" t="str">
        <f aca="false">IF($B73="","",N($D73)*N($E73))</f>
        <v/>
      </c>
      <c r="I73" s="12" t="str">
        <f aca="false">IF($B73="","",$H73-N($F73))</f>
        <v/>
      </c>
      <c r="J73" s="10" t="str">
        <f aca="false">IF($B73="","",IF(OR($A73="",$D73="",$E73=""),"Faltan datos obligatorios",IF(AND($C73&lt;&gt;"",ISNA(MATCH($C73,Acciones!$A$2:$A$201,0))),"El ID lote no existe en Acciones","OK")))</f>
        <v/>
      </c>
    </row>
    <row r="74" customFormat="false" ht="15" hidden="false" customHeight="true" outlineLevel="0" collapsed="false">
      <c r="A74" s="6"/>
      <c r="B74" s="7"/>
      <c r="C74" s="7"/>
      <c r="D74" s="5"/>
      <c r="E74" s="17"/>
      <c r="F74" s="9"/>
      <c r="G74" s="7"/>
      <c r="H74" s="12" t="str">
        <f aca="false">IF($B74="","",N($D74)*N($E74))</f>
        <v/>
      </c>
      <c r="I74" s="12" t="str">
        <f aca="false">IF($B74="","",$H74-N($F74))</f>
        <v/>
      </c>
      <c r="J74" s="10" t="str">
        <f aca="false">IF($B74="","",IF(OR($A74="",$D74="",$E74=""),"Faltan datos obligatorios",IF(AND($C74&lt;&gt;"",ISNA(MATCH($C74,Acciones!$A$2:$A$201,0))),"El ID lote no existe en Acciones","OK")))</f>
        <v/>
      </c>
    </row>
    <row r="75" customFormat="false" ht="15" hidden="false" customHeight="true" outlineLevel="0" collapsed="false">
      <c r="A75" s="6"/>
      <c r="B75" s="7"/>
      <c r="C75" s="7"/>
      <c r="D75" s="5"/>
      <c r="E75" s="17"/>
      <c r="F75" s="9"/>
      <c r="G75" s="7"/>
      <c r="H75" s="12" t="str">
        <f aca="false">IF($B75="","",N($D75)*N($E75))</f>
        <v/>
      </c>
      <c r="I75" s="12" t="str">
        <f aca="false">IF($B75="","",$H75-N($F75))</f>
        <v/>
      </c>
      <c r="J75" s="10" t="str">
        <f aca="false">IF($B75="","",IF(OR($A75="",$D75="",$E75=""),"Faltan datos obligatorios",IF(AND($C75&lt;&gt;"",ISNA(MATCH($C75,Acciones!$A$2:$A$201,0))),"El ID lote no existe en Acciones","OK")))</f>
        <v/>
      </c>
    </row>
    <row r="76" customFormat="false" ht="15" hidden="false" customHeight="true" outlineLevel="0" collapsed="false">
      <c r="A76" s="6"/>
      <c r="B76" s="7"/>
      <c r="C76" s="7"/>
      <c r="D76" s="5"/>
      <c r="E76" s="17"/>
      <c r="F76" s="9"/>
      <c r="G76" s="7"/>
      <c r="H76" s="12" t="str">
        <f aca="false">IF($B76="","",N($D76)*N($E76))</f>
        <v/>
      </c>
      <c r="I76" s="12" t="str">
        <f aca="false">IF($B76="","",$H76-N($F76))</f>
        <v/>
      </c>
      <c r="J76" s="10" t="str">
        <f aca="false">IF($B76="","",IF(OR($A76="",$D76="",$E76=""),"Faltan datos obligatorios",IF(AND($C76&lt;&gt;"",ISNA(MATCH($C76,Acciones!$A$2:$A$201,0))),"El ID lote no existe en Acciones","OK")))</f>
        <v/>
      </c>
    </row>
    <row r="77" customFormat="false" ht="15" hidden="false" customHeight="true" outlineLevel="0" collapsed="false">
      <c r="A77" s="6"/>
      <c r="B77" s="7"/>
      <c r="C77" s="7"/>
      <c r="D77" s="5"/>
      <c r="E77" s="17"/>
      <c r="F77" s="9"/>
      <c r="G77" s="7"/>
      <c r="H77" s="12" t="str">
        <f aca="false">IF($B77="","",N($D77)*N($E77))</f>
        <v/>
      </c>
      <c r="I77" s="12" t="str">
        <f aca="false">IF($B77="","",$H77-N($F77))</f>
        <v/>
      </c>
      <c r="J77" s="10" t="str">
        <f aca="false">IF($B77="","",IF(OR($A77="",$D77="",$E77=""),"Faltan datos obligatorios",IF(AND($C77&lt;&gt;"",ISNA(MATCH($C77,Acciones!$A$2:$A$201,0))),"El ID lote no existe en Acciones","OK")))</f>
        <v/>
      </c>
    </row>
    <row r="78" customFormat="false" ht="15" hidden="false" customHeight="true" outlineLevel="0" collapsed="false">
      <c r="A78" s="6"/>
      <c r="B78" s="7"/>
      <c r="C78" s="7"/>
      <c r="D78" s="5"/>
      <c r="E78" s="17"/>
      <c r="F78" s="9"/>
      <c r="G78" s="7"/>
      <c r="H78" s="12" t="str">
        <f aca="false">IF($B78="","",N($D78)*N($E78))</f>
        <v/>
      </c>
      <c r="I78" s="12" t="str">
        <f aca="false">IF($B78="","",$H78-N($F78))</f>
        <v/>
      </c>
      <c r="J78" s="10" t="str">
        <f aca="false">IF($B78="","",IF(OR($A78="",$D78="",$E78=""),"Faltan datos obligatorios",IF(AND($C78&lt;&gt;"",ISNA(MATCH($C78,Acciones!$A$2:$A$201,0))),"El ID lote no existe en Acciones","OK")))</f>
        <v/>
      </c>
    </row>
    <row r="79" customFormat="false" ht="15" hidden="false" customHeight="true" outlineLevel="0" collapsed="false">
      <c r="A79" s="6"/>
      <c r="B79" s="7"/>
      <c r="C79" s="7"/>
      <c r="D79" s="5"/>
      <c r="E79" s="17"/>
      <c r="F79" s="9"/>
      <c r="G79" s="7"/>
      <c r="H79" s="12" t="str">
        <f aca="false">IF($B79="","",N($D79)*N($E79))</f>
        <v/>
      </c>
      <c r="I79" s="12" t="str">
        <f aca="false">IF($B79="","",$H79-N($F79))</f>
        <v/>
      </c>
      <c r="J79" s="10" t="str">
        <f aca="false">IF($B79="","",IF(OR($A79="",$D79="",$E79=""),"Faltan datos obligatorios",IF(AND($C79&lt;&gt;"",ISNA(MATCH($C79,Acciones!$A$2:$A$201,0))),"El ID lote no existe en Acciones","OK")))</f>
        <v/>
      </c>
    </row>
    <row r="80" customFormat="false" ht="15" hidden="false" customHeight="true" outlineLevel="0" collapsed="false">
      <c r="A80" s="6"/>
      <c r="B80" s="7"/>
      <c r="C80" s="7"/>
      <c r="D80" s="5"/>
      <c r="E80" s="17"/>
      <c r="F80" s="9"/>
      <c r="G80" s="7"/>
      <c r="H80" s="12" t="str">
        <f aca="false">IF($B80="","",N($D80)*N($E80))</f>
        <v/>
      </c>
      <c r="I80" s="12" t="str">
        <f aca="false">IF($B80="","",$H80-N($F80))</f>
        <v/>
      </c>
      <c r="J80" s="10" t="str">
        <f aca="false">IF($B80="","",IF(OR($A80="",$D80="",$E80=""),"Faltan datos obligatorios",IF(AND($C80&lt;&gt;"",ISNA(MATCH($C80,Acciones!$A$2:$A$201,0))),"El ID lote no existe en Acciones","OK")))</f>
        <v/>
      </c>
    </row>
    <row r="81" customFormat="false" ht="15" hidden="false" customHeight="true" outlineLevel="0" collapsed="false">
      <c r="A81" s="6"/>
      <c r="B81" s="7"/>
      <c r="C81" s="7"/>
      <c r="D81" s="5"/>
      <c r="E81" s="17"/>
      <c r="F81" s="9"/>
      <c r="G81" s="7"/>
      <c r="H81" s="12" t="str">
        <f aca="false">IF($B81="","",N($D81)*N($E81))</f>
        <v/>
      </c>
      <c r="I81" s="12" t="str">
        <f aca="false">IF($B81="","",$H81-N($F81))</f>
        <v/>
      </c>
      <c r="J81" s="10" t="str">
        <f aca="false">IF($B81="","",IF(OR($A81="",$D81="",$E81=""),"Faltan datos obligatorios",IF(AND($C81&lt;&gt;"",ISNA(MATCH($C81,Acciones!$A$2:$A$201,0))),"El ID lote no existe en Acciones","OK")))</f>
        <v/>
      </c>
    </row>
    <row r="82" customFormat="false" ht="15" hidden="false" customHeight="true" outlineLevel="0" collapsed="false">
      <c r="A82" s="6"/>
      <c r="B82" s="7"/>
      <c r="C82" s="7"/>
      <c r="D82" s="5"/>
      <c r="E82" s="17"/>
      <c r="F82" s="9"/>
      <c r="G82" s="7"/>
      <c r="H82" s="12" t="str">
        <f aca="false">IF($B82="","",N($D82)*N($E82))</f>
        <v/>
      </c>
      <c r="I82" s="12" t="str">
        <f aca="false">IF($B82="","",$H82-N($F82))</f>
        <v/>
      </c>
      <c r="J82" s="10" t="str">
        <f aca="false">IF($B82="","",IF(OR($A82="",$D82="",$E82=""),"Faltan datos obligatorios",IF(AND($C82&lt;&gt;"",ISNA(MATCH($C82,Acciones!$A$2:$A$201,0))),"El ID lote no existe en Acciones","OK")))</f>
        <v/>
      </c>
    </row>
    <row r="83" customFormat="false" ht="15" hidden="false" customHeight="true" outlineLevel="0" collapsed="false">
      <c r="A83" s="6"/>
      <c r="B83" s="7"/>
      <c r="C83" s="7"/>
      <c r="D83" s="5"/>
      <c r="E83" s="17"/>
      <c r="F83" s="9"/>
      <c r="G83" s="7"/>
      <c r="H83" s="12" t="str">
        <f aca="false">IF($B83="","",N($D83)*N($E83))</f>
        <v/>
      </c>
      <c r="I83" s="12" t="str">
        <f aca="false">IF($B83="","",$H83-N($F83))</f>
        <v/>
      </c>
      <c r="J83" s="10" t="str">
        <f aca="false">IF($B83="","",IF(OR($A83="",$D83="",$E83=""),"Faltan datos obligatorios",IF(AND($C83&lt;&gt;"",ISNA(MATCH($C83,Acciones!$A$2:$A$201,0))),"El ID lote no existe en Acciones","OK")))</f>
        <v/>
      </c>
    </row>
    <row r="84" customFormat="false" ht="15" hidden="false" customHeight="true" outlineLevel="0" collapsed="false">
      <c r="A84" s="6"/>
      <c r="B84" s="7"/>
      <c r="C84" s="7"/>
      <c r="D84" s="5"/>
      <c r="E84" s="17"/>
      <c r="F84" s="9"/>
      <c r="G84" s="7"/>
      <c r="H84" s="12" t="str">
        <f aca="false">IF($B84="","",N($D84)*N($E84))</f>
        <v/>
      </c>
      <c r="I84" s="12" t="str">
        <f aca="false">IF($B84="","",$H84-N($F84))</f>
        <v/>
      </c>
      <c r="J84" s="10" t="str">
        <f aca="false">IF($B84="","",IF(OR($A84="",$D84="",$E84=""),"Faltan datos obligatorios",IF(AND($C84&lt;&gt;"",ISNA(MATCH($C84,Acciones!$A$2:$A$201,0))),"El ID lote no existe en Acciones","OK")))</f>
        <v/>
      </c>
    </row>
    <row r="85" customFormat="false" ht="15" hidden="false" customHeight="true" outlineLevel="0" collapsed="false">
      <c r="A85" s="6"/>
      <c r="B85" s="7"/>
      <c r="C85" s="7"/>
      <c r="D85" s="5"/>
      <c r="E85" s="17"/>
      <c r="F85" s="9"/>
      <c r="G85" s="7"/>
      <c r="H85" s="12" t="str">
        <f aca="false">IF($B85="","",N($D85)*N($E85))</f>
        <v/>
      </c>
      <c r="I85" s="12" t="str">
        <f aca="false">IF($B85="","",$H85-N($F85))</f>
        <v/>
      </c>
      <c r="J85" s="10" t="str">
        <f aca="false">IF($B85="","",IF(OR($A85="",$D85="",$E85=""),"Faltan datos obligatorios",IF(AND($C85&lt;&gt;"",ISNA(MATCH($C85,Acciones!$A$2:$A$201,0))),"El ID lote no existe en Acciones","OK")))</f>
        <v/>
      </c>
    </row>
    <row r="86" customFormat="false" ht="15" hidden="false" customHeight="true" outlineLevel="0" collapsed="false">
      <c r="A86" s="6"/>
      <c r="B86" s="7"/>
      <c r="C86" s="7"/>
      <c r="D86" s="5"/>
      <c r="E86" s="17"/>
      <c r="F86" s="9"/>
      <c r="G86" s="7"/>
      <c r="H86" s="12" t="str">
        <f aca="false">IF($B86="","",N($D86)*N($E86))</f>
        <v/>
      </c>
      <c r="I86" s="12" t="str">
        <f aca="false">IF($B86="","",$H86-N($F86))</f>
        <v/>
      </c>
      <c r="J86" s="10" t="str">
        <f aca="false">IF($B86="","",IF(OR($A86="",$D86="",$E86=""),"Faltan datos obligatorios",IF(AND($C86&lt;&gt;"",ISNA(MATCH($C86,Acciones!$A$2:$A$201,0))),"El ID lote no existe en Acciones","OK")))</f>
        <v/>
      </c>
    </row>
    <row r="87" customFormat="false" ht="15" hidden="false" customHeight="true" outlineLevel="0" collapsed="false">
      <c r="A87" s="6"/>
      <c r="B87" s="7"/>
      <c r="C87" s="7"/>
      <c r="D87" s="5"/>
      <c r="E87" s="17"/>
      <c r="F87" s="9"/>
      <c r="G87" s="7"/>
      <c r="H87" s="12" t="str">
        <f aca="false">IF($B87="","",N($D87)*N($E87))</f>
        <v/>
      </c>
      <c r="I87" s="12" t="str">
        <f aca="false">IF($B87="","",$H87-N($F87))</f>
        <v/>
      </c>
      <c r="J87" s="10" t="str">
        <f aca="false">IF($B87="","",IF(OR($A87="",$D87="",$E87=""),"Faltan datos obligatorios",IF(AND($C87&lt;&gt;"",ISNA(MATCH($C87,Acciones!$A$2:$A$201,0))),"El ID lote no existe en Acciones","OK")))</f>
        <v/>
      </c>
    </row>
    <row r="88" customFormat="false" ht="15" hidden="false" customHeight="true" outlineLevel="0" collapsed="false">
      <c r="A88" s="6"/>
      <c r="B88" s="7"/>
      <c r="C88" s="7"/>
      <c r="D88" s="5"/>
      <c r="E88" s="17"/>
      <c r="F88" s="9"/>
      <c r="G88" s="7"/>
      <c r="H88" s="12" t="str">
        <f aca="false">IF($B88="","",N($D88)*N($E88))</f>
        <v/>
      </c>
      <c r="I88" s="12" t="str">
        <f aca="false">IF($B88="","",$H88-N($F88))</f>
        <v/>
      </c>
      <c r="J88" s="10" t="str">
        <f aca="false">IF($B88="","",IF(OR($A88="",$D88="",$E88=""),"Faltan datos obligatorios",IF(AND($C88&lt;&gt;"",ISNA(MATCH($C88,Acciones!$A$2:$A$201,0))),"El ID lote no existe en Acciones","OK")))</f>
        <v/>
      </c>
    </row>
    <row r="89" customFormat="false" ht="15" hidden="false" customHeight="true" outlineLevel="0" collapsed="false">
      <c r="A89" s="6"/>
      <c r="B89" s="7"/>
      <c r="C89" s="7"/>
      <c r="D89" s="5"/>
      <c r="E89" s="17"/>
      <c r="F89" s="9"/>
      <c r="G89" s="7"/>
      <c r="H89" s="12" t="str">
        <f aca="false">IF($B89="","",N($D89)*N($E89))</f>
        <v/>
      </c>
      <c r="I89" s="12" t="str">
        <f aca="false">IF($B89="","",$H89-N($F89))</f>
        <v/>
      </c>
      <c r="J89" s="10" t="str">
        <f aca="false">IF($B89="","",IF(OR($A89="",$D89="",$E89=""),"Faltan datos obligatorios",IF(AND($C89&lt;&gt;"",ISNA(MATCH($C89,Acciones!$A$2:$A$201,0))),"El ID lote no existe en Acciones","OK")))</f>
        <v/>
      </c>
    </row>
    <row r="90" customFormat="false" ht="15" hidden="false" customHeight="true" outlineLevel="0" collapsed="false">
      <c r="A90" s="6"/>
      <c r="B90" s="7"/>
      <c r="C90" s="7"/>
      <c r="D90" s="5"/>
      <c r="E90" s="17"/>
      <c r="F90" s="9"/>
      <c r="G90" s="7"/>
      <c r="H90" s="12" t="str">
        <f aca="false">IF($B90="","",N($D90)*N($E90))</f>
        <v/>
      </c>
      <c r="I90" s="12" t="str">
        <f aca="false">IF($B90="","",$H90-N($F90))</f>
        <v/>
      </c>
      <c r="J90" s="10" t="str">
        <f aca="false">IF($B90="","",IF(OR($A90="",$D90="",$E90=""),"Faltan datos obligatorios",IF(AND($C90&lt;&gt;"",ISNA(MATCH($C90,Acciones!$A$2:$A$201,0))),"El ID lote no existe en Acciones","OK")))</f>
        <v/>
      </c>
    </row>
    <row r="91" customFormat="false" ht="15" hidden="false" customHeight="true" outlineLevel="0" collapsed="false">
      <c r="A91" s="6"/>
      <c r="B91" s="7"/>
      <c r="C91" s="7"/>
      <c r="D91" s="5"/>
      <c r="E91" s="17"/>
      <c r="F91" s="9"/>
      <c r="G91" s="7"/>
      <c r="H91" s="12" t="str">
        <f aca="false">IF($B91="","",N($D91)*N($E91))</f>
        <v/>
      </c>
      <c r="I91" s="12" t="str">
        <f aca="false">IF($B91="","",$H91-N($F91))</f>
        <v/>
      </c>
      <c r="J91" s="10" t="str">
        <f aca="false">IF($B91="","",IF(OR($A91="",$D91="",$E91=""),"Faltan datos obligatorios",IF(AND($C91&lt;&gt;"",ISNA(MATCH($C91,Acciones!$A$2:$A$201,0))),"El ID lote no existe en Acciones","OK")))</f>
        <v/>
      </c>
    </row>
    <row r="92" customFormat="false" ht="15" hidden="false" customHeight="true" outlineLevel="0" collapsed="false">
      <c r="A92" s="6"/>
      <c r="B92" s="7"/>
      <c r="C92" s="7"/>
      <c r="D92" s="5"/>
      <c r="E92" s="17"/>
      <c r="F92" s="9"/>
      <c r="G92" s="7"/>
      <c r="H92" s="12" t="str">
        <f aca="false">IF($B92="","",N($D92)*N($E92))</f>
        <v/>
      </c>
      <c r="I92" s="12" t="str">
        <f aca="false">IF($B92="","",$H92-N($F92))</f>
        <v/>
      </c>
      <c r="J92" s="10" t="str">
        <f aca="false">IF($B92="","",IF(OR($A92="",$D92="",$E92=""),"Faltan datos obligatorios",IF(AND($C92&lt;&gt;"",ISNA(MATCH($C92,Acciones!$A$2:$A$201,0))),"El ID lote no existe en Acciones","OK")))</f>
        <v/>
      </c>
    </row>
    <row r="93" customFormat="false" ht="15" hidden="false" customHeight="true" outlineLevel="0" collapsed="false">
      <c r="A93" s="6"/>
      <c r="B93" s="7"/>
      <c r="C93" s="7"/>
      <c r="D93" s="5"/>
      <c r="E93" s="17"/>
      <c r="F93" s="9"/>
      <c r="G93" s="7"/>
      <c r="H93" s="12" t="str">
        <f aca="false">IF($B93="","",N($D93)*N($E93))</f>
        <v/>
      </c>
      <c r="I93" s="12" t="str">
        <f aca="false">IF($B93="","",$H93-N($F93))</f>
        <v/>
      </c>
      <c r="J93" s="10" t="str">
        <f aca="false">IF($B93="","",IF(OR($A93="",$D93="",$E93=""),"Faltan datos obligatorios",IF(AND($C93&lt;&gt;"",ISNA(MATCH($C93,Acciones!$A$2:$A$201,0))),"El ID lote no existe en Acciones","OK")))</f>
        <v/>
      </c>
    </row>
    <row r="94" customFormat="false" ht="15" hidden="false" customHeight="true" outlineLevel="0" collapsed="false">
      <c r="A94" s="6"/>
      <c r="B94" s="7"/>
      <c r="C94" s="7"/>
      <c r="D94" s="5"/>
      <c r="E94" s="17"/>
      <c r="F94" s="9"/>
      <c r="G94" s="7"/>
      <c r="H94" s="12" t="str">
        <f aca="false">IF($B94="","",N($D94)*N($E94))</f>
        <v/>
      </c>
      <c r="I94" s="12" t="str">
        <f aca="false">IF($B94="","",$H94-N($F94))</f>
        <v/>
      </c>
      <c r="J94" s="10" t="str">
        <f aca="false">IF($B94="","",IF(OR($A94="",$D94="",$E94=""),"Faltan datos obligatorios",IF(AND($C94&lt;&gt;"",ISNA(MATCH($C94,Acciones!$A$2:$A$201,0))),"El ID lote no existe en Acciones","OK")))</f>
        <v/>
      </c>
    </row>
    <row r="95" customFormat="false" ht="15" hidden="false" customHeight="true" outlineLevel="0" collapsed="false">
      <c r="A95" s="6"/>
      <c r="B95" s="7"/>
      <c r="C95" s="7"/>
      <c r="D95" s="5"/>
      <c r="E95" s="17"/>
      <c r="F95" s="9"/>
      <c r="G95" s="7"/>
      <c r="H95" s="12" t="str">
        <f aca="false">IF($B95="","",N($D95)*N($E95))</f>
        <v/>
      </c>
      <c r="I95" s="12" t="str">
        <f aca="false">IF($B95="","",$H95-N($F95))</f>
        <v/>
      </c>
      <c r="J95" s="10" t="str">
        <f aca="false">IF($B95="","",IF(OR($A95="",$D95="",$E95=""),"Faltan datos obligatorios",IF(AND($C95&lt;&gt;"",ISNA(MATCH($C95,Acciones!$A$2:$A$201,0))),"El ID lote no existe en Acciones","OK")))</f>
        <v/>
      </c>
    </row>
    <row r="96" customFormat="false" ht="15" hidden="false" customHeight="true" outlineLevel="0" collapsed="false">
      <c r="A96" s="6"/>
      <c r="B96" s="7"/>
      <c r="C96" s="7"/>
      <c r="D96" s="5"/>
      <c r="E96" s="17"/>
      <c r="F96" s="9"/>
      <c r="G96" s="7"/>
      <c r="H96" s="12" t="str">
        <f aca="false">IF($B96="","",N($D96)*N($E96))</f>
        <v/>
      </c>
      <c r="I96" s="12" t="str">
        <f aca="false">IF($B96="","",$H96-N($F96))</f>
        <v/>
      </c>
      <c r="J96" s="10" t="str">
        <f aca="false">IF($B96="","",IF(OR($A96="",$D96="",$E96=""),"Faltan datos obligatorios",IF(AND($C96&lt;&gt;"",ISNA(MATCH($C96,Acciones!$A$2:$A$201,0))),"El ID lote no existe en Acciones","OK")))</f>
        <v/>
      </c>
    </row>
    <row r="97" customFormat="false" ht="15" hidden="false" customHeight="true" outlineLevel="0" collapsed="false">
      <c r="A97" s="6"/>
      <c r="B97" s="7"/>
      <c r="C97" s="7"/>
      <c r="D97" s="5"/>
      <c r="E97" s="17"/>
      <c r="F97" s="9"/>
      <c r="G97" s="7"/>
      <c r="H97" s="12" t="str">
        <f aca="false">IF($B97="","",N($D97)*N($E97))</f>
        <v/>
      </c>
      <c r="I97" s="12" t="str">
        <f aca="false">IF($B97="","",$H97-N($F97))</f>
        <v/>
      </c>
      <c r="J97" s="10" t="str">
        <f aca="false">IF($B97="","",IF(OR($A97="",$D97="",$E97=""),"Faltan datos obligatorios",IF(AND($C97&lt;&gt;"",ISNA(MATCH($C97,Acciones!$A$2:$A$201,0))),"El ID lote no existe en Acciones","OK")))</f>
        <v/>
      </c>
    </row>
    <row r="98" customFormat="false" ht="15" hidden="false" customHeight="true" outlineLevel="0" collapsed="false">
      <c r="A98" s="6"/>
      <c r="B98" s="7"/>
      <c r="C98" s="7"/>
      <c r="D98" s="5"/>
      <c r="E98" s="17"/>
      <c r="F98" s="9"/>
      <c r="G98" s="7"/>
      <c r="H98" s="12" t="str">
        <f aca="false">IF($B98="","",N($D98)*N($E98))</f>
        <v/>
      </c>
      <c r="I98" s="12" t="str">
        <f aca="false">IF($B98="","",$H98-N($F98))</f>
        <v/>
      </c>
      <c r="J98" s="10" t="str">
        <f aca="false">IF($B98="","",IF(OR($A98="",$D98="",$E98=""),"Faltan datos obligatorios",IF(AND($C98&lt;&gt;"",ISNA(MATCH($C98,Acciones!$A$2:$A$201,0))),"El ID lote no existe en Acciones","OK")))</f>
        <v/>
      </c>
    </row>
    <row r="99" customFormat="false" ht="15" hidden="false" customHeight="true" outlineLevel="0" collapsed="false">
      <c r="A99" s="6"/>
      <c r="B99" s="7"/>
      <c r="C99" s="7"/>
      <c r="D99" s="5"/>
      <c r="E99" s="17"/>
      <c r="F99" s="9"/>
      <c r="G99" s="7"/>
      <c r="H99" s="12" t="str">
        <f aca="false">IF($B99="","",N($D99)*N($E99))</f>
        <v/>
      </c>
      <c r="I99" s="12" t="str">
        <f aca="false">IF($B99="","",$H99-N($F99))</f>
        <v/>
      </c>
      <c r="J99" s="10" t="str">
        <f aca="false">IF($B99="","",IF(OR($A99="",$D99="",$E99=""),"Faltan datos obligatorios",IF(AND($C99&lt;&gt;"",ISNA(MATCH($C99,Acciones!$A$2:$A$201,0))),"El ID lote no existe en Acciones","OK")))</f>
        <v/>
      </c>
    </row>
    <row r="100" customFormat="false" ht="15" hidden="false" customHeight="true" outlineLevel="0" collapsed="false">
      <c r="A100" s="6"/>
      <c r="B100" s="7"/>
      <c r="C100" s="7"/>
      <c r="D100" s="5"/>
      <c r="E100" s="17"/>
      <c r="F100" s="9"/>
      <c r="G100" s="7"/>
      <c r="H100" s="12" t="str">
        <f aca="false">IF($B100="","",N($D100)*N($E100))</f>
        <v/>
      </c>
      <c r="I100" s="12" t="str">
        <f aca="false">IF($B100="","",$H100-N($F100))</f>
        <v/>
      </c>
      <c r="J100" s="10" t="str">
        <f aca="false">IF($B100="","",IF(OR($A100="",$D100="",$E100=""),"Faltan datos obligatorios",IF(AND($C100&lt;&gt;"",ISNA(MATCH($C100,Acciones!$A$2:$A$201,0))),"El ID lote no existe en Acciones","OK")))</f>
        <v/>
      </c>
    </row>
    <row r="101" customFormat="false" ht="15" hidden="false" customHeight="true" outlineLevel="0" collapsed="false">
      <c r="A101" s="6"/>
      <c r="B101" s="7"/>
      <c r="C101" s="7"/>
      <c r="D101" s="5"/>
      <c r="E101" s="17"/>
      <c r="F101" s="9"/>
      <c r="G101" s="7"/>
      <c r="H101" s="12" t="str">
        <f aca="false">IF($B101="","",N($D101)*N($E101))</f>
        <v/>
      </c>
      <c r="I101" s="12" t="str">
        <f aca="false">IF($B101="","",$H101-N($F101))</f>
        <v/>
      </c>
      <c r="J101" s="10" t="str">
        <f aca="false">IF($B101="","",IF(OR($A101="",$D101="",$E101=""),"Faltan datos obligatorios",IF(AND($C101&lt;&gt;"",ISNA(MATCH($C101,Acciones!$A$2:$A$201,0))),"El ID lote no existe en Acciones","OK")))</f>
        <v/>
      </c>
    </row>
    <row r="102" customFormat="false" ht="15" hidden="false" customHeight="true" outlineLevel="0" collapsed="false">
      <c r="A102" s="6"/>
      <c r="B102" s="7"/>
      <c r="C102" s="7"/>
      <c r="D102" s="5"/>
      <c r="E102" s="17"/>
      <c r="F102" s="9"/>
      <c r="G102" s="7"/>
      <c r="H102" s="12" t="str">
        <f aca="false">IF($B102="","",N($D102)*N($E102))</f>
        <v/>
      </c>
      <c r="I102" s="12" t="str">
        <f aca="false">IF($B102="","",$H102-N($F102))</f>
        <v/>
      </c>
      <c r="J102" s="10" t="str">
        <f aca="false">IF($B102="","",IF(OR($A102="",$D102="",$E102=""),"Faltan datos obligatorios",IF(AND($C102&lt;&gt;"",ISNA(MATCH($C102,Acciones!$A$2:$A$201,0))),"El ID lote no existe en Acciones","OK")))</f>
        <v/>
      </c>
    </row>
    <row r="103" customFormat="false" ht="15" hidden="false" customHeight="true" outlineLevel="0" collapsed="false">
      <c r="A103" s="6"/>
      <c r="B103" s="7"/>
      <c r="C103" s="7"/>
      <c r="D103" s="5"/>
      <c r="E103" s="17"/>
      <c r="F103" s="9"/>
      <c r="G103" s="7"/>
      <c r="H103" s="12" t="str">
        <f aca="false">IF($B103="","",N($D103)*N($E103))</f>
        <v/>
      </c>
      <c r="I103" s="12" t="str">
        <f aca="false">IF($B103="","",$H103-N($F103))</f>
        <v/>
      </c>
      <c r="J103" s="10" t="str">
        <f aca="false">IF($B103="","",IF(OR($A103="",$D103="",$E103=""),"Faltan datos obligatorios",IF(AND($C103&lt;&gt;"",ISNA(MATCH($C103,Acciones!$A$2:$A$201,0))),"El ID lote no existe en Acciones","OK")))</f>
        <v/>
      </c>
    </row>
    <row r="104" customFormat="false" ht="15" hidden="false" customHeight="true" outlineLevel="0" collapsed="false">
      <c r="A104" s="6"/>
      <c r="B104" s="7"/>
      <c r="C104" s="7"/>
      <c r="D104" s="5"/>
      <c r="E104" s="17"/>
      <c r="F104" s="9"/>
      <c r="G104" s="7"/>
      <c r="H104" s="12" t="str">
        <f aca="false">IF($B104="","",N($D104)*N($E104))</f>
        <v/>
      </c>
      <c r="I104" s="12" t="str">
        <f aca="false">IF($B104="","",$H104-N($F104))</f>
        <v/>
      </c>
      <c r="J104" s="10" t="str">
        <f aca="false">IF($B104="","",IF(OR($A104="",$D104="",$E104=""),"Faltan datos obligatorios",IF(AND($C104&lt;&gt;"",ISNA(MATCH($C104,Acciones!$A$2:$A$201,0))),"El ID lote no existe en Acciones","OK")))</f>
        <v/>
      </c>
    </row>
    <row r="105" customFormat="false" ht="15" hidden="false" customHeight="true" outlineLevel="0" collapsed="false">
      <c r="A105" s="6"/>
      <c r="B105" s="7"/>
      <c r="C105" s="7"/>
      <c r="D105" s="5"/>
      <c r="E105" s="17"/>
      <c r="F105" s="9"/>
      <c r="G105" s="7"/>
      <c r="H105" s="12" t="str">
        <f aca="false">IF($B105="","",N($D105)*N($E105))</f>
        <v/>
      </c>
      <c r="I105" s="12" t="str">
        <f aca="false">IF($B105="","",$H105-N($F105))</f>
        <v/>
      </c>
      <c r="J105" s="10" t="str">
        <f aca="false">IF($B105="","",IF(OR($A105="",$D105="",$E105=""),"Faltan datos obligatorios",IF(AND($C105&lt;&gt;"",ISNA(MATCH($C105,Acciones!$A$2:$A$201,0))),"El ID lote no existe en Acciones","OK")))</f>
        <v/>
      </c>
    </row>
    <row r="106" customFormat="false" ht="15" hidden="false" customHeight="true" outlineLevel="0" collapsed="false">
      <c r="A106" s="6"/>
      <c r="B106" s="7"/>
      <c r="C106" s="7"/>
      <c r="D106" s="5"/>
      <c r="E106" s="17"/>
      <c r="F106" s="9"/>
      <c r="G106" s="7"/>
      <c r="H106" s="12" t="str">
        <f aca="false">IF($B106="","",N($D106)*N($E106))</f>
        <v/>
      </c>
      <c r="I106" s="12" t="str">
        <f aca="false">IF($B106="","",$H106-N($F106))</f>
        <v/>
      </c>
      <c r="J106" s="10" t="str">
        <f aca="false">IF($B106="","",IF(OR($A106="",$D106="",$E106=""),"Faltan datos obligatorios",IF(AND($C106&lt;&gt;"",ISNA(MATCH($C106,Acciones!$A$2:$A$201,0))),"El ID lote no existe en Acciones","OK")))</f>
        <v/>
      </c>
    </row>
    <row r="107" customFormat="false" ht="15" hidden="false" customHeight="true" outlineLevel="0" collapsed="false">
      <c r="A107" s="6"/>
      <c r="B107" s="7"/>
      <c r="C107" s="7"/>
      <c r="D107" s="5"/>
      <c r="E107" s="17"/>
      <c r="F107" s="9"/>
      <c r="G107" s="7"/>
      <c r="H107" s="12" t="str">
        <f aca="false">IF($B107="","",N($D107)*N($E107))</f>
        <v/>
      </c>
      <c r="I107" s="12" t="str">
        <f aca="false">IF($B107="","",$H107-N($F107))</f>
        <v/>
      </c>
      <c r="J107" s="10" t="str">
        <f aca="false">IF($B107="","",IF(OR($A107="",$D107="",$E107=""),"Faltan datos obligatorios",IF(AND($C107&lt;&gt;"",ISNA(MATCH($C107,Acciones!$A$2:$A$201,0))),"El ID lote no existe en Acciones","OK")))</f>
        <v/>
      </c>
    </row>
    <row r="108" customFormat="false" ht="15" hidden="false" customHeight="true" outlineLevel="0" collapsed="false">
      <c r="A108" s="6"/>
      <c r="B108" s="7"/>
      <c r="C108" s="7"/>
      <c r="D108" s="5"/>
      <c r="E108" s="17"/>
      <c r="F108" s="9"/>
      <c r="G108" s="7"/>
      <c r="H108" s="12" t="str">
        <f aca="false">IF($B108="","",N($D108)*N($E108))</f>
        <v/>
      </c>
      <c r="I108" s="12" t="str">
        <f aca="false">IF($B108="","",$H108-N($F108))</f>
        <v/>
      </c>
      <c r="J108" s="10" t="str">
        <f aca="false">IF($B108="","",IF(OR($A108="",$D108="",$E108=""),"Faltan datos obligatorios",IF(AND($C108&lt;&gt;"",ISNA(MATCH($C108,Acciones!$A$2:$A$201,0))),"El ID lote no existe en Acciones","OK")))</f>
        <v/>
      </c>
    </row>
    <row r="109" customFormat="false" ht="15" hidden="false" customHeight="true" outlineLevel="0" collapsed="false">
      <c r="A109" s="6"/>
      <c r="B109" s="7"/>
      <c r="C109" s="7"/>
      <c r="D109" s="5"/>
      <c r="E109" s="17"/>
      <c r="F109" s="9"/>
      <c r="G109" s="7"/>
      <c r="H109" s="12" t="str">
        <f aca="false">IF($B109="","",N($D109)*N($E109))</f>
        <v/>
      </c>
      <c r="I109" s="12" t="str">
        <f aca="false">IF($B109="","",$H109-N($F109))</f>
        <v/>
      </c>
      <c r="J109" s="10" t="str">
        <f aca="false">IF($B109="","",IF(OR($A109="",$D109="",$E109=""),"Faltan datos obligatorios",IF(AND($C109&lt;&gt;"",ISNA(MATCH($C109,Acciones!$A$2:$A$201,0))),"El ID lote no existe en Acciones","OK")))</f>
        <v/>
      </c>
    </row>
    <row r="110" customFormat="false" ht="15" hidden="false" customHeight="true" outlineLevel="0" collapsed="false">
      <c r="A110" s="6"/>
      <c r="B110" s="7"/>
      <c r="C110" s="7"/>
      <c r="D110" s="5"/>
      <c r="E110" s="17"/>
      <c r="F110" s="9"/>
      <c r="G110" s="7"/>
      <c r="H110" s="12" t="str">
        <f aca="false">IF($B110="","",N($D110)*N($E110))</f>
        <v/>
      </c>
      <c r="I110" s="12" t="str">
        <f aca="false">IF($B110="","",$H110-N($F110))</f>
        <v/>
      </c>
      <c r="J110" s="10" t="str">
        <f aca="false">IF($B110="","",IF(OR($A110="",$D110="",$E110=""),"Faltan datos obligatorios",IF(AND($C110&lt;&gt;"",ISNA(MATCH($C110,Acciones!$A$2:$A$201,0))),"El ID lote no existe en Acciones","OK")))</f>
        <v/>
      </c>
    </row>
    <row r="111" customFormat="false" ht="15" hidden="false" customHeight="true" outlineLevel="0" collapsed="false">
      <c r="A111" s="6"/>
      <c r="B111" s="7"/>
      <c r="C111" s="7"/>
      <c r="D111" s="5"/>
      <c r="E111" s="17"/>
      <c r="F111" s="9"/>
      <c r="G111" s="7"/>
      <c r="H111" s="12" t="str">
        <f aca="false">IF($B111="","",N($D111)*N($E111))</f>
        <v/>
      </c>
      <c r="I111" s="12" t="str">
        <f aca="false">IF($B111="","",$H111-N($F111))</f>
        <v/>
      </c>
      <c r="J111" s="10" t="str">
        <f aca="false">IF($B111="","",IF(OR($A111="",$D111="",$E111=""),"Faltan datos obligatorios",IF(AND($C111&lt;&gt;"",ISNA(MATCH($C111,Acciones!$A$2:$A$201,0))),"El ID lote no existe en Acciones","OK")))</f>
        <v/>
      </c>
    </row>
    <row r="112" customFormat="false" ht="15" hidden="false" customHeight="true" outlineLevel="0" collapsed="false">
      <c r="A112" s="6"/>
      <c r="B112" s="7"/>
      <c r="C112" s="7"/>
      <c r="D112" s="5"/>
      <c r="E112" s="17"/>
      <c r="F112" s="9"/>
      <c r="G112" s="7"/>
      <c r="H112" s="12" t="str">
        <f aca="false">IF($B112="","",N($D112)*N($E112))</f>
        <v/>
      </c>
      <c r="I112" s="12" t="str">
        <f aca="false">IF($B112="","",$H112-N($F112))</f>
        <v/>
      </c>
      <c r="J112" s="10" t="str">
        <f aca="false">IF($B112="","",IF(OR($A112="",$D112="",$E112=""),"Faltan datos obligatorios",IF(AND($C112&lt;&gt;"",ISNA(MATCH($C112,Acciones!$A$2:$A$201,0))),"El ID lote no existe en Acciones","OK")))</f>
        <v/>
      </c>
    </row>
    <row r="113" customFormat="false" ht="15" hidden="false" customHeight="true" outlineLevel="0" collapsed="false">
      <c r="A113" s="6"/>
      <c r="B113" s="7"/>
      <c r="C113" s="7"/>
      <c r="D113" s="5"/>
      <c r="E113" s="17"/>
      <c r="F113" s="9"/>
      <c r="G113" s="7"/>
      <c r="H113" s="12" t="str">
        <f aca="false">IF($B113="","",N($D113)*N($E113))</f>
        <v/>
      </c>
      <c r="I113" s="12" t="str">
        <f aca="false">IF($B113="","",$H113-N($F113))</f>
        <v/>
      </c>
      <c r="J113" s="10" t="str">
        <f aca="false">IF($B113="","",IF(OR($A113="",$D113="",$E113=""),"Faltan datos obligatorios",IF(AND($C113&lt;&gt;"",ISNA(MATCH($C113,Acciones!$A$2:$A$201,0))),"El ID lote no existe en Acciones","OK")))</f>
        <v/>
      </c>
    </row>
    <row r="114" customFormat="false" ht="15" hidden="false" customHeight="true" outlineLevel="0" collapsed="false">
      <c r="A114" s="6"/>
      <c r="B114" s="7"/>
      <c r="C114" s="7"/>
      <c r="D114" s="5"/>
      <c r="E114" s="17"/>
      <c r="F114" s="9"/>
      <c r="G114" s="7"/>
      <c r="H114" s="12" t="str">
        <f aca="false">IF($B114="","",N($D114)*N($E114))</f>
        <v/>
      </c>
      <c r="I114" s="12" t="str">
        <f aca="false">IF($B114="","",$H114-N($F114))</f>
        <v/>
      </c>
      <c r="J114" s="10" t="str">
        <f aca="false">IF($B114="","",IF(OR($A114="",$D114="",$E114=""),"Faltan datos obligatorios",IF(AND($C114&lt;&gt;"",ISNA(MATCH($C114,Acciones!$A$2:$A$201,0))),"El ID lote no existe en Acciones","OK")))</f>
        <v/>
      </c>
    </row>
    <row r="115" customFormat="false" ht="15" hidden="false" customHeight="true" outlineLevel="0" collapsed="false">
      <c r="A115" s="6"/>
      <c r="B115" s="7"/>
      <c r="C115" s="7"/>
      <c r="D115" s="5"/>
      <c r="E115" s="17"/>
      <c r="F115" s="9"/>
      <c r="G115" s="7"/>
      <c r="H115" s="12" t="str">
        <f aca="false">IF($B115="","",N($D115)*N($E115))</f>
        <v/>
      </c>
      <c r="I115" s="12" t="str">
        <f aca="false">IF($B115="","",$H115-N($F115))</f>
        <v/>
      </c>
      <c r="J115" s="10" t="str">
        <f aca="false">IF($B115="","",IF(OR($A115="",$D115="",$E115=""),"Faltan datos obligatorios",IF(AND($C115&lt;&gt;"",ISNA(MATCH($C115,Acciones!$A$2:$A$201,0))),"El ID lote no existe en Acciones","OK")))</f>
        <v/>
      </c>
    </row>
    <row r="116" customFormat="false" ht="15" hidden="false" customHeight="true" outlineLevel="0" collapsed="false">
      <c r="A116" s="6"/>
      <c r="B116" s="7"/>
      <c r="C116" s="7"/>
      <c r="D116" s="5"/>
      <c r="E116" s="17"/>
      <c r="F116" s="9"/>
      <c r="G116" s="7"/>
      <c r="H116" s="12" t="str">
        <f aca="false">IF($B116="","",N($D116)*N($E116))</f>
        <v/>
      </c>
      <c r="I116" s="12" t="str">
        <f aca="false">IF($B116="","",$H116-N($F116))</f>
        <v/>
      </c>
      <c r="J116" s="10" t="str">
        <f aca="false">IF($B116="","",IF(OR($A116="",$D116="",$E116=""),"Faltan datos obligatorios",IF(AND($C116&lt;&gt;"",ISNA(MATCH($C116,Acciones!$A$2:$A$201,0))),"El ID lote no existe en Acciones","OK")))</f>
        <v/>
      </c>
    </row>
    <row r="117" customFormat="false" ht="15" hidden="false" customHeight="true" outlineLevel="0" collapsed="false">
      <c r="A117" s="6"/>
      <c r="B117" s="7"/>
      <c r="C117" s="7"/>
      <c r="D117" s="5"/>
      <c r="E117" s="17"/>
      <c r="F117" s="9"/>
      <c r="G117" s="7"/>
      <c r="H117" s="12" t="str">
        <f aca="false">IF($B117="","",N($D117)*N($E117))</f>
        <v/>
      </c>
      <c r="I117" s="12" t="str">
        <f aca="false">IF($B117="","",$H117-N($F117))</f>
        <v/>
      </c>
      <c r="J117" s="10" t="str">
        <f aca="false">IF($B117="","",IF(OR($A117="",$D117="",$E117=""),"Faltan datos obligatorios",IF(AND($C117&lt;&gt;"",ISNA(MATCH($C117,Acciones!$A$2:$A$201,0))),"El ID lote no existe en Acciones","OK")))</f>
        <v/>
      </c>
    </row>
    <row r="118" customFormat="false" ht="15" hidden="false" customHeight="true" outlineLevel="0" collapsed="false">
      <c r="A118" s="6"/>
      <c r="B118" s="7"/>
      <c r="C118" s="7"/>
      <c r="D118" s="5"/>
      <c r="E118" s="17"/>
      <c r="F118" s="9"/>
      <c r="G118" s="7"/>
      <c r="H118" s="12" t="str">
        <f aca="false">IF($B118="","",N($D118)*N($E118))</f>
        <v/>
      </c>
      <c r="I118" s="12" t="str">
        <f aca="false">IF($B118="","",$H118-N($F118))</f>
        <v/>
      </c>
      <c r="J118" s="10" t="str">
        <f aca="false">IF($B118="","",IF(OR($A118="",$D118="",$E118=""),"Faltan datos obligatorios",IF(AND($C118&lt;&gt;"",ISNA(MATCH($C118,Acciones!$A$2:$A$201,0))),"El ID lote no existe en Acciones","OK")))</f>
        <v/>
      </c>
    </row>
    <row r="119" customFormat="false" ht="15" hidden="false" customHeight="true" outlineLevel="0" collapsed="false">
      <c r="A119" s="6"/>
      <c r="B119" s="7"/>
      <c r="C119" s="7"/>
      <c r="D119" s="5"/>
      <c r="E119" s="17"/>
      <c r="F119" s="9"/>
      <c r="G119" s="7"/>
      <c r="H119" s="12" t="str">
        <f aca="false">IF($B119="","",N($D119)*N($E119))</f>
        <v/>
      </c>
      <c r="I119" s="12" t="str">
        <f aca="false">IF($B119="","",$H119-N($F119))</f>
        <v/>
      </c>
      <c r="J119" s="10" t="str">
        <f aca="false">IF($B119="","",IF(OR($A119="",$D119="",$E119=""),"Faltan datos obligatorios",IF(AND($C119&lt;&gt;"",ISNA(MATCH($C119,Acciones!$A$2:$A$201,0))),"El ID lote no existe en Acciones","OK")))</f>
        <v/>
      </c>
    </row>
    <row r="120" customFormat="false" ht="15" hidden="false" customHeight="true" outlineLevel="0" collapsed="false">
      <c r="A120" s="6"/>
      <c r="B120" s="7"/>
      <c r="C120" s="7"/>
      <c r="D120" s="5"/>
      <c r="E120" s="17"/>
      <c r="F120" s="9"/>
      <c r="G120" s="7"/>
      <c r="H120" s="12" t="str">
        <f aca="false">IF($B120="","",N($D120)*N($E120))</f>
        <v/>
      </c>
      <c r="I120" s="12" t="str">
        <f aca="false">IF($B120="","",$H120-N($F120))</f>
        <v/>
      </c>
      <c r="J120" s="10" t="str">
        <f aca="false">IF($B120="","",IF(OR($A120="",$D120="",$E120=""),"Faltan datos obligatorios",IF(AND($C120&lt;&gt;"",ISNA(MATCH($C120,Acciones!$A$2:$A$201,0))),"El ID lote no existe en Acciones","OK")))</f>
        <v/>
      </c>
    </row>
    <row r="121" customFormat="false" ht="15" hidden="false" customHeight="true" outlineLevel="0" collapsed="false">
      <c r="A121" s="6"/>
      <c r="B121" s="7"/>
      <c r="C121" s="7"/>
      <c r="D121" s="5"/>
      <c r="E121" s="17"/>
      <c r="F121" s="9"/>
      <c r="G121" s="7"/>
      <c r="H121" s="12" t="str">
        <f aca="false">IF($B121="","",N($D121)*N($E121))</f>
        <v/>
      </c>
      <c r="I121" s="12" t="str">
        <f aca="false">IF($B121="","",$H121-N($F121))</f>
        <v/>
      </c>
      <c r="J121" s="10" t="str">
        <f aca="false">IF($B121="","",IF(OR($A121="",$D121="",$E121=""),"Faltan datos obligatorios",IF(AND($C121&lt;&gt;"",ISNA(MATCH($C121,Acciones!$A$2:$A$201,0))),"El ID lote no existe en Acciones","OK")))</f>
        <v/>
      </c>
    </row>
    <row r="122" customFormat="false" ht="15" hidden="false" customHeight="true" outlineLevel="0" collapsed="false">
      <c r="A122" s="6"/>
      <c r="B122" s="7"/>
      <c r="C122" s="7"/>
      <c r="D122" s="5"/>
      <c r="E122" s="17"/>
      <c r="F122" s="9"/>
      <c r="G122" s="7"/>
      <c r="H122" s="12" t="str">
        <f aca="false">IF($B122="","",N($D122)*N($E122))</f>
        <v/>
      </c>
      <c r="I122" s="12" t="str">
        <f aca="false">IF($B122="","",$H122-N($F122))</f>
        <v/>
      </c>
      <c r="J122" s="10" t="str">
        <f aca="false">IF($B122="","",IF(OR($A122="",$D122="",$E122=""),"Faltan datos obligatorios",IF(AND($C122&lt;&gt;"",ISNA(MATCH($C122,Acciones!$A$2:$A$201,0))),"El ID lote no existe en Acciones","OK")))</f>
        <v/>
      </c>
    </row>
    <row r="123" customFormat="false" ht="15" hidden="false" customHeight="true" outlineLevel="0" collapsed="false">
      <c r="A123" s="6"/>
      <c r="B123" s="7"/>
      <c r="C123" s="7"/>
      <c r="D123" s="5"/>
      <c r="E123" s="17"/>
      <c r="F123" s="9"/>
      <c r="G123" s="7"/>
      <c r="H123" s="12" t="str">
        <f aca="false">IF($B123="","",N($D123)*N($E123))</f>
        <v/>
      </c>
      <c r="I123" s="12" t="str">
        <f aca="false">IF($B123="","",$H123-N($F123))</f>
        <v/>
      </c>
      <c r="J123" s="10" t="str">
        <f aca="false">IF($B123="","",IF(OR($A123="",$D123="",$E123=""),"Faltan datos obligatorios",IF(AND($C123&lt;&gt;"",ISNA(MATCH($C123,Acciones!$A$2:$A$201,0))),"El ID lote no existe en Acciones","OK")))</f>
        <v/>
      </c>
    </row>
    <row r="124" customFormat="false" ht="15" hidden="false" customHeight="true" outlineLevel="0" collapsed="false">
      <c r="A124" s="6"/>
      <c r="B124" s="7"/>
      <c r="C124" s="7"/>
      <c r="D124" s="5"/>
      <c r="E124" s="17"/>
      <c r="F124" s="9"/>
      <c r="G124" s="7"/>
      <c r="H124" s="12" t="str">
        <f aca="false">IF($B124="","",N($D124)*N($E124))</f>
        <v/>
      </c>
      <c r="I124" s="12" t="str">
        <f aca="false">IF($B124="","",$H124-N($F124))</f>
        <v/>
      </c>
      <c r="J124" s="10" t="str">
        <f aca="false">IF($B124="","",IF(OR($A124="",$D124="",$E124=""),"Faltan datos obligatorios",IF(AND($C124&lt;&gt;"",ISNA(MATCH($C124,Acciones!$A$2:$A$201,0))),"El ID lote no existe en Acciones","OK")))</f>
        <v/>
      </c>
    </row>
    <row r="125" customFormat="false" ht="15" hidden="false" customHeight="true" outlineLevel="0" collapsed="false">
      <c r="A125" s="6"/>
      <c r="B125" s="7"/>
      <c r="C125" s="7"/>
      <c r="D125" s="5"/>
      <c r="E125" s="17"/>
      <c r="F125" s="9"/>
      <c r="G125" s="7"/>
      <c r="H125" s="12" t="str">
        <f aca="false">IF($B125="","",N($D125)*N($E125))</f>
        <v/>
      </c>
      <c r="I125" s="12" t="str">
        <f aca="false">IF($B125="","",$H125-N($F125))</f>
        <v/>
      </c>
      <c r="J125" s="10" t="str">
        <f aca="false">IF($B125="","",IF(OR($A125="",$D125="",$E125=""),"Faltan datos obligatorios",IF(AND($C125&lt;&gt;"",ISNA(MATCH($C125,Acciones!$A$2:$A$201,0))),"El ID lote no existe en Acciones","OK")))</f>
        <v/>
      </c>
    </row>
    <row r="126" customFormat="false" ht="15" hidden="false" customHeight="true" outlineLevel="0" collapsed="false">
      <c r="A126" s="6"/>
      <c r="B126" s="7"/>
      <c r="C126" s="7"/>
      <c r="D126" s="5"/>
      <c r="E126" s="17"/>
      <c r="F126" s="9"/>
      <c r="G126" s="7"/>
      <c r="H126" s="12" t="str">
        <f aca="false">IF($B126="","",N($D126)*N($E126))</f>
        <v/>
      </c>
      <c r="I126" s="12" t="str">
        <f aca="false">IF($B126="","",$H126-N($F126))</f>
        <v/>
      </c>
      <c r="J126" s="10" t="str">
        <f aca="false">IF($B126="","",IF(OR($A126="",$D126="",$E126=""),"Faltan datos obligatorios",IF(AND($C126&lt;&gt;"",ISNA(MATCH($C126,Acciones!$A$2:$A$201,0))),"El ID lote no existe en Acciones","OK")))</f>
        <v/>
      </c>
    </row>
    <row r="127" customFormat="false" ht="15" hidden="false" customHeight="true" outlineLevel="0" collapsed="false">
      <c r="A127" s="6"/>
      <c r="B127" s="7"/>
      <c r="C127" s="7"/>
      <c r="D127" s="5"/>
      <c r="E127" s="17"/>
      <c r="F127" s="9"/>
      <c r="G127" s="7"/>
      <c r="H127" s="12" t="str">
        <f aca="false">IF($B127="","",N($D127)*N($E127))</f>
        <v/>
      </c>
      <c r="I127" s="12" t="str">
        <f aca="false">IF($B127="","",$H127-N($F127))</f>
        <v/>
      </c>
      <c r="J127" s="10" t="str">
        <f aca="false">IF($B127="","",IF(OR($A127="",$D127="",$E127=""),"Faltan datos obligatorios",IF(AND($C127&lt;&gt;"",ISNA(MATCH($C127,Acciones!$A$2:$A$201,0))),"El ID lote no existe en Acciones","OK")))</f>
        <v/>
      </c>
    </row>
    <row r="128" customFormat="false" ht="15" hidden="false" customHeight="true" outlineLevel="0" collapsed="false">
      <c r="A128" s="6"/>
      <c r="B128" s="7"/>
      <c r="C128" s="7"/>
      <c r="D128" s="5"/>
      <c r="E128" s="17"/>
      <c r="F128" s="9"/>
      <c r="G128" s="7"/>
      <c r="H128" s="12" t="str">
        <f aca="false">IF($B128="","",N($D128)*N($E128))</f>
        <v/>
      </c>
      <c r="I128" s="12" t="str">
        <f aca="false">IF($B128="","",$H128-N($F128))</f>
        <v/>
      </c>
      <c r="J128" s="10" t="str">
        <f aca="false">IF($B128="","",IF(OR($A128="",$D128="",$E128=""),"Faltan datos obligatorios",IF(AND($C128&lt;&gt;"",ISNA(MATCH($C128,Acciones!$A$2:$A$201,0))),"El ID lote no existe en Acciones","OK")))</f>
        <v/>
      </c>
    </row>
    <row r="129" customFormat="false" ht="15" hidden="false" customHeight="true" outlineLevel="0" collapsed="false">
      <c r="A129" s="6"/>
      <c r="B129" s="7"/>
      <c r="C129" s="7"/>
      <c r="D129" s="5"/>
      <c r="E129" s="17"/>
      <c r="F129" s="9"/>
      <c r="G129" s="7"/>
      <c r="H129" s="12" t="str">
        <f aca="false">IF($B129="","",N($D129)*N($E129))</f>
        <v/>
      </c>
      <c r="I129" s="12" t="str">
        <f aca="false">IF($B129="","",$H129-N($F129))</f>
        <v/>
      </c>
      <c r="J129" s="10" t="str">
        <f aca="false">IF($B129="","",IF(OR($A129="",$D129="",$E129=""),"Faltan datos obligatorios",IF(AND($C129&lt;&gt;"",ISNA(MATCH($C129,Acciones!$A$2:$A$201,0))),"El ID lote no existe en Acciones","OK")))</f>
        <v/>
      </c>
    </row>
    <row r="130" customFormat="false" ht="15" hidden="false" customHeight="true" outlineLevel="0" collapsed="false">
      <c r="A130" s="6"/>
      <c r="B130" s="7"/>
      <c r="C130" s="7"/>
      <c r="D130" s="5"/>
      <c r="E130" s="17"/>
      <c r="F130" s="9"/>
      <c r="G130" s="7"/>
      <c r="H130" s="12" t="str">
        <f aca="false">IF($B130="","",N($D130)*N($E130))</f>
        <v/>
      </c>
      <c r="I130" s="12" t="str">
        <f aca="false">IF($B130="","",$H130-N($F130))</f>
        <v/>
      </c>
      <c r="J130" s="10" t="str">
        <f aca="false">IF($B130="","",IF(OR($A130="",$D130="",$E130=""),"Faltan datos obligatorios",IF(AND($C130&lt;&gt;"",ISNA(MATCH($C130,Acciones!$A$2:$A$201,0))),"El ID lote no existe en Acciones","OK")))</f>
        <v/>
      </c>
    </row>
    <row r="131" customFormat="false" ht="15" hidden="false" customHeight="true" outlineLevel="0" collapsed="false">
      <c r="A131" s="6"/>
      <c r="B131" s="7"/>
      <c r="C131" s="7"/>
      <c r="D131" s="5"/>
      <c r="E131" s="17"/>
      <c r="F131" s="9"/>
      <c r="G131" s="7"/>
      <c r="H131" s="12" t="str">
        <f aca="false">IF($B131="","",N($D131)*N($E131))</f>
        <v/>
      </c>
      <c r="I131" s="12" t="str">
        <f aca="false">IF($B131="","",$H131-N($F131))</f>
        <v/>
      </c>
      <c r="J131" s="10" t="str">
        <f aca="false">IF($B131="","",IF(OR($A131="",$D131="",$E131=""),"Faltan datos obligatorios",IF(AND($C131&lt;&gt;"",ISNA(MATCH($C131,Acciones!$A$2:$A$201,0))),"El ID lote no existe en Acciones","OK")))</f>
        <v/>
      </c>
    </row>
    <row r="132" customFormat="false" ht="15" hidden="false" customHeight="true" outlineLevel="0" collapsed="false">
      <c r="A132" s="6"/>
      <c r="B132" s="7"/>
      <c r="C132" s="7"/>
      <c r="D132" s="5"/>
      <c r="E132" s="17"/>
      <c r="F132" s="9"/>
      <c r="G132" s="7"/>
      <c r="H132" s="12" t="str">
        <f aca="false">IF($B132="","",N($D132)*N($E132))</f>
        <v/>
      </c>
      <c r="I132" s="12" t="str">
        <f aca="false">IF($B132="","",$H132-N($F132))</f>
        <v/>
      </c>
      <c r="J132" s="10" t="str">
        <f aca="false">IF($B132="","",IF(OR($A132="",$D132="",$E132=""),"Faltan datos obligatorios",IF(AND($C132&lt;&gt;"",ISNA(MATCH($C132,Acciones!$A$2:$A$201,0))),"El ID lote no existe en Acciones","OK")))</f>
        <v/>
      </c>
    </row>
    <row r="133" customFormat="false" ht="15" hidden="false" customHeight="true" outlineLevel="0" collapsed="false">
      <c r="A133" s="6"/>
      <c r="B133" s="7"/>
      <c r="C133" s="7"/>
      <c r="D133" s="5"/>
      <c r="E133" s="17"/>
      <c r="F133" s="9"/>
      <c r="G133" s="7"/>
      <c r="H133" s="12" t="str">
        <f aca="false">IF($B133="","",N($D133)*N($E133))</f>
        <v/>
      </c>
      <c r="I133" s="12" t="str">
        <f aca="false">IF($B133="","",$H133-N($F133))</f>
        <v/>
      </c>
      <c r="J133" s="10" t="str">
        <f aca="false">IF($B133="","",IF(OR($A133="",$D133="",$E133=""),"Faltan datos obligatorios",IF(AND($C133&lt;&gt;"",ISNA(MATCH($C133,Acciones!$A$2:$A$201,0))),"El ID lote no existe en Acciones","OK")))</f>
        <v/>
      </c>
    </row>
    <row r="134" customFormat="false" ht="15" hidden="false" customHeight="true" outlineLevel="0" collapsed="false">
      <c r="A134" s="6"/>
      <c r="B134" s="7"/>
      <c r="C134" s="7"/>
      <c r="D134" s="5"/>
      <c r="E134" s="17"/>
      <c r="F134" s="9"/>
      <c r="G134" s="7"/>
      <c r="H134" s="12" t="str">
        <f aca="false">IF($B134="","",N($D134)*N($E134))</f>
        <v/>
      </c>
      <c r="I134" s="12" t="str">
        <f aca="false">IF($B134="","",$H134-N($F134))</f>
        <v/>
      </c>
      <c r="J134" s="10" t="str">
        <f aca="false">IF($B134="","",IF(OR($A134="",$D134="",$E134=""),"Faltan datos obligatorios",IF(AND($C134&lt;&gt;"",ISNA(MATCH($C134,Acciones!$A$2:$A$201,0))),"El ID lote no existe en Acciones","OK")))</f>
        <v/>
      </c>
    </row>
    <row r="135" customFormat="false" ht="15" hidden="false" customHeight="true" outlineLevel="0" collapsed="false">
      <c r="A135" s="6"/>
      <c r="B135" s="7"/>
      <c r="C135" s="7"/>
      <c r="D135" s="5"/>
      <c r="E135" s="17"/>
      <c r="F135" s="9"/>
      <c r="G135" s="7"/>
      <c r="H135" s="12" t="str">
        <f aca="false">IF($B135="","",N($D135)*N($E135))</f>
        <v/>
      </c>
      <c r="I135" s="12" t="str">
        <f aca="false">IF($B135="","",$H135-N($F135))</f>
        <v/>
      </c>
      <c r="J135" s="10" t="str">
        <f aca="false">IF($B135="","",IF(OR($A135="",$D135="",$E135=""),"Faltan datos obligatorios",IF(AND($C135&lt;&gt;"",ISNA(MATCH($C135,Acciones!$A$2:$A$201,0))),"El ID lote no existe en Acciones","OK")))</f>
        <v/>
      </c>
    </row>
    <row r="136" customFormat="false" ht="15" hidden="false" customHeight="true" outlineLevel="0" collapsed="false">
      <c r="A136" s="6"/>
      <c r="B136" s="7"/>
      <c r="C136" s="7"/>
      <c r="D136" s="5"/>
      <c r="E136" s="17"/>
      <c r="F136" s="9"/>
      <c r="G136" s="7"/>
      <c r="H136" s="12" t="str">
        <f aca="false">IF($B136="","",N($D136)*N($E136))</f>
        <v/>
      </c>
      <c r="I136" s="12" t="str">
        <f aca="false">IF($B136="","",$H136-N($F136))</f>
        <v/>
      </c>
      <c r="J136" s="10" t="str">
        <f aca="false">IF($B136="","",IF(OR($A136="",$D136="",$E136=""),"Faltan datos obligatorios",IF(AND($C136&lt;&gt;"",ISNA(MATCH($C136,Acciones!$A$2:$A$201,0))),"El ID lote no existe en Acciones","OK")))</f>
        <v/>
      </c>
    </row>
    <row r="137" customFormat="false" ht="15" hidden="false" customHeight="true" outlineLevel="0" collapsed="false">
      <c r="A137" s="6"/>
      <c r="B137" s="7"/>
      <c r="C137" s="7"/>
      <c r="D137" s="5"/>
      <c r="E137" s="17"/>
      <c r="F137" s="9"/>
      <c r="G137" s="7"/>
      <c r="H137" s="12" t="str">
        <f aca="false">IF($B137="","",N($D137)*N($E137))</f>
        <v/>
      </c>
      <c r="I137" s="12" t="str">
        <f aca="false">IF($B137="","",$H137-N($F137))</f>
        <v/>
      </c>
      <c r="J137" s="10" t="str">
        <f aca="false">IF($B137="","",IF(OR($A137="",$D137="",$E137=""),"Faltan datos obligatorios",IF(AND($C137&lt;&gt;"",ISNA(MATCH($C137,Acciones!$A$2:$A$201,0))),"El ID lote no existe en Acciones","OK")))</f>
        <v/>
      </c>
    </row>
    <row r="138" customFormat="false" ht="15" hidden="false" customHeight="true" outlineLevel="0" collapsed="false">
      <c r="A138" s="6"/>
      <c r="B138" s="7"/>
      <c r="C138" s="7"/>
      <c r="D138" s="5"/>
      <c r="E138" s="17"/>
      <c r="F138" s="9"/>
      <c r="G138" s="7"/>
      <c r="H138" s="12" t="str">
        <f aca="false">IF($B138="","",N($D138)*N($E138))</f>
        <v/>
      </c>
      <c r="I138" s="12" t="str">
        <f aca="false">IF($B138="","",$H138-N($F138))</f>
        <v/>
      </c>
      <c r="J138" s="10" t="str">
        <f aca="false">IF($B138="","",IF(OR($A138="",$D138="",$E138=""),"Faltan datos obligatorios",IF(AND($C138&lt;&gt;"",ISNA(MATCH($C138,Acciones!$A$2:$A$201,0))),"El ID lote no existe en Acciones","OK")))</f>
        <v/>
      </c>
    </row>
    <row r="139" customFormat="false" ht="15" hidden="false" customHeight="true" outlineLevel="0" collapsed="false">
      <c r="A139" s="6"/>
      <c r="B139" s="7"/>
      <c r="C139" s="7"/>
      <c r="D139" s="5"/>
      <c r="E139" s="17"/>
      <c r="F139" s="9"/>
      <c r="G139" s="7"/>
      <c r="H139" s="12" t="str">
        <f aca="false">IF($B139="","",N($D139)*N($E139))</f>
        <v/>
      </c>
      <c r="I139" s="12" t="str">
        <f aca="false">IF($B139="","",$H139-N($F139))</f>
        <v/>
      </c>
      <c r="J139" s="10" t="str">
        <f aca="false">IF($B139="","",IF(OR($A139="",$D139="",$E139=""),"Faltan datos obligatorios",IF(AND($C139&lt;&gt;"",ISNA(MATCH($C139,Acciones!$A$2:$A$201,0))),"El ID lote no existe en Acciones","OK")))</f>
        <v/>
      </c>
    </row>
    <row r="140" customFormat="false" ht="15" hidden="false" customHeight="true" outlineLevel="0" collapsed="false">
      <c r="A140" s="6"/>
      <c r="B140" s="7"/>
      <c r="C140" s="7"/>
      <c r="D140" s="5"/>
      <c r="E140" s="17"/>
      <c r="F140" s="9"/>
      <c r="G140" s="7"/>
      <c r="H140" s="12" t="str">
        <f aca="false">IF($B140="","",N($D140)*N($E140))</f>
        <v/>
      </c>
      <c r="I140" s="12" t="str">
        <f aca="false">IF($B140="","",$H140-N($F140))</f>
        <v/>
      </c>
      <c r="J140" s="10" t="str">
        <f aca="false">IF($B140="","",IF(OR($A140="",$D140="",$E140=""),"Faltan datos obligatorios",IF(AND($C140&lt;&gt;"",ISNA(MATCH($C140,Acciones!$A$2:$A$201,0))),"El ID lote no existe en Acciones","OK")))</f>
        <v/>
      </c>
    </row>
    <row r="141" customFormat="false" ht="15" hidden="false" customHeight="true" outlineLevel="0" collapsed="false">
      <c r="A141" s="6"/>
      <c r="B141" s="7"/>
      <c r="C141" s="7"/>
      <c r="D141" s="5"/>
      <c r="E141" s="17"/>
      <c r="F141" s="9"/>
      <c r="G141" s="7"/>
      <c r="H141" s="12" t="str">
        <f aca="false">IF($B141="","",N($D141)*N($E141))</f>
        <v/>
      </c>
      <c r="I141" s="12" t="str">
        <f aca="false">IF($B141="","",$H141-N($F141))</f>
        <v/>
      </c>
      <c r="J141" s="10" t="str">
        <f aca="false">IF($B141="","",IF(OR($A141="",$D141="",$E141=""),"Faltan datos obligatorios",IF(AND($C141&lt;&gt;"",ISNA(MATCH($C141,Acciones!$A$2:$A$201,0))),"El ID lote no existe en Acciones","OK")))</f>
        <v/>
      </c>
    </row>
    <row r="142" customFormat="false" ht="15" hidden="false" customHeight="true" outlineLevel="0" collapsed="false">
      <c r="A142" s="6"/>
      <c r="B142" s="7"/>
      <c r="C142" s="7"/>
      <c r="D142" s="5"/>
      <c r="E142" s="17"/>
      <c r="F142" s="9"/>
      <c r="G142" s="7"/>
      <c r="H142" s="12" t="str">
        <f aca="false">IF($B142="","",N($D142)*N($E142))</f>
        <v/>
      </c>
      <c r="I142" s="12" t="str">
        <f aca="false">IF($B142="","",$H142-N($F142))</f>
        <v/>
      </c>
      <c r="J142" s="10" t="str">
        <f aca="false">IF($B142="","",IF(OR($A142="",$D142="",$E142=""),"Faltan datos obligatorios",IF(AND($C142&lt;&gt;"",ISNA(MATCH($C142,Acciones!$A$2:$A$201,0))),"El ID lote no existe en Acciones","OK")))</f>
        <v/>
      </c>
    </row>
    <row r="143" customFormat="false" ht="15" hidden="false" customHeight="true" outlineLevel="0" collapsed="false">
      <c r="A143" s="6"/>
      <c r="B143" s="7"/>
      <c r="C143" s="7"/>
      <c r="D143" s="5"/>
      <c r="E143" s="17"/>
      <c r="F143" s="9"/>
      <c r="G143" s="7"/>
      <c r="H143" s="12" t="str">
        <f aca="false">IF($B143="","",N($D143)*N($E143))</f>
        <v/>
      </c>
      <c r="I143" s="12" t="str">
        <f aca="false">IF($B143="","",$H143-N($F143))</f>
        <v/>
      </c>
      <c r="J143" s="10" t="str">
        <f aca="false">IF($B143="","",IF(OR($A143="",$D143="",$E143=""),"Faltan datos obligatorios",IF(AND($C143&lt;&gt;"",ISNA(MATCH($C143,Acciones!$A$2:$A$201,0))),"El ID lote no existe en Acciones","OK")))</f>
        <v/>
      </c>
    </row>
    <row r="144" customFormat="false" ht="15" hidden="false" customHeight="true" outlineLevel="0" collapsed="false">
      <c r="A144" s="6"/>
      <c r="B144" s="7"/>
      <c r="C144" s="7"/>
      <c r="D144" s="5"/>
      <c r="E144" s="17"/>
      <c r="F144" s="9"/>
      <c r="G144" s="7"/>
      <c r="H144" s="12" t="str">
        <f aca="false">IF($B144="","",N($D144)*N($E144))</f>
        <v/>
      </c>
      <c r="I144" s="12" t="str">
        <f aca="false">IF($B144="","",$H144-N($F144))</f>
        <v/>
      </c>
      <c r="J144" s="10" t="str">
        <f aca="false">IF($B144="","",IF(OR($A144="",$D144="",$E144=""),"Faltan datos obligatorios",IF(AND($C144&lt;&gt;"",ISNA(MATCH($C144,Acciones!$A$2:$A$201,0))),"El ID lote no existe en Acciones","OK")))</f>
        <v/>
      </c>
    </row>
    <row r="145" customFormat="false" ht="15" hidden="false" customHeight="true" outlineLevel="0" collapsed="false">
      <c r="A145" s="6"/>
      <c r="B145" s="7"/>
      <c r="C145" s="7"/>
      <c r="D145" s="5"/>
      <c r="E145" s="17"/>
      <c r="F145" s="9"/>
      <c r="G145" s="7"/>
      <c r="H145" s="12" t="str">
        <f aca="false">IF($B145="","",N($D145)*N($E145))</f>
        <v/>
      </c>
      <c r="I145" s="12" t="str">
        <f aca="false">IF($B145="","",$H145-N($F145))</f>
        <v/>
      </c>
      <c r="J145" s="10" t="str">
        <f aca="false">IF($B145="","",IF(OR($A145="",$D145="",$E145=""),"Faltan datos obligatorios",IF(AND($C145&lt;&gt;"",ISNA(MATCH($C145,Acciones!$A$2:$A$201,0))),"El ID lote no existe en Acciones","OK")))</f>
        <v/>
      </c>
    </row>
    <row r="146" customFormat="false" ht="15" hidden="false" customHeight="true" outlineLevel="0" collapsed="false">
      <c r="A146" s="6"/>
      <c r="B146" s="7"/>
      <c r="C146" s="7"/>
      <c r="D146" s="5"/>
      <c r="E146" s="17"/>
      <c r="F146" s="9"/>
      <c r="G146" s="7"/>
      <c r="H146" s="12" t="str">
        <f aca="false">IF($B146="","",N($D146)*N($E146))</f>
        <v/>
      </c>
      <c r="I146" s="12" t="str">
        <f aca="false">IF($B146="","",$H146-N($F146))</f>
        <v/>
      </c>
      <c r="J146" s="10" t="str">
        <f aca="false">IF($B146="","",IF(OR($A146="",$D146="",$E146=""),"Faltan datos obligatorios",IF(AND($C146&lt;&gt;"",ISNA(MATCH($C146,Acciones!$A$2:$A$201,0))),"El ID lote no existe en Acciones","OK")))</f>
        <v/>
      </c>
    </row>
    <row r="147" customFormat="false" ht="15" hidden="false" customHeight="true" outlineLevel="0" collapsed="false">
      <c r="A147" s="6"/>
      <c r="B147" s="7"/>
      <c r="C147" s="7"/>
      <c r="D147" s="5"/>
      <c r="E147" s="17"/>
      <c r="F147" s="9"/>
      <c r="G147" s="7"/>
      <c r="H147" s="12" t="str">
        <f aca="false">IF($B147="","",N($D147)*N($E147))</f>
        <v/>
      </c>
      <c r="I147" s="12" t="str">
        <f aca="false">IF($B147="","",$H147-N($F147))</f>
        <v/>
      </c>
      <c r="J147" s="10" t="str">
        <f aca="false">IF($B147="","",IF(OR($A147="",$D147="",$E147=""),"Faltan datos obligatorios",IF(AND($C147&lt;&gt;"",ISNA(MATCH($C147,Acciones!$A$2:$A$201,0))),"El ID lote no existe en Acciones","OK")))</f>
        <v/>
      </c>
    </row>
    <row r="148" customFormat="false" ht="15" hidden="false" customHeight="true" outlineLevel="0" collapsed="false">
      <c r="A148" s="6"/>
      <c r="B148" s="7"/>
      <c r="C148" s="7"/>
      <c r="D148" s="5"/>
      <c r="E148" s="17"/>
      <c r="F148" s="9"/>
      <c r="G148" s="7"/>
      <c r="H148" s="12" t="str">
        <f aca="false">IF($B148="","",N($D148)*N($E148))</f>
        <v/>
      </c>
      <c r="I148" s="12" t="str">
        <f aca="false">IF($B148="","",$H148-N($F148))</f>
        <v/>
      </c>
      <c r="J148" s="10" t="str">
        <f aca="false">IF($B148="","",IF(OR($A148="",$D148="",$E148=""),"Faltan datos obligatorios",IF(AND($C148&lt;&gt;"",ISNA(MATCH($C148,Acciones!$A$2:$A$201,0))),"El ID lote no existe en Acciones","OK")))</f>
        <v/>
      </c>
    </row>
    <row r="149" customFormat="false" ht="15" hidden="false" customHeight="true" outlineLevel="0" collapsed="false">
      <c r="A149" s="6"/>
      <c r="B149" s="7"/>
      <c r="C149" s="7"/>
      <c r="D149" s="5"/>
      <c r="E149" s="17"/>
      <c r="F149" s="9"/>
      <c r="G149" s="7"/>
      <c r="H149" s="12" t="str">
        <f aca="false">IF($B149="","",N($D149)*N($E149))</f>
        <v/>
      </c>
      <c r="I149" s="12" t="str">
        <f aca="false">IF($B149="","",$H149-N($F149))</f>
        <v/>
      </c>
      <c r="J149" s="10" t="str">
        <f aca="false">IF($B149="","",IF(OR($A149="",$D149="",$E149=""),"Faltan datos obligatorios",IF(AND($C149&lt;&gt;"",ISNA(MATCH($C149,Acciones!$A$2:$A$201,0))),"El ID lote no existe en Acciones","OK")))</f>
        <v/>
      </c>
    </row>
    <row r="150" customFormat="false" ht="15" hidden="false" customHeight="true" outlineLevel="0" collapsed="false">
      <c r="A150" s="6"/>
      <c r="B150" s="7"/>
      <c r="C150" s="7"/>
      <c r="D150" s="5"/>
      <c r="E150" s="17"/>
      <c r="F150" s="9"/>
      <c r="G150" s="7"/>
      <c r="H150" s="12" t="str">
        <f aca="false">IF($B150="","",N($D150)*N($E150))</f>
        <v/>
      </c>
      <c r="I150" s="12" t="str">
        <f aca="false">IF($B150="","",$H150-N($F150))</f>
        <v/>
      </c>
      <c r="J150" s="10" t="str">
        <f aca="false">IF($B150="","",IF(OR($A150="",$D150="",$E150=""),"Faltan datos obligatorios",IF(AND($C150&lt;&gt;"",ISNA(MATCH($C150,Acciones!$A$2:$A$201,0))),"El ID lote no existe en Acciones","OK")))</f>
        <v/>
      </c>
    </row>
    <row r="151" customFormat="false" ht="15" hidden="false" customHeight="true" outlineLevel="0" collapsed="false">
      <c r="A151" s="6"/>
      <c r="B151" s="7"/>
      <c r="C151" s="7"/>
      <c r="D151" s="5"/>
      <c r="E151" s="17"/>
      <c r="F151" s="9"/>
      <c r="G151" s="7"/>
      <c r="H151" s="12" t="str">
        <f aca="false">IF($B151="","",N($D151)*N($E151))</f>
        <v/>
      </c>
      <c r="I151" s="12" t="str">
        <f aca="false">IF($B151="","",$H151-N($F151))</f>
        <v/>
      </c>
      <c r="J151" s="10" t="str">
        <f aca="false">IF($B151="","",IF(OR($A151="",$D151="",$E151=""),"Faltan datos obligatorios",IF(AND($C151&lt;&gt;"",ISNA(MATCH($C151,Acciones!$A$2:$A$201,0))),"El ID lote no existe en Acciones","OK")))</f>
        <v/>
      </c>
    </row>
    <row r="152" customFormat="false" ht="15" hidden="false" customHeight="true" outlineLevel="0" collapsed="false">
      <c r="A152" s="6"/>
      <c r="B152" s="7"/>
      <c r="C152" s="7"/>
      <c r="D152" s="5"/>
      <c r="E152" s="17"/>
      <c r="F152" s="9"/>
      <c r="G152" s="7"/>
      <c r="H152" s="12" t="str">
        <f aca="false">IF($B152="","",N($D152)*N($E152))</f>
        <v/>
      </c>
      <c r="I152" s="12" t="str">
        <f aca="false">IF($B152="","",$H152-N($F152))</f>
        <v/>
      </c>
      <c r="J152" s="10" t="str">
        <f aca="false">IF($B152="","",IF(OR($A152="",$D152="",$E152=""),"Faltan datos obligatorios",IF(AND($C152&lt;&gt;"",ISNA(MATCH($C152,Acciones!$A$2:$A$201,0))),"El ID lote no existe en Acciones","OK")))</f>
        <v/>
      </c>
    </row>
    <row r="153" customFormat="false" ht="15" hidden="false" customHeight="true" outlineLevel="0" collapsed="false">
      <c r="A153" s="6"/>
      <c r="B153" s="7"/>
      <c r="C153" s="7"/>
      <c r="D153" s="5"/>
      <c r="E153" s="17"/>
      <c r="F153" s="9"/>
      <c r="G153" s="7"/>
      <c r="H153" s="12" t="str">
        <f aca="false">IF($B153="","",N($D153)*N($E153))</f>
        <v/>
      </c>
      <c r="I153" s="12" t="str">
        <f aca="false">IF($B153="","",$H153-N($F153))</f>
        <v/>
      </c>
      <c r="J153" s="10" t="str">
        <f aca="false">IF($B153="","",IF(OR($A153="",$D153="",$E153=""),"Faltan datos obligatorios",IF(AND($C153&lt;&gt;"",ISNA(MATCH($C153,Acciones!$A$2:$A$201,0))),"El ID lote no existe en Acciones","OK")))</f>
        <v/>
      </c>
    </row>
    <row r="154" customFormat="false" ht="15" hidden="false" customHeight="true" outlineLevel="0" collapsed="false">
      <c r="A154" s="6"/>
      <c r="B154" s="7"/>
      <c r="C154" s="7"/>
      <c r="D154" s="5"/>
      <c r="E154" s="17"/>
      <c r="F154" s="9"/>
      <c r="G154" s="7"/>
      <c r="H154" s="12" t="str">
        <f aca="false">IF($B154="","",N($D154)*N($E154))</f>
        <v/>
      </c>
      <c r="I154" s="12" t="str">
        <f aca="false">IF($B154="","",$H154-N($F154))</f>
        <v/>
      </c>
      <c r="J154" s="10" t="str">
        <f aca="false">IF($B154="","",IF(OR($A154="",$D154="",$E154=""),"Faltan datos obligatorios",IF(AND($C154&lt;&gt;"",ISNA(MATCH($C154,Acciones!$A$2:$A$201,0))),"El ID lote no existe en Acciones","OK")))</f>
        <v/>
      </c>
    </row>
    <row r="155" customFormat="false" ht="15" hidden="false" customHeight="true" outlineLevel="0" collapsed="false">
      <c r="A155" s="6"/>
      <c r="B155" s="7"/>
      <c r="C155" s="7"/>
      <c r="D155" s="5"/>
      <c r="E155" s="17"/>
      <c r="F155" s="9"/>
      <c r="G155" s="7"/>
      <c r="H155" s="12" t="str">
        <f aca="false">IF($B155="","",N($D155)*N($E155))</f>
        <v/>
      </c>
      <c r="I155" s="12" t="str">
        <f aca="false">IF($B155="","",$H155-N($F155))</f>
        <v/>
      </c>
      <c r="J155" s="10" t="str">
        <f aca="false">IF($B155="","",IF(OR($A155="",$D155="",$E155=""),"Faltan datos obligatorios",IF(AND($C155&lt;&gt;"",ISNA(MATCH($C155,Acciones!$A$2:$A$201,0))),"El ID lote no existe en Acciones","OK")))</f>
        <v/>
      </c>
    </row>
    <row r="156" customFormat="false" ht="15" hidden="false" customHeight="true" outlineLevel="0" collapsed="false">
      <c r="A156" s="6"/>
      <c r="B156" s="7"/>
      <c r="C156" s="7"/>
      <c r="D156" s="5"/>
      <c r="E156" s="17"/>
      <c r="F156" s="9"/>
      <c r="G156" s="7"/>
      <c r="H156" s="12" t="str">
        <f aca="false">IF($B156="","",N($D156)*N($E156))</f>
        <v/>
      </c>
      <c r="I156" s="12" t="str">
        <f aca="false">IF($B156="","",$H156-N($F156))</f>
        <v/>
      </c>
      <c r="J156" s="10" t="str">
        <f aca="false">IF($B156="","",IF(OR($A156="",$D156="",$E156=""),"Faltan datos obligatorios",IF(AND($C156&lt;&gt;"",ISNA(MATCH($C156,Acciones!$A$2:$A$201,0))),"El ID lote no existe en Acciones","OK")))</f>
        <v/>
      </c>
    </row>
    <row r="157" customFormat="false" ht="15" hidden="false" customHeight="true" outlineLevel="0" collapsed="false">
      <c r="A157" s="6"/>
      <c r="B157" s="7"/>
      <c r="C157" s="7"/>
      <c r="D157" s="5"/>
      <c r="E157" s="17"/>
      <c r="F157" s="9"/>
      <c r="G157" s="7"/>
      <c r="H157" s="12" t="str">
        <f aca="false">IF($B157="","",N($D157)*N($E157))</f>
        <v/>
      </c>
      <c r="I157" s="12" t="str">
        <f aca="false">IF($B157="","",$H157-N($F157))</f>
        <v/>
      </c>
      <c r="J157" s="10" t="str">
        <f aca="false">IF($B157="","",IF(OR($A157="",$D157="",$E157=""),"Faltan datos obligatorios",IF(AND($C157&lt;&gt;"",ISNA(MATCH($C157,Acciones!$A$2:$A$201,0))),"El ID lote no existe en Acciones","OK")))</f>
        <v/>
      </c>
    </row>
    <row r="158" customFormat="false" ht="15" hidden="false" customHeight="true" outlineLevel="0" collapsed="false">
      <c r="A158" s="6"/>
      <c r="B158" s="7"/>
      <c r="C158" s="7"/>
      <c r="D158" s="5"/>
      <c r="E158" s="17"/>
      <c r="F158" s="9"/>
      <c r="G158" s="7"/>
      <c r="H158" s="12" t="str">
        <f aca="false">IF($B158="","",N($D158)*N($E158))</f>
        <v/>
      </c>
      <c r="I158" s="12" t="str">
        <f aca="false">IF($B158="","",$H158-N($F158))</f>
        <v/>
      </c>
      <c r="J158" s="10" t="str">
        <f aca="false">IF($B158="","",IF(OR($A158="",$D158="",$E158=""),"Faltan datos obligatorios",IF(AND($C158&lt;&gt;"",ISNA(MATCH($C158,Acciones!$A$2:$A$201,0))),"El ID lote no existe en Acciones","OK")))</f>
        <v/>
      </c>
    </row>
    <row r="159" customFormat="false" ht="15" hidden="false" customHeight="true" outlineLevel="0" collapsed="false">
      <c r="A159" s="6"/>
      <c r="B159" s="7"/>
      <c r="C159" s="7"/>
      <c r="D159" s="5"/>
      <c r="E159" s="17"/>
      <c r="F159" s="9"/>
      <c r="G159" s="7"/>
      <c r="H159" s="12" t="str">
        <f aca="false">IF($B159="","",N($D159)*N($E159))</f>
        <v/>
      </c>
      <c r="I159" s="12" t="str">
        <f aca="false">IF($B159="","",$H159-N($F159))</f>
        <v/>
      </c>
      <c r="J159" s="10" t="str">
        <f aca="false">IF($B159="","",IF(OR($A159="",$D159="",$E159=""),"Faltan datos obligatorios",IF(AND($C159&lt;&gt;"",ISNA(MATCH($C159,Acciones!$A$2:$A$201,0))),"El ID lote no existe en Acciones","OK")))</f>
        <v/>
      </c>
    </row>
    <row r="160" customFormat="false" ht="15" hidden="false" customHeight="true" outlineLevel="0" collapsed="false">
      <c r="A160" s="6"/>
      <c r="B160" s="7"/>
      <c r="C160" s="7"/>
      <c r="D160" s="5"/>
      <c r="E160" s="17"/>
      <c r="F160" s="9"/>
      <c r="G160" s="7"/>
      <c r="H160" s="12" t="str">
        <f aca="false">IF($B160="","",N($D160)*N($E160))</f>
        <v/>
      </c>
      <c r="I160" s="12" t="str">
        <f aca="false">IF($B160="","",$H160-N($F160))</f>
        <v/>
      </c>
      <c r="J160" s="10" t="str">
        <f aca="false">IF($B160="","",IF(OR($A160="",$D160="",$E160=""),"Faltan datos obligatorios",IF(AND($C160&lt;&gt;"",ISNA(MATCH($C160,Acciones!$A$2:$A$201,0))),"El ID lote no existe en Acciones","OK")))</f>
        <v/>
      </c>
    </row>
    <row r="161" customFormat="false" ht="15" hidden="false" customHeight="true" outlineLevel="0" collapsed="false">
      <c r="A161" s="6"/>
      <c r="B161" s="7"/>
      <c r="C161" s="7"/>
      <c r="D161" s="5"/>
      <c r="E161" s="17"/>
      <c r="F161" s="9"/>
      <c r="G161" s="7"/>
      <c r="H161" s="12" t="str">
        <f aca="false">IF($B161="","",N($D161)*N($E161))</f>
        <v/>
      </c>
      <c r="I161" s="12" t="str">
        <f aca="false">IF($B161="","",$H161-N($F161))</f>
        <v/>
      </c>
      <c r="J161" s="10" t="str">
        <f aca="false">IF($B161="","",IF(OR($A161="",$D161="",$E161=""),"Faltan datos obligatorios",IF(AND($C161&lt;&gt;"",ISNA(MATCH($C161,Acciones!$A$2:$A$201,0))),"El ID lote no existe en Acciones","OK")))</f>
        <v/>
      </c>
    </row>
    <row r="162" customFormat="false" ht="15" hidden="false" customHeight="true" outlineLevel="0" collapsed="false">
      <c r="A162" s="6"/>
      <c r="B162" s="7"/>
      <c r="C162" s="7"/>
      <c r="D162" s="5"/>
      <c r="E162" s="17"/>
      <c r="F162" s="9"/>
      <c r="G162" s="7"/>
      <c r="H162" s="12" t="str">
        <f aca="false">IF($B162="","",N($D162)*N($E162))</f>
        <v/>
      </c>
      <c r="I162" s="12" t="str">
        <f aca="false">IF($B162="","",$H162-N($F162))</f>
        <v/>
      </c>
      <c r="J162" s="10" t="str">
        <f aca="false">IF($B162="","",IF(OR($A162="",$D162="",$E162=""),"Faltan datos obligatorios",IF(AND($C162&lt;&gt;"",ISNA(MATCH($C162,Acciones!$A$2:$A$201,0))),"El ID lote no existe en Acciones","OK")))</f>
        <v/>
      </c>
    </row>
    <row r="163" customFormat="false" ht="15" hidden="false" customHeight="true" outlineLevel="0" collapsed="false">
      <c r="A163" s="6"/>
      <c r="B163" s="7"/>
      <c r="C163" s="7"/>
      <c r="D163" s="5"/>
      <c r="E163" s="17"/>
      <c r="F163" s="9"/>
      <c r="G163" s="7"/>
      <c r="H163" s="12" t="str">
        <f aca="false">IF($B163="","",N($D163)*N($E163))</f>
        <v/>
      </c>
      <c r="I163" s="12" t="str">
        <f aca="false">IF($B163="","",$H163-N($F163))</f>
        <v/>
      </c>
      <c r="J163" s="10" t="str">
        <f aca="false">IF($B163="","",IF(OR($A163="",$D163="",$E163=""),"Faltan datos obligatorios",IF(AND($C163&lt;&gt;"",ISNA(MATCH($C163,Acciones!$A$2:$A$201,0))),"El ID lote no existe en Acciones","OK")))</f>
        <v/>
      </c>
    </row>
    <row r="164" customFormat="false" ht="15" hidden="false" customHeight="true" outlineLevel="0" collapsed="false">
      <c r="A164" s="6"/>
      <c r="B164" s="7"/>
      <c r="C164" s="7"/>
      <c r="D164" s="5"/>
      <c r="E164" s="17"/>
      <c r="F164" s="9"/>
      <c r="G164" s="7"/>
      <c r="H164" s="12" t="str">
        <f aca="false">IF($B164="","",N($D164)*N($E164))</f>
        <v/>
      </c>
      <c r="I164" s="12" t="str">
        <f aca="false">IF($B164="","",$H164-N($F164))</f>
        <v/>
      </c>
      <c r="J164" s="10" t="str">
        <f aca="false">IF($B164="","",IF(OR($A164="",$D164="",$E164=""),"Faltan datos obligatorios",IF(AND($C164&lt;&gt;"",ISNA(MATCH($C164,Acciones!$A$2:$A$201,0))),"El ID lote no existe en Acciones","OK")))</f>
        <v/>
      </c>
    </row>
    <row r="165" customFormat="false" ht="15" hidden="false" customHeight="true" outlineLevel="0" collapsed="false">
      <c r="A165" s="6"/>
      <c r="B165" s="7"/>
      <c r="C165" s="7"/>
      <c r="D165" s="5"/>
      <c r="E165" s="17"/>
      <c r="F165" s="9"/>
      <c r="G165" s="7"/>
      <c r="H165" s="12" t="str">
        <f aca="false">IF($B165="","",N($D165)*N($E165))</f>
        <v/>
      </c>
      <c r="I165" s="12" t="str">
        <f aca="false">IF($B165="","",$H165-N($F165))</f>
        <v/>
      </c>
      <c r="J165" s="10" t="str">
        <f aca="false">IF($B165="","",IF(OR($A165="",$D165="",$E165=""),"Faltan datos obligatorios",IF(AND($C165&lt;&gt;"",ISNA(MATCH($C165,Acciones!$A$2:$A$201,0))),"El ID lote no existe en Acciones","OK")))</f>
        <v/>
      </c>
    </row>
    <row r="166" customFormat="false" ht="15" hidden="false" customHeight="true" outlineLevel="0" collapsed="false">
      <c r="A166" s="6"/>
      <c r="B166" s="7"/>
      <c r="C166" s="7"/>
      <c r="D166" s="5"/>
      <c r="E166" s="17"/>
      <c r="F166" s="9"/>
      <c r="G166" s="7"/>
      <c r="H166" s="12" t="str">
        <f aca="false">IF($B166="","",N($D166)*N($E166))</f>
        <v/>
      </c>
      <c r="I166" s="12" t="str">
        <f aca="false">IF($B166="","",$H166-N($F166))</f>
        <v/>
      </c>
      <c r="J166" s="10" t="str">
        <f aca="false">IF($B166="","",IF(OR($A166="",$D166="",$E166=""),"Faltan datos obligatorios",IF(AND($C166&lt;&gt;"",ISNA(MATCH($C166,Acciones!$A$2:$A$201,0))),"El ID lote no existe en Acciones","OK")))</f>
        <v/>
      </c>
    </row>
    <row r="167" customFormat="false" ht="15" hidden="false" customHeight="true" outlineLevel="0" collapsed="false">
      <c r="A167" s="6"/>
      <c r="B167" s="7"/>
      <c r="C167" s="7"/>
      <c r="D167" s="5"/>
      <c r="E167" s="17"/>
      <c r="F167" s="9"/>
      <c r="G167" s="7"/>
      <c r="H167" s="12" t="str">
        <f aca="false">IF($B167="","",N($D167)*N($E167))</f>
        <v/>
      </c>
      <c r="I167" s="12" t="str">
        <f aca="false">IF($B167="","",$H167-N($F167))</f>
        <v/>
      </c>
      <c r="J167" s="10" t="str">
        <f aca="false">IF($B167="","",IF(OR($A167="",$D167="",$E167=""),"Faltan datos obligatorios",IF(AND($C167&lt;&gt;"",ISNA(MATCH($C167,Acciones!$A$2:$A$201,0))),"El ID lote no existe en Acciones","OK")))</f>
        <v/>
      </c>
    </row>
    <row r="168" customFormat="false" ht="15" hidden="false" customHeight="true" outlineLevel="0" collapsed="false">
      <c r="A168" s="6"/>
      <c r="B168" s="7"/>
      <c r="C168" s="7"/>
      <c r="D168" s="5"/>
      <c r="E168" s="17"/>
      <c r="F168" s="9"/>
      <c r="G168" s="7"/>
      <c r="H168" s="12" t="str">
        <f aca="false">IF($B168="","",N($D168)*N($E168))</f>
        <v/>
      </c>
      <c r="I168" s="12" t="str">
        <f aca="false">IF($B168="","",$H168-N($F168))</f>
        <v/>
      </c>
      <c r="J168" s="10" t="str">
        <f aca="false">IF($B168="","",IF(OR($A168="",$D168="",$E168=""),"Faltan datos obligatorios",IF(AND($C168&lt;&gt;"",ISNA(MATCH($C168,Acciones!$A$2:$A$201,0))),"El ID lote no existe en Acciones","OK")))</f>
        <v/>
      </c>
    </row>
    <row r="169" customFormat="false" ht="15" hidden="false" customHeight="true" outlineLevel="0" collapsed="false">
      <c r="A169" s="6"/>
      <c r="B169" s="7"/>
      <c r="C169" s="7"/>
      <c r="D169" s="5"/>
      <c r="E169" s="17"/>
      <c r="F169" s="9"/>
      <c r="G169" s="7"/>
      <c r="H169" s="12" t="str">
        <f aca="false">IF($B169="","",N($D169)*N($E169))</f>
        <v/>
      </c>
      <c r="I169" s="12" t="str">
        <f aca="false">IF($B169="","",$H169-N($F169))</f>
        <v/>
      </c>
      <c r="J169" s="10" t="str">
        <f aca="false">IF($B169="","",IF(OR($A169="",$D169="",$E169=""),"Faltan datos obligatorios",IF(AND($C169&lt;&gt;"",ISNA(MATCH($C169,Acciones!$A$2:$A$201,0))),"El ID lote no existe en Acciones","OK")))</f>
        <v/>
      </c>
    </row>
    <row r="170" customFormat="false" ht="15" hidden="false" customHeight="true" outlineLevel="0" collapsed="false">
      <c r="A170" s="6"/>
      <c r="B170" s="7"/>
      <c r="C170" s="7"/>
      <c r="D170" s="5"/>
      <c r="E170" s="17"/>
      <c r="F170" s="9"/>
      <c r="G170" s="7"/>
      <c r="H170" s="12" t="str">
        <f aca="false">IF($B170="","",N($D170)*N($E170))</f>
        <v/>
      </c>
      <c r="I170" s="12" t="str">
        <f aca="false">IF($B170="","",$H170-N($F170))</f>
        <v/>
      </c>
      <c r="J170" s="10" t="str">
        <f aca="false">IF($B170="","",IF(OR($A170="",$D170="",$E170=""),"Faltan datos obligatorios",IF(AND($C170&lt;&gt;"",ISNA(MATCH($C170,Acciones!$A$2:$A$201,0))),"El ID lote no existe en Acciones","OK")))</f>
        <v/>
      </c>
    </row>
    <row r="171" customFormat="false" ht="15" hidden="false" customHeight="true" outlineLevel="0" collapsed="false">
      <c r="A171" s="6"/>
      <c r="B171" s="7"/>
      <c r="C171" s="7"/>
      <c r="D171" s="5"/>
      <c r="E171" s="17"/>
      <c r="F171" s="9"/>
      <c r="G171" s="7"/>
      <c r="H171" s="12" t="str">
        <f aca="false">IF($B171="","",N($D171)*N($E171))</f>
        <v/>
      </c>
      <c r="I171" s="12" t="str">
        <f aca="false">IF($B171="","",$H171-N($F171))</f>
        <v/>
      </c>
      <c r="J171" s="10" t="str">
        <f aca="false">IF($B171="","",IF(OR($A171="",$D171="",$E171=""),"Faltan datos obligatorios",IF(AND($C171&lt;&gt;"",ISNA(MATCH($C171,Acciones!$A$2:$A$201,0))),"El ID lote no existe en Acciones","OK")))</f>
        <v/>
      </c>
    </row>
    <row r="172" customFormat="false" ht="15" hidden="false" customHeight="true" outlineLevel="0" collapsed="false">
      <c r="A172" s="6"/>
      <c r="B172" s="7"/>
      <c r="C172" s="7"/>
      <c r="D172" s="5"/>
      <c r="E172" s="17"/>
      <c r="F172" s="9"/>
      <c r="G172" s="7"/>
      <c r="H172" s="12" t="str">
        <f aca="false">IF($B172="","",N($D172)*N($E172))</f>
        <v/>
      </c>
      <c r="I172" s="12" t="str">
        <f aca="false">IF($B172="","",$H172-N($F172))</f>
        <v/>
      </c>
      <c r="J172" s="10" t="str">
        <f aca="false">IF($B172="","",IF(OR($A172="",$D172="",$E172=""),"Faltan datos obligatorios",IF(AND($C172&lt;&gt;"",ISNA(MATCH($C172,Acciones!$A$2:$A$201,0))),"El ID lote no existe en Acciones","OK")))</f>
        <v/>
      </c>
    </row>
    <row r="173" customFormat="false" ht="15" hidden="false" customHeight="true" outlineLevel="0" collapsed="false">
      <c r="A173" s="6"/>
      <c r="B173" s="7"/>
      <c r="C173" s="7"/>
      <c r="D173" s="5"/>
      <c r="E173" s="17"/>
      <c r="F173" s="9"/>
      <c r="G173" s="7"/>
      <c r="H173" s="12" t="str">
        <f aca="false">IF($B173="","",N($D173)*N($E173))</f>
        <v/>
      </c>
      <c r="I173" s="12" t="str">
        <f aca="false">IF($B173="","",$H173-N($F173))</f>
        <v/>
      </c>
      <c r="J173" s="10" t="str">
        <f aca="false">IF($B173="","",IF(OR($A173="",$D173="",$E173=""),"Faltan datos obligatorios",IF(AND($C173&lt;&gt;"",ISNA(MATCH($C173,Acciones!$A$2:$A$201,0))),"El ID lote no existe en Acciones","OK")))</f>
        <v/>
      </c>
    </row>
    <row r="174" customFormat="false" ht="15" hidden="false" customHeight="true" outlineLevel="0" collapsed="false">
      <c r="A174" s="6"/>
      <c r="B174" s="7"/>
      <c r="C174" s="7"/>
      <c r="D174" s="5"/>
      <c r="E174" s="17"/>
      <c r="F174" s="9"/>
      <c r="G174" s="7"/>
      <c r="H174" s="12" t="str">
        <f aca="false">IF($B174="","",N($D174)*N($E174))</f>
        <v/>
      </c>
      <c r="I174" s="12" t="str">
        <f aca="false">IF($B174="","",$H174-N($F174))</f>
        <v/>
      </c>
      <c r="J174" s="10" t="str">
        <f aca="false">IF($B174="","",IF(OR($A174="",$D174="",$E174=""),"Faltan datos obligatorios",IF(AND($C174&lt;&gt;"",ISNA(MATCH($C174,Acciones!$A$2:$A$201,0))),"El ID lote no existe en Acciones","OK")))</f>
        <v/>
      </c>
    </row>
    <row r="175" customFormat="false" ht="15" hidden="false" customHeight="true" outlineLevel="0" collapsed="false">
      <c r="A175" s="6"/>
      <c r="B175" s="7"/>
      <c r="C175" s="7"/>
      <c r="D175" s="5"/>
      <c r="E175" s="17"/>
      <c r="F175" s="9"/>
      <c r="G175" s="7"/>
      <c r="H175" s="12" t="str">
        <f aca="false">IF($B175="","",N($D175)*N($E175))</f>
        <v/>
      </c>
      <c r="I175" s="12" t="str">
        <f aca="false">IF($B175="","",$H175-N($F175))</f>
        <v/>
      </c>
      <c r="J175" s="10" t="str">
        <f aca="false">IF($B175="","",IF(OR($A175="",$D175="",$E175=""),"Faltan datos obligatorios",IF(AND($C175&lt;&gt;"",ISNA(MATCH($C175,Acciones!$A$2:$A$201,0))),"El ID lote no existe en Acciones","OK")))</f>
        <v/>
      </c>
    </row>
    <row r="176" customFormat="false" ht="15" hidden="false" customHeight="true" outlineLevel="0" collapsed="false">
      <c r="A176" s="6"/>
      <c r="B176" s="7"/>
      <c r="C176" s="7"/>
      <c r="D176" s="5"/>
      <c r="E176" s="17"/>
      <c r="F176" s="9"/>
      <c r="G176" s="7"/>
      <c r="H176" s="12" t="str">
        <f aca="false">IF($B176="","",N($D176)*N($E176))</f>
        <v/>
      </c>
      <c r="I176" s="12" t="str">
        <f aca="false">IF($B176="","",$H176-N($F176))</f>
        <v/>
      </c>
      <c r="J176" s="10" t="str">
        <f aca="false">IF($B176="","",IF(OR($A176="",$D176="",$E176=""),"Faltan datos obligatorios",IF(AND($C176&lt;&gt;"",ISNA(MATCH($C176,Acciones!$A$2:$A$201,0))),"El ID lote no existe en Acciones","OK")))</f>
        <v/>
      </c>
    </row>
    <row r="177" customFormat="false" ht="15" hidden="false" customHeight="true" outlineLevel="0" collapsed="false">
      <c r="A177" s="6"/>
      <c r="B177" s="7"/>
      <c r="C177" s="7"/>
      <c r="D177" s="5"/>
      <c r="E177" s="17"/>
      <c r="F177" s="9"/>
      <c r="G177" s="7"/>
      <c r="H177" s="12" t="str">
        <f aca="false">IF($B177="","",N($D177)*N($E177))</f>
        <v/>
      </c>
      <c r="I177" s="12" t="str">
        <f aca="false">IF($B177="","",$H177-N($F177))</f>
        <v/>
      </c>
      <c r="J177" s="10" t="str">
        <f aca="false">IF($B177="","",IF(OR($A177="",$D177="",$E177=""),"Faltan datos obligatorios",IF(AND($C177&lt;&gt;"",ISNA(MATCH($C177,Acciones!$A$2:$A$201,0))),"El ID lote no existe en Acciones","OK")))</f>
        <v/>
      </c>
    </row>
    <row r="178" customFormat="false" ht="15" hidden="false" customHeight="true" outlineLevel="0" collapsed="false">
      <c r="A178" s="6"/>
      <c r="B178" s="7"/>
      <c r="C178" s="7"/>
      <c r="D178" s="5"/>
      <c r="E178" s="17"/>
      <c r="F178" s="9"/>
      <c r="G178" s="7"/>
      <c r="H178" s="12" t="str">
        <f aca="false">IF($B178="","",N($D178)*N($E178))</f>
        <v/>
      </c>
      <c r="I178" s="12" t="str">
        <f aca="false">IF($B178="","",$H178-N($F178))</f>
        <v/>
      </c>
      <c r="J178" s="10" t="str">
        <f aca="false">IF($B178="","",IF(OR($A178="",$D178="",$E178=""),"Faltan datos obligatorios",IF(AND($C178&lt;&gt;"",ISNA(MATCH($C178,Acciones!$A$2:$A$201,0))),"El ID lote no existe en Acciones","OK")))</f>
        <v/>
      </c>
    </row>
    <row r="179" customFormat="false" ht="15" hidden="false" customHeight="true" outlineLevel="0" collapsed="false">
      <c r="A179" s="6"/>
      <c r="B179" s="7"/>
      <c r="C179" s="7"/>
      <c r="D179" s="5"/>
      <c r="E179" s="17"/>
      <c r="F179" s="9"/>
      <c r="G179" s="7"/>
      <c r="H179" s="12" t="str">
        <f aca="false">IF($B179="","",N($D179)*N($E179))</f>
        <v/>
      </c>
      <c r="I179" s="12" t="str">
        <f aca="false">IF($B179="","",$H179-N($F179))</f>
        <v/>
      </c>
      <c r="J179" s="10" t="str">
        <f aca="false">IF($B179="","",IF(OR($A179="",$D179="",$E179=""),"Faltan datos obligatorios",IF(AND($C179&lt;&gt;"",ISNA(MATCH($C179,Acciones!$A$2:$A$201,0))),"El ID lote no existe en Acciones","OK")))</f>
        <v/>
      </c>
    </row>
    <row r="180" customFormat="false" ht="15" hidden="false" customHeight="true" outlineLevel="0" collapsed="false">
      <c r="A180" s="6"/>
      <c r="B180" s="7"/>
      <c r="C180" s="7"/>
      <c r="D180" s="5"/>
      <c r="E180" s="17"/>
      <c r="F180" s="9"/>
      <c r="G180" s="7"/>
      <c r="H180" s="12" t="str">
        <f aca="false">IF($B180="","",N($D180)*N($E180))</f>
        <v/>
      </c>
      <c r="I180" s="12" t="str">
        <f aca="false">IF($B180="","",$H180-N($F180))</f>
        <v/>
      </c>
      <c r="J180" s="10" t="str">
        <f aca="false">IF($B180="","",IF(OR($A180="",$D180="",$E180=""),"Faltan datos obligatorios",IF(AND($C180&lt;&gt;"",ISNA(MATCH($C180,Acciones!$A$2:$A$201,0))),"El ID lote no existe en Acciones","OK")))</f>
        <v/>
      </c>
    </row>
    <row r="181" customFormat="false" ht="15" hidden="false" customHeight="true" outlineLevel="0" collapsed="false">
      <c r="A181" s="6"/>
      <c r="B181" s="7"/>
      <c r="C181" s="7"/>
      <c r="D181" s="5"/>
      <c r="E181" s="17"/>
      <c r="F181" s="9"/>
      <c r="G181" s="7"/>
      <c r="H181" s="12" t="str">
        <f aca="false">IF($B181="","",N($D181)*N($E181))</f>
        <v/>
      </c>
      <c r="I181" s="12" t="str">
        <f aca="false">IF($B181="","",$H181-N($F181))</f>
        <v/>
      </c>
      <c r="J181" s="10" t="str">
        <f aca="false">IF($B181="","",IF(OR($A181="",$D181="",$E181=""),"Faltan datos obligatorios",IF(AND($C181&lt;&gt;"",ISNA(MATCH($C181,Acciones!$A$2:$A$201,0))),"El ID lote no existe en Acciones","OK")))</f>
        <v/>
      </c>
    </row>
    <row r="182" customFormat="false" ht="15" hidden="false" customHeight="true" outlineLevel="0" collapsed="false">
      <c r="A182" s="6"/>
      <c r="B182" s="7"/>
      <c r="C182" s="7"/>
      <c r="D182" s="5"/>
      <c r="E182" s="17"/>
      <c r="F182" s="9"/>
      <c r="G182" s="7"/>
      <c r="H182" s="12" t="str">
        <f aca="false">IF($B182="","",N($D182)*N($E182))</f>
        <v/>
      </c>
      <c r="I182" s="12" t="str">
        <f aca="false">IF($B182="","",$H182-N($F182))</f>
        <v/>
      </c>
      <c r="J182" s="10" t="str">
        <f aca="false">IF($B182="","",IF(OR($A182="",$D182="",$E182=""),"Faltan datos obligatorios",IF(AND($C182&lt;&gt;"",ISNA(MATCH($C182,Acciones!$A$2:$A$201,0))),"El ID lote no existe en Acciones","OK")))</f>
        <v/>
      </c>
    </row>
    <row r="183" customFormat="false" ht="15" hidden="false" customHeight="true" outlineLevel="0" collapsed="false">
      <c r="A183" s="6"/>
      <c r="B183" s="7"/>
      <c r="C183" s="7"/>
      <c r="D183" s="5"/>
      <c r="E183" s="17"/>
      <c r="F183" s="9"/>
      <c r="G183" s="7"/>
      <c r="H183" s="12" t="str">
        <f aca="false">IF($B183="","",N($D183)*N($E183))</f>
        <v/>
      </c>
      <c r="I183" s="12" t="str">
        <f aca="false">IF($B183="","",$H183-N($F183))</f>
        <v/>
      </c>
      <c r="J183" s="10" t="str">
        <f aca="false">IF($B183="","",IF(OR($A183="",$D183="",$E183=""),"Faltan datos obligatorios",IF(AND($C183&lt;&gt;"",ISNA(MATCH($C183,Acciones!$A$2:$A$201,0))),"El ID lote no existe en Acciones","OK")))</f>
        <v/>
      </c>
    </row>
    <row r="184" customFormat="false" ht="15" hidden="false" customHeight="true" outlineLevel="0" collapsed="false">
      <c r="A184" s="6"/>
      <c r="B184" s="7"/>
      <c r="C184" s="7"/>
      <c r="D184" s="5"/>
      <c r="E184" s="17"/>
      <c r="F184" s="9"/>
      <c r="G184" s="7"/>
      <c r="H184" s="12" t="str">
        <f aca="false">IF($B184="","",N($D184)*N($E184))</f>
        <v/>
      </c>
      <c r="I184" s="12" t="str">
        <f aca="false">IF($B184="","",$H184-N($F184))</f>
        <v/>
      </c>
      <c r="J184" s="10" t="str">
        <f aca="false">IF($B184="","",IF(OR($A184="",$D184="",$E184=""),"Faltan datos obligatorios",IF(AND($C184&lt;&gt;"",ISNA(MATCH($C184,Acciones!$A$2:$A$201,0))),"El ID lote no existe en Acciones","OK")))</f>
        <v/>
      </c>
    </row>
    <row r="185" customFormat="false" ht="15" hidden="false" customHeight="true" outlineLevel="0" collapsed="false">
      <c r="A185" s="6"/>
      <c r="B185" s="7"/>
      <c r="C185" s="7"/>
      <c r="D185" s="5"/>
      <c r="E185" s="17"/>
      <c r="F185" s="9"/>
      <c r="G185" s="7"/>
      <c r="H185" s="12" t="str">
        <f aca="false">IF($B185="","",N($D185)*N($E185))</f>
        <v/>
      </c>
      <c r="I185" s="12" t="str">
        <f aca="false">IF($B185="","",$H185-N($F185))</f>
        <v/>
      </c>
      <c r="J185" s="10" t="str">
        <f aca="false">IF($B185="","",IF(OR($A185="",$D185="",$E185=""),"Faltan datos obligatorios",IF(AND($C185&lt;&gt;"",ISNA(MATCH($C185,Acciones!$A$2:$A$201,0))),"El ID lote no existe en Acciones","OK")))</f>
        <v/>
      </c>
    </row>
    <row r="186" customFormat="false" ht="15" hidden="false" customHeight="true" outlineLevel="0" collapsed="false">
      <c r="A186" s="6"/>
      <c r="B186" s="7"/>
      <c r="C186" s="7"/>
      <c r="D186" s="5"/>
      <c r="E186" s="17"/>
      <c r="F186" s="9"/>
      <c r="G186" s="7"/>
      <c r="H186" s="12" t="str">
        <f aca="false">IF($B186="","",N($D186)*N($E186))</f>
        <v/>
      </c>
      <c r="I186" s="12" t="str">
        <f aca="false">IF($B186="","",$H186-N($F186))</f>
        <v/>
      </c>
      <c r="J186" s="10" t="str">
        <f aca="false">IF($B186="","",IF(OR($A186="",$D186="",$E186=""),"Faltan datos obligatorios",IF(AND($C186&lt;&gt;"",ISNA(MATCH($C186,Acciones!$A$2:$A$201,0))),"El ID lote no existe en Acciones","OK")))</f>
        <v/>
      </c>
    </row>
    <row r="187" customFormat="false" ht="15" hidden="false" customHeight="true" outlineLevel="0" collapsed="false">
      <c r="A187" s="6"/>
      <c r="B187" s="7"/>
      <c r="C187" s="7"/>
      <c r="D187" s="5"/>
      <c r="E187" s="17"/>
      <c r="F187" s="9"/>
      <c r="G187" s="7"/>
      <c r="H187" s="12" t="str">
        <f aca="false">IF($B187="","",N($D187)*N($E187))</f>
        <v/>
      </c>
      <c r="I187" s="12" t="str">
        <f aca="false">IF($B187="","",$H187-N($F187))</f>
        <v/>
      </c>
      <c r="J187" s="10" t="str">
        <f aca="false">IF($B187="","",IF(OR($A187="",$D187="",$E187=""),"Faltan datos obligatorios",IF(AND($C187&lt;&gt;"",ISNA(MATCH($C187,Acciones!$A$2:$A$201,0))),"El ID lote no existe en Acciones","OK")))</f>
        <v/>
      </c>
    </row>
    <row r="188" customFormat="false" ht="15" hidden="false" customHeight="true" outlineLevel="0" collapsed="false">
      <c r="A188" s="6"/>
      <c r="B188" s="7"/>
      <c r="C188" s="7"/>
      <c r="D188" s="5"/>
      <c r="E188" s="17"/>
      <c r="F188" s="9"/>
      <c r="G188" s="7"/>
      <c r="H188" s="12" t="str">
        <f aca="false">IF($B188="","",N($D188)*N($E188))</f>
        <v/>
      </c>
      <c r="I188" s="12" t="str">
        <f aca="false">IF($B188="","",$H188-N($F188))</f>
        <v/>
      </c>
      <c r="J188" s="10" t="str">
        <f aca="false">IF($B188="","",IF(OR($A188="",$D188="",$E188=""),"Faltan datos obligatorios",IF(AND($C188&lt;&gt;"",ISNA(MATCH($C188,Acciones!$A$2:$A$201,0))),"El ID lote no existe en Acciones","OK")))</f>
        <v/>
      </c>
    </row>
    <row r="189" customFormat="false" ht="15" hidden="false" customHeight="true" outlineLevel="0" collapsed="false">
      <c r="A189" s="6"/>
      <c r="B189" s="7"/>
      <c r="C189" s="7"/>
      <c r="D189" s="5"/>
      <c r="E189" s="17"/>
      <c r="F189" s="9"/>
      <c r="G189" s="7"/>
      <c r="H189" s="12" t="str">
        <f aca="false">IF($B189="","",N($D189)*N($E189))</f>
        <v/>
      </c>
      <c r="I189" s="12" t="str">
        <f aca="false">IF($B189="","",$H189-N($F189))</f>
        <v/>
      </c>
      <c r="J189" s="10" t="str">
        <f aca="false">IF($B189="","",IF(OR($A189="",$D189="",$E189=""),"Faltan datos obligatorios",IF(AND($C189&lt;&gt;"",ISNA(MATCH($C189,Acciones!$A$2:$A$201,0))),"El ID lote no existe en Acciones","OK")))</f>
        <v/>
      </c>
    </row>
    <row r="190" customFormat="false" ht="15" hidden="false" customHeight="true" outlineLevel="0" collapsed="false">
      <c r="A190" s="6"/>
      <c r="B190" s="7"/>
      <c r="C190" s="7"/>
      <c r="D190" s="5"/>
      <c r="E190" s="17"/>
      <c r="F190" s="9"/>
      <c r="G190" s="7"/>
      <c r="H190" s="12" t="str">
        <f aca="false">IF($B190="","",N($D190)*N($E190))</f>
        <v/>
      </c>
      <c r="I190" s="12" t="str">
        <f aca="false">IF($B190="","",$H190-N($F190))</f>
        <v/>
      </c>
      <c r="J190" s="10" t="str">
        <f aca="false">IF($B190="","",IF(OR($A190="",$D190="",$E190=""),"Faltan datos obligatorios",IF(AND($C190&lt;&gt;"",ISNA(MATCH($C190,Acciones!$A$2:$A$201,0))),"El ID lote no existe en Acciones","OK")))</f>
        <v/>
      </c>
    </row>
    <row r="191" customFormat="false" ht="15" hidden="false" customHeight="true" outlineLevel="0" collapsed="false">
      <c r="A191" s="6"/>
      <c r="B191" s="7"/>
      <c r="C191" s="7"/>
      <c r="D191" s="5"/>
      <c r="E191" s="17"/>
      <c r="F191" s="9"/>
      <c r="G191" s="7"/>
      <c r="H191" s="12" t="str">
        <f aca="false">IF($B191="","",N($D191)*N($E191))</f>
        <v/>
      </c>
      <c r="I191" s="12" t="str">
        <f aca="false">IF($B191="","",$H191-N($F191))</f>
        <v/>
      </c>
      <c r="J191" s="10" t="str">
        <f aca="false">IF($B191="","",IF(OR($A191="",$D191="",$E191=""),"Faltan datos obligatorios",IF(AND($C191&lt;&gt;"",ISNA(MATCH($C191,Acciones!$A$2:$A$201,0))),"El ID lote no existe en Acciones","OK")))</f>
        <v/>
      </c>
    </row>
    <row r="192" customFormat="false" ht="15" hidden="false" customHeight="true" outlineLevel="0" collapsed="false">
      <c r="A192" s="6"/>
      <c r="B192" s="7"/>
      <c r="C192" s="7"/>
      <c r="D192" s="5"/>
      <c r="E192" s="17"/>
      <c r="F192" s="9"/>
      <c r="G192" s="7"/>
      <c r="H192" s="12" t="str">
        <f aca="false">IF($B192="","",N($D192)*N($E192))</f>
        <v/>
      </c>
      <c r="I192" s="12" t="str">
        <f aca="false">IF($B192="","",$H192-N($F192))</f>
        <v/>
      </c>
      <c r="J192" s="10" t="str">
        <f aca="false">IF($B192="","",IF(OR($A192="",$D192="",$E192=""),"Faltan datos obligatorios",IF(AND($C192&lt;&gt;"",ISNA(MATCH($C192,Acciones!$A$2:$A$201,0))),"El ID lote no existe en Acciones","OK")))</f>
        <v/>
      </c>
    </row>
    <row r="193" customFormat="false" ht="15" hidden="false" customHeight="true" outlineLevel="0" collapsed="false">
      <c r="A193" s="6"/>
      <c r="B193" s="7"/>
      <c r="C193" s="7"/>
      <c r="D193" s="5"/>
      <c r="E193" s="17"/>
      <c r="F193" s="9"/>
      <c r="G193" s="7"/>
      <c r="H193" s="12" t="str">
        <f aca="false">IF($B193="","",N($D193)*N($E193))</f>
        <v/>
      </c>
      <c r="I193" s="12" t="str">
        <f aca="false">IF($B193="","",$H193-N($F193))</f>
        <v/>
      </c>
      <c r="J193" s="10" t="str">
        <f aca="false">IF($B193="","",IF(OR($A193="",$D193="",$E193=""),"Faltan datos obligatorios",IF(AND($C193&lt;&gt;"",ISNA(MATCH($C193,Acciones!$A$2:$A$201,0))),"El ID lote no existe en Acciones","OK")))</f>
        <v/>
      </c>
    </row>
    <row r="194" customFormat="false" ht="15" hidden="false" customHeight="true" outlineLevel="0" collapsed="false">
      <c r="A194" s="6"/>
      <c r="B194" s="7"/>
      <c r="C194" s="7"/>
      <c r="D194" s="5"/>
      <c r="E194" s="17"/>
      <c r="F194" s="9"/>
      <c r="G194" s="7"/>
      <c r="H194" s="12" t="str">
        <f aca="false">IF($B194="","",N($D194)*N($E194))</f>
        <v/>
      </c>
      <c r="I194" s="12" t="str">
        <f aca="false">IF($B194="","",$H194-N($F194))</f>
        <v/>
      </c>
      <c r="J194" s="10" t="str">
        <f aca="false">IF($B194="","",IF(OR($A194="",$D194="",$E194=""),"Faltan datos obligatorios",IF(AND($C194&lt;&gt;"",ISNA(MATCH($C194,Acciones!$A$2:$A$201,0))),"El ID lote no existe en Acciones","OK")))</f>
        <v/>
      </c>
    </row>
    <row r="195" customFormat="false" ht="15" hidden="false" customHeight="true" outlineLevel="0" collapsed="false">
      <c r="A195" s="6"/>
      <c r="B195" s="7"/>
      <c r="C195" s="7"/>
      <c r="D195" s="5"/>
      <c r="E195" s="17"/>
      <c r="F195" s="9"/>
      <c r="G195" s="7"/>
      <c r="H195" s="12" t="str">
        <f aca="false">IF($B195="","",N($D195)*N($E195))</f>
        <v/>
      </c>
      <c r="I195" s="12" t="str">
        <f aca="false">IF($B195="","",$H195-N($F195))</f>
        <v/>
      </c>
      <c r="J195" s="10" t="str">
        <f aca="false">IF($B195="","",IF(OR($A195="",$D195="",$E195=""),"Faltan datos obligatorios",IF(AND($C195&lt;&gt;"",ISNA(MATCH($C195,Acciones!$A$2:$A$201,0))),"El ID lote no existe en Acciones","OK")))</f>
        <v/>
      </c>
    </row>
    <row r="196" customFormat="false" ht="15" hidden="false" customHeight="true" outlineLevel="0" collapsed="false">
      <c r="A196" s="6"/>
      <c r="B196" s="7"/>
      <c r="C196" s="7"/>
      <c r="D196" s="5"/>
      <c r="E196" s="17"/>
      <c r="F196" s="9"/>
      <c r="G196" s="7"/>
      <c r="H196" s="12" t="str">
        <f aca="false">IF($B196="","",N($D196)*N($E196))</f>
        <v/>
      </c>
      <c r="I196" s="12" t="str">
        <f aca="false">IF($B196="","",$H196-N($F196))</f>
        <v/>
      </c>
      <c r="J196" s="10" t="str">
        <f aca="false">IF($B196="","",IF(OR($A196="",$D196="",$E196=""),"Faltan datos obligatorios",IF(AND($C196&lt;&gt;"",ISNA(MATCH($C196,Acciones!$A$2:$A$201,0))),"El ID lote no existe en Acciones","OK")))</f>
        <v/>
      </c>
    </row>
    <row r="197" customFormat="false" ht="15" hidden="false" customHeight="true" outlineLevel="0" collapsed="false">
      <c r="A197" s="6"/>
      <c r="B197" s="7"/>
      <c r="C197" s="7"/>
      <c r="D197" s="5"/>
      <c r="E197" s="17"/>
      <c r="F197" s="9"/>
      <c r="G197" s="7"/>
      <c r="H197" s="12" t="str">
        <f aca="false">IF($B197="","",N($D197)*N($E197))</f>
        <v/>
      </c>
      <c r="I197" s="12" t="str">
        <f aca="false">IF($B197="","",$H197-N($F197))</f>
        <v/>
      </c>
      <c r="J197" s="10" t="str">
        <f aca="false">IF($B197="","",IF(OR($A197="",$D197="",$E197=""),"Faltan datos obligatorios",IF(AND($C197&lt;&gt;"",ISNA(MATCH($C197,Acciones!$A$2:$A$201,0))),"El ID lote no existe en Acciones","OK")))</f>
        <v/>
      </c>
    </row>
    <row r="198" customFormat="false" ht="15" hidden="false" customHeight="true" outlineLevel="0" collapsed="false">
      <c r="A198" s="6"/>
      <c r="B198" s="7"/>
      <c r="C198" s="7"/>
      <c r="D198" s="5"/>
      <c r="E198" s="17"/>
      <c r="F198" s="9"/>
      <c r="G198" s="7"/>
      <c r="H198" s="12" t="str">
        <f aca="false">IF($B198="","",N($D198)*N($E198))</f>
        <v/>
      </c>
      <c r="I198" s="12" t="str">
        <f aca="false">IF($B198="","",$H198-N($F198))</f>
        <v/>
      </c>
      <c r="J198" s="10" t="str">
        <f aca="false">IF($B198="","",IF(OR($A198="",$D198="",$E198=""),"Faltan datos obligatorios",IF(AND($C198&lt;&gt;"",ISNA(MATCH($C198,Acciones!$A$2:$A$201,0))),"El ID lote no existe en Acciones","OK")))</f>
        <v/>
      </c>
    </row>
    <row r="199" customFormat="false" ht="15" hidden="false" customHeight="true" outlineLevel="0" collapsed="false">
      <c r="A199" s="6"/>
      <c r="B199" s="7"/>
      <c r="C199" s="7"/>
      <c r="D199" s="5"/>
      <c r="E199" s="17"/>
      <c r="F199" s="9"/>
      <c r="G199" s="7"/>
      <c r="H199" s="12" t="str">
        <f aca="false">IF($B199="","",N($D199)*N($E199))</f>
        <v/>
      </c>
      <c r="I199" s="12" t="str">
        <f aca="false">IF($B199="","",$H199-N($F199))</f>
        <v/>
      </c>
      <c r="J199" s="10" t="str">
        <f aca="false">IF($B199="","",IF(OR($A199="",$D199="",$E199=""),"Faltan datos obligatorios",IF(AND($C199&lt;&gt;"",ISNA(MATCH($C199,Acciones!$A$2:$A$201,0))),"El ID lote no existe en Acciones","OK")))</f>
        <v/>
      </c>
    </row>
    <row r="200" customFormat="false" ht="15" hidden="false" customHeight="true" outlineLevel="0" collapsed="false">
      <c r="A200" s="6"/>
      <c r="B200" s="7"/>
      <c r="C200" s="7"/>
      <c r="D200" s="5"/>
      <c r="E200" s="17"/>
      <c r="F200" s="9"/>
      <c r="G200" s="7"/>
      <c r="H200" s="12" t="str">
        <f aca="false">IF($B200="","",N($D200)*N($E200))</f>
        <v/>
      </c>
      <c r="I200" s="12" t="str">
        <f aca="false">IF($B200="","",$H200-N($F200))</f>
        <v/>
      </c>
      <c r="J200" s="10" t="str">
        <f aca="false">IF($B200="","",IF(OR($A200="",$D200="",$E200=""),"Faltan datos obligatorios",IF(AND($C200&lt;&gt;"",ISNA(MATCH($C200,Acciones!$A$2:$A$201,0))),"El ID lote no existe en Acciones","OK")))</f>
        <v/>
      </c>
    </row>
    <row r="201" customFormat="false" ht="15" hidden="false" customHeight="true" outlineLevel="0" collapsed="false">
      <c r="A201" s="6"/>
      <c r="B201" s="7"/>
      <c r="C201" s="7"/>
      <c r="D201" s="5"/>
      <c r="E201" s="17"/>
      <c r="F201" s="9"/>
      <c r="G201" s="7"/>
      <c r="H201" s="12" t="str">
        <f aca="false">IF($B201="","",N($D201)*N($E201))</f>
        <v/>
      </c>
      <c r="I201" s="12" t="str">
        <f aca="false">IF($B201="","",$H201-N($F201))</f>
        <v/>
      </c>
      <c r="J201" s="10" t="str">
        <f aca="false">IF($B201="","",IF(OR($A201="",$D201="",$E201=""),"Faltan datos obligatorios",IF(AND($C201&lt;&gt;"",ISNA(MATCH($C201,Acciones!$A$2:$A$201,0))),"El ID lote no existe en Acciones","OK")))</f>
        <v/>
      </c>
    </row>
    <row r="202" customFormat="false" ht="15" hidden="false" customHeight="true" outlineLevel="0" collapsed="false">
      <c r="A202" s="6"/>
      <c r="B202" s="7"/>
      <c r="C202" s="7"/>
      <c r="D202" s="5"/>
      <c r="E202" s="17"/>
      <c r="F202" s="9"/>
      <c r="G202" s="7"/>
      <c r="H202" s="12" t="str">
        <f aca="false">IF($B202="","",N($D202)*N($E202))</f>
        <v/>
      </c>
      <c r="I202" s="12" t="str">
        <f aca="false">IF($B202="","",$H202-N($F202))</f>
        <v/>
      </c>
      <c r="J202" s="10" t="str">
        <f aca="false">IF($B202="","",IF(OR($A202="",$D202="",$E202=""),"Faltan datos obligatorios",IF(AND($C202&lt;&gt;"",ISNA(MATCH($C202,Acciones!$A$2:$A$201,0))),"El ID lote no existe en Acciones","OK")))</f>
        <v/>
      </c>
    </row>
    <row r="203" customFormat="false" ht="15" hidden="false" customHeight="true" outlineLevel="0" collapsed="false">
      <c r="A203" s="6"/>
      <c r="B203" s="7"/>
      <c r="C203" s="7"/>
      <c r="D203" s="5"/>
      <c r="E203" s="17"/>
      <c r="F203" s="9"/>
      <c r="G203" s="7"/>
      <c r="H203" s="12" t="str">
        <f aca="false">IF($B203="","",N($D203)*N($E203))</f>
        <v/>
      </c>
      <c r="I203" s="12" t="str">
        <f aca="false">IF($B203="","",$H203-N($F203))</f>
        <v/>
      </c>
      <c r="J203" s="10" t="str">
        <f aca="false">IF($B203="","",IF(OR($A203="",$D203="",$E203=""),"Faltan datos obligatorios",IF(AND($C203&lt;&gt;"",ISNA(MATCH($C203,Acciones!$A$2:$A$201,0))),"El ID lote no existe en Acciones","OK")))</f>
        <v/>
      </c>
    </row>
    <row r="204" customFormat="false" ht="15" hidden="false" customHeight="true" outlineLevel="0" collapsed="false">
      <c r="A204" s="6"/>
      <c r="B204" s="7"/>
      <c r="C204" s="7"/>
      <c r="D204" s="5"/>
      <c r="E204" s="17"/>
      <c r="F204" s="9"/>
      <c r="G204" s="7"/>
      <c r="H204" s="12" t="str">
        <f aca="false">IF($B204="","",N($D204)*N($E204))</f>
        <v/>
      </c>
      <c r="I204" s="12" t="str">
        <f aca="false">IF($B204="","",$H204-N($F204))</f>
        <v/>
      </c>
      <c r="J204" s="10" t="str">
        <f aca="false">IF($B204="","",IF(OR($A204="",$D204="",$E204=""),"Faltan datos obligatorios",IF(AND($C204&lt;&gt;"",ISNA(MATCH($C204,Acciones!$A$2:$A$201,0))),"El ID lote no existe en Acciones","OK")))</f>
        <v/>
      </c>
    </row>
    <row r="205" customFormat="false" ht="15" hidden="false" customHeight="true" outlineLevel="0" collapsed="false">
      <c r="A205" s="6"/>
      <c r="B205" s="7"/>
      <c r="C205" s="7"/>
      <c r="D205" s="5"/>
      <c r="E205" s="17"/>
      <c r="F205" s="9"/>
      <c r="G205" s="7"/>
      <c r="H205" s="12" t="str">
        <f aca="false">IF($B205="","",N($D205)*N($E205))</f>
        <v/>
      </c>
      <c r="I205" s="12" t="str">
        <f aca="false">IF($B205="","",$H205-N($F205))</f>
        <v/>
      </c>
      <c r="J205" s="10" t="str">
        <f aca="false">IF($B205="","",IF(OR($A205="",$D205="",$E205=""),"Faltan datos obligatorios",IF(AND($C205&lt;&gt;"",ISNA(MATCH($C205,Acciones!$A$2:$A$201,0))),"El ID lote no existe en Acciones","OK")))</f>
        <v/>
      </c>
    </row>
    <row r="206" customFormat="false" ht="15" hidden="false" customHeight="true" outlineLevel="0" collapsed="false">
      <c r="A206" s="6"/>
      <c r="B206" s="7"/>
      <c r="C206" s="7"/>
      <c r="D206" s="5"/>
      <c r="E206" s="17"/>
      <c r="F206" s="9"/>
      <c r="G206" s="7"/>
      <c r="H206" s="12" t="str">
        <f aca="false">IF($B206="","",N($D206)*N($E206))</f>
        <v/>
      </c>
      <c r="I206" s="12" t="str">
        <f aca="false">IF($B206="","",$H206-N($F206))</f>
        <v/>
      </c>
      <c r="J206" s="10" t="str">
        <f aca="false">IF($B206="","",IF(OR($A206="",$D206="",$E206=""),"Faltan datos obligatorios",IF(AND($C206&lt;&gt;"",ISNA(MATCH($C206,Acciones!$A$2:$A$201,0))),"El ID lote no existe en Acciones","OK")))</f>
        <v/>
      </c>
    </row>
    <row r="207" customFormat="false" ht="15" hidden="false" customHeight="true" outlineLevel="0" collapsed="false">
      <c r="A207" s="6"/>
      <c r="B207" s="7"/>
      <c r="C207" s="7"/>
      <c r="D207" s="5"/>
      <c r="E207" s="17"/>
      <c r="F207" s="9"/>
      <c r="G207" s="7"/>
      <c r="H207" s="12" t="str">
        <f aca="false">IF($B207="","",N($D207)*N($E207))</f>
        <v/>
      </c>
      <c r="I207" s="12" t="str">
        <f aca="false">IF($B207="","",$H207-N($F207))</f>
        <v/>
      </c>
      <c r="J207" s="10" t="str">
        <f aca="false">IF($B207="","",IF(OR($A207="",$D207="",$E207=""),"Faltan datos obligatorios",IF(AND($C207&lt;&gt;"",ISNA(MATCH($C207,Acciones!$A$2:$A$201,0))),"El ID lote no existe en Acciones","OK")))</f>
        <v/>
      </c>
    </row>
    <row r="208" customFormat="false" ht="15" hidden="false" customHeight="true" outlineLevel="0" collapsed="false">
      <c r="A208" s="6"/>
      <c r="B208" s="7"/>
      <c r="C208" s="7"/>
      <c r="D208" s="5"/>
      <c r="E208" s="17"/>
      <c r="F208" s="9"/>
      <c r="G208" s="7"/>
      <c r="H208" s="12" t="str">
        <f aca="false">IF($B208="","",N($D208)*N($E208))</f>
        <v/>
      </c>
      <c r="I208" s="12" t="str">
        <f aca="false">IF($B208="","",$H208-N($F208))</f>
        <v/>
      </c>
      <c r="J208" s="10" t="str">
        <f aca="false">IF($B208="","",IF(OR($A208="",$D208="",$E208=""),"Faltan datos obligatorios",IF(AND($C208&lt;&gt;"",ISNA(MATCH($C208,Acciones!$A$2:$A$201,0))),"El ID lote no existe en Acciones","OK")))</f>
        <v/>
      </c>
    </row>
    <row r="209" customFormat="false" ht="15" hidden="false" customHeight="true" outlineLevel="0" collapsed="false">
      <c r="A209" s="6"/>
      <c r="B209" s="7"/>
      <c r="C209" s="7"/>
      <c r="D209" s="5"/>
      <c r="E209" s="17"/>
      <c r="F209" s="9"/>
      <c r="G209" s="7"/>
      <c r="H209" s="12" t="str">
        <f aca="false">IF($B209="","",N($D209)*N($E209))</f>
        <v/>
      </c>
      <c r="I209" s="12" t="str">
        <f aca="false">IF($B209="","",$H209-N($F209))</f>
        <v/>
      </c>
      <c r="J209" s="10" t="str">
        <f aca="false">IF($B209="","",IF(OR($A209="",$D209="",$E209=""),"Faltan datos obligatorios",IF(AND($C209&lt;&gt;"",ISNA(MATCH($C209,Acciones!$A$2:$A$201,0))),"El ID lote no existe en Acciones","OK")))</f>
        <v/>
      </c>
    </row>
    <row r="210" customFormat="false" ht="15" hidden="false" customHeight="true" outlineLevel="0" collapsed="false">
      <c r="A210" s="6"/>
      <c r="B210" s="7"/>
      <c r="C210" s="7"/>
      <c r="D210" s="5"/>
      <c r="E210" s="17"/>
      <c r="F210" s="9"/>
      <c r="G210" s="7"/>
      <c r="H210" s="12" t="str">
        <f aca="false">IF($B210="","",N($D210)*N($E210))</f>
        <v/>
      </c>
      <c r="I210" s="12" t="str">
        <f aca="false">IF($B210="","",$H210-N($F210))</f>
        <v/>
      </c>
      <c r="J210" s="10" t="str">
        <f aca="false">IF($B210="","",IF(OR($A210="",$D210="",$E210=""),"Faltan datos obligatorios",IF(AND($C210&lt;&gt;"",ISNA(MATCH($C210,Acciones!$A$2:$A$201,0))),"El ID lote no existe en Acciones","OK")))</f>
        <v/>
      </c>
    </row>
    <row r="211" customFormat="false" ht="15" hidden="false" customHeight="true" outlineLevel="0" collapsed="false">
      <c r="A211" s="6"/>
      <c r="B211" s="7"/>
      <c r="C211" s="7"/>
      <c r="D211" s="5"/>
      <c r="E211" s="17"/>
      <c r="F211" s="9"/>
      <c r="G211" s="7"/>
      <c r="H211" s="12" t="str">
        <f aca="false">IF($B211="","",N($D211)*N($E211))</f>
        <v/>
      </c>
      <c r="I211" s="12" t="str">
        <f aca="false">IF($B211="","",$H211-N($F211))</f>
        <v/>
      </c>
      <c r="J211" s="10" t="str">
        <f aca="false">IF($B211="","",IF(OR($A211="",$D211="",$E211=""),"Faltan datos obligatorios",IF(AND($C211&lt;&gt;"",ISNA(MATCH($C211,Acciones!$A$2:$A$201,0))),"El ID lote no existe en Acciones","OK")))</f>
        <v/>
      </c>
    </row>
    <row r="212" customFormat="false" ht="15" hidden="false" customHeight="true" outlineLevel="0" collapsed="false">
      <c r="A212" s="6"/>
      <c r="B212" s="7"/>
      <c r="C212" s="7"/>
      <c r="D212" s="5"/>
      <c r="E212" s="17"/>
      <c r="F212" s="9"/>
      <c r="G212" s="7"/>
      <c r="H212" s="12" t="str">
        <f aca="false">IF($B212="","",N($D212)*N($E212))</f>
        <v/>
      </c>
      <c r="I212" s="12" t="str">
        <f aca="false">IF($B212="","",$H212-N($F212))</f>
        <v/>
      </c>
      <c r="J212" s="10" t="str">
        <f aca="false">IF($B212="","",IF(OR($A212="",$D212="",$E212=""),"Faltan datos obligatorios",IF(AND($C212&lt;&gt;"",ISNA(MATCH($C212,Acciones!$A$2:$A$201,0))),"El ID lote no existe en Acciones","OK")))</f>
        <v/>
      </c>
    </row>
    <row r="213" customFormat="false" ht="15" hidden="false" customHeight="true" outlineLevel="0" collapsed="false">
      <c r="A213" s="6"/>
      <c r="B213" s="7"/>
      <c r="C213" s="7"/>
      <c r="D213" s="5"/>
      <c r="E213" s="17"/>
      <c r="F213" s="9"/>
      <c r="G213" s="7"/>
      <c r="H213" s="12" t="str">
        <f aca="false">IF($B213="","",N($D213)*N($E213))</f>
        <v/>
      </c>
      <c r="I213" s="12" t="str">
        <f aca="false">IF($B213="","",$H213-N($F213))</f>
        <v/>
      </c>
      <c r="J213" s="10" t="str">
        <f aca="false">IF($B213="","",IF(OR($A213="",$D213="",$E213=""),"Faltan datos obligatorios",IF(AND($C213&lt;&gt;"",ISNA(MATCH($C213,Acciones!$A$2:$A$201,0))),"El ID lote no existe en Acciones","OK")))</f>
        <v/>
      </c>
    </row>
    <row r="214" customFormat="false" ht="15" hidden="false" customHeight="true" outlineLevel="0" collapsed="false">
      <c r="A214" s="6"/>
      <c r="B214" s="7"/>
      <c r="C214" s="7"/>
      <c r="D214" s="5"/>
      <c r="E214" s="17"/>
      <c r="F214" s="9"/>
      <c r="G214" s="7"/>
      <c r="H214" s="12" t="str">
        <f aca="false">IF($B214="","",N($D214)*N($E214))</f>
        <v/>
      </c>
      <c r="I214" s="12" t="str">
        <f aca="false">IF($B214="","",$H214-N($F214))</f>
        <v/>
      </c>
      <c r="J214" s="10" t="str">
        <f aca="false">IF($B214="","",IF(OR($A214="",$D214="",$E214=""),"Faltan datos obligatorios",IF(AND($C214&lt;&gt;"",ISNA(MATCH($C214,Acciones!$A$2:$A$201,0))),"El ID lote no existe en Acciones","OK")))</f>
        <v/>
      </c>
    </row>
    <row r="215" customFormat="false" ht="15" hidden="false" customHeight="true" outlineLevel="0" collapsed="false">
      <c r="A215" s="6"/>
      <c r="B215" s="7"/>
      <c r="C215" s="7"/>
      <c r="D215" s="5"/>
      <c r="E215" s="17"/>
      <c r="F215" s="9"/>
      <c r="G215" s="7"/>
      <c r="H215" s="12" t="str">
        <f aca="false">IF($B215="","",N($D215)*N($E215))</f>
        <v/>
      </c>
      <c r="I215" s="12" t="str">
        <f aca="false">IF($B215="","",$H215-N($F215))</f>
        <v/>
      </c>
      <c r="J215" s="10" t="str">
        <f aca="false">IF($B215="","",IF(OR($A215="",$D215="",$E215=""),"Faltan datos obligatorios",IF(AND($C215&lt;&gt;"",ISNA(MATCH($C215,Acciones!$A$2:$A$201,0))),"El ID lote no existe en Acciones","OK")))</f>
        <v/>
      </c>
    </row>
    <row r="216" customFormat="false" ht="15" hidden="false" customHeight="true" outlineLevel="0" collapsed="false">
      <c r="A216" s="6"/>
      <c r="B216" s="7"/>
      <c r="C216" s="7"/>
      <c r="D216" s="5"/>
      <c r="E216" s="17"/>
      <c r="F216" s="9"/>
      <c r="G216" s="7"/>
      <c r="H216" s="12" t="str">
        <f aca="false">IF($B216="","",N($D216)*N($E216))</f>
        <v/>
      </c>
      <c r="I216" s="12" t="str">
        <f aca="false">IF($B216="","",$H216-N($F216))</f>
        <v/>
      </c>
      <c r="J216" s="10" t="str">
        <f aca="false">IF($B216="","",IF(OR($A216="",$D216="",$E216=""),"Faltan datos obligatorios",IF(AND($C216&lt;&gt;"",ISNA(MATCH($C216,Acciones!$A$2:$A$201,0))),"El ID lote no existe en Acciones","OK")))</f>
        <v/>
      </c>
    </row>
    <row r="217" customFormat="false" ht="15" hidden="false" customHeight="true" outlineLevel="0" collapsed="false">
      <c r="A217" s="6"/>
      <c r="B217" s="7"/>
      <c r="C217" s="7"/>
      <c r="D217" s="5"/>
      <c r="E217" s="17"/>
      <c r="F217" s="9"/>
      <c r="G217" s="7"/>
      <c r="H217" s="12" t="str">
        <f aca="false">IF($B217="","",N($D217)*N($E217))</f>
        <v/>
      </c>
      <c r="I217" s="12" t="str">
        <f aca="false">IF($B217="","",$H217-N($F217))</f>
        <v/>
      </c>
      <c r="J217" s="10" t="str">
        <f aca="false">IF($B217="","",IF(OR($A217="",$D217="",$E217=""),"Faltan datos obligatorios",IF(AND($C217&lt;&gt;"",ISNA(MATCH($C217,Acciones!$A$2:$A$201,0))),"El ID lote no existe en Acciones","OK")))</f>
        <v/>
      </c>
    </row>
    <row r="218" customFormat="false" ht="15" hidden="false" customHeight="true" outlineLevel="0" collapsed="false">
      <c r="A218" s="6"/>
      <c r="B218" s="7"/>
      <c r="C218" s="7"/>
      <c r="D218" s="5"/>
      <c r="E218" s="17"/>
      <c r="F218" s="9"/>
      <c r="G218" s="7"/>
      <c r="H218" s="12" t="str">
        <f aca="false">IF($B218="","",N($D218)*N($E218))</f>
        <v/>
      </c>
      <c r="I218" s="12" t="str">
        <f aca="false">IF($B218="","",$H218-N($F218))</f>
        <v/>
      </c>
      <c r="J218" s="10" t="str">
        <f aca="false">IF($B218="","",IF(OR($A218="",$D218="",$E218=""),"Faltan datos obligatorios",IF(AND($C218&lt;&gt;"",ISNA(MATCH($C218,Acciones!$A$2:$A$201,0))),"El ID lote no existe en Acciones","OK")))</f>
        <v/>
      </c>
    </row>
    <row r="219" customFormat="false" ht="15" hidden="false" customHeight="true" outlineLevel="0" collapsed="false">
      <c r="A219" s="6"/>
      <c r="B219" s="7"/>
      <c r="C219" s="7"/>
      <c r="D219" s="5"/>
      <c r="E219" s="17"/>
      <c r="F219" s="9"/>
      <c r="G219" s="7"/>
      <c r="H219" s="12" t="str">
        <f aca="false">IF($B219="","",N($D219)*N($E219))</f>
        <v/>
      </c>
      <c r="I219" s="12" t="str">
        <f aca="false">IF($B219="","",$H219-N($F219))</f>
        <v/>
      </c>
      <c r="J219" s="10" t="str">
        <f aca="false">IF($B219="","",IF(OR($A219="",$D219="",$E219=""),"Faltan datos obligatorios",IF(AND($C219&lt;&gt;"",ISNA(MATCH($C219,Acciones!$A$2:$A$201,0))),"El ID lote no existe en Acciones","OK")))</f>
        <v/>
      </c>
    </row>
    <row r="220" customFormat="false" ht="15" hidden="false" customHeight="true" outlineLevel="0" collapsed="false">
      <c r="A220" s="6"/>
      <c r="B220" s="7"/>
      <c r="C220" s="7"/>
      <c r="D220" s="5"/>
      <c r="E220" s="17"/>
      <c r="F220" s="9"/>
      <c r="G220" s="7"/>
      <c r="H220" s="12" t="str">
        <f aca="false">IF($B220="","",N($D220)*N($E220))</f>
        <v/>
      </c>
      <c r="I220" s="12" t="str">
        <f aca="false">IF($B220="","",$H220-N($F220))</f>
        <v/>
      </c>
      <c r="J220" s="10" t="str">
        <f aca="false">IF($B220="","",IF(OR($A220="",$D220="",$E220=""),"Faltan datos obligatorios",IF(AND($C220&lt;&gt;"",ISNA(MATCH($C220,Acciones!$A$2:$A$201,0))),"El ID lote no existe en Acciones","OK")))</f>
        <v/>
      </c>
    </row>
    <row r="221" customFormat="false" ht="15" hidden="false" customHeight="true" outlineLevel="0" collapsed="false">
      <c r="A221" s="6"/>
      <c r="B221" s="7"/>
      <c r="C221" s="7"/>
      <c r="D221" s="5"/>
      <c r="E221" s="17"/>
      <c r="F221" s="9"/>
      <c r="G221" s="7"/>
      <c r="H221" s="12" t="str">
        <f aca="false">IF($B221="","",N($D221)*N($E221))</f>
        <v/>
      </c>
      <c r="I221" s="12" t="str">
        <f aca="false">IF($B221="","",$H221-N($F221))</f>
        <v/>
      </c>
      <c r="J221" s="10" t="str">
        <f aca="false">IF($B221="","",IF(OR($A221="",$D221="",$E221=""),"Faltan datos obligatorios",IF(AND($C221&lt;&gt;"",ISNA(MATCH($C221,Acciones!$A$2:$A$201,0))),"El ID lote no existe en Acciones","OK")))</f>
        <v/>
      </c>
    </row>
    <row r="222" customFormat="false" ht="15" hidden="false" customHeight="true" outlineLevel="0" collapsed="false">
      <c r="A222" s="6"/>
      <c r="B222" s="7"/>
      <c r="C222" s="7"/>
      <c r="D222" s="5"/>
      <c r="E222" s="17"/>
      <c r="F222" s="9"/>
      <c r="G222" s="7"/>
      <c r="H222" s="12" t="str">
        <f aca="false">IF($B222="","",N($D222)*N($E222))</f>
        <v/>
      </c>
      <c r="I222" s="12" t="str">
        <f aca="false">IF($B222="","",$H222-N($F222))</f>
        <v/>
      </c>
      <c r="J222" s="10" t="str">
        <f aca="false">IF($B222="","",IF(OR($A222="",$D222="",$E222=""),"Faltan datos obligatorios",IF(AND($C222&lt;&gt;"",ISNA(MATCH($C222,Acciones!$A$2:$A$201,0))),"El ID lote no existe en Acciones","OK")))</f>
        <v/>
      </c>
    </row>
    <row r="223" customFormat="false" ht="15" hidden="false" customHeight="true" outlineLevel="0" collapsed="false">
      <c r="A223" s="6"/>
      <c r="B223" s="7"/>
      <c r="C223" s="7"/>
      <c r="D223" s="5"/>
      <c r="E223" s="17"/>
      <c r="F223" s="9"/>
      <c r="G223" s="7"/>
      <c r="H223" s="12" t="str">
        <f aca="false">IF($B223="","",N($D223)*N($E223))</f>
        <v/>
      </c>
      <c r="I223" s="12" t="str">
        <f aca="false">IF($B223="","",$H223-N($F223))</f>
        <v/>
      </c>
      <c r="J223" s="10" t="str">
        <f aca="false">IF($B223="","",IF(OR($A223="",$D223="",$E223=""),"Faltan datos obligatorios",IF(AND($C223&lt;&gt;"",ISNA(MATCH($C223,Acciones!$A$2:$A$201,0))),"El ID lote no existe en Acciones","OK")))</f>
        <v/>
      </c>
    </row>
    <row r="224" customFormat="false" ht="15" hidden="false" customHeight="true" outlineLevel="0" collapsed="false">
      <c r="A224" s="6"/>
      <c r="B224" s="7"/>
      <c r="C224" s="7"/>
      <c r="D224" s="5"/>
      <c r="E224" s="17"/>
      <c r="F224" s="9"/>
      <c r="G224" s="7"/>
      <c r="H224" s="12" t="str">
        <f aca="false">IF($B224="","",N($D224)*N($E224))</f>
        <v/>
      </c>
      <c r="I224" s="12" t="str">
        <f aca="false">IF($B224="","",$H224-N($F224))</f>
        <v/>
      </c>
      <c r="J224" s="10" t="str">
        <f aca="false">IF($B224="","",IF(OR($A224="",$D224="",$E224=""),"Faltan datos obligatorios",IF(AND($C224&lt;&gt;"",ISNA(MATCH($C224,Acciones!$A$2:$A$201,0))),"El ID lote no existe en Acciones","OK")))</f>
        <v/>
      </c>
    </row>
    <row r="225" customFormat="false" ht="15" hidden="false" customHeight="true" outlineLevel="0" collapsed="false">
      <c r="A225" s="6"/>
      <c r="B225" s="7"/>
      <c r="C225" s="7"/>
      <c r="D225" s="5"/>
      <c r="E225" s="17"/>
      <c r="F225" s="9"/>
      <c r="G225" s="7"/>
      <c r="H225" s="12" t="str">
        <f aca="false">IF($B225="","",N($D225)*N($E225))</f>
        <v/>
      </c>
      <c r="I225" s="12" t="str">
        <f aca="false">IF($B225="","",$H225-N($F225))</f>
        <v/>
      </c>
      <c r="J225" s="10" t="str">
        <f aca="false">IF($B225="","",IF(OR($A225="",$D225="",$E225=""),"Faltan datos obligatorios",IF(AND($C225&lt;&gt;"",ISNA(MATCH($C225,Acciones!$A$2:$A$201,0))),"El ID lote no existe en Acciones","OK")))</f>
        <v/>
      </c>
    </row>
    <row r="226" customFormat="false" ht="15" hidden="false" customHeight="true" outlineLevel="0" collapsed="false">
      <c r="A226" s="6"/>
      <c r="B226" s="7"/>
      <c r="C226" s="7"/>
      <c r="D226" s="5"/>
      <c r="E226" s="17"/>
      <c r="F226" s="9"/>
      <c r="G226" s="7"/>
      <c r="H226" s="12" t="str">
        <f aca="false">IF($B226="","",N($D226)*N($E226))</f>
        <v/>
      </c>
      <c r="I226" s="12" t="str">
        <f aca="false">IF($B226="","",$H226-N($F226))</f>
        <v/>
      </c>
      <c r="J226" s="10" t="str">
        <f aca="false">IF($B226="","",IF(OR($A226="",$D226="",$E226=""),"Faltan datos obligatorios",IF(AND($C226&lt;&gt;"",ISNA(MATCH($C226,Acciones!$A$2:$A$201,0))),"El ID lote no existe en Acciones","OK")))</f>
        <v/>
      </c>
    </row>
    <row r="227" customFormat="false" ht="15" hidden="false" customHeight="true" outlineLevel="0" collapsed="false">
      <c r="A227" s="6"/>
      <c r="B227" s="7"/>
      <c r="C227" s="7"/>
      <c r="D227" s="5"/>
      <c r="E227" s="17"/>
      <c r="F227" s="9"/>
      <c r="G227" s="7"/>
      <c r="H227" s="12" t="str">
        <f aca="false">IF($B227="","",N($D227)*N($E227))</f>
        <v/>
      </c>
      <c r="I227" s="12" t="str">
        <f aca="false">IF($B227="","",$H227-N($F227))</f>
        <v/>
      </c>
      <c r="J227" s="10" t="str">
        <f aca="false">IF($B227="","",IF(OR($A227="",$D227="",$E227=""),"Faltan datos obligatorios",IF(AND($C227&lt;&gt;"",ISNA(MATCH($C227,Acciones!$A$2:$A$201,0))),"El ID lote no existe en Acciones","OK")))</f>
        <v/>
      </c>
    </row>
    <row r="228" customFormat="false" ht="15" hidden="false" customHeight="true" outlineLevel="0" collapsed="false">
      <c r="A228" s="6"/>
      <c r="B228" s="7"/>
      <c r="C228" s="7"/>
      <c r="D228" s="5"/>
      <c r="E228" s="17"/>
      <c r="F228" s="9"/>
      <c r="G228" s="7"/>
      <c r="H228" s="12" t="str">
        <f aca="false">IF($B228="","",N($D228)*N($E228))</f>
        <v/>
      </c>
      <c r="I228" s="12" t="str">
        <f aca="false">IF($B228="","",$H228-N($F228))</f>
        <v/>
      </c>
      <c r="J228" s="10" t="str">
        <f aca="false">IF($B228="","",IF(OR($A228="",$D228="",$E228=""),"Faltan datos obligatorios",IF(AND($C228&lt;&gt;"",ISNA(MATCH($C228,Acciones!$A$2:$A$201,0))),"El ID lote no existe en Acciones","OK")))</f>
        <v/>
      </c>
    </row>
    <row r="229" customFormat="false" ht="15" hidden="false" customHeight="true" outlineLevel="0" collapsed="false">
      <c r="A229" s="6"/>
      <c r="B229" s="7"/>
      <c r="C229" s="7"/>
      <c r="D229" s="5"/>
      <c r="E229" s="17"/>
      <c r="F229" s="9"/>
      <c r="G229" s="7"/>
      <c r="H229" s="12" t="str">
        <f aca="false">IF($B229="","",N($D229)*N($E229))</f>
        <v/>
      </c>
      <c r="I229" s="12" t="str">
        <f aca="false">IF($B229="","",$H229-N($F229))</f>
        <v/>
      </c>
      <c r="J229" s="10" t="str">
        <f aca="false">IF($B229="","",IF(OR($A229="",$D229="",$E229=""),"Faltan datos obligatorios",IF(AND($C229&lt;&gt;"",ISNA(MATCH($C229,Acciones!$A$2:$A$201,0))),"El ID lote no existe en Acciones","OK")))</f>
        <v/>
      </c>
    </row>
    <row r="230" customFormat="false" ht="15" hidden="false" customHeight="true" outlineLevel="0" collapsed="false">
      <c r="A230" s="6"/>
      <c r="B230" s="7"/>
      <c r="C230" s="7"/>
      <c r="D230" s="5"/>
      <c r="E230" s="17"/>
      <c r="F230" s="9"/>
      <c r="G230" s="7"/>
      <c r="H230" s="12" t="str">
        <f aca="false">IF($B230="","",N($D230)*N($E230))</f>
        <v/>
      </c>
      <c r="I230" s="12" t="str">
        <f aca="false">IF($B230="","",$H230-N($F230))</f>
        <v/>
      </c>
      <c r="J230" s="10" t="str">
        <f aca="false">IF($B230="","",IF(OR($A230="",$D230="",$E230=""),"Faltan datos obligatorios",IF(AND($C230&lt;&gt;"",ISNA(MATCH($C230,Acciones!$A$2:$A$201,0))),"El ID lote no existe en Acciones","OK")))</f>
        <v/>
      </c>
    </row>
    <row r="231" customFormat="false" ht="15" hidden="false" customHeight="true" outlineLevel="0" collapsed="false">
      <c r="A231" s="6"/>
      <c r="B231" s="7"/>
      <c r="C231" s="7"/>
      <c r="D231" s="5"/>
      <c r="E231" s="17"/>
      <c r="F231" s="9"/>
      <c r="G231" s="7"/>
      <c r="H231" s="12" t="str">
        <f aca="false">IF($B231="","",N($D231)*N($E231))</f>
        <v/>
      </c>
      <c r="I231" s="12" t="str">
        <f aca="false">IF($B231="","",$H231-N($F231))</f>
        <v/>
      </c>
      <c r="J231" s="10" t="str">
        <f aca="false">IF($B231="","",IF(OR($A231="",$D231="",$E231=""),"Faltan datos obligatorios",IF(AND($C231&lt;&gt;"",ISNA(MATCH($C231,Acciones!$A$2:$A$201,0))),"El ID lote no existe en Acciones","OK")))</f>
        <v/>
      </c>
    </row>
    <row r="232" customFormat="false" ht="15" hidden="false" customHeight="true" outlineLevel="0" collapsed="false">
      <c r="A232" s="6"/>
      <c r="B232" s="7"/>
      <c r="C232" s="7"/>
      <c r="D232" s="5"/>
      <c r="E232" s="17"/>
      <c r="F232" s="9"/>
      <c r="G232" s="7"/>
      <c r="H232" s="12" t="str">
        <f aca="false">IF($B232="","",N($D232)*N($E232))</f>
        <v/>
      </c>
      <c r="I232" s="12" t="str">
        <f aca="false">IF($B232="","",$H232-N($F232))</f>
        <v/>
      </c>
      <c r="J232" s="10" t="str">
        <f aca="false">IF($B232="","",IF(OR($A232="",$D232="",$E232=""),"Faltan datos obligatorios",IF(AND($C232&lt;&gt;"",ISNA(MATCH($C232,Acciones!$A$2:$A$201,0))),"El ID lote no existe en Acciones","OK")))</f>
        <v/>
      </c>
    </row>
    <row r="233" customFormat="false" ht="15" hidden="false" customHeight="true" outlineLevel="0" collapsed="false">
      <c r="A233" s="6"/>
      <c r="B233" s="7"/>
      <c r="C233" s="7"/>
      <c r="D233" s="5"/>
      <c r="E233" s="17"/>
      <c r="F233" s="9"/>
      <c r="G233" s="7"/>
      <c r="H233" s="12" t="str">
        <f aca="false">IF($B233="","",N($D233)*N($E233))</f>
        <v/>
      </c>
      <c r="I233" s="12" t="str">
        <f aca="false">IF($B233="","",$H233-N($F233))</f>
        <v/>
      </c>
      <c r="J233" s="10" t="str">
        <f aca="false">IF($B233="","",IF(OR($A233="",$D233="",$E233=""),"Faltan datos obligatorios",IF(AND($C233&lt;&gt;"",ISNA(MATCH($C233,Acciones!$A$2:$A$201,0))),"El ID lote no existe en Acciones","OK")))</f>
        <v/>
      </c>
    </row>
    <row r="234" customFormat="false" ht="15" hidden="false" customHeight="true" outlineLevel="0" collapsed="false">
      <c r="A234" s="6"/>
      <c r="B234" s="7"/>
      <c r="C234" s="7"/>
      <c r="D234" s="5"/>
      <c r="E234" s="17"/>
      <c r="F234" s="9"/>
      <c r="G234" s="7"/>
      <c r="H234" s="12" t="str">
        <f aca="false">IF($B234="","",N($D234)*N($E234))</f>
        <v/>
      </c>
      <c r="I234" s="12" t="str">
        <f aca="false">IF($B234="","",$H234-N($F234))</f>
        <v/>
      </c>
      <c r="J234" s="10" t="str">
        <f aca="false">IF($B234="","",IF(OR($A234="",$D234="",$E234=""),"Faltan datos obligatorios",IF(AND($C234&lt;&gt;"",ISNA(MATCH($C234,Acciones!$A$2:$A$201,0))),"El ID lote no existe en Acciones","OK")))</f>
        <v/>
      </c>
    </row>
    <row r="235" customFormat="false" ht="15" hidden="false" customHeight="true" outlineLevel="0" collapsed="false">
      <c r="A235" s="6"/>
      <c r="B235" s="7"/>
      <c r="C235" s="7"/>
      <c r="D235" s="5"/>
      <c r="E235" s="17"/>
      <c r="F235" s="9"/>
      <c r="G235" s="7"/>
      <c r="H235" s="12" t="str">
        <f aca="false">IF($B235="","",N($D235)*N($E235))</f>
        <v/>
      </c>
      <c r="I235" s="12" t="str">
        <f aca="false">IF($B235="","",$H235-N($F235))</f>
        <v/>
      </c>
      <c r="J235" s="10" t="str">
        <f aca="false">IF($B235="","",IF(OR($A235="",$D235="",$E235=""),"Faltan datos obligatorios",IF(AND($C235&lt;&gt;"",ISNA(MATCH($C235,Acciones!$A$2:$A$201,0))),"El ID lote no existe en Acciones","OK")))</f>
        <v/>
      </c>
    </row>
    <row r="236" customFormat="false" ht="15" hidden="false" customHeight="true" outlineLevel="0" collapsed="false">
      <c r="A236" s="6"/>
      <c r="B236" s="7"/>
      <c r="C236" s="7"/>
      <c r="D236" s="5"/>
      <c r="E236" s="17"/>
      <c r="F236" s="9"/>
      <c r="G236" s="7"/>
      <c r="H236" s="12" t="str">
        <f aca="false">IF($B236="","",N($D236)*N($E236))</f>
        <v/>
      </c>
      <c r="I236" s="12" t="str">
        <f aca="false">IF($B236="","",$H236-N($F236))</f>
        <v/>
      </c>
      <c r="J236" s="10" t="str">
        <f aca="false">IF($B236="","",IF(OR($A236="",$D236="",$E236=""),"Faltan datos obligatorios",IF(AND($C236&lt;&gt;"",ISNA(MATCH($C236,Acciones!$A$2:$A$201,0))),"El ID lote no existe en Acciones","OK")))</f>
        <v/>
      </c>
    </row>
    <row r="237" customFormat="false" ht="15" hidden="false" customHeight="true" outlineLevel="0" collapsed="false">
      <c r="A237" s="6"/>
      <c r="B237" s="7"/>
      <c r="C237" s="7"/>
      <c r="D237" s="5"/>
      <c r="E237" s="17"/>
      <c r="F237" s="9"/>
      <c r="G237" s="7"/>
      <c r="H237" s="12" t="str">
        <f aca="false">IF($B237="","",N($D237)*N($E237))</f>
        <v/>
      </c>
      <c r="I237" s="12" t="str">
        <f aca="false">IF($B237="","",$H237-N($F237))</f>
        <v/>
      </c>
      <c r="J237" s="10" t="str">
        <f aca="false">IF($B237="","",IF(OR($A237="",$D237="",$E237=""),"Faltan datos obligatorios",IF(AND($C237&lt;&gt;"",ISNA(MATCH($C237,Acciones!$A$2:$A$201,0))),"El ID lote no existe en Acciones","OK")))</f>
        <v/>
      </c>
    </row>
    <row r="238" customFormat="false" ht="15" hidden="false" customHeight="true" outlineLevel="0" collapsed="false">
      <c r="A238" s="6"/>
      <c r="B238" s="7"/>
      <c r="C238" s="7"/>
      <c r="D238" s="5"/>
      <c r="E238" s="17"/>
      <c r="F238" s="9"/>
      <c r="G238" s="7"/>
      <c r="H238" s="12" t="str">
        <f aca="false">IF($B238="","",N($D238)*N($E238))</f>
        <v/>
      </c>
      <c r="I238" s="12" t="str">
        <f aca="false">IF($B238="","",$H238-N($F238))</f>
        <v/>
      </c>
      <c r="J238" s="10" t="str">
        <f aca="false">IF($B238="","",IF(OR($A238="",$D238="",$E238=""),"Faltan datos obligatorios",IF(AND($C238&lt;&gt;"",ISNA(MATCH($C238,Acciones!$A$2:$A$201,0))),"El ID lote no existe en Acciones","OK")))</f>
        <v/>
      </c>
    </row>
    <row r="239" customFormat="false" ht="15" hidden="false" customHeight="true" outlineLevel="0" collapsed="false">
      <c r="A239" s="6"/>
      <c r="B239" s="7"/>
      <c r="C239" s="7"/>
      <c r="D239" s="5"/>
      <c r="E239" s="17"/>
      <c r="F239" s="9"/>
      <c r="G239" s="7"/>
      <c r="H239" s="12" t="str">
        <f aca="false">IF($B239="","",N($D239)*N($E239))</f>
        <v/>
      </c>
      <c r="I239" s="12" t="str">
        <f aca="false">IF($B239="","",$H239-N($F239))</f>
        <v/>
      </c>
      <c r="J239" s="10" t="str">
        <f aca="false">IF($B239="","",IF(OR($A239="",$D239="",$E239=""),"Faltan datos obligatorios",IF(AND($C239&lt;&gt;"",ISNA(MATCH($C239,Acciones!$A$2:$A$201,0))),"El ID lote no existe en Acciones","OK")))</f>
        <v/>
      </c>
    </row>
    <row r="240" customFormat="false" ht="15" hidden="false" customHeight="true" outlineLevel="0" collapsed="false">
      <c r="A240" s="6"/>
      <c r="B240" s="7"/>
      <c r="C240" s="7"/>
      <c r="D240" s="5"/>
      <c r="E240" s="17"/>
      <c r="F240" s="9"/>
      <c r="G240" s="7"/>
      <c r="H240" s="12" t="str">
        <f aca="false">IF($B240="","",N($D240)*N($E240))</f>
        <v/>
      </c>
      <c r="I240" s="12" t="str">
        <f aca="false">IF($B240="","",$H240-N($F240))</f>
        <v/>
      </c>
      <c r="J240" s="10" t="str">
        <f aca="false">IF($B240="","",IF(OR($A240="",$D240="",$E240=""),"Faltan datos obligatorios",IF(AND($C240&lt;&gt;"",ISNA(MATCH($C240,Acciones!$A$2:$A$201,0))),"El ID lote no existe en Acciones","OK")))</f>
        <v/>
      </c>
    </row>
    <row r="241" customFormat="false" ht="15" hidden="false" customHeight="true" outlineLevel="0" collapsed="false">
      <c r="A241" s="6"/>
      <c r="B241" s="7"/>
      <c r="C241" s="7"/>
      <c r="D241" s="5"/>
      <c r="E241" s="17"/>
      <c r="F241" s="9"/>
      <c r="G241" s="7"/>
      <c r="H241" s="12" t="str">
        <f aca="false">IF($B241="","",N($D241)*N($E241))</f>
        <v/>
      </c>
      <c r="I241" s="12" t="str">
        <f aca="false">IF($B241="","",$H241-N($F241))</f>
        <v/>
      </c>
      <c r="J241" s="10" t="str">
        <f aca="false">IF($B241="","",IF(OR($A241="",$D241="",$E241=""),"Faltan datos obligatorios",IF(AND($C241&lt;&gt;"",ISNA(MATCH($C241,Acciones!$A$2:$A$201,0))),"El ID lote no existe en Acciones","OK")))</f>
        <v/>
      </c>
    </row>
    <row r="242" customFormat="false" ht="15" hidden="false" customHeight="true" outlineLevel="0" collapsed="false">
      <c r="A242" s="6"/>
      <c r="B242" s="7"/>
      <c r="C242" s="7"/>
      <c r="D242" s="5"/>
      <c r="E242" s="17"/>
      <c r="F242" s="9"/>
      <c r="G242" s="7"/>
      <c r="H242" s="12" t="str">
        <f aca="false">IF($B242="","",N($D242)*N($E242))</f>
        <v/>
      </c>
      <c r="I242" s="12" t="str">
        <f aca="false">IF($B242="","",$H242-N($F242))</f>
        <v/>
      </c>
      <c r="J242" s="10" t="str">
        <f aca="false">IF($B242="","",IF(OR($A242="",$D242="",$E242=""),"Faltan datos obligatorios",IF(AND($C242&lt;&gt;"",ISNA(MATCH($C242,Acciones!$A$2:$A$201,0))),"El ID lote no existe en Acciones","OK")))</f>
        <v/>
      </c>
    </row>
    <row r="243" customFormat="false" ht="15" hidden="false" customHeight="true" outlineLevel="0" collapsed="false">
      <c r="A243" s="6"/>
      <c r="B243" s="7"/>
      <c r="C243" s="7"/>
      <c r="D243" s="5"/>
      <c r="E243" s="17"/>
      <c r="F243" s="9"/>
      <c r="G243" s="7"/>
      <c r="H243" s="12" t="str">
        <f aca="false">IF($B243="","",N($D243)*N($E243))</f>
        <v/>
      </c>
      <c r="I243" s="12" t="str">
        <f aca="false">IF($B243="","",$H243-N($F243))</f>
        <v/>
      </c>
      <c r="J243" s="10" t="str">
        <f aca="false">IF($B243="","",IF(OR($A243="",$D243="",$E243=""),"Faltan datos obligatorios",IF(AND($C243&lt;&gt;"",ISNA(MATCH($C243,Acciones!$A$2:$A$201,0))),"El ID lote no existe en Acciones","OK")))</f>
        <v/>
      </c>
    </row>
    <row r="244" customFormat="false" ht="15" hidden="false" customHeight="true" outlineLevel="0" collapsed="false">
      <c r="A244" s="6"/>
      <c r="B244" s="7"/>
      <c r="C244" s="7"/>
      <c r="D244" s="5"/>
      <c r="E244" s="17"/>
      <c r="F244" s="9"/>
      <c r="G244" s="7"/>
      <c r="H244" s="12" t="str">
        <f aca="false">IF($B244="","",N($D244)*N($E244))</f>
        <v/>
      </c>
      <c r="I244" s="12" t="str">
        <f aca="false">IF($B244="","",$H244-N($F244))</f>
        <v/>
      </c>
      <c r="J244" s="10" t="str">
        <f aca="false">IF($B244="","",IF(OR($A244="",$D244="",$E244=""),"Faltan datos obligatorios",IF(AND($C244&lt;&gt;"",ISNA(MATCH($C244,Acciones!$A$2:$A$201,0))),"El ID lote no existe en Acciones","OK")))</f>
        <v/>
      </c>
    </row>
    <row r="245" customFormat="false" ht="15" hidden="false" customHeight="true" outlineLevel="0" collapsed="false">
      <c r="A245" s="6"/>
      <c r="B245" s="7"/>
      <c r="C245" s="7"/>
      <c r="D245" s="5"/>
      <c r="E245" s="17"/>
      <c r="F245" s="9"/>
      <c r="G245" s="7"/>
      <c r="H245" s="12" t="str">
        <f aca="false">IF($B245="","",N($D245)*N($E245))</f>
        <v/>
      </c>
      <c r="I245" s="12" t="str">
        <f aca="false">IF($B245="","",$H245-N($F245))</f>
        <v/>
      </c>
      <c r="J245" s="10" t="str">
        <f aca="false">IF($B245="","",IF(OR($A245="",$D245="",$E245=""),"Faltan datos obligatorios",IF(AND($C245&lt;&gt;"",ISNA(MATCH($C245,Acciones!$A$2:$A$201,0))),"El ID lote no existe en Acciones","OK")))</f>
        <v/>
      </c>
    </row>
    <row r="246" customFormat="false" ht="15" hidden="false" customHeight="true" outlineLevel="0" collapsed="false">
      <c r="A246" s="6"/>
      <c r="B246" s="7"/>
      <c r="C246" s="7"/>
      <c r="D246" s="5"/>
      <c r="E246" s="17"/>
      <c r="F246" s="9"/>
      <c r="G246" s="7"/>
      <c r="H246" s="12" t="str">
        <f aca="false">IF($B246="","",N($D246)*N($E246))</f>
        <v/>
      </c>
      <c r="I246" s="12" t="str">
        <f aca="false">IF($B246="","",$H246-N($F246))</f>
        <v/>
      </c>
      <c r="J246" s="10" t="str">
        <f aca="false">IF($B246="","",IF(OR($A246="",$D246="",$E246=""),"Faltan datos obligatorios",IF(AND($C246&lt;&gt;"",ISNA(MATCH($C246,Acciones!$A$2:$A$201,0))),"El ID lote no existe en Acciones","OK")))</f>
        <v/>
      </c>
    </row>
    <row r="247" customFormat="false" ht="15" hidden="false" customHeight="true" outlineLevel="0" collapsed="false">
      <c r="A247" s="6"/>
      <c r="B247" s="7"/>
      <c r="C247" s="7"/>
      <c r="D247" s="5"/>
      <c r="E247" s="17"/>
      <c r="F247" s="9"/>
      <c r="G247" s="7"/>
      <c r="H247" s="12" t="str">
        <f aca="false">IF($B247="","",N($D247)*N($E247))</f>
        <v/>
      </c>
      <c r="I247" s="12" t="str">
        <f aca="false">IF($B247="","",$H247-N($F247))</f>
        <v/>
      </c>
      <c r="J247" s="10" t="str">
        <f aca="false">IF($B247="","",IF(OR($A247="",$D247="",$E247=""),"Faltan datos obligatorios",IF(AND($C247&lt;&gt;"",ISNA(MATCH($C247,Acciones!$A$2:$A$201,0))),"El ID lote no existe en Acciones","OK")))</f>
        <v/>
      </c>
    </row>
    <row r="248" customFormat="false" ht="15" hidden="false" customHeight="true" outlineLevel="0" collapsed="false">
      <c r="A248" s="6"/>
      <c r="B248" s="7"/>
      <c r="C248" s="7"/>
      <c r="D248" s="5"/>
      <c r="E248" s="17"/>
      <c r="F248" s="9"/>
      <c r="G248" s="7"/>
      <c r="H248" s="12" t="str">
        <f aca="false">IF($B248="","",N($D248)*N($E248))</f>
        <v/>
      </c>
      <c r="I248" s="12" t="str">
        <f aca="false">IF($B248="","",$H248-N($F248))</f>
        <v/>
      </c>
      <c r="J248" s="10" t="str">
        <f aca="false">IF($B248="","",IF(OR($A248="",$D248="",$E248=""),"Faltan datos obligatorios",IF(AND($C248&lt;&gt;"",ISNA(MATCH($C248,Acciones!$A$2:$A$201,0))),"El ID lote no existe en Acciones","OK")))</f>
        <v/>
      </c>
    </row>
    <row r="249" customFormat="false" ht="15" hidden="false" customHeight="true" outlineLevel="0" collapsed="false">
      <c r="A249" s="6"/>
      <c r="B249" s="7"/>
      <c r="C249" s="7"/>
      <c r="D249" s="5"/>
      <c r="E249" s="17"/>
      <c r="F249" s="9"/>
      <c r="G249" s="7"/>
      <c r="H249" s="12" t="str">
        <f aca="false">IF($B249="","",N($D249)*N($E249))</f>
        <v/>
      </c>
      <c r="I249" s="12" t="str">
        <f aca="false">IF($B249="","",$H249-N($F249))</f>
        <v/>
      </c>
      <c r="J249" s="10" t="str">
        <f aca="false">IF($B249="","",IF(OR($A249="",$D249="",$E249=""),"Faltan datos obligatorios",IF(AND($C249&lt;&gt;"",ISNA(MATCH($C249,Acciones!$A$2:$A$201,0))),"El ID lote no existe en Acciones","OK")))</f>
        <v/>
      </c>
    </row>
    <row r="250" customFormat="false" ht="15" hidden="false" customHeight="true" outlineLevel="0" collapsed="false">
      <c r="A250" s="6"/>
      <c r="B250" s="7"/>
      <c r="C250" s="7"/>
      <c r="D250" s="5"/>
      <c r="E250" s="17"/>
      <c r="F250" s="9"/>
      <c r="G250" s="7"/>
      <c r="H250" s="12" t="str">
        <f aca="false">IF($B250="","",N($D250)*N($E250))</f>
        <v/>
      </c>
      <c r="I250" s="12" t="str">
        <f aca="false">IF($B250="","",$H250-N($F250))</f>
        <v/>
      </c>
      <c r="J250" s="10" t="str">
        <f aca="false">IF($B250="","",IF(OR($A250="",$D250="",$E250=""),"Faltan datos obligatorios",IF(AND($C250&lt;&gt;"",ISNA(MATCH($C250,Acciones!$A$2:$A$201,0))),"El ID lote no existe en Acciones","OK")))</f>
        <v/>
      </c>
    </row>
    <row r="251" customFormat="false" ht="15" hidden="false" customHeight="true" outlineLevel="0" collapsed="false">
      <c r="A251" s="6"/>
      <c r="B251" s="7"/>
      <c r="C251" s="7"/>
      <c r="D251" s="5"/>
      <c r="E251" s="17"/>
      <c r="F251" s="9"/>
      <c r="G251" s="7"/>
      <c r="H251" s="12" t="str">
        <f aca="false">IF($B251="","",N($D251)*N($E251))</f>
        <v/>
      </c>
      <c r="I251" s="12" t="str">
        <f aca="false">IF($B251="","",$H251-N($F251))</f>
        <v/>
      </c>
      <c r="J251" s="10" t="str">
        <f aca="false">IF($B251="","",IF(OR($A251="",$D251="",$E251=""),"Faltan datos obligatorios",IF(AND($C251&lt;&gt;"",ISNA(MATCH($C251,Acciones!$A$2:$A$201,0))),"El ID lote no existe en Acciones","OK")))</f>
        <v/>
      </c>
    </row>
    <row r="252" customFormat="false" ht="15" hidden="false" customHeight="true" outlineLevel="0" collapsed="false">
      <c r="A252" s="6"/>
      <c r="B252" s="7"/>
      <c r="C252" s="7"/>
      <c r="D252" s="5"/>
      <c r="E252" s="17"/>
      <c r="F252" s="9"/>
      <c r="G252" s="7"/>
      <c r="H252" s="12" t="str">
        <f aca="false">IF($B252="","",N($D252)*N($E252))</f>
        <v/>
      </c>
      <c r="I252" s="12" t="str">
        <f aca="false">IF($B252="","",$H252-N($F252))</f>
        <v/>
      </c>
      <c r="J252" s="10" t="str">
        <f aca="false">IF($B252="","",IF(OR($A252="",$D252="",$E252=""),"Faltan datos obligatorios",IF(AND($C252&lt;&gt;"",ISNA(MATCH($C252,Acciones!$A$2:$A$201,0))),"El ID lote no existe en Acciones","OK")))</f>
        <v/>
      </c>
    </row>
    <row r="253" customFormat="false" ht="15" hidden="false" customHeight="true" outlineLevel="0" collapsed="false">
      <c r="A253" s="6"/>
      <c r="B253" s="7"/>
      <c r="C253" s="7"/>
      <c r="D253" s="5"/>
      <c r="E253" s="17"/>
      <c r="F253" s="9"/>
      <c r="G253" s="7"/>
      <c r="H253" s="12" t="str">
        <f aca="false">IF($B253="","",N($D253)*N($E253))</f>
        <v/>
      </c>
      <c r="I253" s="12" t="str">
        <f aca="false">IF($B253="","",$H253-N($F253))</f>
        <v/>
      </c>
      <c r="J253" s="10" t="str">
        <f aca="false">IF($B253="","",IF(OR($A253="",$D253="",$E253=""),"Faltan datos obligatorios",IF(AND($C253&lt;&gt;"",ISNA(MATCH($C253,Acciones!$A$2:$A$201,0))),"El ID lote no existe en Acciones","OK")))</f>
        <v/>
      </c>
    </row>
    <row r="254" customFormat="false" ht="15" hidden="false" customHeight="true" outlineLevel="0" collapsed="false">
      <c r="A254" s="6"/>
      <c r="B254" s="7"/>
      <c r="C254" s="7"/>
      <c r="D254" s="5"/>
      <c r="E254" s="17"/>
      <c r="F254" s="9"/>
      <c r="G254" s="7"/>
      <c r="H254" s="12" t="str">
        <f aca="false">IF($B254="","",N($D254)*N($E254))</f>
        <v/>
      </c>
      <c r="I254" s="12" t="str">
        <f aca="false">IF($B254="","",$H254-N($F254))</f>
        <v/>
      </c>
      <c r="J254" s="10" t="str">
        <f aca="false">IF($B254="","",IF(OR($A254="",$D254="",$E254=""),"Faltan datos obligatorios",IF(AND($C254&lt;&gt;"",ISNA(MATCH($C254,Acciones!$A$2:$A$201,0))),"El ID lote no existe en Acciones","OK")))</f>
        <v/>
      </c>
    </row>
    <row r="255" customFormat="false" ht="15" hidden="false" customHeight="true" outlineLevel="0" collapsed="false">
      <c r="A255" s="6"/>
      <c r="B255" s="7"/>
      <c r="C255" s="7"/>
      <c r="D255" s="5"/>
      <c r="E255" s="17"/>
      <c r="F255" s="9"/>
      <c r="G255" s="7"/>
      <c r="H255" s="12" t="str">
        <f aca="false">IF($B255="","",N($D255)*N($E255))</f>
        <v/>
      </c>
      <c r="I255" s="12" t="str">
        <f aca="false">IF($B255="","",$H255-N($F255))</f>
        <v/>
      </c>
      <c r="J255" s="10" t="str">
        <f aca="false">IF($B255="","",IF(OR($A255="",$D255="",$E255=""),"Faltan datos obligatorios",IF(AND($C255&lt;&gt;"",ISNA(MATCH($C255,Acciones!$A$2:$A$201,0))),"El ID lote no existe en Acciones","OK")))</f>
        <v/>
      </c>
    </row>
    <row r="256" customFormat="false" ht="15" hidden="false" customHeight="true" outlineLevel="0" collapsed="false">
      <c r="A256" s="6"/>
      <c r="B256" s="7"/>
      <c r="C256" s="7"/>
      <c r="D256" s="5"/>
      <c r="E256" s="17"/>
      <c r="F256" s="9"/>
      <c r="G256" s="7"/>
      <c r="H256" s="12" t="str">
        <f aca="false">IF($B256="","",N($D256)*N($E256))</f>
        <v/>
      </c>
      <c r="I256" s="12" t="str">
        <f aca="false">IF($B256="","",$H256-N($F256))</f>
        <v/>
      </c>
      <c r="J256" s="10" t="str">
        <f aca="false">IF($B256="","",IF(OR($A256="",$D256="",$E256=""),"Faltan datos obligatorios",IF(AND($C256&lt;&gt;"",ISNA(MATCH($C256,Acciones!$A$2:$A$201,0))),"El ID lote no existe en Acciones","OK")))</f>
        <v/>
      </c>
    </row>
    <row r="257" customFormat="false" ht="15" hidden="false" customHeight="true" outlineLevel="0" collapsed="false">
      <c r="A257" s="6"/>
      <c r="B257" s="7"/>
      <c r="C257" s="7"/>
      <c r="D257" s="5"/>
      <c r="E257" s="17"/>
      <c r="F257" s="9"/>
      <c r="G257" s="7"/>
      <c r="H257" s="12" t="str">
        <f aca="false">IF($B257="","",N($D257)*N($E257))</f>
        <v/>
      </c>
      <c r="I257" s="12" t="str">
        <f aca="false">IF($B257="","",$H257-N($F257))</f>
        <v/>
      </c>
      <c r="J257" s="10" t="str">
        <f aca="false">IF($B257="","",IF(OR($A257="",$D257="",$E257=""),"Faltan datos obligatorios",IF(AND($C257&lt;&gt;"",ISNA(MATCH($C257,Acciones!$A$2:$A$201,0))),"El ID lote no existe en Acciones","OK")))</f>
        <v/>
      </c>
    </row>
    <row r="258" customFormat="false" ht="15" hidden="false" customHeight="true" outlineLevel="0" collapsed="false">
      <c r="A258" s="6"/>
      <c r="B258" s="7"/>
      <c r="C258" s="7"/>
      <c r="D258" s="5"/>
      <c r="E258" s="17"/>
      <c r="F258" s="9"/>
      <c r="G258" s="7"/>
      <c r="H258" s="12" t="str">
        <f aca="false">IF($B258="","",N($D258)*N($E258))</f>
        <v/>
      </c>
      <c r="I258" s="12" t="str">
        <f aca="false">IF($B258="","",$H258-N($F258))</f>
        <v/>
      </c>
      <c r="J258" s="10" t="str">
        <f aca="false">IF($B258="","",IF(OR($A258="",$D258="",$E258=""),"Faltan datos obligatorios",IF(AND($C258&lt;&gt;"",ISNA(MATCH($C258,Acciones!$A$2:$A$201,0))),"El ID lote no existe en Acciones","OK")))</f>
        <v/>
      </c>
    </row>
    <row r="259" customFormat="false" ht="15" hidden="false" customHeight="true" outlineLevel="0" collapsed="false">
      <c r="A259" s="6"/>
      <c r="B259" s="7"/>
      <c r="C259" s="7"/>
      <c r="D259" s="5"/>
      <c r="E259" s="17"/>
      <c r="F259" s="9"/>
      <c r="G259" s="7"/>
      <c r="H259" s="12" t="str">
        <f aca="false">IF($B259="","",N($D259)*N($E259))</f>
        <v/>
      </c>
      <c r="I259" s="12" t="str">
        <f aca="false">IF($B259="","",$H259-N($F259))</f>
        <v/>
      </c>
      <c r="J259" s="10" t="str">
        <f aca="false">IF($B259="","",IF(OR($A259="",$D259="",$E259=""),"Faltan datos obligatorios",IF(AND($C259&lt;&gt;"",ISNA(MATCH($C259,Acciones!$A$2:$A$201,0))),"El ID lote no existe en Acciones","OK")))</f>
        <v/>
      </c>
    </row>
    <row r="260" customFormat="false" ht="15" hidden="false" customHeight="true" outlineLevel="0" collapsed="false">
      <c r="A260" s="6"/>
      <c r="B260" s="7"/>
      <c r="C260" s="7"/>
      <c r="D260" s="5"/>
      <c r="E260" s="17"/>
      <c r="F260" s="9"/>
      <c r="G260" s="7"/>
      <c r="H260" s="12" t="str">
        <f aca="false">IF($B260="","",N($D260)*N($E260))</f>
        <v/>
      </c>
      <c r="I260" s="12" t="str">
        <f aca="false">IF($B260="","",$H260-N($F260))</f>
        <v/>
      </c>
      <c r="J260" s="10" t="str">
        <f aca="false">IF($B260="","",IF(OR($A260="",$D260="",$E260=""),"Faltan datos obligatorios",IF(AND($C260&lt;&gt;"",ISNA(MATCH($C260,Acciones!$A$2:$A$201,0))),"El ID lote no existe en Acciones","OK")))</f>
        <v/>
      </c>
    </row>
    <row r="261" customFormat="false" ht="15" hidden="false" customHeight="true" outlineLevel="0" collapsed="false">
      <c r="A261" s="6"/>
      <c r="B261" s="7"/>
      <c r="C261" s="7"/>
      <c r="D261" s="5"/>
      <c r="E261" s="17"/>
      <c r="F261" s="9"/>
      <c r="G261" s="7"/>
      <c r="H261" s="12" t="str">
        <f aca="false">IF($B261="","",N($D261)*N($E261))</f>
        <v/>
      </c>
      <c r="I261" s="12" t="str">
        <f aca="false">IF($B261="","",$H261-N($F261))</f>
        <v/>
      </c>
      <c r="J261" s="10" t="str">
        <f aca="false">IF($B261="","",IF(OR($A261="",$D261="",$E261=""),"Faltan datos obligatorios",IF(AND($C261&lt;&gt;"",ISNA(MATCH($C261,Acciones!$A$2:$A$201,0))),"El ID lote no existe en Acciones","OK")))</f>
        <v/>
      </c>
    </row>
    <row r="262" customFormat="false" ht="15" hidden="false" customHeight="true" outlineLevel="0" collapsed="false">
      <c r="A262" s="6"/>
      <c r="B262" s="7"/>
      <c r="C262" s="7"/>
      <c r="D262" s="5"/>
      <c r="E262" s="17"/>
      <c r="F262" s="9"/>
      <c r="G262" s="7"/>
      <c r="H262" s="12" t="str">
        <f aca="false">IF($B262="","",N($D262)*N($E262))</f>
        <v/>
      </c>
      <c r="I262" s="12" t="str">
        <f aca="false">IF($B262="","",$H262-N($F262))</f>
        <v/>
      </c>
      <c r="J262" s="10" t="str">
        <f aca="false">IF($B262="","",IF(OR($A262="",$D262="",$E262=""),"Faltan datos obligatorios",IF(AND($C262&lt;&gt;"",ISNA(MATCH($C262,Acciones!$A$2:$A$201,0))),"El ID lote no existe en Acciones","OK")))</f>
        <v/>
      </c>
    </row>
    <row r="263" customFormat="false" ht="15" hidden="false" customHeight="true" outlineLevel="0" collapsed="false">
      <c r="A263" s="6"/>
      <c r="B263" s="7"/>
      <c r="C263" s="7"/>
      <c r="D263" s="5"/>
      <c r="E263" s="17"/>
      <c r="F263" s="9"/>
      <c r="G263" s="7"/>
      <c r="H263" s="12" t="str">
        <f aca="false">IF($B263="","",N($D263)*N($E263))</f>
        <v/>
      </c>
      <c r="I263" s="12" t="str">
        <f aca="false">IF($B263="","",$H263-N($F263))</f>
        <v/>
      </c>
      <c r="J263" s="10" t="str">
        <f aca="false">IF($B263="","",IF(OR($A263="",$D263="",$E263=""),"Faltan datos obligatorios",IF(AND($C263&lt;&gt;"",ISNA(MATCH($C263,Acciones!$A$2:$A$201,0))),"El ID lote no existe en Acciones","OK")))</f>
        <v/>
      </c>
    </row>
    <row r="264" customFormat="false" ht="15" hidden="false" customHeight="true" outlineLevel="0" collapsed="false">
      <c r="A264" s="6"/>
      <c r="B264" s="7"/>
      <c r="C264" s="7"/>
      <c r="D264" s="5"/>
      <c r="E264" s="17"/>
      <c r="F264" s="9"/>
      <c r="G264" s="7"/>
      <c r="H264" s="12" t="str">
        <f aca="false">IF($B264="","",N($D264)*N($E264))</f>
        <v/>
      </c>
      <c r="I264" s="12" t="str">
        <f aca="false">IF($B264="","",$H264-N($F264))</f>
        <v/>
      </c>
      <c r="J264" s="10" t="str">
        <f aca="false">IF($B264="","",IF(OR($A264="",$D264="",$E264=""),"Faltan datos obligatorios",IF(AND($C264&lt;&gt;"",ISNA(MATCH($C264,Acciones!$A$2:$A$201,0))),"El ID lote no existe en Acciones","OK")))</f>
        <v/>
      </c>
    </row>
    <row r="265" customFormat="false" ht="15" hidden="false" customHeight="true" outlineLevel="0" collapsed="false">
      <c r="A265" s="6"/>
      <c r="B265" s="7"/>
      <c r="C265" s="7"/>
      <c r="D265" s="5"/>
      <c r="E265" s="17"/>
      <c r="F265" s="9"/>
      <c r="G265" s="7"/>
      <c r="H265" s="12" t="str">
        <f aca="false">IF($B265="","",N($D265)*N($E265))</f>
        <v/>
      </c>
      <c r="I265" s="12" t="str">
        <f aca="false">IF($B265="","",$H265-N($F265))</f>
        <v/>
      </c>
      <c r="J265" s="10" t="str">
        <f aca="false">IF($B265="","",IF(OR($A265="",$D265="",$E265=""),"Faltan datos obligatorios",IF(AND($C265&lt;&gt;"",ISNA(MATCH($C265,Acciones!$A$2:$A$201,0))),"El ID lote no existe en Acciones","OK")))</f>
        <v/>
      </c>
    </row>
    <row r="266" customFormat="false" ht="15" hidden="false" customHeight="true" outlineLevel="0" collapsed="false">
      <c r="A266" s="6"/>
      <c r="B266" s="7"/>
      <c r="C266" s="7"/>
      <c r="D266" s="5"/>
      <c r="E266" s="17"/>
      <c r="F266" s="9"/>
      <c r="G266" s="7"/>
      <c r="H266" s="12" t="str">
        <f aca="false">IF($B266="","",N($D266)*N($E266))</f>
        <v/>
      </c>
      <c r="I266" s="12" t="str">
        <f aca="false">IF($B266="","",$H266-N($F266))</f>
        <v/>
      </c>
      <c r="J266" s="10" t="str">
        <f aca="false">IF($B266="","",IF(OR($A266="",$D266="",$E266=""),"Faltan datos obligatorios",IF(AND($C266&lt;&gt;"",ISNA(MATCH($C266,Acciones!$A$2:$A$201,0))),"El ID lote no existe en Acciones","OK")))</f>
        <v/>
      </c>
    </row>
    <row r="267" customFormat="false" ht="15" hidden="false" customHeight="true" outlineLevel="0" collapsed="false">
      <c r="A267" s="6"/>
      <c r="B267" s="7"/>
      <c r="C267" s="7"/>
      <c r="D267" s="5"/>
      <c r="E267" s="17"/>
      <c r="F267" s="9"/>
      <c r="G267" s="7"/>
      <c r="H267" s="12" t="str">
        <f aca="false">IF($B267="","",N($D267)*N($E267))</f>
        <v/>
      </c>
      <c r="I267" s="12" t="str">
        <f aca="false">IF($B267="","",$H267-N($F267))</f>
        <v/>
      </c>
      <c r="J267" s="10" t="str">
        <f aca="false">IF($B267="","",IF(OR($A267="",$D267="",$E267=""),"Faltan datos obligatorios",IF(AND($C267&lt;&gt;"",ISNA(MATCH($C267,Acciones!$A$2:$A$201,0))),"El ID lote no existe en Acciones","OK")))</f>
        <v/>
      </c>
    </row>
    <row r="268" customFormat="false" ht="15" hidden="false" customHeight="true" outlineLevel="0" collapsed="false">
      <c r="A268" s="6"/>
      <c r="B268" s="7"/>
      <c r="C268" s="7"/>
      <c r="D268" s="5"/>
      <c r="E268" s="17"/>
      <c r="F268" s="9"/>
      <c r="G268" s="7"/>
      <c r="H268" s="12" t="str">
        <f aca="false">IF($B268="","",N($D268)*N($E268))</f>
        <v/>
      </c>
      <c r="I268" s="12" t="str">
        <f aca="false">IF($B268="","",$H268-N($F268))</f>
        <v/>
      </c>
      <c r="J268" s="10" t="str">
        <f aca="false">IF($B268="","",IF(OR($A268="",$D268="",$E268=""),"Faltan datos obligatorios",IF(AND($C268&lt;&gt;"",ISNA(MATCH($C268,Acciones!$A$2:$A$201,0))),"El ID lote no existe en Acciones","OK")))</f>
        <v/>
      </c>
    </row>
    <row r="269" customFormat="false" ht="15" hidden="false" customHeight="true" outlineLevel="0" collapsed="false">
      <c r="A269" s="6"/>
      <c r="B269" s="7"/>
      <c r="C269" s="7"/>
      <c r="D269" s="5"/>
      <c r="E269" s="17"/>
      <c r="F269" s="9"/>
      <c r="G269" s="7"/>
      <c r="H269" s="12" t="str">
        <f aca="false">IF($B269="","",N($D269)*N($E269))</f>
        <v/>
      </c>
      <c r="I269" s="12" t="str">
        <f aca="false">IF($B269="","",$H269-N($F269))</f>
        <v/>
      </c>
      <c r="J269" s="10" t="str">
        <f aca="false">IF($B269="","",IF(OR($A269="",$D269="",$E269=""),"Faltan datos obligatorios",IF(AND($C269&lt;&gt;"",ISNA(MATCH($C269,Acciones!$A$2:$A$201,0))),"El ID lote no existe en Acciones","OK")))</f>
        <v/>
      </c>
    </row>
    <row r="270" customFormat="false" ht="15" hidden="false" customHeight="true" outlineLevel="0" collapsed="false">
      <c r="A270" s="6"/>
      <c r="B270" s="7"/>
      <c r="C270" s="7"/>
      <c r="D270" s="5"/>
      <c r="E270" s="17"/>
      <c r="F270" s="9"/>
      <c r="G270" s="7"/>
      <c r="H270" s="12" t="str">
        <f aca="false">IF($B270="","",N($D270)*N($E270))</f>
        <v/>
      </c>
      <c r="I270" s="12" t="str">
        <f aca="false">IF($B270="","",$H270-N($F270))</f>
        <v/>
      </c>
      <c r="J270" s="10" t="str">
        <f aca="false">IF($B270="","",IF(OR($A270="",$D270="",$E270=""),"Faltan datos obligatorios",IF(AND($C270&lt;&gt;"",ISNA(MATCH($C270,Acciones!$A$2:$A$201,0))),"El ID lote no existe en Acciones","OK")))</f>
        <v/>
      </c>
    </row>
    <row r="271" customFormat="false" ht="15" hidden="false" customHeight="true" outlineLevel="0" collapsed="false">
      <c r="A271" s="6"/>
      <c r="B271" s="7"/>
      <c r="C271" s="7"/>
      <c r="D271" s="5"/>
      <c r="E271" s="17"/>
      <c r="F271" s="9"/>
      <c r="G271" s="7"/>
      <c r="H271" s="12" t="str">
        <f aca="false">IF($B271="","",N($D271)*N($E271))</f>
        <v/>
      </c>
      <c r="I271" s="12" t="str">
        <f aca="false">IF($B271="","",$H271-N($F271))</f>
        <v/>
      </c>
      <c r="J271" s="10" t="str">
        <f aca="false">IF($B271="","",IF(OR($A271="",$D271="",$E271=""),"Faltan datos obligatorios",IF(AND($C271&lt;&gt;"",ISNA(MATCH($C271,Acciones!$A$2:$A$201,0))),"El ID lote no existe en Acciones","OK")))</f>
        <v/>
      </c>
    </row>
    <row r="272" customFormat="false" ht="15" hidden="false" customHeight="true" outlineLevel="0" collapsed="false">
      <c r="A272" s="6"/>
      <c r="B272" s="7"/>
      <c r="C272" s="7"/>
      <c r="D272" s="5"/>
      <c r="E272" s="17"/>
      <c r="F272" s="9"/>
      <c r="G272" s="7"/>
      <c r="H272" s="12" t="str">
        <f aca="false">IF($B272="","",N($D272)*N($E272))</f>
        <v/>
      </c>
      <c r="I272" s="12" t="str">
        <f aca="false">IF($B272="","",$H272-N($F272))</f>
        <v/>
      </c>
      <c r="J272" s="10" t="str">
        <f aca="false">IF($B272="","",IF(OR($A272="",$D272="",$E272=""),"Faltan datos obligatorios",IF(AND($C272&lt;&gt;"",ISNA(MATCH($C272,Acciones!$A$2:$A$201,0))),"El ID lote no existe en Acciones","OK")))</f>
        <v/>
      </c>
    </row>
    <row r="273" customFormat="false" ht="15" hidden="false" customHeight="true" outlineLevel="0" collapsed="false">
      <c r="A273" s="6"/>
      <c r="B273" s="7"/>
      <c r="C273" s="7"/>
      <c r="D273" s="5"/>
      <c r="E273" s="17"/>
      <c r="F273" s="9"/>
      <c r="G273" s="7"/>
      <c r="H273" s="12" t="str">
        <f aca="false">IF($B273="","",N($D273)*N($E273))</f>
        <v/>
      </c>
      <c r="I273" s="12" t="str">
        <f aca="false">IF($B273="","",$H273-N($F273))</f>
        <v/>
      </c>
      <c r="J273" s="10" t="str">
        <f aca="false">IF($B273="","",IF(OR($A273="",$D273="",$E273=""),"Faltan datos obligatorios",IF(AND($C273&lt;&gt;"",ISNA(MATCH($C273,Acciones!$A$2:$A$201,0))),"El ID lote no existe en Acciones","OK")))</f>
        <v/>
      </c>
    </row>
    <row r="274" customFormat="false" ht="15" hidden="false" customHeight="true" outlineLevel="0" collapsed="false">
      <c r="A274" s="6"/>
      <c r="B274" s="7"/>
      <c r="C274" s="7"/>
      <c r="D274" s="5"/>
      <c r="E274" s="17"/>
      <c r="F274" s="9"/>
      <c r="G274" s="7"/>
      <c r="H274" s="12" t="str">
        <f aca="false">IF($B274="","",N($D274)*N($E274))</f>
        <v/>
      </c>
      <c r="I274" s="12" t="str">
        <f aca="false">IF($B274="","",$H274-N($F274))</f>
        <v/>
      </c>
      <c r="J274" s="10" t="str">
        <f aca="false">IF($B274="","",IF(OR($A274="",$D274="",$E274=""),"Faltan datos obligatorios",IF(AND($C274&lt;&gt;"",ISNA(MATCH($C274,Acciones!$A$2:$A$201,0))),"El ID lote no existe en Acciones","OK")))</f>
        <v/>
      </c>
    </row>
    <row r="275" customFormat="false" ht="15" hidden="false" customHeight="true" outlineLevel="0" collapsed="false">
      <c r="A275" s="6"/>
      <c r="B275" s="7"/>
      <c r="C275" s="7"/>
      <c r="D275" s="5"/>
      <c r="E275" s="17"/>
      <c r="F275" s="9"/>
      <c r="G275" s="7"/>
      <c r="H275" s="12" t="str">
        <f aca="false">IF($B275="","",N($D275)*N($E275))</f>
        <v/>
      </c>
      <c r="I275" s="12" t="str">
        <f aca="false">IF($B275="","",$H275-N($F275))</f>
        <v/>
      </c>
      <c r="J275" s="10" t="str">
        <f aca="false">IF($B275="","",IF(OR($A275="",$D275="",$E275=""),"Faltan datos obligatorios",IF(AND($C275&lt;&gt;"",ISNA(MATCH($C275,Acciones!$A$2:$A$201,0))),"El ID lote no existe en Acciones","OK")))</f>
        <v/>
      </c>
    </row>
    <row r="276" customFormat="false" ht="15" hidden="false" customHeight="true" outlineLevel="0" collapsed="false">
      <c r="A276" s="6"/>
      <c r="B276" s="7"/>
      <c r="C276" s="7"/>
      <c r="D276" s="5"/>
      <c r="E276" s="17"/>
      <c r="F276" s="9"/>
      <c r="G276" s="7"/>
      <c r="H276" s="12" t="str">
        <f aca="false">IF($B276="","",N($D276)*N($E276))</f>
        <v/>
      </c>
      <c r="I276" s="12" t="str">
        <f aca="false">IF($B276="","",$H276-N($F276))</f>
        <v/>
      </c>
      <c r="J276" s="10" t="str">
        <f aca="false">IF($B276="","",IF(OR($A276="",$D276="",$E276=""),"Faltan datos obligatorios",IF(AND($C276&lt;&gt;"",ISNA(MATCH($C276,Acciones!$A$2:$A$201,0))),"El ID lote no existe en Acciones","OK")))</f>
        <v/>
      </c>
    </row>
    <row r="277" customFormat="false" ht="15" hidden="false" customHeight="true" outlineLevel="0" collapsed="false">
      <c r="A277" s="6"/>
      <c r="B277" s="7"/>
      <c r="C277" s="7"/>
      <c r="D277" s="5"/>
      <c r="E277" s="17"/>
      <c r="F277" s="9"/>
      <c r="G277" s="7"/>
      <c r="H277" s="12" t="str">
        <f aca="false">IF($B277="","",N($D277)*N($E277))</f>
        <v/>
      </c>
      <c r="I277" s="12" t="str">
        <f aca="false">IF($B277="","",$H277-N($F277))</f>
        <v/>
      </c>
      <c r="J277" s="10" t="str">
        <f aca="false">IF($B277="","",IF(OR($A277="",$D277="",$E277=""),"Faltan datos obligatorios",IF(AND($C277&lt;&gt;"",ISNA(MATCH($C277,Acciones!$A$2:$A$201,0))),"El ID lote no existe en Acciones","OK")))</f>
        <v/>
      </c>
    </row>
    <row r="278" customFormat="false" ht="15" hidden="false" customHeight="true" outlineLevel="0" collapsed="false">
      <c r="A278" s="6"/>
      <c r="B278" s="7"/>
      <c r="C278" s="7"/>
      <c r="D278" s="5"/>
      <c r="E278" s="17"/>
      <c r="F278" s="9"/>
      <c r="G278" s="7"/>
      <c r="H278" s="12" t="str">
        <f aca="false">IF($B278="","",N($D278)*N($E278))</f>
        <v/>
      </c>
      <c r="I278" s="12" t="str">
        <f aca="false">IF($B278="","",$H278-N($F278))</f>
        <v/>
      </c>
      <c r="J278" s="10" t="str">
        <f aca="false">IF($B278="","",IF(OR($A278="",$D278="",$E278=""),"Faltan datos obligatorios",IF(AND($C278&lt;&gt;"",ISNA(MATCH($C278,Acciones!$A$2:$A$201,0))),"El ID lote no existe en Acciones","OK")))</f>
        <v/>
      </c>
    </row>
    <row r="279" customFormat="false" ht="15" hidden="false" customHeight="true" outlineLevel="0" collapsed="false">
      <c r="A279" s="6"/>
      <c r="B279" s="7"/>
      <c r="C279" s="7"/>
      <c r="D279" s="5"/>
      <c r="E279" s="17"/>
      <c r="F279" s="9"/>
      <c r="G279" s="7"/>
      <c r="H279" s="12" t="str">
        <f aca="false">IF($B279="","",N($D279)*N($E279))</f>
        <v/>
      </c>
      <c r="I279" s="12" t="str">
        <f aca="false">IF($B279="","",$H279-N($F279))</f>
        <v/>
      </c>
      <c r="J279" s="10" t="str">
        <f aca="false">IF($B279="","",IF(OR($A279="",$D279="",$E279=""),"Faltan datos obligatorios",IF(AND($C279&lt;&gt;"",ISNA(MATCH($C279,Acciones!$A$2:$A$201,0))),"El ID lote no existe en Acciones","OK")))</f>
        <v/>
      </c>
    </row>
    <row r="280" customFormat="false" ht="15" hidden="false" customHeight="true" outlineLevel="0" collapsed="false">
      <c r="A280" s="6"/>
      <c r="B280" s="7"/>
      <c r="C280" s="7"/>
      <c r="D280" s="5"/>
      <c r="E280" s="17"/>
      <c r="F280" s="9"/>
      <c r="G280" s="7"/>
      <c r="H280" s="12" t="str">
        <f aca="false">IF($B280="","",N($D280)*N($E280))</f>
        <v/>
      </c>
      <c r="I280" s="12" t="str">
        <f aca="false">IF($B280="","",$H280-N($F280))</f>
        <v/>
      </c>
      <c r="J280" s="10" t="str">
        <f aca="false">IF($B280="","",IF(OR($A280="",$D280="",$E280=""),"Faltan datos obligatorios",IF(AND($C280&lt;&gt;"",ISNA(MATCH($C280,Acciones!$A$2:$A$201,0))),"El ID lote no existe en Acciones","OK")))</f>
        <v/>
      </c>
    </row>
    <row r="281" customFormat="false" ht="15" hidden="false" customHeight="true" outlineLevel="0" collapsed="false">
      <c r="A281" s="6"/>
      <c r="B281" s="7"/>
      <c r="C281" s="7"/>
      <c r="D281" s="5"/>
      <c r="E281" s="17"/>
      <c r="F281" s="9"/>
      <c r="G281" s="7"/>
      <c r="H281" s="12" t="str">
        <f aca="false">IF($B281="","",N($D281)*N($E281))</f>
        <v/>
      </c>
      <c r="I281" s="12" t="str">
        <f aca="false">IF($B281="","",$H281-N($F281))</f>
        <v/>
      </c>
      <c r="J281" s="10" t="str">
        <f aca="false">IF($B281="","",IF(OR($A281="",$D281="",$E281=""),"Faltan datos obligatorios",IF(AND($C281&lt;&gt;"",ISNA(MATCH($C281,Acciones!$A$2:$A$201,0))),"El ID lote no existe en Acciones","OK")))</f>
        <v/>
      </c>
    </row>
    <row r="282" customFormat="false" ht="15" hidden="false" customHeight="true" outlineLevel="0" collapsed="false">
      <c r="A282" s="6"/>
      <c r="B282" s="7"/>
      <c r="C282" s="7"/>
      <c r="D282" s="5"/>
      <c r="E282" s="17"/>
      <c r="F282" s="9"/>
      <c r="G282" s="7"/>
      <c r="H282" s="12" t="str">
        <f aca="false">IF($B282="","",N($D282)*N($E282))</f>
        <v/>
      </c>
      <c r="I282" s="12" t="str">
        <f aca="false">IF($B282="","",$H282-N($F282))</f>
        <v/>
      </c>
      <c r="J282" s="10" t="str">
        <f aca="false">IF($B282="","",IF(OR($A282="",$D282="",$E282=""),"Faltan datos obligatorios",IF(AND($C282&lt;&gt;"",ISNA(MATCH($C282,Acciones!$A$2:$A$201,0))),"El ID lote no existe en Acciones","OK")))</f>
        <v/>
      </c>
    </row>
    <row r="283" customFormat="false" ht="15" hidden="false" customHeight="true" outlineLevel="0" collapsed="false">
      <c r="A283" s="6"/>
      <c r="B283" s="7"/>
      <c r="C283" s="7"/>
      <c r="D283" s="5"/>
      <c r="E283" s="17"/>
      <c r="F283" s="9"/>
      <c r="G283" s="7"/>
      <c r="H283" s="12" t="str">
        <f aca="false">IF($B283="","",N($D283)*N($E283))</f>
        <v/>
      </c>
      <c r="I283" s="12" t="str">
        <f aca="false">IF($B283="","",$H283-N($F283))</f>
        <v/>
      </c>
      <c r="J283" s="10" t="str">
        <f aca="false">IF($B283="","",IF(OR($A283="",$D283="",$E283=""),"Faltan datos obligatorios",IF(AND($C283&lt;&gt;"",ISNA(MATCH($C283,Acciones!$A$2:$A$201,0))),"El ID lote no existe en Acciones","OK")))</f>
        <v/>
      </c>
    </row>
    <row r="284" customFormat="false" ht="15" hidden="false" customHeight="true" outlineLevel="0" collapsed="false">
      <c r="A284" s="6"/>
      <c r="B284" s="7"/>
      <c r="C284" s="7"/>
      <c r="D284" s="5"/>
      <c r="E284" s="17"/>
      <c r="F284" s="9"/>
      <c r="G284" s="7"/>
      <c r="H284" s="12" t="str">
        <f aca="false">IF($B284="","",N($D284)*N($E284))</f>
        <v/>
      </c>
      <c r="I284" s="12" t="str">
        <f aca="false">IF($B284="","",$H284-N($F284))</f>
        <v/>
      </c>
      <c r="J284" s="10" t="str">
        <f aca="false">IF($B284="","",IF(OR($A284="",$D284="",$E284=""),"Faltan datos obligatorios",IF(AND($C284&lt;&gt;"",ISNA(MATCH($C284,Acciones!$A$2:$A$201,0))),"El ID lote no existe en Acciones","OK")))</f>
        <v/>
      </c>
    </row>
    <row r="285" customFormat="false" ht="15" hidden="false" customHeight="true" outlineLevel="0" collapsed="false">
      <c r="A285" s="6"/>
      <c r="B285" s="7"/>
      <c r="C285" s="7"/>
      <c r="D285" s="5"/>
      <c r="E285" s="17"/>
      <c r="F285" s="9"/>
      <c r="G285" s="7"/>
      <c r="H285" s="12" t="str">
        <f aca="false">IF($B285="","",N($D285)*N($E285))</f>
        <v/>
      </c>
      <c r="I285" s="12" t="str">
        <f aca="false">IF($B285="","",$H285-N($F285))</f>
        <v/>
      </c>
      <c r="J285" s="10" t="str">
        <f aca="false">IF($B285="","",IF(OR($A285="",$D285="",$E285=""),"Faltan datos obligatorios",IF(AND($C285&lt;&gt;"",ISNA(MATCH($C285,Acciones!$A$2:$A$201,0))),"El ID lote no existe en Acciones","OK")))</f>
        <v/>
      </c>
    </row>
    <row r="286" customFormat="false" ht="15" hidden="false" customHeight="true" outlineLevel="0" collapsed="false">
      <c r="A286" s="6"/>
      <c r="B286" s="7"/>
      <c r="C286" s="7"/>
      <c r="D286" s="5"/>
      <c r="E286" s="17"/>
      <c r="F286" s="9"/>
      <c r="G286" s="7"/>
      <c r="H286" s="12" t="str">
        <f aca="false">IF($B286="","",N($D286)*N($E286))</f>
        <v/>
      </c>
      <c r="I286" s="12" t="str">
        <f aca="false">IF($B286="","",$H286-N($F286))</f>
        <v/>
      </c>
      <c r="J286" s="10" t="str">
        <f aca="false">IF($B286="","",IF(OR($A286="",$D286="",$E286=""),"Faltan datos obligatorios",IF(AND($C286&lt;&gt;"",ISNA(MATCH($C286,Acciones!$A$2:$A$201,0))),"El ID lote no existe en Acciones","OK")))</f>
        <v/>
      </c>
    </row>
    <row r="287" customFormat="false" ht="15" hidden="false" customHeight="true" outlineLevel="0" collapsed="false">
      <c r="A287" s="6"/>
      <c r="B287" s="7"/>
      <c r="C287" s="7"/>
      <c r="D287" s="5"/>
      <c r="E287" s="17"/>
      <c r="F287" s="9"/>
      <c r="G287" s="7"/>
      <c r="H287" s="12" t="str">
        <f aca="false">IF($B287="","",N($D287)*N($E287))</f>
        <v/>
      </c>
      <c r="I287" s="12" t="str">
        <f aca="false">IF($B287="","",$H287-N($F287))</f>
        <v/>
      </c>
      <c r="J287" s="10" t="str">
        <f aca="false">IF($B287="","",IF(OR($A287="",$D287="",$E287=""),"Faltan datos obligatorios",IF(AND($C287&lt;&gt;"",ISNA(MATCH($C287,Acciones!$A$2:$A$201,0))),"El ID lote no existe en Acciones","OK")))</f>
        <v/>
      </c>
    </row>
    <row r="288" customFormat="false" ht="15" hidden="false" customHeight="true" outlineLevel="0" collapsed="false">
      <c r="A288" s="6"/>
      <c r="B288" s="7"/>
      <c r="C288" s="7"/>
      <c r="D288" s="5"/>
      <c r="E288" s="17"/>
      <c r="F288" s="9"/>
      <c r="G288" s="7"/>
      <c r="H288" s="12" t="str">
        <f aca="false">IF($B288="","",N($D288)*N($E288))</f>
        <v/>
      </c>
      <c r="I288" s="12" t="str">
        <f aca="false">IF($B288="","",$H288-N($F288))</f>
        <v/>
      </c>
      <c r="J288" s="10" t="str">
        <f aca="false">IF($B288="","",IF(OR($A288="",$D288="",$E288=""),"Faltan datos obligatorios",IF(AND($C288&lt;&gt;"",ISNA(MATCH($C288,Acciones!$A$2:$A$201,0))),"El ID lote no existe en Acciones","OK")))</f>
        <v/>
      </c>
    </row>
    <row r="289" customFormat="false" ht="15" hidden="false" customHeight="true" outlineLevel="0" collapsed="false">
      <c r="A289" s="6"/>
      <c r="B289" s="7"/>
      <c r="C289" s="7"/>
      <c r="D289" s="5"/>
      <c r="E289" s="17"/>
      <c r="F289" s="9"/>
      <c r="G289" s="7"/>
      <c r="H289" s="12" t="str">
        <f aca="false">IF($B289="","",N($D289)*N($E289))</f>
        <v/>
      </c>
      <c r="I289" s="12" t="str">
        <f aca="false">IF($B289="","",$H289-N($F289))</f>
        <v/>
      </c>
      <c r="J289" s="10" t="str">
        <f aca="false">IF($B289="","",IF(OR($A289="",$D289="",$E289=""),"Faltan datos obligatorios",IF(AND($C289&lt;&gt;"",ISNA(MATCH($C289,Acciones!$A$2:$A$201,0))),"El ID lote no existe en Acciones","OK")))</f>
        <v/>
      </c>
    </row>
    <row r="290" customFormat="false" ht="15" hidden="false" customHeight="true" outlineLevel="0" collapsed="false">
      <c r="A290" s="6"/>
      <c r="B290" s="7"/>
      <c r="C290" s="7"/>
      <c r="D290" s="5"/>
      <c r="E290" s="17"/>
      <c r="F290" s="9"/>
      <c r="G290" s="7"/>
      <c r="H290" s="12" t="str">
        <f aca="false">IF($B290="","",N($D290)*N($E290))</f>
        <v/>
      </c>
      <c r="I290" s="12" t="str">
        <f aca="false">IF($B290="","",$H290-N($F290))</f>
        <v/>
      </c>
      <c r="J290" s="10" t="str">
        <f aca="false">IF($B290="","",IF(OR($A290="",$D290="",$E290=""),"Faltan datos obligatorios",IF(AND($C290&lt;&gt;"",ISNA(MATCH($C290,Acciones!$A$2:$A$201,0))),"El ID lote no existe en Acciones","OK")))</f>
        <v/>
      </c>
    </row>
    <row r="291" customFormat="false" ht="15" hidden="false" customHeight="true" outlineLevel="0" collapsed="false">
      <c r="A291" s="6"/>
      <c r="B291" s="7"/>
      <c r="C291" s="7"/>
      <c r="D291" s="5"/>
      <c r="E291" s="17"/>
      <c r="F291" s="9"/>
      <c r="G291" s="7"/>
      <c r="H291" s="12" t="str">
        <f aca="false">IF($B291="","",N($D291)*N($E291))</f>
        <v/>
      </c>
      <c r="I291" s="12" t="str">
        <f aca="false">IF($B291="","",$H291-N($F291))</f>
        <v/>
      </c>
      <c r="J291" s="10" t="str">
        <f aca="false">IF($B291="","",IF(OR($A291="",$D291="",$E291=""),"Faltan datos obligatorios",IF(AND($C291&lt;&gt;"",ISNA(MATCH($C291,Acciones!$A$2:$A$201,0))),"El ID lote no existe en Acciones","OK")))</f>
        <v/>
      </c>
    </row>
    <row r="292" customFormat="false" ht="15" hidden="false" customHeight="true" outlineLevel="0" collapsed="false">
      <c r="A292" s="6"/>
      <c r="B292" s="7"/>
      <c r="C292" s="7"/>
      <c r="D292" s="5"/>
      <c r="E292" s="17"/>
      <c r="F292" s="9"/>
      <c r="G292" s="7"/>
      <c r="H292" s="12" t="str">
        <f aca="false">IF($B292="","",N($D292)*N($E292))</f>
        <v/>
      </c>
      <c r="I292" s="12" t="str">
        <f aca="false">IF($B292="","",$H292-N($F292))</f>
        <v/>
      </c>
      <c r="J292" s="10" t="str">
        <f aca="false">IF($B292="","",IF(OR($A292="",$D292="",$E292=""),"Faltan datos obligatorios",IF(AND($C292&lt;&gt;"",ISNA(MATCH($C292,Acciones!$A$2:$A$201,0))),"El ID lote no existe en Acciones","OK")))</f>
        <v/>
      </c>
    </row>
    <row r="293" customFormat="false" ht="15" hidden="false" customHeight="true" outlineLevel="0" collapsed="false">
      <c r="A293" s="6"/>
      <c r="B293" s="7"/>
      <c r="C293" s="7"/>
      <c r="D293" s="5"/>
      <c r="E293" s="17"/>
      <c r="F293" s="9"/>
      <c r="G293" s="7"/>
      <c r="H293" s="12" t="str">
        <f aca="false">IF($B293="","",N($D293)*N($E293))</f>
        <v/>
      </c>
      <c r="I293" s="12" t="str">
        <f aca="false">IF($B293="","",$H293-N($F293))</f>
        <v/>
      </c>
      <c r="J293" s="10" t="str">
        <f aca="false">IF($B293="","",IF(OR($A293="",$D293="",$E293=""),"Faltan datos obligatorios",IF(AND($C293&lt;&gt;"",ISNA(MATCH($C293,Acciones!$A$2:$A$201,0))),"El ID lote no existe en Acciones","OK")))</f>
        <v/>
      </c>
    </row>
    <row r="294" customFormat="false" ht="15" hidden="false" customHeight="true" outlineLevel="0" collapsed="false">
      <c r="A294" s="6"/>
      <c r="B294" s="7"/>
      <c r="C294" s="7"/>
      <c r="D294" s="5"/>
      <c r="E294" s="17"/>
      <c r="F294" s="9"/>
      <c r="G294" s="7"/>
      <c r="H294" s="12" t="str">
        <f aca="false">IF($B294="","",N($D294)*N($E294))</f>
        <v/>
      </c>
      <c r="I294" s="12" t="str">
        <f aca="false">IF($B294="","",$H294-N($F294))</f>
        <v/>
      </c>
      <c r="J294" s="10" t="str">
        <f aca="false">IF($B294="","",IF(OR($A294="",$D294="",$E294=""),"Faltan datos obligatorios",IF(AND($C294&lt;&gt;"",ISNA(MATCH($C294,Acciones!$A$2:$A$201,0))),"El ID lote no existe en Acciones","OK")))</f>
        <v/>
      </c>
    </row>
    <row r="295" customFormat="false" ht="15" hidden="false" customHeight="true" outlineLevel="0" collapsed="false">
      <c r="A295" s="6"/>
      <c r="B295" s="7"/>
      <c r="C295" s="7"/>
      <c r="D295" s="5"/>
      <c r="E295" s="17"/>
      <c r="F295" s="9"/>
      <c r="G295" s="7"/>
      <c r="H295" s="12" t="str">
        <f aca="false">IF($B295="","",N($D295)*N($E295))</f>
        <v/>
      </c>
      <c r="I295" s="12" t="str">
        <f aca="false">IF($B295="","",$H295-N($F295))</f>
        <v/>
      </c>
      <c r="J295" s="10" t="str">
        <f aca="false">IF($B295="","",IF(OR($A295="",$D295="",$E295=""),"Faltan datos obligatorios",IF(AND($C295&lt;&gt;"",ISNA(MATCH($C295,Acciones!$A$2:$A$201,0))),"El ID lote no existe en Acciones","OK")))</f>
        <v/>
      </c>
    </row>
    <row r="296" customFormat="false" ht="15" hidden="false" customHeight="true" outlineLevel="0" collapsed="false">
      <c r="A296" s="6"/>
      <c r="B296" s="7"/>
      <c r="C296" s="7"/>
      <c r="D296" s="5"/>
      <c r="E296" s="17"/>
      <c r="F296" s="9"/>
      <c r="G296" s="7"/>
      <c r="H296" s="12" t="str">
        <f aca="false">IF($B296="","",N($D296)*N($E296))</f>
        <v/>
      </c>
      <c r="I296" s="12" t="str">
        <f aca="false">IF($B296="","",$H296-N($F296))</f>
        <v/>
      </c>
      <c r="J296" s="10" t="str">
        <f aca="false">IF($B296="","",IF(OR($A296="",$D296="",$E296=""),"Faltan datos obligatorios",IF(AND($C296&lt;&gt;"",ISNA(MATCH($C296,Acciones!$A$2:$A$201,0))),"El ID lote no existe en Acciones","OK")))</f>
        <v/>
      </c>
    </row>
    <row r="297" customFormat="false" ht="15" hidden="false" customHeight="true" outlineLevel="0" collapsed="false">
      <c r="A297" s="6"/>
      <c r="B297" s="7"/>
      <c r="C297" s="7"/>
      <c r="D297" s="5"/>
      <c r="E297" s="17"/>
      <c r="F297" s="9"/>
      <c r="G297" s="7"/>
      <c r="H297" s="12" t="str">
        <f aca="false">IF($B297="","",N($D297)*N($E297))</f>
        <v/>
      </c>
      <c r="I297" s="12" t="str">
        <f aca="false">IF($B297="","",$H297-N($F297))</f>
        <v/>
      </c>
      <c r="J297" s="10" t="str">
        <f aca="false">IF($B297="","",IF(OR($A297="",$D297="",$E297=""),"Faltan datos obligatorios",IF(AND($C297&lt;&gt;"",ISNA(MATCH($C297,Acciones!$A$2:$A$201,0))),"El ID lote no existe en Acciones","OK")))</f>
        <v/>
      </c>
    </row>
    <row r="298" customFormat="false" ht="15" hidden="false" customHeight="true" outlineLevel="0" collapsed="false">
      <c r="A298" s="6"/>
      <c r="B298" s="7"/>
      <c r="C298" s="7"/>
      <c r="D298" s="5"/>
      <c r="E298" s="17"/>
      <c r="F298" s="9"/>
      <c r="G298" s="7"/>
      <c r="H298" s="12" t="str">
        <f aca="false">IF($B298="","",N($D298)*N($E298))</f>
        <v/>
      </c>
      <c r="I298" s="12" t="str">
        <f aca="false">IF($B298="","",$H298-N($F298))</f>
        <v/>
      </c>
      <c r="J298" s="10" t="str">
        <f aca="false">IF($B298="","",IF(OR($A298="",$D298="",$E298=""),"Faltan datos obligatorios",IF(AND($C298&lt;&gt;"",ISNA(MATCH($C298,Acciones!$A$2:$A$201,0))),"El ID lote no existe en Acciones","OK")))</f>
        <v/>
      </c>
    </row>
    <row r="299" customFormat="false" ht="15" hidden="false" customHeight="true" outlineLevel="0" collapsed="false">
      <c r="A299" s="6"/>
      <c r="B299" s="7"/>
      <c r="C299" s="7"/>
      <c r="D299" s="5"/>
      <c r="E299" s="17"/>
      <c r="F299" s="9"/>
      <c r="G299" s="7"/>
      <c r="H299" s="12" t="str">
        <f aca="false">IF($B299="","",N($D299)*N($E299))</f>
        <v/>
      </c>
      <c r="I299" s="12" t="str">
        <f aca="false">IF($B299="","",$H299-N($F299))</f>
        <v/>
      </c>
      <c r="J299" s="10" t="str">
        <f aca="false">IF($B299="","",IF(OR($A299="",$D299="",$E299=""),"Faltan datos obligatorios",IF(AND($C299&lt;&gt;"",ISNA(MATCH($C299,Acciones!$A$2:$A$201,0))),"El ID lote no existe en Acciones","OK")))</f>
        <v/>
      </c>
    </row>
    <row r="300" customFormat="false" ht="15" hidden="false" customHeight="true" outlineLevel="0" collapsed="false">
      <c r="A300" s="6"/>
      <c r="B300" s="7"/>
      <c r="C300" s="7"/>
      <c r="D300" s="5"/>
      <c r="E300" s="17"/>
      <c r="F300" s="9"/>
      <c r="G300" s="7"/>
      <c r="H300" s="12" t="str">
        <f aca="false">IF($B300="","",N($D300)*N($E300))</f>
        <v/>
      </c>
      <c r="I300" s="12" t="str">
        <f aca="false">IF($B300="","",$H300-N($F300))</f>
        <v/>
      </c>
      <c r="J300" s="10" t="str">
        <f aca="false">IF($B300="","",IF(OR($A300="",$D300="",$E300=""),"Faltan datos obligatorios",IF(AND($C300&lt;&gt;"",ISNA(MATCH($C300,Acciones!$A$2:$A$201,0))),"El ID lote no existe en Acciones","OK")))</f>
        <v/>
      </c>
    </row>
    <row r="301" customFormat="false" ht="15" hidden="false" customHeight="true" outlineLevel="0" collapsed="false">
      <c r="A301" s="6"/>
      <c r="B301" s="7"/>
      <c r="C301" s="7"/>
      <c r="D301" s="5"/>
      <c r="E301" s="17"/>
      <c r="F301" s="9"/>
      <c r="G301" s="7"/>
      <c r="H301" s="12" t="str">
        <f aca="false">IF($B301="","",N($D301)*N($E301))</f>
        <v/>
      </c>
      <c r="I301" s="12" t="str">
        <f aca="false">IF($B301="","",$H301-N($F301))</f>
        <v/>
      </c>
      <c r="J301" s="10" t="str">
        <f aca="false">IF($B301="","",IF(OR($A301="",$D301="",$E301=""),"Faltan datos obligatorios",IF(AND($C301&lt;&gt;"",ISNA(MATCH($C301,Acciones!$A$2:$A$201,0))),"El ID lote no existe en Acciones","OK")))</f>
        <v/>
      </c>
    </row>
  </sheetData>
  <conditionalFormatting sqref="J2:J301">
    <cfRule type="expression" priority="2" aboveAverage="0" equalAverage="0" bottom="0" percent="0" rank="0" text="" dxfId="13">
      <formula>AND(J2&lt;&gt;"",J2&lt;&gt;"OK")</formula>
    </cfRule>
  </conditionalFormatting>
  <dataValidations count="3">
    <dataValidation allowBlank="true" error="Introduce una fecha (dd/mm/aaaa)" errorStyle="stop" operator="greaterThan" showDropDown="false" showErrorMessage="true" showInputMessage="false" sqref="A2:A301" type="date">
      <formula1>36526</formula1>
      <formula2>0</formula2>
    </dataValidation>
    <dataValidation allowBlank="true" error="Número mayor o igual que 0" errorStyle="stop" operator="greaterThanOrEqual" showDropDown="false" showErrorMessage="true" showInputMessage="false" sqref="D2:F301" type="decimal">
      <formula1>0</formula1>
      <formula2>0</formula2>
    </dataValidation>
    <dataValidation allowBlank="true" error="Elige un ID de lote existente en la pestaña Acciones" errorStyle="stop" operator="between" showDropDown="false" showErrorMessage="true" showInputMessage="false" sqref="C2:C301" type="list">
      <formula1>Acciones!$A$2:$A$201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39.75" hidden="false" customHeight="true" outlineLevel="0" collapsed="false">
      <c r="A1" s="2" t="s">
        <v>83</v>
      </c>
      <c r="B1" s="2" t="s">
        <v>84</v>
      </c>
      <c r="C1" s="2" t="s">
        <v>85</v>
      </c>
      <c r="D1" s="2" t="s">
        <v>86</v>
      </c>
      <c r="E1" s="2" t="s">
        <v>18</v>
      </c>
      <c r="F1" s="4" t="s">
        <v>87</v>
      </c>
      <c r="G1" s="4" t="s">
        <v>39</v>
      </c>
    </row>
    <row r="2" customFormat="false" ht="15" hidden="false" customHeight="false" outlineLevel="0" collapsed="false">
      <c r="A2" s="18" t="n">
        <v>46295</v>
      </c>
      <c r="B2" s="19" t="n">
        <v>160.85</v>
      </c>
      <c r="C2" s="20" t="n">
        <v>1.17</v>
      </c>
      <c r="D2" s="21" t="n">
        <v>0</v>
      </c>
      <c r="E2" s="22" t="s">
        <v>88</v>
      </c>
      <c r="F2" s="23" t="n">
        <f aca="false">IF(OR($A2="",$B2="",N($C2)=0),"",$B2/$C2-N($D2))</f>
        <v>137.478632478632</v>
      </c>
      <c r="G2" s="24" t="str">
        <f aca="false">IF($A2="","",IF(OR($B2="",$C2=""),"Faltan datos","OK"))</f>
        <v>OK</v>
      </c>
    </row>
    <row r="3" customFormat="false" ht="15" hidden="false" customHeight="false" outlineLevel="0" collapsed="false">
      <c r="A3" s="18"/>
      <c r="B3" s="19"/>
      <c r="C3" s="20"/>
      <c r="D3" s="21"/>
      <c r="E3" s="22"/>
      <c r="F3" s="23" t="str">
        <f aca="false">IF(OR($A3="",$B3="",N($C3)=0),"",$B3/$C3-N($D3))</f>
        <v/>
      </c>
      <c r="G3" s="24" t="str">
        <f aca="false">IF($A3="","",IF(OR($B3="",$C3=""),"Faltan datos","OK"))</f>
        <v/>
      </c>
    </row>
    <row r="4" customFormat="false" ht="15" hidden="false" customHeight="false" outlineLevel="0" collapsed="false">
      <c r="A4" s="18"/>
      <c r="B4" s="19"/>
      <c r="C4" s="20"/>
      <c r="D4" s="21"/>
      <c r="E4" s="22"/>
      <c r="F4" s="23" t="str">
        <f aca="false">IF(OR($A4="",$B4="",N($C4)=0),"",$B4/$C4-N($D4))</f>
        <v/>
      </c>
      <c r="G4" s="24" t="str">
        <f aca="false">IF($A4="","",IF(OR($B4="",$C4=""),"Faltan datos","OK"))</f>
        <v/>
      </c>
    </row>
    <row r="5" customFormat="false" ht="15" hidden="false" customHeight="false" outlineLevel="0" collapsed="false">
      <c r="A5" s="18"/>
      <c r="B5" s="19"/>
      <c r="C5" s="20"/>
      <c r="D5" s="21"/>
      <c r="E5" s="22"/>
      <c r="F5" s="23" t="str">
        <f aca="false">IF(OR($A5="",$B5="",N($C5)=0),"",$B5/$C5-N($D5))</f>
        <v/>
      </c>
      <c r="G5" s="24" t="str">
        <f aca="false">IF($A5="","",IF(OR($B5="",$C5=""),"Faltan datos","OK"))</f>
        <v/>
      </c>
    </row>
    <row r="6" customFormat="false" ht="15" hidden="false" customHeight="false" outlineLevel="0" collapsed="false">
      <c r="A6" s="18"/>
      <c r="B6" s="19"/>
      <c r="C6" s="20"/>
      <c r="D6" s="21"/>
      <c r="E6" s="22"/>
      <c r="F6" s="23" t="str">
        <f aca="false">IF(OR($A6="",$B6="",N($C6)=0),"",$B6/$C6-N($D6))</f>
        <v/>
      </c>
      <c r="G6" s="24" t="str">
        <f aca="false">IF($A6="","",IF(OR($B6="",$C6=""),"Faltan datos","OK"))</f>
        <v/>
      </c>
    </row>
    <row r="7" customFormat="false" ht="15" hidden="false" customHeight="false" outlineLevel="0" collapsed="false">
      <c r="A7" s="18"/>
      <c r="B7" s="19"/>
      <c r="C7" s="20"/>
      <c r="D7" s="21"/>
      <c r="E7" s="22"/>
      <c r="F7" s="23" t="str">
        <f aca="false">IF(OR($A7="",$B7="",N($C7)=0),"",$B7/$C7-N($D7))</f>
        <v/>
      </c>
      <c r="G7" s="24" t="str">
        <f aca="false">IF($A7="","",IF(OR($B7="",$C7=""),"Faltan datos","OK"))</f>
        <v/>
      </c>
    </row>
    <row r="8" customFormat="false" ht="15" hidden="false" customHeight="false" outlineLevel="0" collapsed="false">
      <c r="A8" s="18"/>
      <c r="B8" s="19"/>
      <c r="C8" s="20"/>
      <c r="D8" s="21"/>
      <c r="E8" s="22"/>
      <c r="F8" s="23" t="str">
        <f aca="false">IF(OR($A8="",$B8="",N($C8)=0),"",$B8/$C8-N($D8))</f>
        <v/>
      </c>
      <c r="G8" s="24" t="str">
        <f aca="false">IF($A8="","",IF(OR($B8="",$C8=""),"Faltan datos","OK"))</f>
        <v/>
      </c>
    </row>
    <row r="9" customFormat="false" ht="15" hidden="false" customHeight="false" outlineLevel="0" collapsed="false">
      <c r="A9" s="18"/>
      <c r="B9" s="19"/>
      <c r="C9" s="20"/>
      <c r="D9" s="21"/>
      <c r="E9" s="22"/>
      <c r="F9" s="23" t="str">
        <f aca="false">IF(OR($A9="",$B9="",N($C9)=0),"",$B9/$C9-N($D9))</f>
        <v/>
      </c>
      <c r="G9" s="24" t="str">
        <f aca="false">IF($A9="","",IF(OR($B9="",$C9=""),"Faltan datos","OK"))</f>
        <v/>
      </c>
    </row>
    <row r="10" customFormat="false" ht="15" hidden="false" customHeight="false" outlineLevel="0" collapsed="false">
      <c r="A10" s="18"/>
      <c r="B10" s="19"/>
      <c r="C10" s="20"/>
      <c r="D10" s="21"/>
      <c r="E10" s="22"/>
      <c r="F10" s="23" t="str">
        <f aca="false">IF(OR($A10="",$B10="",N($C10)=0),"",$B10/$C10-N($D10))</f>
        <v/>
      </c>
      <c r="G10" s="24" t="str">
        <f aca="false">IF($A10="","",IF(OR($B10="",$C10=""),"Faltan datos","OK"))</f>
        <v/>
      </c>
    </row>
    <row r="11" customFormat="false" ht="15" hidden="false" customHeight="false" outlineLevel="0" collapsed="false">
      <c r="A11" s="18"/>
      <c r="B11" s="19"/>
      <c r="C11" s="20"/>
      <c r="D11" s="21"/>
      <c r="E11" s="22"/>
      <c r="F11" s="23" t="str">
        <f aca="false">IF(OR($A11="",$B11="",N($C11)=0),"",$B11/$C11-N($D11))</f>
        <v/>
      </c>
      <c r="G11" s="24" t="str">
        <f aca="false">IF($A11="","",IF(OR($B11="",$C11=""),"Faltan datos","OK"))</f>
        <v/>
      </c>
    </row>
    <row r="12" customFormat="false" ht="15" hidden="false" customHeight="false" outlineLevel="0" collapsed="false">
      <c r="A12" s="18"/>
      <c r="B12" s="19"/>
      <c r="C12" s="20"/>
      <c r="D12" s="21"/>
      <c r="E12" s="22"/>
      <c r="F12" s="23" t="str">
        <f aca="false">IF(OR($A12="",$B12="",N($C12)=0),"",$B12/$C12-N($D12))</f>
        <v/>
      </c>
      <c r="G12" s="24" t="str">
        <f aca="false">IF($A12="","",IF(OR($B12="",$C12=""),"Faltan datos","OK"))</f>
        <v/>
      </c>
    </row>
    <row r="13" customFormat="false" ht="15" hidden="false" customHeight="false" outlineLevel="0" collapsed="false">
      <c r="A13" s="18"/>
      <c r="B13" s="19"/>
      <c r="C13" s="20"/>
      <c r="D13" s="21"/>
      <c r="E13" s="22"/>
      <c r="F13" s="23" t="str">
        <f aca="false">IF(OR($A13="",$B13="",N($C13)=0),"",$B13/$C13-N($D13))</f>
        <v/>
      </c>
      <c r="G13" s="24" t="str">
        <f aca="false">IF($A13="","",IF(OR($B13="",$C13=""),"Faltan datos","OK"))</f>
        <v/>
      </c>
    </row>
    <row r="14" customFormat="false" ht="15" hidden="false" customHeight="false" outlineLevel="0" collapsed="false">
      <c r="A14" s="18"/>
      <c r="B14" s="19"/>
      <c r="C14" s="20"/>
      <c r="D14" s="21"/>
      <c r="E14" s="22"/>
      <c r="F14" s="23" t="str">
        <f aca="false">IF(OR($A14="",$B14="",N($C14)=0),"",$B14/$C14-N($D14))</f>
        <v/>
      </c>
      <c r="G14" s="24" t="str">
        <f aca="false">IF($A14="","",IF(OR($B14="",$C14=""),"Faltan datos","OK"))</f>
        <v/>
      </c>
    </row>
    <row r="15" customFormat="false" ht="15" hidden="false" customHeight="false" outlineLevel="0" collapsed="false">
      <c r="A15" s="18"/>
      <c r="B15" s="19"/>
      <c r="C15" s="20"/>
      <c r="D15" s="21"/>
      <c r="E15" s="22"/>
      <c r="F15" s="23" t="str">
        <f aca="false">IF(OR($A15="",$B15="",N($C15)=0),"",$B15/$C15-N($D15))</f>
        <v/>
      </c>
      <c r="G15" s="24" t="str">
        <f aca="false">IF($A15="","",IF(OR($B15="",$C15=""),"Faltan datos","OK"))</f>
        <v/>
      </c>
    </row>
    <row r="16" customFormat="false" ht="15" hidden="false" customHeight="false" outlineLevel="0" collapsed="false">
      <c r="A16" s="18"/>
      <c r="B16" s="19"/>
      <c r="C16" s="20"/>
      <c r="D16" s="21"/>
      <c r="E16" s="22"/>
      <c r="F16" s="23" t="str">
        <f aca="false">IF(OR($A16="",$B16="",N($C16)=0),"",$B16/$C16-N($D16))</f>
        <v/>
      </c>
      <c r="G16" s="24" t="str">
        <f aca="false">IF($A16="","",IF(OR($B16="",$C16=""),"Faltan datos","OK"))</f>
        <v/>
      </c>
    </row>
    <row r="17" customFormat="false" ht="15" hidden="false" customHeight="false" outlineLevel="0" collapsed="false">
      <c r="A17" s="18"/>
      <c r="B17" s="19"/>
      <c r="C17" s="20"/>
      <c r="D17" s="21"/>
      <c r="E17" s="22"/>
      <c r="F17" s="23" t="str">
        <f aca="false">IF(OR($A17="",$B17="",N($C17)=0),"",$B17/$C17-N($D17))</f>
        <v/>
      </c>
      <c r="G17" s="24" t="str">
        <f aca="false">IF($A17="","",IF(OR($B17="",$C17=""),"Faltan datos","OK"))</f>
        <v/>
      </c>
    </row>
    <row r="18" customFormat="false" ht="15" hidden="false" customHeight="false" outlineLevel="0" collapsed="false">
      <c r="A18" s="18"/>
      <c r="B18" s="19"/>
      <c r="C18" s="20"/>
      <c r="D18" s="21"/>
      <c r="E18" s="22"/>
      <c r="F18" s="23" t="str">
        <f aca="false">IF(OR($A18="",$B18="",N($C18)=0),"",$B18/$C18-N($D18))</f>
        <v/>
      </c>
      <c r="G18" s="24" t="str">
        <f aca="false">IF($A18="","",IF(OR($B18="",$C18=""),"Faltan datos","OK"))</f>
        <v/>
      </c>
    </row>
    <row r="19" customFormat="false" ht="15" hidden="false" customHeight="false" outlineLevel="0" collapsed="false">
      <c r="A19" s="18"/>
      <c r="B19" s="19"/>
      <c r="C19" s="20"/>
      <c r="D19" s="21"/>
      <c r="E19" s="22"/>
      <c r="F19" s="23" t="str">
        <f aca="false">IF(OR($A19="",$B19="",N($C19)=0),"",$B19/$C19-N($D19))</f>
        <v/>
      </c>
      <c r="G19" s="24" t="str">
        <f aca="false">IF($A19="","",IF(OR($B19="",$C19=""),"Faltan datos","OK"))</f>
        <v/>
      </c>
    </row>
    <row r="20" customFormat="false" ht="15" hidden="false" customHeight="false" outlineLevel="0" collapsed="false">
      <c r="A20" s="18"/>
      <c r="B20" s="19"/>
      <c r="C20" s="20"/>
      <c r="D20" s="21"/>
      <c r="E20" s="22"/>
      <c r="F20" s="23" t="str">
        <f aca="false">IF(OR($A20="",$B20="",N($C20)=0),"",$B20/$C20-N($D20))</f>
        <v/>
      </c>
      <c r="G20" s="24" t="str">
        <f aca="false">IF($A20="","",IF(OR($B20="",$C20=""),"Faltan datos","OK"))</f>
        <v/>
      </c>
    </row>
    <row r="21" customFormat="false" ht="15" hidden="false" customHeight="false" outlineLevel="0" collapsed="false">
      <c r="A21" s="18"/>
      <c r="B21" s="19"/>
      <c r="C21" s="20"/>
      <c r="D21" s="21"/>
      <c r="E21" s="22"/>
      <c r="F21" s="23" t="str">
        <f aca="false">IF(OR($A21="",$B21="",N($C21)=0),"",$B21/$C21-N($D21))</f>
        <v/>
      </c>
      <c r="G21" s="24" t="str">
        <f aca="false">IF($A21="","",IF(OR($B21="",$C21=""),"Faltan datos","OK"))</f>
        <v/>
      </c>
    </row>
    <row r="22" customFormat="false" ht="15" hidden="false" customHeight="false" outlineLevel="0" collapsed="false">
      <c r="A22" s="18"/>
      <c r="B22" s="19"/>
      <c r="C22" s="20"/>
      <c r="D22" s="21"/>
      <c r="E22" s="22"/>
      <c r="F22" s="23" t="str">
        <f aca="false">IF(OR($A22="",$B22="",N($C22)=0),"",$B22/$C22-N($D22))</f>
        <v/>
      </c>
      <c r="G22" s="24" t="str">
        <f aca="false">IF($A22="","",IF(OR($B22="",$C22=""),"Faltan datos","OK"))</f>
        <v/>
      </c>
    </row>
    <row r="23" customFormat="false" ht="15" hidden="false" customHeight="false" outlineLevel="0" collapsed="false">
      <c r="A23" s="18"/>
      <c r="B23" s="19"/>
      <c r="C23" s="20"/>
      <c r="D23" s="21"/>
      <c r="E23" s="22"/>
      <c r="F23" s="23" t="str">
        <f aca="false">IF(OR($A23="",$B23="",N($C23)=0),"",$B23/$C23-N($D23))</f>
        <v/>
      </c>
      <c r="G23" s="24" t="str">
        <f aca="false">IF($A23="","",IF(OR($B23="",$C23=""),"Faltan datos","OK"))</f>
        <v/>
      </c>
    </row>
    <row r="24" customFormat="false" ht="15" hidden="false" customHeight="false" outlineLevel="0" collapsed="false">
      <c r="A24" s="18"/>
      <c r="B24" s="19"/>
      <c r="C24" s="20"/>
      <c r="D24" s="21"/>
      <c r="E24" s="22"/>
      <c r="F24" s="23" t="str">
        <f aca="false">IF(OR($A24="",$B24="",N($C24)=0),"",$B24/$C24-N($D24))</f>
        <v/>
      </c>
      <c r="G24" s="24" t="str">
        <f aca="false">IF($A24="","",IF(OR($B24="",$C24=""),"Faltan datos","OK"))</f>
        <v/>
      </c>
    </row>
    <row r="25" customFormat="false" ht="15" hidden="false" customHeight="false" outlineLevel="0" collapsed="false">
      <c r="A25" s="18"/>
      <c r="B25" s="19"/>
      <c r="C25" s="20"/>
      <c r="D25" s="21"/>
      <c r="E25" s="22"/>
      <c r="F25" s="23" t="str">
        <f aca="false">IF(OR($A25="",$B25="",N($C25)=0),"",$B25/$C25-N($D25))</f>
        <v/>
      </c>
      <c r="G25" s="24" t="str">
        <f aca="false">IF($A25="","",IF(OR($B25="",$C25=""),"Faltan datos","OK"))</f>
        <v/>
      </c>
    </row>
    <row r="26" customFormat="false" ht="15" hidden="false" customHeight="false" outlineLevel="0" collapsed="false">
      <c r="A26" s="18"/>
      <c r="B26" s="19"/>
      <c r="C26" s="20"/>
      <c r="D26" s="21"/>
      <c r="E26" s="22"/>
      <c r="F26" s="23" t="str">
        <f aca="false">IF(OR($A26="",$B26="",N($C26)=0),"",$B26/$C26-N($D26))</f>
        <v/>
      </c>
      <c r="G26" s="24" t="str">
        <f aca="false">IF($A26="","",IF(OR($B26="",$C26=""),"Faltan datos","OK"))</f>
        <v/>
      </c>
    </row>
    <row r="27" customFormat="false" ht="15" hidden="false" customHeight="false" outlineLevel="0" collapsed="false">
      <c r="A27" s="18"/>
      <c r="B27" s="19"/>
      <c r="C27" s="20"/>
      <c r="D27" s="21"/>
      <c r="E27" s="22"/>
      <c r="F27" s="23" t="str">
        <f aca="false">IF(OR($A27="",$B27="",N($C27)=0),"",$B27/$C27-N($D27))</f>
        <v/>
      </c>
      <c r="G27" s="24" t="str">
        <f aca="false">IF($A27="","",IF(OR($B27="",$C27=""),"Faltan datos","OK"))</f>
        <v/>
      </c>
    </row>
    <row r="28" customFormat="false" ht="15" hidden="false" customHeight="false" outlineLevel="0" collapsed="false">
      <c r="A28" s="18"/>
      <c r="B28" s="19"/>
      <c r="C28" s="20"/>
      <c r="D28" s="21"/>
      <c r="E28" s="22"/>
      <c r="F28" s="23" t="str">
        <f aca="false">IF(OR($A28="",$B28="",N($C28)=0),"",$B28/$C28-N($D28))</f>
        <v/>
      </c>
      <c r="G28" s="24" t="str">
        <f aca="false">IF($A28="","",IF(OR($B28="",$C28=""),"Faltan datos","OK"))</f>
        <v/>
      </c>
    </row>
    <row r="29" customFormat="false" ht="15" hidden="false" customHeight="false" outlineLevel="0" collapsed="false">
      <c r="A29" s="18"/>
      <c r="B29" s="19"/>
      <c r="C29" s="20"/>
      <c r="D29" s="21"/>
      <c r="E29" s="22"/>
      <c r="F29" s="23" t="str">
        <f aca="false">IF(OR($A29="",$B29="",N($C29)=0),"",$B29/$C29-N($D29))</f>
        <v/>
      </c>
      <c r="G29" s="24" t="str">
        <f aca="false">IF($A29="","",IF(OR($B29="",$C29=""),"Faltan datos","OK"))</f>
        <v/>
      </c>
    </row>
    <row r="30" customFormat="false" ht="15" hidden="false" customHeight="false" outlineLevel="0" collapsed="false">
      <c r="A30" s="18"/>
      <c r="B30" s="19"/>
      <c r="C30" s="20"/>
      <c r="D30" s="21"/>
      <c r="E30" s="22"/>
      <c r="F30" s="23" t="str">
        <f aca="false">IF(OR($A30="",$B30="",N($C30)=0),"",$B30/$C30-N($D30))</f>
        <v/>
      </c>
      <c r="G30" s="24" t="str">
        <f aca="false">IF($A30="","",IF(OR($B30="",$C30=""),"Faltan datos","OK"))</f>
        <v/>
      </c>
    </row>
    <row r="31" customFormat="false" ht="15" hidden="false" customHeight="false" outlineLevel="0" collapsed="false">
      <c r="A31" s="18"/>
      <c r="B31" s="19"/>
      <c r="C31" s="20"/>
      <c r="D31" s="21"/>
      <c r="E31" s="22"/>
      <c r="F31" s="23" t="str">
        <f aca="false">IF(OR($A31="",$B31="",N($C31)=0),"",$B31/$C31-N($D31))</f>
        <v/>
      </c>
      <c r="G31" s="24" t="str">
        <f aca="false">IF($A31="","",IF(OR($B31="",$C31=""),"Faltan datos","OK"))</f>
        <v/>
      </c>
    </row>
    <row r="32" customFormat="false" ht="15" hidden="false" customHeight="false" outlineLevel="0" collapsed="false">
      <c r="A32" s="18"/>
      <c r="B32" s="19"/>
      <c r="C32" s="20"/>
      <c r="D32" s="21"/>
      <c r="E32" s="22"/>
      <c r="F32" s="23" t="str">
        <f aca="false">IF(OR($A32="",$B32="",N($C32)=0),"",$B32/$C32-N($D32))</f>
        <v/>
      </c>
      <c r="G32" s="24" t="str">
        <f aca="false">IF($A32="","",IF(OR($B32="",$C32=""),"Faltan datos","OK"))</f>
        <v/>
      </c>
    </row>
    <row r="33" customFormat="false" ht="15" hidden="false" customHeight="false" outlineLevel="0" collapsed="false">
      <c r="A33" s="18"/>
      <c r="B33" s="19"/>
      <c r="C33" s="20"/>
      <c r="D33" s="21"/>
      <c r="E33" s="22"/>
      <c r="F33" s="23" t="str">
        <f aca="false">IF(OR($A33="",$B33="",N($C33)=0),"",$B33/$C33-N($D33))</f>
        <v/>
      </c>
      <c r="G33" s="24" t="str">
        <f aca="false">IF($A33="","",IF(OR($B33="",$C33=""),"Faltan datos","OK"))</f>
        <v/>
      </c>
    </row>
    <row r="34" customFormat="false" ht="15" hidden="false" customHeight="false" outlineLevel="0" collapsed="false">
      <c r="A34" s="18"/>
      <c r="B34" s="19"/>
      <c r="C34" s="20"/>
      <c r="D34" s="21"/>
      <c r="E34" s="22"/>
      <c r="F34" s="23" t="str">
        <f aca="false">IF(OR($A34="",$B34="",N($C34)=0),"",$B34/$C34-N($D34))</f>
        <v/>
      </c>
      <c r="G34" s="24" t="str">
        <f aca="false">IF($A34="","",IF(OR($B34="",$C34=""),"Faltan datos","OK"))</f>
        <v/>
      </c>
    </row>
    <row r="35" customFormat="false" ht="15" hidden="false" customHeight="false" outlineLevel="0" collapsed="false">
      <c r="A35" s="18"/>
      <c r="B35" s="19"/>
      <c r="C35" s="20"/>
      <c r="D35" s="21"/>
      <c r="E35" s="22"/>
      <c r="F35" s="23" t="str">
        <f aca="false">IF(OR($A35="",$B35="",N($C35)=0),"",$B35/$C35-N($D35))</f>
        <v/>
      </c>
      <c r="G35" s="24" t="str">
        <f aca="false">IF($A35="","",IF(OR($B35="",$C35=""),"Faltan datos","OK"))</f>
        <v/>
      </c>
    </row>
    <row r="36" customFormat="false" ht="15" hidden="false" customHeight="false" outlineLevel="0" collapsed="false">
      <c r="A36" s="18"/>
      <c r="B36" s="19"/>
      <c r="C36" s="20"/>
      <c r="D36" s="21"/>
      <c r="E36" s="22"/>
      <c r="F36" s="23" t="str">
        <f aca="false">IF(OR($A36="",$B36="",N($C36)=0),"",$B36/$C36-N($D36))</f>
        <v/>
      </c>
      <c r="G36" s="24" t="str">
        <f aca="false">IF($A36="","",IF(OR($B36="",$C36=""),"Faltan datos","OK"))</f>
        <v/>
      </c>
    </row>
    <row r="37" customFormat="false" ht="15" hidden="false" customHeight="false" outlineLevel="0" collapsed="false">
      <c r="A37" s="18"/>
      <c r="B37" s="19"/>
      <c r="C37" s="20"/>
      <c r="D37" s="21"/>
      <c r="E37" s="22"/>
      <c r="F37" s="23" t="str">
        <f aca="false">IF(OR($A37="",$B37="",N($C37)=0),"",$B37/$C37-N($D37))</f>
        <v/>
      </c>
      <c r="G37" s="24" t="str">
        <f aca="false">IF($A37="","",IF(OR($B37="",$C37=""),"Faltan datos","OK"))</f>
        <v/>
      </c>
    </row>
    <row r="38" customFormat="false" ht="15" hidden="false" customHeight="false" outlineLevel="0" collapsed="false">
      <c r="A38" s="18"/>
      <c r="B38" s="19"/>
      <c r="C38" s="20"/>
      <c r="D38" s="21"/>
      <c r="E38" s="22"/>
      <c r="F38" s="23" t="str">
        <f aca="false">IF(OR($A38="",$B38="",N($C38)=0),"",$B38/$C38-N($D38))</f>
        <v/>
      </c>
      <c r="G38" s="24" t="str">
        <f aca="false">IF($A38="","",IF(OR($B38="",$C38=""),"Faltan datos","OK"))</f>
        <v/>
      </c>
    </row>
    <row r="39" customFormat="false" ht="15" hidden="false" customHeight="false" outlineLevel="0" collapsed="false">
      <c r="A39" s="18"/>
      <c r="B39" s="19"/>
      <c r="C39" s="20"/>
      <c r="D39" s="21"/>
      <c r="E39" s="22"/>
      <c r="F39" s="23" t="str">
        <f aca="false">IF(OR($A39="",$B39="",N($C39)=0),"",$B39/$C39-N($D39))</f>
        <v/>
      </c>
      <c r="G39" s="24" t="str">
        <f aca="false">IF($A39="","",IF(OR($B39="",$C39=""),"Faltan datos","OK"))</f>
        <v/>
      </c>
    </row>
    <row r="40" customFormat="false" ht="15" hidden="false" customHeight="false" outlineLevel="0" collapsed="false">
      <c r="A40" s="18"/>
      <c r="B40" s="19"/>
      <c r="C40" s="20"/>
      <c r="D40" s="21"/>
      <c r="E40" s="22"/>
      <c r="F40" s="23" t="str">
        <f aca="false">IF(OR($A40="",$B40="",N($C40)=0),"",$B40/$C40-N($D40))</f>
        <v/>
      </c>
      <c r="G40" s="24" t="str">
        <f aca="false">IF($A40="","",IF(OR($B40="",$C40=""),"Faltan datos","OK"))</f>
        <v/>
      </c>
    </row>
    <row r="41" customFormat="false" ht="15" hidden="false" customHeight="false" outlineLevel="0" collapsed="false">
      <c r="A41" s="18"/>
      <c r="B41" s="19"/>
      <c r="C41" s="20"/>
      <c r="D41" s="21"/>
      <c r="E41" s="22"/>
      <c r="F41" s="23" t="str">
        <f aca="false">IF(OR($A41="",$B41="",N($C41)=0),"",$B41/$C41-N($D41))</f>
        <v/>
      </c>
      <c r="G41" s="24" t="str">
        <f aca="false">IF($A41="","",IF(OR($B41="",$C41=""),"Faltan datos","OK"))</f>
        <v/>
      </c>
    </row>
    <row r="42" customFormat="false" ht="15" hidden="false" customHeight="false" outlineLevel="0" collapsed="false">
      <c r="A42" s="18"/>
      <c r="B42" s="19"/>
      <c r="C42" s="20"/>
      <c r="D42" s="21"/>
      <c r="E42" s="22"/>
      <c r="F42" s="23" t="str">
        <f aca="false">IF(OR($A42="",$B42="",N($C42)=0),"",$B42/$C42-N($D42))</f>
        <v/>
      </c>
      <c r="G42" s="24" t="str">
        <f aca="false">IF($A42="","",IF(OR($B42="",$C42=""),"Faltan datos","OK"))</f>
        <v/>
      </c>
    </row>
    <row r="43" customFormat="false" ht="15" hidden="false" customHeight="false" outlineLevel="0" collapsed="false">
      <c r="A43" s="18"/>
      <c r="B43" s="19"/>
      <c r="C43" s="20"/>
      <c r="D43" s="21"/>
      <c r="E43" s="22"/>
      <c r="F43" s="23" t="str">
        <f aca="false">IF(OR($A43="",$B43="",N($C43)=0),"",$B43/$C43-N($D43))</f>
        <v/>
      </c>
      <c r="G43" s="24" t="str">
        <f aca="false">IF($A43="","",IF(OR($B43="",$C43=""),"Faltan datos","OK"))</f>
        <v/>
      </c>
    </row>
    <row r="44" customFormat="false" ht="15" hidden="false" customHeight="false" outlineLevel="0" collapsed="false">
      <c r="A44" s="18"/>
      <c r="B44" s="19"/>
      <c r="C44" s="20"/>
      <c r="D44" s="21"/>
      <c r="E44" s="22"/>
      <c r="F44" s="23" t="str">
        <f aca="false">IF(OR($A44="",$B44="",N($C44)=0),"",$B44/$C44-N($D44))</f>
        <v/>
      </c>
      <c r="G44" s="24" t="str">
        <f aca="false">IF($A44="","",IF(OR($B44="",$C44=""),"Faltan datos","OK"))</f>
        <v/>
      </c>
    </row>
    <row r="45" customFormat="false" ht="15" hidden="false" customHeight="false" outlineLevel="0" collapsed="false">
      <c r="A45" s="18"/>
      <c r="B45" s="19"/>
      <c r="C45" s="20"/>
      <c r="D45" s="21"/>
      <c r="E45" s="22"/>
      <c r="F45" s="23" t="str">
        <f aca="false">IF(OR($A45="",$B45="",N($C45)=0),"",$B45/$C45-N($D45))</f>
        <v/>
      </c>
      <c r="G45" s="24" t="str">
        <f aca="false">IF($A45="","",IF(OR($B45="",$C45=""),"Faltan datos","OK"))</f>
        <v/>
      </c>
    </row>
    <row r="46" customFormat="false" ht="15" hidden="false" customHeight="false" outlineLevel="0" collapsed="false">
      <c r="A46" s="18"/>
      <c r="B46" s="19"/>
      <c r="C46" s="20"/>
      <c r="D46" s="21"/>
      <c r="E46" s="22"/>
      <c r="F46" s="23" t="str">
        <f aca="false">IF(OR($A46="",$B46="",N($C46)=0),"",$B46/$C46-N($D46))</f>
        <v/>
      </c>
      <c r="G46" s="24" t="str">
        <f aca="false">IF($A46="","",IF(OR($B46="",$C46=""),"Faltan datos","OK"))</f>
        <v/>
      </c>
    </row>
    <row r="47" customFormat="false" ht="15" hidden="false" customHeight="false" outlineLevel="0" collapsed="false">
      <c r="A47" s="18"/>
      <c r="B47" s="19"/>
      <c r="C47" s="20"/>
      <c r="D47" s="21"/>
      <c r="E47" s="22"/>
      <c r="F47" s="23" t="str">
        <f aca="false">IF(OR($A47="",$B47="",N($C47)=0),"",$B47/$C47-N($D47))</f>
        <v/>
      </c>
      <c r="G47" s="24" t="str">
        <f aca="false">IF($A47="","",IF(OR($B47="",$C47=""),"Faltan datos","OK"))</f>
        <v/>
      </c>
    </row>
    <row r="48" customFormat="false" ht="15" hidden="false" customHeight="false" outlineLevel="0" collapsed="false">
      <c r="A48" s="18"/>
      <c r="B48" s="19"/>
      <c r="C48" s="20"/>
      <c r="D48" s="21"/>
      <c r="E48" s="22"/>
      <c r="F48" s="23" t="str">
        <f aca="false">IF(OR($A48="",$B48="",N($C48)=0),"",$B48/$C48-N($D48))</f>
        <v/>
      </c>
      <c r="G48" s="24" t="str">
        <f aca="false">IF($A48="","",IF(OR($B48="",$C48=""),"Faltan datos","OK"))</f>
        <v/>
      </c>
    </row>
    <row r="49" customFormat="false" ht="15" hidden="false" customHeight="false" outlineLevel="0" collapsed="false">
      <c r="A49" s="18"/>
      <c r="B49" s="19"/>
      <c r="C49" s="20"/>
      <c r="D49" s="21"/>
      <c r="E49" s="22"/>
      <c r="F49" s="23" t="str">
        <f aca="false">IF(OR($A49="",$B49="",N($C49)=0),"",$B49/$C49-N($D49))</f>
        <v/>
      </c>
      <c r="G49" s="24" t="str">
        <f aca="false">IF($A49="","",IF(OR($B49="",$C49=""),"Faltan datos","OK"))</f>
        <v/>
      </c>
    </row>
    <row r="50" customFormat="false" ht="15" hidden="false" customHeight="false" outlineLevel="0" collapsed="false">
      <c r="A50" s="18"/>
      <c r="B50" s="19"/>
      <c r="C50" s="20"/>
      <c r="D50" s="21"/>
      <c r="E50" s="22"/>
      <c r="F50" s="23" t="str">
        <f aca="false">IF(OR($A50="",$B50="",N($C50)=0),"",$B50/$C50-N($D50))</f>
        <v/>
      </c>
      <c r="G50" s="24" t="str">
        <f aca="false">IF($A50="","",IF(OR($B50="",$C50=""),"Faltan datos","OK"))</f>
        <v/>
      </c>
    </row>
    <row r="51" customFormat="false" ht="15" hidden="false" customHeight="false" outlineLevel="0" collapsed="false">
      <c r="A51" s="18"/>
      <c r="B51" s="19"/>
      <c r="C51" s="20"/>
      <c r="D51" s="21"/>
      <c r="E51" s="22"/>
      <c r="F51" s="23" t="str">
        <f aca="false">IF(OR($A51="",$B51="",N($C51)=0),"",$B51/$C51-N($D51))</f>
        <v/>
      </c>
      <c r="G51" s="24" t="str">
        <f aca="false">IF($A51="","",IF(OR($B51="",$C51=""),"Faltan datos","OK"))</f>
        <v/>
      </c>
    </row>
    <row r="52" customFormat="false" ht="15" hidden="false" customHeight="false" outlineLevel="0" collapsed="false">
      <c r="A52" s="18"/>
      <c r="B52" s="19"/>
      <c r="C52" s="20"/>
      <c r="D52" s="21"/>
      <c r="E52" s="22"/>
      <c r="F52" s="23" t="str">
        <f aca="false">IF(OR($A52="",$B52="",N($C52)=0),"",$B52/$C52-N($D52))</f>
        <v/>
      </c>
      <c r="G52" s="24" t="str">
        <f aca="false">IF($A52="","",IF(OR($B52="",$C52=""),"Faltan datos","OK"))</f>
        <v/>
      </c>
    </row>
    <row r="53" customFormat="false" ht="15" hidden="false" customHeight="false" outlineLevel="0" collapsed="false">
      <c r="A53" s="18"/>
      <c r="B53" s="19"/>
      <c r="C53" s="20"/>
      <c r="D53" s="21"/>
      <c r="E53" s="22"/>
      <c r="F53" s="23" t="str">
        <f aca="false">IF(OR($A53="",$B53="",N($C53)=0),"",$B53/$C53-N($D53))</f>
        <v/>
      </c>
      <c r="G53" s="24" t="str">
        <f aca="false">IF($A53="","",IF(OR($B53="",$C53=""),"Faltan datos","OK"))</f>
        <v/>
      </c>
    </row>
    <row r="54" customFormat="false" ht="15" hidden="false" customHeight="false" outlineLevel="0" collapsed="false">
      <c r="A54" s="18"/>
      <c r="B54" s="19"/>
      <c r="C54" s="20"/>
      <c r="D54" s="21"/>
      <c r="E54" s="22"/>
      <c r="F54" s="23" t="str">
        <f aca="false">IF(OR($A54="",$B54="",N($C54)=0),"",$B54/$C54-N($D54))</f>
        <v/>
      </c>
      <c r="G54" s="24" t="str">
        <f aca="false">IF($A54="","",IF(OR($B54="",$C54=""),"Faltan datos","OK"))</f>
        <v/>
      </c>
    </row>
    <row r="55" customFormat="false" ht="15" hidden="false" customHeight="false" outlineLevel="0" collapsed="false">
      <c r="A55" s="18"/>
      <c r="B55" s="19"/>
      <c r="C55" s="20"/>
      <c r="D55" s="21"/>
      <c r="E55" s="22"/>
      <c r="F55" s="23" t="str">
        <f aca="false">IF(OR($A55="",$B55="",N($C55)=0),"",$B55/$C55-N($D55))</f>
        <v/>
      </c>
      <c r="G55" s="24" t="str">
        <f aca="false">IF($A55="","",IF(OR($B55="",$C55=""),"Faltan datos","OK"))</f>
        <v/>
      </c>
    </row>
    <row r="56" customFormat="false" ht="15" hidden="false" customHeight="false" outlineLevel="0" collapsed="false">
      <c r="A56" s="18"/>
      <c r="B56" s="19"/>
      <c r="C56" s="20"/>
      <c r="D56" s="21"/>
      <c r="E56" s="22"/>
      <c r="F56" s="23" t="str">
        <f aca="false">IF(OR($A56="",$B56="",N($C56)=0),"",$B56/$C56-N($D56))</f>
        <v/>
      </c>
      <c r="G56" s="24" t="str">
        <f aca="false">IF($A56="","",IF(OR($B56="",$C56=""),"Faltan datos","OK"))</f>
        <v/>
      </c>
    </row>
    <row r="57" customFormat="false" ht="15" hidden="false" customHeight="false" outlineLevel="0" collapsed="false">
      <c r="A57" s="18"/>
      <c r="B57" s="19"/>
      <c r="C57" s="20"/>
      <c r="D57" s="21"/>
      <c r="E57" s="22"/>
      <c r="F57" s="23" t="str">
        <f aca="false">IF(OR($A57="",$B57="",N($C57)=0),"",$B57/$C57-N($D57))</f>
        <v/>
      </c>
      <c r="G57" s="24" t="str">
        <f aca="false">IF($A57="","",IF(OR($B57="",$C57=""),"Faltan datos","OK"))</f>
        <v/>
      </c>
    </row>
    <row r="58" customFormat="false" ht="15" hidden="false" customHeight="false" outlineLevel="0" collapsed="false">
      <c r="A58" s="18"/>
      <c r="B58" s="19"/>
      <c r="C58" s="20"/>
      <c r="D58" s="21"/>
      <c r="E58" s="22"/>
      <c r="F58" s="23" t="str">
        <f aca="false">IF(OR($A58="",$B58="",N($C58)=0),"",$B58/$C58-N($D58))</f>
        <v/>
      </c>
      <c r="G58" s="24" t="str">
        <f aca="false">IF($A58="","",IF(OR($B58="",$C58=""),"Faltan datos","OK"))</f>
        <v/>
      </c>
    </row>
    <row r="59" customFormat="false" ht="15" hidden="false" customHeight="false" outlineLevel="0" collapsed="false">
      <c r="A59" s="18"/>
      <c r="B59" s="19"/>
      <c r="C59" s="20"/>
      <c r="D59" s="21"/>
      <c r="E59" s="22"/>
      <c r="F59" s="23" t="str">
        <f aca="false">IF(OR($A59="",$B59="",N($C59)=0),"",$B59/$C59-N($D59))</f>
        <v/>
      </c>
      <c r="G59" s="24" t="str">
        <f aca="false">IF($A59="","",IF(OR($B59="",$C59=""),"Faltan datos","OK"))</f>
        <v/>
      </c>
    </row>
    <row r="60" customFormat="false" ht="15" hidden="false" customHeight="false" outlineLevel="0" collapsed="false">
      <c r="A60" s="18"/>
      <c r="B60" s="19"/>
      <c r="C60" s="20"/>
      <c r="D60" s="21"/>
      <c r="E60" s="22"/>
      <c r="F60" s="23" t="str">
        <f aca="false">IF(OR($A60="",$B60="",N($C60)=0),"",$B60/$C60-N($D60))</f>
        <v/>
      </c>
      <c r="G60" s="24" t="str">
        <f aca="false">IF($A60="","",IF(OR($B60="",$C60=""),"Faltan datos","OK"))</f>
        <v/>
      </c>
    </row>
    <row r="61" customFormat="false" ht="15" hidden="false" customHeight="false" outlineLevel="0" collapsed="false">
      <c r="A61" s="18"/>
      <c r="B61" s="19"/>
      <c r="C61" s="20"/>
      <c r="D61" s="21"/>
      <c r="E61" s="22"/>
      <c r="F61" s="23" t="str">
        <f aca="false">IF(OR($A61="",$B61="",N($C61)=0),"",$B61/$C61-N($D61))</f>
        <v/>
      </c>
      <c r="G61" s="24" t="str">
        <f aca="false">IF($A61="","",IF(OR($B61="",$C61=""),"Faltan datos","OK"))</f>
        <v/>
      </c>
    </row>
    <row r="62" customFormat="false" ht="15" hidden="false" customHeight="false" outlineLevel="0" collapsed="false">
      <c r="A62" s="18"/>
      <c r="B62" s="19"/>
      <c r="C62" s="20"/>
      <c r="D62" s="21"/>
      <c r="E62" s="22"/>
      <c r="F62" s="23" t="str">
        <f aca="false">IF(OR($A62="",$B62="",N($C62)=0),"",$B62/$C62-N($D62))</f>
        <v/>
      </c>
      <c r="G62" s="24" t="str">
        <f aca="false">IF($A62="","",IF(OR($B62="",$C62=""),"Faltan datos","OK"))</f>
        <v/>
      </c>
    </row>
    <row r="63" customFormat="false" ht="15" hidden="false" customHeight="false" outlineLevel="0" collapsed="false">
      <c r="A63" s="18"/>
      <c r="B63" s="19"/>
      <c r="C63" s="20"/>
      <c r="D63" s="21"/>
      <c r="E63" s="22"/>
      <c r="F63" s="23" t="str">
        <f aca="false">IF(OR($A63="",$B63="",N($C63)=0),"",$B63/$C63-N($D63))</f>
        <v/>
      </c>
      <c r="G63" s="24" t="str">
        <f aca="false">IF($A63="","",IF(OR($B63="",$C63=""),"Faltan datos","OK"))</f>
        <v/>
      </c>
    </row>
    <row r="64" customFormat="false" ht="15" hidden="false" customHeight="false" outlineLevel="0" collapsed="false">
      <c r="A64" s="18"/>
      <c r="B64" s="19"/>
      <c r="C64" s="20"/>
      <c r="D64" s="21"/>
      <c r="E64" s="22"/>
      <c r="F64" s="23" t="str">
        <f aca="false">IF(OR($A64="",$B64="",N($C64)=0),"",$B64/$C64-N($D64))</f>
        <v/>
      </c>
      <c r="G64" s="24" t="str">
        <f aca="false">IF($A64="","",IF(OR($B64="",$C64=""),"Faltan datos","OK"))</f>
        <v/>
      </c>
    </row>
    <row r="65" customFormat="false" ht="15" hidden="false" customHeight="false" outlineLevel="0" collapsed="false">
      <c r="A65" s="18"/>
      <c r="B65" s="19"/>
      <c r="C65" s="20"/>
      <c r="D65" s="21"/>
      <c r="E65" s="22"/>
      <c r="F65" s="23" t="str">
        <f aca="false">IF(OR($A65="",$B65="",N($C65)=0),"",$B65/$C65-N($D65))</f>
        <v/>
      </c>
      <c r="G65" s="24" t="str">
        <f aca="false">IF($A65="","",IF(OR($B65="",$C65=""),"Faltan datos","OK"))</f>
        <v/>
      </c>
    </row>
    <row r="66" customFormat="false" ht="15" hidden="false" customHeight="false" outlineLevel="0" collapsed="false">
      <c r="A66" s="18"/>
      <c r="B66" s="19"/>
      <c r="C66" s="20"/>
      <c r="D66" s="21"/>
      <c r="E66" s="22"/>
      <c r="F66" s="23" t="str">
        <f aca="false">IF(OR($A66="",$B66="",N($C66)=0),"",$B66/$C66-N($D66))</f>
        <v/>
      </c>
      <c r="G66" s="24" t="str">
        <f aca="false">IF($A66="","",IF(OR($B66="",$C66=""),"Faltan datos","OK"))</f>
        <v/>
      </c>
    </row>
    <row r="67" customFormat="false" ht="15" hidden="false" customHeight="false" outlineLevel="0" collapsed="false">
      <c r="A67" s="18"/>
      <c r="B67" s="19"/>
      <c r="C67" s="20"/>
      <c r="D67" s="21"/>
      <c r="E67" s="22"/>
      <c r="F67" s="23" t="str">
        <f aca="false">IF(OR($A67="",$B67="",N($C67)=0),"",$B67/$C67-N($D67))</f>
        <v/>
      </c>
      <c r="G67" s="24" t="str">
        <f aca="false">IF($A67="","",IF(OR($B67="",$C67=""),"Faltan datos","OK"))</f>
        <v/>
      </c>
    </row>
    <row r="68" customFormat="false" ht="15" hidden="false" customHeight="false" outlineLevel="0" collapsed="false">
      <c r="A68" s="18"/>
      <c r="B68" s="19"/>
      <c r="C68" s="20"/>
      <c r="D68" s="21"/>
      <c r="E68" s="22"/>
      <c r="F68" s="23" t="str">
        <f aca="false">IF(OR($A68="",$B68="",N($C68)=0),"",$B68/$C68-N($D68))</f>
        <v/>
      </c>
      <c r="G68" s="24" t="str">
        <f aca="false">IF($A68="","",IF(OR($B68="",$C68=""),"Faltan datos","OK"))</f>
        <v/>
      </c>
    </row>
    <row r="69" customFormat="false" ht="15" hidden="false" customHeight="false" outlineLevel="0" collapsed="false">
      <c r="A69" s="18"/>
      <c r="B69" s="19"/>
      <c r="C69" s="20"/>
      <c r="D69" s="21"/>
      <c r="E69" s="22"/>
      <c r="F69" s="23" t="str">
        <f aca="false">IF(OR($A69="",$B69="",N($C69)=0),"",$B69/$C69-N($D69))</f>
        <v/>
      </c>
      <c r="G69" s="24" t="str">
        <f aca="false">IF($A69="","",IF(OR($B69="",$C69=""),"Faltan datos","OK"))</f>
        <v/>
      </c>
    </row>
    <row r="70" customFormat="false" ht="15" hidden="false" customHeight="false" outlineLevel="0" collapsed="false">
      <c r="A70" s="18"/>
      <c r="B70" s="19"/>
      <c r="C70" s="20"/>
      <c r="D70" s="21"/>
      <c r="E70" s="22"/>
      <c r="F70" s="23" t="str">
        <f aca="false">IF(OR($A70="",$B70="",N($C70)=0),"",$B70/$C70-N($D70))</f>
        <v/>
      </c>
      <c r="G70" s="24" t="str">
        <f aca="false">IF($A70="","",IF(OR($B70="",$C70=""),"Faltan datos","OK"))</f>
        <v/>
      </c>
    </row>
    <row r="71" customFormat="false" ht="15" hidden="false" customHeight="false" outlineLevel="0" collapsed="false">
      <c r="A71" s="18"/>
      <c r="B71" s="19"/>
      <c r="C71" s="20"/>
      <c r="D71" s="21"/>
      <c r="E71" s="22"/>
      <c r="F71" s="23" t="str">
        <f aca="false">IF(OR($A71="",$B71="",N($C71)=0),"",$B71/$C71-N($D71))</f>
        <v/>
      </c>
      <c r="G71" s="24" t="str">
        <f aca="false">IF($A71="","",IF(OR($B71="",$C71=""),"Faltan datos","OK"))</f>
        <v/>
      </c>
    </row>
    <row r="72" customFormat="false" ht="15" hidden="false" customHeight="false" outlineLevel="0" collapsed="false">
      <c r="A72" s="18"/>
      <c r="B72" s="19"/>
      <c r="C72" s="20"/>
      <c r="D72" s="21"/>
      <c r="E72" s="22"/>
      <c r="F72" s="23" t="str">
        <f aca="false">IF(OR($A72="",$B72="",N($C72)=0),"",$B72/$C72-N($D72))</f>
        <v/>
      </c>
      <c r="G72" s="24" t="str">
        <f aca="false">IF($A72="","",IF(OR($B72="",$C72=""),"Faltan datos","OK"))</f>
        <v/>
      </c>
    </row>
    <row r="73" customFormat="false" ht="15" hidden="false" customHeight="false" outlineLevel="0" collapsed="false">
      <c r="A73" s="18"/>
      <c r="B73" s="19"/>
      <c r="C73" s="20"/>
      <c r="D73" s="21"/>
      <c r="E73" s="22"/>
      <c r="F73" s="23" t="str">
        <f aca="false">IF(OR($A73="",$B73="",N($C73)=0),"",$B73/$C73-N($D73))</f>
        <v/>
      </c>
      <c r="G73" s="24" t="str">
        <f aca="false">IF($A73="","",IF(OR($B73="",$C73=""),"Faltan datos","OK"))</f>
        <v/>
      </c>
    </row>
    <row r="74" customFormat="false" ht="15" hidden="false" customHeight="false" outlineLevel="0" collapsed="false">
      <c r="A74" s="18"/>
      <c r="B74" s="19"/>
      <c r="C74" s="20"/>
      <c r="D74" s="21"/>
      <c r="E74" s="22"/>
      <c r="F74" s="23" t="str">
        <f aca="false">IF(OR($A74="",$B74="",N($C74)=0),"",$B74/$C74-N($D74))</f>
        <v/>
      </c>
      <c r="G74" s="24" t="str">
        <f aca="false">IF($A74="","",IF(OR($B74="",$C74=""),"Faltan datos","OK"))</f>
        <v/>
      </c>
    </row>
    <row r="75" customFormat="false" ht="15" hidden="false" customHeight="false" outlineLevel="0" collapsed="false">
      <c r="A75" s="18"/>
      <c r="B75" s="19"/>
      <c r="C75" s="20"/>
      <c r="D75" s="21"/>
      <c r="E75" s="22"/>
      <c r="F75" s="23" t="str">
        <f aca="false">IF(OR($A75="",$B75="",N($C75)=0),"",$B75/$C75-N($D75))</f>
        <v/>
      </c>
      <c r="G75" s="24" t="str">
        <f aca="false">IF($A75="","",IF(OR($B75="",$C75=""),"Faltan datos","OK"))</f>
        <v/>
      </c>
    </row>
    <row r="76" customFormat="false" ht="15" hidden="false" customHeight="false" outlineLevel="0" collapsed="false">
      <c r="A76" s="18"/>
      <c r="B76" s="19"/>
      <c r="C76" s="20"/>
      <c r="D76" s="21"/>
      <c r="E76" s="22"/>
      <c r="F76" s="23" t="str">
        <f aca="false">IF(OR($A76="",$B76="",N($C76)=0),"",$B76/$C76-N($D76))</f>
        <v/>
      </c>
      <c r="G76" s="24" t="str">
        <f aca="false">IF($A76="","",IF(OR($B76="",$C76=""),"Faltan datos","OK"))</f>
        <v/>
      </c>
    </row>
    <row r="77" customFormat="false" ht="15" hidden="false" customHeight="false" outlineLevel="0" collapsed="false">
      <c r="A77" s="18"/>
      <c r="B77" s="19"/>
      <c r="C77" s="20"/>
      <c r="D77" s="21"/>
      <c r="E77" s="22"/>
      <c r="F77" s="23" t="str">
        <f aca="false">IF(OR($A77="",$B77="",N($C77)=0),"",$B77/$C77-N($D77))</f>
        <v/>
      </c>
      <c r="G77" s="24" t="str">
        <f aca="false">IF($A77="","",IF(OR($B77="",$C77=""),"Faltan datos","OK"))</f>
        <v/>
      </c>
    </row>
    <row r="78" customFormat="false" ht="15" hidden="false" customHeight="false" outlineLevel="0" collapsed="false">
      <c r="A78" s="18"/>
      <c r="B78" s="19"/>
      <c r="C78" s="20"/>
      <c r="D78" s="21"/>
      <c r="E78" s="22"/>
      <c r="F78" s="23" t="str">
        <f aca="false">IF(OR($A78="",$B78="",N($C78)=0),"",$B78/$C78-N($D78))</f>
        <v/>
      </c>
      <c r="G78" s="24" t="str">
        <f aca="false">IF($A78="","",IF(OR($B78="",$C78=""),"Faltan datos","OK"))</f>
        <v/>
      </c>
    </row>
    <row r="79" customFormat="false" ht="15" hidden="false" customHeight="false" outlineLevel="0" collapsed="false">
      <c r="A79" s="18"/>
      <c r="B79" s="19"/>
      <c r="C79" s="20"/>
      <c r="D79" s="21"/>
      <c r="E79" s="22"/>
      <c r="F79" s="23" t="str">
        <f aca="false">IF(OR($A79="",$B79="",N($C79)=0),"",$B79/$C79-N($D79))</f>
        <v/>
      </c>
      <c r="G79" s="24" t="str">
        <f aca="false">IF($A79="","",IF(OR($B79="",$C79=""),"Faltan datos","OK"))</f>
        <v/>
      </c>
    </row>
    <row r="80" customFormat="false" ht="15" hidden="false" customHeight="false" outlineLevel="0" collapsed="false">
      <c r="A80" s="18"/>
      <c r="B80" s="19"/>
      <c r="C80" s="20"/>
      <c r="D80" s="21"/>
      <c r="E80" s="22"/>
      <c r="F80" s="23" t="str">
        <f aca="false">IF(OR($A80="",$B80="",N($C80)=0),"",$B80/$C80-N($D80))</f>
        <v/>
      </c>
      <c r="G80" s="24" t="str">
        <f aca="false">IF($A80="","",IF(OR($B80="",$C80=""),"Faltan datos","OK"))</f>
        <v/>
      </c>
    </row>
    <row r="81" customFormat="false" ht="15" hidden="false" customHeight="false" outlineLevel="0" collapsed="false">
      <c r="A81" s="18"/>
      <c r="B81" s="19"/>
      <c r="C81" s="20"/>
      <c r="D81" s="21"/>
      <c r="E81" s="22"/>
      <c r="F81" s="23" t="str">
        <f aca="false">IF(OR($A81="",$B81="",N($C81)=0),"",$B81/$C81-N($D81))</f>
        <v/>
      </c>
      <c r="G81" s="24" t="str">
        <f aca="false">IF($A81="","",IF(OR($B81="",$C81=""),"Faltan datos","OK"))</f>
        <v/>
      </c>
    </row>
    <row r="82" customFormat="false" ht="15" hidden="false" customHeight="false" outlineLevel="0" collapsed="false">
      <c r="A82" s="18"/>
      <c r="B82" s="19"/>
      <c r="C82" s="20"/>
      <c r="D82" s="21"/>
      <c r="E82" s="22"/>
      <c r="F82" s="23" t="str">
        <f aca="false">IF(OR($A82="",$B82="",N($C82)=0),"",$B82/$C82-N($D82))</f>
        <v/>
      </c>
      <c r="G82" s="24" t="str">
        <f aca="false">IF($A82="","",IF(OR($B82="",$C82=""),"Faltan datos","OK"))</f>
        <v/>
      </c>
    </row>
    <row r="83" customFormat="false" ht="15" hidden="false" customHeight="false" outlineLevel="0" collapsed="false">
      <c r="A83" s="18"/>
      <c r="B83" s="19"/>
      <c r="C83" s="20"/>
      <c r="D83" s="21"/>
      <c r="E83" s="22"/>
      <c r="F83" s="23" t="str">
        <f aca="false">IF(OR($A83="",$B83="",N($C83)=0),"",$B83/$C83-N($D83))</f>
        <v/>
      </c>
      <c r="G83" s="24" t="str">
        <f aca="false">IF($A83="","",IF(OR($B83="",$C83=""),"Faltan datos","OK"))</f>
        <v/>
      </c>
    </row>
    <row r="84" customFormat="false" ht="15" hidden="false" customHeight="false" outlineLevel="0" collapsed="false">
      <c r="A84" s="18"/>
      <c r="B84" s="19"/>
      <c r="C84" s="20"/>
      <c r="D84" s="21"/>
      <c r="E84" s="22"/>
      <c r="F84" s="23" t="str">
        <f aca="false">IF(OR($A84="",$B84="",N($C84)=0),"",$B84/$C84-N($D84))</f>
        <v/>
      </c>
      <c r="G84" s="24" t="str">
        <f aca="false">IF($A84="","",IF(OR($B84="",$C84=""),"Faltan datos","OK"))</f>
        <v/>
      </c>
    </row>
    <row r="85" customFormat="false" ht="15" hidden="false" customHeight="false" outlineLevel="0" collapsed="false">
      <c r="A85" s="18"/>
      <c r="B85" s="19"/>
      <c r="C85" s="20"/>
      <c r="D85" s="21"/>
      <c r="E85" s="22"/>
      <c r="F85" s="23" t="str">
        <f aca="false">IF(OR($A85="",$B85="",N($C85)=0),"",$B85/$C85-N($D85))</f>
        <v/>
      </c>
      <c r="G85" s="24" t="str">
        <f aca="false">IF($A85="","",IF(OR($B85="",$C85=""),"Faltan datos","OK"))</f>
        <v/>
      </c>
    </row>
    <row r="86" customFormat="false" ht="15" hidden="false" customHeight="false" outlineLevel="0" collapsed="false">
      <c r="A86" s="18"/>
      <c r="B86" s="19"/>
      <c r="C86" s="20"/>
      <c r="D86" s="21"/>
      <c r="E86" s="22"/>
      <c r="F86" s="23" t="str">
        <f aca="false">IF(OR($A86="",$B86="",N($C86)=0),"",$B86/$C86-N($D86))</f>
        <v/>
      </c>
      <c r="G86" s="24" t="str">
        <f aca="false">IF($A86="","",IF(OR($B86="",$C86=""),"Faltan datos","OK"))</f>
        <v/>
      </c>
    </row>
    <row r="87" customFormat="false" ht="15" hidden="false" customHeight="false" outlineLevel="0" collapsed="false">
      <c r="A87" s="18"/>
      <c r="B87" s="19"/>
      <c r="C87" s="20"/>
      <c r="D87" s="21"/>
      <c r="E87" s="22"/>
      <c r="F87" s="23" t="str">
        <f aca="false">IF(OR($A87="",$B87="",N($C87)=0),"",$B87/$C87-N($D87))</f>
        <v/>
      </c>
      <c r="G87" s="24" t="str">
        <f aca="false">IF($A87="","",IF(OR($B87="",$C87=""),"Faltan datos","OK"))</f>
        <v/>
      </c>
    </row>
    <row r="88" customFormat="false" ht="15" hidden="false" customHeight="false" outlineLevel="0" collapsed="false">
      <c r="A88" s="18"/>
      <c r="B88" s="19"/>
      <c r="C88" s="20"/>
      <c r="D88" s="21"/>
      <c r="E88" s="22"/>
      <c r="F88" s="23" t="str">
        <f aca="false">IF(OR($A88="",$B88="",N($C88)=0),"",$B88/$C88-N($D88))</f>
        <v/>
      </c>
      <c r="G88" s="24" t="str">
        <f aca="false">IF($A88="","",IF(OR($B88="",$C88=""),"Faltan datos","OK"))</f>
        <v/>
      </c>
    </row>
    <row r="89" customFormat="false" ht="15" hidden="false" customHeight="false" outlineLevel="0" collapsed="false">
      <c r="A89" s="18"/>
      <c r="B89" s="19"/>
      <c r="C89" s="20"/>
      <c r="D89" s="21"/>
      <c r="E89" s="22"/>
      <c r="F89" s="23" t="str">
        <f aca="false">IF(OR($A89="",$B89="",N($C89)=0),"",$B89/$C89-N($D89))</f>
        <v/>
      </c>
      <c r="G89" s="24" t="str">
        <f aca="false">IF($A89="","",IF(OR($B89="",$C89=""),"Faltan datos","OK"))</f>
        <v/>
      </c>
    </row>
    <row r="90" customFormat="false" ht="15" hidden="false" customHeight="false" outlineLevel="0" collapsed="false">
      <c r="A90" s="18"/>
      <c r="B90" s="19"/>
      <c r="C90" s="20"/>
      <c r="D90" s="21"/>
      <c r="E90" s="22"/>
      <c r="F90" s="23" t="str">
        <f aca="false">IF(OR($A90="",$B90="",N($C90)=0),"",$B90/$C90-N($D90))</f>
        <v/>
      </c>
      <c r="G90" s="24" t="str">
        <f aca="false">IF($A90="","",IF(OR($B90="",$C90=""),"Faltan datos","OK"))</f>
        <v/>
      </c>
    </row>
    <row r="91" customFormat="false" ht="15" hidden="false" customHeight="false" outlineLevel="0" collapsed="false">
      <c r="A91" s="18"/>
      <c r="B91" s="19"/>
      <c r="C91" s="20"/>
      <c r="D91" s="21"/>
      <c r="E91" s="22"/>
      <c r="F91" s="23" t="str">
        <f aca="false">IF(OR($A91="",$B91="",N($C91)=0),"",$B91/$C91-N($D91))</f>
        <v/>
      </c>
      <c r="G91" s="24" t="str">
        <f aca="false">IF($A91="","",IF(OR($B91="",$C91=""),"Faltan datos","OK"))</f>
        <v/>
      </c>
    </row>
    <row r="92" customFormat="false" ht="15" hidden="false" customHeight="false" outlineLevel="0" collapsed="false">
      <c r="A92" s="18"/>
      <c r="B92" s="19"/>
      <c r="C92" s="20"/>
      <c r="D92" s="21"/>
      <c r="E92" s="22"/>
      <c r="F92" s="23" t="str">
        <f aca="false">IF(OR($A92="",$B92="",N($C92)=0),"",$B92/$C92-N($D92))</f>
        <v/>
      </c>
      <c r="G92" s="24" t="str">
        <f aca="false">IF($A92="","",IF(OR($B92="",$C92=""),"Faltan datos","OK"))</f>
        <v/>
      </c>
    </row>
    <row r="93" customFormat="false" ht="15" hidden="false" customHeight="false" outlineLevel="0" collapsed="false">
      <c r="A93" s="18"/>
      <c r="B93" s="19"/>
      <c r="C93" s="20"/>
      <c r="D93" s="21"/>
      <c r="E93" s="22"/>
      <c r="F93" s="23" t="str">
        <f aca="false">IF(OR($A93="",$B93="",N($C93)=0),"",$B93/$C93-N($D93))</f>
        <v/>
      </c>
      <c r="G93" s="24" t="str">
        <f aca="false">IF($A93="","",IF(OR($B93="",$C93=""),"Faltan datos","OK"))</f>
        <v/>
      </c>
    </row>
    <row r="94" customFormat="false" ht="15" hidden="false" customHeight="false" outlineLevel="0" collapsed="false">
      <c r="A94" s="18"/>
      <c r="B94" s="19"/>
      <c r="C94" s="20"/>
      <c r="D94" s="21"/>
      <c r="E94" s="22"/>
      <c r="F94" s="23" t="str">
        <f aca="false">IF(OR($A94="",$B94="",N($C94)=0),"",$B94/$C94-N($D94))</f>
        <v/>
      </c>
      <c r="G94" s="24" t="str">
        <f aca="false">IF($A94="","",IF(OR($B94="",$C94=""),"Faltan datos","OK"))</f>
        <v/>
      </c>
    </row>
    <row r="95" customFormat="false" ht="15" hidden="false" customHeight="false" outlineLevel="0" collapsed="false">
      <c r="A95" s="18"/>
      <c r="B95" s="19"/>
      <c r="C95" s="20"/>
      <c r="D95" s="21"/>
      <c r="E95" s="22"/>
      <c r="F95" s="23" t="str">
        <f aca="false">IF(OR($A95="",$B95="",N($C95)=0),"",$B95/$C95-N($D95))</f>
        <v/>
      </c>
      <c r="G95" s="24" t="str">
        <f aca="false">IF($A95="","",IF(OR($B95="",$C95=""),"Faltan datos","OK"))</f>
        <v/>
      </c>
    </row>
    <row r="96" customFormat="false" ht="15" hidden="false" customHeight="false" outlineLevel="0" collapsed="false">
      <c r="A96" s="18"/>
      <c r="B96" s="19"/>
      <c r="C96" s="20"/>
      <c r="D96" s="21"/>
      <c r="E96" s="22"/>
      <c r="F96" s="23" t="str">
        <f aca="false">IF(OR($A96="",$B96="",N($C96)=0),"",$B96/$C96-N($D96))</f>
        <v/>
      </c>
      <c r="G96" s="24" t="str">
        <f aca="false">IF($A96="","",IF(OR($B96="",$C96=""),"Faltan datos","OK"))</f>
        <v/>
      </c>
    </row>
    <row r="97" customFormat="false" ht="15" hidden="false" customHeight="false" outlineLevel="0" collapsed="false">
      <c r="A97" s="18"/>
      <c r="B97" s="19"/>
      <c r="C97" s="20"/>
      <c r="D97" s="21"/>
      <c r="E97" s="22"/>
      <c r="F97" s="23" t="str">
        <f aca="false">IF(OR($A97="",$B97="",N($C97)=0),"",$B97/$C97-N($D97))</f>
        <v/>
      </c>
      <c r="G97" s="24" t="str">
        <f aca="false">IF($A97="","",IF(OR($B97="",$C97=""),"Faltan datos","OK"))</f>
        <v/>
      </c>
    </row>
    <row r="98" customFormat="false" ht="15" hidden="false" customHeight="false" outlineLevel="0" collapsed="false">
      <c r="A98" s="18"/>
      <c r="B98" s="19"/>
      <c r="C98" s="20"/>
      <c r="D98" s="21"/>
      <c r="E98" s="22"/>
      <c r="F98" s="23" t="str">
        <f aca="false">IF(OR($A98="",$B98="",N($C98)=0),"",$B98/$C98-N($D98))</f>
        <v/>
      </c>
      <c r="G98" s="24" t="str">
        <f aca="false">IF($A98="","",IF(OR($B98="",$C98=""),"Faltan datos","OK"))</f>
        <v/>
      </c>
    </row>
    <row r="99" customFormat="false" ht="15" hidden="false" customHeight="false" outlineLevel="0" collapsed="false">
      <c r="A99" s="18"/>
      <c r="B99" s="19"/>
      <c r="C99" s="20"/>
      <c r="D99" s="21"/>
      <c r="E99" s="22"/>
      <c r="F99" s="23" t="str">
        <f aca="false">IF(OR($A99="",$B99="",N($C99)=0),"",$B99/$C99-N($D99))</f>
        <v/>
      </c>
      <c r="G99" s="24" t="str">
        <f aca="false">IF($A99="","",IF(OR($B99="",$C99=""),"Faltan datos","OK"))</f>
        <v/>
      </c>
    </row>
    <row r="100" customFormat="false" ht="15" hidden="false" customHeight="false" outlineLevel="0" collapsed="false">
      <c r="A100" s="18"/>
      <c r="B100" s="19"/>
      <c r="C100" s="20"/>
      <c r="D100" s="21"/>
      <c r="E100" s="22"/>
      <c r="F100" s="23" t="str">
        <f aca="false">IF(OR($A100="",$B100="",N($C100)=0),"",$B100/$C100-N($D100))</f>
        <v/>
      </c>
      <c r="G100" s="24" t="str">
        <f aca="false">IF($A100="","",IF(OR($B100="",$C100=""),"Faltan datos","OK"))</f>
        <v/>
      </c>
    </row>
    <row r="101" customFormat="false" ht="15" hidden="false" customHeight="false" outlineLevel="0" collapsed="false">
      <c r="A101" s="18"/>
      <c r="B101" s="19"/>
      <c r="C101" s="20"/>
      <c r="D101" s="21"/>
      <c r="E101" s="22"/>
      <c r="F101" s="23" t="str">
        <f aca="false">IF(OR($A101="",$B101="",N($C101)=0),"",$B101/$C101-N($D101))</f>
        <v/>
      </c>
      <c r="G101" s="24" t="str">
        <f aca="false">IF($A101="","",IF(OR($B101="",$C101=""),"Faltan datos","OK"))</f>
        <v/>
      </c>
    </row>
    <row r="102" customFormat="false" ht="15" hidden="false" customHeight="false" outlineLevel="0" collapsed="false">
      <c r="A102" s="18"/>
      <c r="B102" s="19"/>
      <c r="C102" s="20"/>
      <c r="D102" s="21"/>
      <c r="E102" s="22"/>
      <c r="F102" s="23" t="str">
        <f aca="false">IF(OR($A102="",$B102="",N($C102)=0),"",$B102/$C102-N($D102))</f>
        <v/>
      </c>
      <c r="G102" s="24" t="str">
        <f aca="false">IF($A102="","",IF(OR($B102="",$C102=""),"Faltan datos","OK"))</f>
        <v/>
      </c>
    </row>
    <row r="103" customFormat="false" ht="15" hidden="false" customHeight="false" outlineLevel="0" collapsed="false">
      <c r="A103" s="18"/>
      <c r="B103" s="19"/>
      <c r="C103" s="20"/>
      <c r="D103" s="21"/>
      <c r="E103" s="22"/>
      <c r="F103" s="23" t="str">
        <f aca="false">IF(OR($A103="",$B103="",N($C103)=0),"",$B103/$C103-N($D103))</f>
        <v/>
      </c>
      <c r="G103" s="24" t="str">
        <f aca="false">IF($A103="","",IF(OR($B103="",$C103=""),"Faltan datos","OK"))</f>
        <v/>
      </c>
    </row>
    <row r="104" customFormat="false" ht="15" hidden="false" customHeight="false" outlineLevel="0" collapsed="false">
      <c r="A104" s="18"/>
      <c r="B104" s="19"/>
      <c r="C104" s="20"/>
      <c r="D104" s="21"/>
      <c r="E104" s="22"/>
      <c r="F104" s="23" t="str">
        <f aca="false">IF(OR($A104="",$B104="",N($C104)=0),"",$B104/$C104-N($D104))</f>
        <v/>
      </c>
      <c r="G104" s="24" t="str">
        <f aca="false">IF($A104="","",IF(OR($B104="",$C104=""),"Faltan datos","OK"))</f>
        <v/>
      </c>
    </row>
    <row r="105" customFormat="false" ht="15" hidden="false" customHeight="false" outlineLevel="0" collapsed="false">
      <c r="A105" s="18"/>
      <c r="B105" s="19"/>
      <c r="C105" s="20"/>
      <c r="D105" s="21"/>
      <c r="E105" s="22"/>
      <c r="F105" s="23" t="str">
        <f aca="false">IF(OR($A105="",$B105="",N($C105)=0),"",$B105/$C105-N($D105))</f>
        <v/>
      </c>
      <c r="G105" s="24" t="str">
        <f aca="false">IF($A105="","",IF(OR($B105="",$C105=""),"Faltan datos","OK"))</f>
        <v/>
      </c>
    </row>
    <row r="106" customFormat="false" ht="15" hidden="false" customHeight="false" outlineLevel="0" collapsed="false">
      <c r="A106" s="18"/>
      <c r="B106" s="19"/>
      <c r="C106" s="20"/>
      <c r="D106" s="21"/>
      <c r="E106" s="22"/>
      <c r="F106" s="23" t="str">
        <f aca="false">IF(OR($A106="",$B106="",N($C106)=0),"",$B106/$C106-N($D106))</f>
        <v/>
      </c>
      <c r="G106" s="24" t="str">
        <f aca="false">IF($A106="","",IF(OR($B106="",$C106=""),"Faltan datos","OK"))</f>
        <v/>
      </c>
    </row>
    <row r="107" customFormat="false" ht="15" hidden="false" customHeight="false" outlineLevel="0" collapsed="false">
      <c r="A107" s="18"/>
      <c r="B107" s="19"/>
      <c r="C107" s="20"/>
      <c r="D107" s="21"/>
      <c r="E107" s="22"/>
      <c r="F107" s="23" t="str">
        <f aca="false">IF(OR($A107="",$B107="",N($C107)=0),"",$B107/$C107-N($D107))</f>
        <v/>
      </c>
      <c r="G107" s="24" t="str">
        <f aca="false">IF($A107="","",IF(OR($B107="",$C107=""),"Faltan datos","OK"))</f>
        <v/>
      </c>
    </row>
    <row r="108" customFormat="false" ht="15" hidden="false" customHeight="false" outlineLevel="0" collapsed="false">
      <c r="A108" s="18"/>
      <c r="B108" s="19"/>
      <c r="C108" s="20"/>
      <c r="D108" s="21"/>
      <c r="E108" s="22"/>
      <c r="F108" s="23" t="str">
        <f aca="false">IF(OR($A108="",$B108="",N($C108)=0),"",$B108/$C108-N($D108))</f>
        <v/>
      </c>
      <c r="G108" s="24" t="str">
        <f aca="false">IF($A108="","",IF(OR($B108="",$C108=""),"Faltan datos","OK"))</f>
        <v/>
      </c>
    </row>
    <row r="109" customFormat="false" ht="15" hidden="false" customHeight="false" outlineLevel="0" collapsed="false">
      <c r="A109" s="18"/>
      <c r="B109" s="19"/>
      <c r="C109" s="20"/>
      <c r="D109" s="21"/>
      <c r="E109" s="22"/>
      <c r="F109" s="23" t="str">
        <f aca="false">IF(OR($A109="",$B109="",N($C109)=0),"",$B109/$C109-N($D109))</f>
        <v/>
      </c>
      <c r="G109" s="24" t="str">
        <f aca="false">IF($A109="","",IF(OR($B109="",$C109=""),"Faltan datos","OK"))</f>
        <v/>
      </c>
    </row>
    <row r="110" customFormat="false" ht="15" hidden="false" customHeight="false" outlineLevel="0" collapsed="false">
      <c r="A110" s="18"/>
      <c r="B110" s="19"/>
      <c r="C110" s="20"/>
      <c r="D110" s="21"/>
      <c r="E110" s="22"/>
      <c r="F110" s="23" t="str">
        <f aca="false">IF(OR($A110="",$B110="",N($C110)=0),"",$B110/$C110-N($D110))</f>
        <v/>
      </c>
      <c r="G110" s="24" t="str">
        <f aca="false">IF($A110="","",IF(OR($B110="",$C110=""),"Faltan datos","OK"))</f>
        <v/>
      </c>
    </row>
    <row r="111" customFormat="false" ht="15" hidden="false" customHeight="false" outlineLevel="0" collapsed="false">
      <c r="A111" s="18"/>
      <c r="B111" s="19"/>
      <c r="C111" s="20"/>
      <c r="D111" s="21"/>
      <c r="E111" s="22"/>
      <c r="F111" s="23" t="str">
        <f aca="false">IF(OR($A111="",$B111="",N($C111)=0),"",$B111/$C111-N($D111))</f>
        <v/>
      </c>
      <c r="G111" s="24" t="str">
        <f aca="false">IF($A111="","",IF(OR($B111="",$C111=""),"Faltan datos","OK"))</f>
        <v/>
      </c>
    </row>
    <row r="112" customFormat="false" ht="15" hidden="false" customHeight="false" outlineLevel="0" collapsed="false">
      <c r="A112" s="18"/>
      <c r="B112" s="19"/>
      <c r="C112" s="20"/>
      <c r="D112" s="21"/>
      <c r="E112" s="22"/>
      <c r="F112" s="23" t="str">
        <f aca="false">IF(OR($A112="",$B112="",N($C112)=0),"",$B112/$C112-N($D112))</f>
        <v/>
      </c>
      <c r="G112" s="24" t="str">
        <f aca="false">IF($A112="","",IF(OR($B112="",$C112=""),"Faltan datos","OK"))</f>
        <v/>
      </c>
    </row>
    <row r="113" customFormat="false" ht="15" hidden="false" customHeight="false" outlineLevel="0" collapsed="false">
      <c r="A113" s="18"/>
      <c r="B113" s="19"/>
      <c r="C113" s="20"/>
      <c r="D113" s="21"/>
      <c r="E113" s="22"/>
      <c r="F113" s="23" t="str">
        <f aca="false">IF(OR($A113="",$B113="",N($C113)=0),"",$B113/$C113-N($D113))</f>
        <v/>
      </c>
      <c r="G113" s="24" t="str">
        <f aca="false">IF($A113="","",IF(OR($B113="",$C113=""),"Faltan datos","OK"))</f>
        <v/>
      </c>
    </row>
    <row r="114" customFormat="false" ht="15" hidden="false" customHeight="false" outlineLevel="0" collapsed="false">
      <c r="A114" s="18"/>
      <c r="B114" s="19"/>
      <c r="C114" s="20"/>
      <c r="D114" s="21"/>
      <c r="E114" s="22"/>
      <c r="F114" s="23" t="str">
        <f aca="false">IF(OR($A114="",$B114="",N($C114)=0),"",$B114/$C114-N($D114))</f>
        <v/>
      </c>
      <c r="G114" s="24" t="str">
        <f aca="false">IF($A114="","",IF(OR($B114="",$C114=""),"Faltan datos","OK"))</f>
        <v/>
      </c>
    </row>
    <row r="115" customFormat="false" ht="15" hidden="false" customHeight="false" outlineLevel="0" collapsed="false">
      <c r="A115" s="18"/>
      <c r="B115" s="19"/>
      <c r="C115" s="20"/>
      <c r="D115" s="21"/>
      <c r="E115" s="22"/>
      <c r="F115" s="23" t="str">
        <f aca="false">IF(OR($A115="",$B115="",N($C115)=0),"",$B115/$C115-N($D115))</f>
        <v/>
      </c>
      <c r="G115" s="24" t="str">
        <f aca="false">IF($A115="","",IF(OR($B115="",$C115=""),"Faltan datos","OK"))</f>
        <v/>
      </c>
    </row>
    <row r="116" customFormat="false" ht="15" hidden="false" customHeight="false" outlineLevel="0" collapsed="false">
      <c r="A116" s="18"/>
      <c r="B116" s="19"/>
      <c r="C116" s="20"/>
      <c r="D116" s="21"/>
      <c r="E116" s="22"/>
      <c r="F116" s="23" t="str">
        <f aca="false">IF(OR($A116="",$B116="",N($C116)=0),"",$B116/$C116-N($D116))</f>
        <v/>
      </c>
      <c r="G116" s="24" t="str">
        <f aca="false">IF($A116="","",IF(OR($B116="",$C116=""),"Faltan datos","OK"))</f>
        <v/>
      </c>
    </row>
    <row r="117" customFormat="false" ht="15" hidden="false" customHeight="false" outlineLevel="0" collapsed="false">
      <c r="A117" s="18"/>
      <c r="B117" s="19"/>
      <c r="C117" s="20"/>
      <c r="D117" s="21"/>
      <c r="E117" s="22"/>
      <c r="F117" s="23" t="str">
        <f aca="false">IF(OR($A117="",$B117="",N($C117)=0),"",$B117/$C117-N($D117))</f>
        <v/>
      </c>
      <c r="G117" s="24" t="str">
        <f aca="false">IF($A117="","",IF(OR($B117="",$C117=""),"Faltan datos","OK"))</f>
        <v/>
      </c>
    </row>
    <row r="118" customFormat="false" ht="15" hidden="false" customHeight="false" outlineLevel="0" collapsed="false">
      <c r="A118" s="18"/>
      <c r="B118" s="19"/>
      <c r="C118" s="20"/>
      <c r="D118" s="21"/>
      <c r="E118" s="22"/>
      <c r="F118" s="23" t="str">
        <f aca="false">IF(OR($A118="",$B118="",N($C118)=0),"",$B118/$C118-N($D118))</f>
        <v/>
      </c>
      <c r="G118" s="24" t="str">
        <f aca="false">IF($A118="","",IF(OR($B118="",$C118=""),"Faltan datos","OK"))</f>
        <v/>
      </c>
    </row>
    <row r="119" customFormat="false" ht="15" hidden="false" customHeight="false" outlineLevel="0" collapsed="false">
      <c r="A119" s="18"/>
      <c r="B119" s="19"/>
      <c r="C119" s="20"/>
      <c r="D119" s="21"/>
      <c r="E119" s="22"/>
      <c r="F119" s="23" t="str">
        <f aca="false">IF(OR($A119="",$B119="",N($C119)=0),"",$B119/$C119-N($D119))</f>
        <v/>
      </c>
      <c r="G119" s="24" t="str">
        <f aca="false">IF($A119="","",IF(OR($B119="",$C119=""),"Faltan datos","OK"))</f>
        <v/>
      </c>
    </row>
    <row r="120" customFormat="false" ht="15" hidden="false" customHeight="false" outlineLevel="0" collapsed="false">
      <c r="A120" s="18"/>
      <c r="B120" s="19"/>
      <c r="C120" s="20"/>
      <c r="D120" s="21"/>
      <c r="E120" s="22"/>
      <c r="F120" s="23" t="str">
        <f aca="false">IF(OR($A120="",$B120="",N($C120)=0),"",$B120/$C120-N($D120))</f>
        <v/>
      </c>
      <c r="G120" s="24" t="str">
        <f aca="false">IF($A120="","",IF(OR($B120="",$C120=""),"Faltan datos","OK"))</f>
        <v/>
      </c>
    </row>
    <row r="121" customFormat="false" ht="15" hidden="false" customHeight="false" outlineLevel="0" collapsed="false">
      <c r="A121" s="18"/>
      <c r="B121" s="19"/>
      <c r="C121" s="20"/>
      <c r="D121" s="21"/>
      <c r="E121" s="22"/>
      <c r="F121" s="23" t="str">
        <f aca="false">IF(OR($A121="",$B121="",N($C121)=0),"",$B121/$C121-N($D121))</f>
        <v/>
      </c>
      <c r="G121" s="24" t="str">
        <f aca="false">IF($A121="","",IF(OR($B121="",$C121=""),"Faltan datos","OK"))</f>
        <v/>
      </c>
    </row>
    <row r="122" customFormat="false" ht="15" hidden="false" customHeight="false" outlineLevel="0" collapsed="false">
      <c r="A122" s="18"/>
      <c r="B122" s="19"/>
      <c r="C122" s="20"/>
      <c r="D122" s="21"/>
      <c r="E122" s="22"/>
      <c r="F122" s="23" t="str">
        <f aca="false">IF(OR($A122="",$B122="",N($C122)=0),"",$B122/$C122-N($D122))</f>
        <v/>
      </c>
      <c r="G122" s="24" t="str">
        <f aca="false">IF($A122="","",IF(OR($B122="",$C122=""),"Faltan datos","OK"))</f>
        <v/>
      </c>
    </row>
    <row r="123" customFormat="false" ht="15" hidden="false" customHeight="false" outlineLevel="0" collapsed="false">
      <c r="A123" s="18"/>
      <c r="B123" s="19"/>
      <c r="C123" s="20"/>
      <c r="D123" s="21"/>
      <c r="E123" s="22"/>
      <c r="F123" s="23" t="str">
        <f aca="false">IF(OR($A123="",$B123="",N($C123)=0),"",$B123/$C123-N($D123))</f>
        <v/>
      </c>
      <c r="G123" s="24" t="str">
        <f aca="false">IF($A123="","",IF(OR($B123="",$C123=""),"Faltan datos","OK"))</f>
        <v/>
      </c>
    </row>
    <row r="124" customFormat="false" ht="15" hidden="false" customHeight="false" outlineLevel="0" collapsed="false">
      <c r="A124" s="18"/>
      <c r="B124" s="19"/>
      <c r="C124" s="20"/>
      <c r="D124" s="21"/>
      <c r="E124" s="22"/>
      <c r="F124" s="23" t="str">
        <f aca="false">IF(OR($A124="",$B124="",N($C124)=0),"",$B124/$C124-N($D124))</f>
        <v/>
      </c>
      <c r="G124" s="24" t="str">
        <f aca="false">IF($A124="","",IF(OR($B124="",$C124=""),"Faltan datos","OK"))</f>
        <v/>
      </c>
    </row>
    <row r="125" customFormat="false" ht="15" hidden="false" customHeight="false" outlineLevel="0" collapsed="false">
      <c r="A125" s="18"/>
      <c r="B125" s="19"/>
      <c r="C125" s="20"/>
      <c r="D125" s="21"/>
      <c r="E125" s="22"/>
      <c r="F125" s="23" t="str">
        <f aca="false">IF(OR($A125="",$B125="",N($C125)=0),"",$B125/$C125-N($D125))</f>
        <v/>
      </c>
      <c r="G125" s="24" t="str">
        <f aca="false">IF($A125="","",IF(OR($B125="",$C125=""),"Faltan datos","OK"))</f>
        <v/>
      </c>
    </row>
    <row r="126" customFormat="false" ht="15" hidden="false" customHeight="false" outlineLevel="0" collapsed="false">
      <c r="A126" s="18"/>
      <c r="B126" s="19"/>
      <c r="C126" s="20"/>
      <c r="D126" s="21"/>
      <c r="E126" s="22"/>
      <c r="F126" s="23" t="str">
        <f aca="false">IF(OR($A126="",$B126="",N($C126)=0),"",$B126/$C126-N($D126))</f>
        <v/>
      </c>
      <c r="G126" s="24" t="str">
        <f aca="false">IF($A126="","",IF(OR($B126="",$C126=""),"Faltan datos","OK"))</f>
        <v/>
      </c>
    </row>
    <row r="127" customFormat="false" ht="15" hidden="false" customHeight="false" outlineLevel="0" collapsed="false">
      <c r="A127" s="18"/>
      <c r="B127" s="19"/>
      <c r="C127" s="20"/>
      <c r="D127" s="21"/>
      <c r="E127" s="22"/>
      <c r="F127" s="23" t="str">
        <f aca="false">IF(OR($A127="",$B127="",N($C127)=0),"",$B127/$C127-N($D127))</f>
        <v/>
      </c>
      <c r="G127" s="24" t="str">
        <f aca="false">IF($A127="","",IF(OR($B127="",$C127=""),"Faltan datos","OK"))</f>
        <v/>
      </c>
    </row>
    <row r="128" customFormat="false" ht="15" hidden="false" customHeight="false" outlineLevel="0" collapsed="false">
      <c r="A128" s="18"/>
      <c r="B128" s="19"/>
      <c r="C128" s="20"/>
      <c r="D128" s="21"/>
      <c r="E128" s="22"/>
      <c r="F128" s="23" t="str">
        <f aca="false">IF(OR($A128="",$B128="",N($C128)=0),"",$B128/$C128-N($D128))</f>
        <v/>
      </c>
      <c r="G128" s="24" t="str">
        <f aca="false">IF($A128="","",IF(OR($B128="",$C128=""),"Faltan datos","OK"))</f>
        <v/>
      </c>
    </row>
    <row r="129" customFormat="false" ht="15" hidden="false" customHeight="false" outlineLevel="0" collapsed="false">
      <c r="A129" s="18"/>
      <c r="B129" s="19"/>
      <c r="C129" s="20"/>
      <c r="D129" s="21"/>
      <c r="E129" s="22"/>
      <c r="F129" s="23" t="str">
        <f aca="false">IF(OR($A129="",$B129="",N($C129)=0),"",$B129/$C129-N($D129))</f>
        <v/>
      </c>
      <c r="G129" s="24" t="str">
        <f aca="false">IF($A129="","",IF(OR($B129="",$C129=""),"Faltan datos","OK"))</f>
        <v/>
      </c>
    </row>
    <row r="130" customFormat="false" ht="15" hidden="false" customHeight="false" outlineLevel="0" collapsed="false">
      <c r="A130" s="18"/>
      <c r="B130" s="19"/>
      <c r="C130" s="20"/>
      <c r="D130" s="21"/>
      <c r="E130" s="22"/>
      <c r="F130" s="23" t="str">
        <f aca="false">IF(OR($A130="",$B130="",N($C130)=0),"",$B130/$C130-N($D130))</f>
        <v/>
      </c>
      <c r="G130" s="24" t="str">
        <f aca="false">IF($A130="","",IF(OR($B130="",$C130=""),"Faltan datos","OK"))</f>
        <v/>
      </c>
    </row>
    <row r="131" customFormat="false" ht="15" hidden="false" customHeight="false" outlineLevel="0" collapsed="false">
      <c r="A131" s="18"/>
      <c r="B131" s="19"/>
      <c r="C131" s="20"/>
      <c r="D131" s="21"/>
      <c r="E131" s="22"/>
      <c r="F131" s="23" t="str">
        <f aca="false">IF(OR($A131="",$B131="",N($C131)=0),"",$B131/$C131-N($D131))</f>
        <v/>
      </c>
      <c r="G131" s="24" t="str">
        <f aca="false">IF($A131="","",IF(OR($B131="",$C131=""),"Faltan datos","OK"))</f>
        <v/>
      </c>
    </row>
    <row r="132" customFormat="false" ht="15" hidden="false" customHeight="false" outlineLevel="0" collapsed="false">
      <c r="A132" s="18"/>
      <c r="B132" s="19"/>
      <c r="C132" s="20"/>
      <c r="D132" s="21"/>
      <c r="E132" s="22"/>
      <c r="F132" s="23" t="str">
        <f aca="false">IF(OR($A132="",$B132="",N($C132)=0),"",$B132/$C132-N($D132))</f>
        <v/>
      </c>
      <c r="G132" s="24" t="str">
        <f aca="false">IF($A132="","",IF(OR($B132="",$C132=""),"Faltan datos","OK"))</f>
        <v/>
      </c>
    </row>
    <row r="133" customFormat="false" ht="15" hidden="false" customHeight="false" outlineLevel="0" collapsed="false">
      <c r="A133" s="18"/>
      <c r="B133" s="19"/>
      <c r="C133" s="20"/>
      <c r="D133" s="21"/>
      <c r="E133" s="22"/>
      <c r="F133" s="23" t="str">
        <f aca="false">IF(OR($A133="",$B133="",N($C133)=0),"",$B133/$C133-N($D133))</f>
        <v/>
      </c>
      <c r="G133" s="24" t="str">
        <f aca="false">IF($A133="","",IF(OR($B133="",$C133=""),"Faltan datos","OK"))</f>
        <v/>
      </c>
    </row>
    <row r="134" customFormat="false" ht="15" hidden="false" customHeight="false" outlineLevel="0" collapsed="false">
      <c r="A134" s="18"/>
      <c r="B134" s="19"/>
      <c r="C134" s="20"/>
      <c r="D134" s="21"/>
      <c r="E134" s="22"/>
      <c r="F134" s="23" t="str">
        <f aca="false">IF(OR($A134="",$B134="",N($C134)=0),"",$B134/$C134-N($D134))</f>
        <v/>
      </c>
      <c r="G134" s="24" t="str">
        <f aca="false">IF($A134="","",IF(OR($B134="",$C134=""),"Faltan datos","OK"))</f>
        <v/>
      </c>
    </row>
    <row r="135" customFormat="false" ht="15" hidden="false" customHeight="false" outlineLevel="0" collapsed="false">
      <c r="A135" s="18"/>
      <c r="B135" s="19"/>
      <c r="C135" s="20"/>
      <c r="D135" s="21"/>
      <c r="E135" s="22"/>
      <c r="F135" s="23" t="str">
        <f aca="false">IF(OR($A135="",$B135="",N($C135)=0),"",$B135/$C135-N($D135))</f>
        <v/>
      </c>
      <c r="G135" s="24" t="str">
        <f aca="false">IF($A135="","",IF(OR($B135="",$C135=""),"Faltan datos","OK"))</f>
        <v/>
      </c>
    </row>
    <row r="136" customFormat="false" ht="15" hidden="false" customHeight="false" outlineLevel="0" collapsed="false">
      <c r="A136" s="18"/>
      <c r="B136" s="19"/>
      <c r="C136" s="20"/>
      <c r="D136" s="21"/>
      <c r="E136" s="22"/>
      <c r="F136" s="23" t="str">
        <f aca="false">IF(OR($A136="",$B136="",N($C136)=0),"",$B136/$C136-N($D136))</f>
        <v/>
      </c>
      <c r="G136" s="24" t="str">
        <f aca="false">IF($A136="","",IF(OR($B136="",$C136=""),"Faltan datos","OK"))</f>
        <v/>
      </c>
    </row>
    <row r="137" customFormat="false" ht="15" hidden="false" customHeight="false" outlineLevel="0" collapsed="false">
      <c r="A137" s="18"/>
      <c r="B137" s="19"/>
      <c r="C137" s="20"/>
      <c r="D137" s="21"/>
      <c r="E137" s="22"/>
      <c r="F137" s="23" t="str">
        <f aca="false">IF(OR($A137="",$B137="",N($C137)=0),"",$B137/$C137-N($D137))</f>
        <v/>
      </c>
      <c r="G137" s="24" t="str">
        <f aca="false">IF($A137="","",IF(OR($B137="",$C137=""),"Faltan datos","OK"))</f>
        <v/>
      </c>
    </row>
    <row r="138" customFormat="false" ht="15" hidden="false" customHeight="false" outlineLevel="0" collapsed="false">
      <c r="A138" s="18"/>
      <c r="B138" s="19"/>
      <c r="C138" s="20"/>
      <c r="D138" s="21"/>
      <c r="E138" s="22"/>
      <c r="F138" s="23" t="str">
        <f aca="false">IF(OR($A138="",$B138="",N($C138)=0),"",$B138/$C138-N($D138))</f>
        <v/>
      </c>
      <c r="G138" s="24" t="str">
        <f aca="false">IF($A138="","",IF(OR($B138="",$C138=""),"Faltan datos","OK"))</f>
        <v/>
      </c>
    </row>
    <row r="139" customFormat="false" ht="15" hidden="false" customHeight="false" outlineLevel="0" collapsed="false">
      <c r="A139" s="18"/>
      <c r="B139" s="19"/>
      <c r="C139" s="20"/>
      <c r="D139" s="21"/>
      <c r="E139" s="22"/>
      <c r="F139" s="23" t="str">
        <f aca="false">IF(OR($A139="",$B139="",N($C139)=0),"",$B139/$C139-N($D139))</f>
        <v/>
      </c>
      <c r="G139" s="24" t="str">
        <f aca="false">IF($A139="","",IF(OR($B139="",$C139=""),"Faltan datos","OK"))</f>
        <v/>
      </c>
    </row>
    <row r="140" customFormat="false" ht="15" hidden="false" customHeight="false" outlineLevel="0" collapsed="false">
      <c r="A140" s="18"/>
      <c r="B140" s="19"/>
      <c r="C140" s="20"/>
      <c r="D140" s="21"/>
      <c r="E140" s="22"/>
      <c r="F140" s="23" t="str">
        <f aca="false">IF(OR($A140="",$B140="",N($C140)=0),"",$B140/$C140-N($D140))</f>
        <v/>
      </c>
      <c r="G140" s="24" t="str">
        <f aca="false">IF($A140="","",IF(OR($B140="",$C140=""),"Faltan datos","OK"))</f>
        <v/>
      </c>
    </row>
    <row r="141" customFormat="false" ht="15" hidden="false" customHeight="false" outlineLevel="0" collapsed="false">
      <c r="A141" s="18"/>
      <c r="B141" s="19"/>
      <c r="C141" s="20"/>
      <c r="D141" s="21"/>
      <c r="E141" s="22"/>
      <c r="F141" s="23" t="str">
        <f aca="false">IF(OR($A141="",$B141="",N($C141)=0),"",$B141/$C141-N($D141))</f>
        <v/>
      </c>
      <c r="G141" s="24" t="str">
        <f aca="false">IF($A141="","",IF(OR($B141="",$C141=""),"Faltan datos","OK"))</f>
        <v/>
      </c>
    </row>
    <row r="142" customFormat="false" ht="15" hidden="false" customHeight="false" outlineLevel="0" collapsed="false">
      <c r="A142" s="18"/>
      <c r="B142" s="19"/>
      <c r="C142" s="20"/>
      <c r="D142" s="21"/>
      <c r="E142" s="22"/>
      <c r="F142" s="23" t="str">
        <f aca="false">IF(OR($A142="",$B142="",N($C142)=0),"",$B142/$C142-N($D142))</f>
        <v/>
      </c>
      <c r="G142" s="24" t="str">
        <f aca="false">IF($A142="","",IF(OR($B142="",$C142=""),"Faltan datos","OK"))</f>
        <v/>
      </c>
    </row>
    <row r="143" customFormat="false" ht="15" hidden="false" customHeight="false" outlineLevel="0" collapsed="false">
      <c r="A143" s="18"/>
      <c r="B143" s="19"/>
      <c r="C143" s="20"/>
      <c r="D143" s="21"/>
      <c r="E143" s="22"/>
      <c r="F143" s="23" t="str">
        <f aca="false">IF(OR($A143="",$B143="",N($C143)=0),"",$B143/$C143-N($D143))</f>
        <v/>
      </c>
      <c r="G143" s="24" t="str">
        <f aca="false">IF($A143="","",IF(OR($B143="",$C143=""),"Faltan datos","OK"))</f>
        <v/>
      </c>
    </row>
    <row r="144" customFormat="false" ht="15" hidden="false" customHeight="false" outlineLevel="0" collapsed="false">
      <c r="A144" s="18"/>
      <c r="B144" s="19"/>
      <c r="C144" s="20"/>
      <c r="D144" s="21"/>
      <c r="E144" s="22"/>
      <c r="F144" s="23" t="str">
        <f aca="false">IF(OR($A144="",$B144="",N($C144)=0),"",$B144/$C144-N($D144))</f>
        <v/>
      </c>
      <c r="G144" s="24" t="str">
        <f aca="false">IF($A144="","",IF(OR($B144="",$C144=""),"Faltan datos","OK"))</f>
        <v/>
      </c>
    </row>
    <row r="145" customFormat="false" ht="15" hidden="false" customHeight="false" outlineLevel="0" collapsed="false">
      <c r="A145" s="18"/>
      <c r="B145" s="19"/>
      <c r="C145" s="20"/>
      <c r="D145" s="21"/>
      <c r="E145" s="22"/>
      <c r="F145" s="23" t="str">
        <f aca="false">IF(OR($A145="",$B145="",N($C145)=0),"",$B145/$C145-N($D145))</f>
        <v/>
      </c>
      <c r="G145" s="24" t="str">
        <f aca="false">IF($A145="","",IF(OR($B145="",$C145=""),"Faltan datos","OK"))</f>
        <v/>
      </c>
    </row>
    <row r="146" customFormat="false" ht="15" hidden="false" customHeight="false" outlineLevel="0" collapsed="false">
      <c r="A146" s="18"/>
      <c r="B146" s="19"/>
      <c r="C146" s="20"/>
      <c r="D146" s="21"/>
      <c r="E146" s="22"/>
      <c r="F146" s="23" t="str">
        <f aca="false">IF(OR($A146="",$B146="",N($C146)=0),"",$B146/$C146-N($D146))</f>
        <v/>
      </c>
      <c r="G146" s="24" t="str">
        <f aca="false">IF($A146="","",IF(OR($B146="",$C146=""),"Faltan datos","OK"))</f>
        <v/>
      </c>
    </row>
    <row r="147" customFormat="false" ht="15" hidden="false" customHeight="false" outlineLevel="0" collapsed="false">
      <c r="A147" s="18"/>
      <c r="B147" s="19"/>
      <c r="C147" s="20"/>
      <c r="D147" s="21"/>
      <c r="E147" s="22"/>
      <c r="F147" s="23" t="str">
        <f aca="false">IF(OR($A147="",$B147="",N($C147)=0),"",$B147/$C147-N($D147))</f>
        <v/>
      </c>
      <c r="G147" s="24" t="str">
        <f aca="false">IF($A147="","",IF(OR($B147="",$C147=""),"Faltan datos","OK"))</f>
        <v/>
      </c>
    </row>
    <row r="148" customFormat="false" ht="15" hidden="false" customHeight="false" outlineLevel="0" collapsed="false">
      <c r="A148" s="18"/>
      <c r="B148" s="19"/>
      <c r="C148" s="20"/>
      <c r="D148" s="21"/>
      <c r="E148" s="22"/>
      <c r="F148" s="23" t="str">
        <f aca="false">IF(OR($A148="",$B148="",N($C148)=0),"",$B148/$C148-N($D148))</f>
        <v/>
      </c>
      <c r="G148" s="24" t="str">
        <f aca="false">IF($A148="","",IF(OR($B148="",$C148=""),"Faltan datos","OK"))</f>
        <v/>
      </c>
    </row>
    <row r="149" customFormat="false" ht="15" hidden="false" customHeight="false" outlineLevel="0" collapsed="false">
      <c r="A149" s="18"/>
      <c r="B149" s="19"/>
      <c r="C149" s="20"/>
      <c r="D149" s="21"/>
      <c r="E149" s="22"/>
      <c r="F149" s="23" t="str">
        <f aca="false">IF(OR($A149="",$B149="",N($C149)=0),"",$B149/$C149-N($D149))</f>
        <v/>
      </c>
      <c r="G149" s="24" t="str">
        <f aca="false">IF($A149="","",IF(OR($B149="",$C149=""),"Faltan datos","OK"))</f>
        <v/>
      </c>
    </row>
    <row r="150" customFormat="false" ht="15" hidden="false" customHeight="false" outlineLevel="0" collapsed="false">
      <c r="A150" s="18"/>
      <c r="B150" s="19"/>
      <c r="C150" s="20"/>
      <c r="D150" s="21"/>
      <c r="E150" s="22"/>
      <c r="F150" s="23" t="str">
        <f aca="false">IF(OR($A150="",$B150="",N($C150)=0),"",$B150/$C150-N($D150))</f>
        <v/>
      </c>
      <c r="G150" s="24" t="str">
        <f aca="false">IF($A150="","",IF(OR($B150="",$C150=""),"Faltan datos","OK"))</f>
        <v/>
      </c>
    </row>
    <row r="151" customFormat="false" ht="15" hidden="false" customHeight="false" outlineLevel="0" collapsed="false">
      <c r="A151" s="18"/>
      <c r="B151" s="19"/>
      <c r="C151" s="20"/>
      <c r="D151" s="21"/>
      <c r="E151" s="22"/>
      <c r="F151" s="23" t="str">
        <f aca="false">IF(OR($A151="",$B151="",N($C151)=0),"",$B151/$C151-N($D151))</f>
        <v/>
      </c>
      <c r="G151" s="24" t="str">
        <f aca="false">IF($A151="","",IF(OR($B151="",$C151=""),"Faltan datos","OK"))</f>
        <v/>
      </c>
    </row>
    <row r="152" customFormat="false" ht="15" hidden="false" customHeight="false" outlineLevel="0" collapsed="false">
      <c r="A152" s="18"/>
      <c r="B152" s="19"/>
      <c r="C152" s="20"/>
      <c r="D152" s="21"/>
      <c r="E152" s="22"/>
      <c r="F152" s="23" t="str">
        <f aca="false">IF(OR($A152="",$B152="",N($C152)=0),"",$B152/$C152-N($D152))</f>
        <v/>
      </c>
      <c r="G152" s="24" t="str">
        <f aca="false">IF($A152="","",IF(OR($B152="",$C152=""),"Faltan datos","OK"))</f>
        <v/>
      </c>
    </row>
    <row r="153" customFormat="false" ht="15" hidden="false" customHeight="false" outlineLevel="0" collapsed="false">
      <c r="A153" s="18"/>
      <c r="B153" s="19"/>
      <c r="C153" s="20"/>
      <c r="D153" s="21"/>
      <c r="E153" s="22"/>
      <c r="F153" s="23" t="str">
        <f aca="false">IF(OR($A153="",$B153="",N($C153)=0),"",$B153/$C153-N($D153))</f>
        <v/>
      </c>
      <c r="G153" s="24" t="str">
        <f aca="false">IF($A153="","",IF(OR($B153="",$C153=""),"Faltan datos","OK"))</f>
        <v/>
      </c>
    </row>
    <row r="154" customFormat="false" ht="15" hidden="false" customHeight="false" outlineLevel="0" collapsed="false">
      <c r="A154" s="18"/>
      <c r="B154" s="19"/>
      <c r="C154" s="20"/>
      <c r="D154" s="21"/>
      <c r="E154" s="22"/>
      <c r="F154" s="23" t="str">
        <f aca="false">IF(OR($A154="",$B154="",N($C154)=0),"",$B154/$C154-N($D154))</f>
        <v/>
      </c>
      <c r="G154" s="24" t="str">
        <f aca="false">IF($A154="","",IF(OR($B154="",$C154=""),"Faltan datos","OK"))</f>
        <v/>
      </c>
    </row>
    <row r="155" customFormat="false" ht="15" hidden="false" customHeight="false" outlineLevel="0" collapsed="false">
      <c r="A155" s="18"/>
      <c r="B155" s="19"/>
      <c r="C155" s="20"/>
      <c r="D155" s="21"/>
      <c r="E155" s="22"/>
      <c r="F155" s="23" t="str">
        <f aca="false">IF(OR($A155="",$B155="",N($C155)=0),"",$B155/$C155-N($D155))</f>
        <v/>
      </c>
      <c r="G155" s="24" t="str">
        <f aca="false">IF($A155="","",IF(OR($B155="",$C155=""),"Faltan datos","OK"))</f>
        <v/>
      </c>
    </row>
    <row r="156" customFormat="false" ht="15" hidden="false" customHeight="false" outlineLevel="0" collapsed="false">
      <c r="A156" s="18"/>
      <c r="B156" s="19"/>
      <c r="C156" s="20"/>
      <c r="D156" s="21"/>
      <c r="E156" s="22"/>
      <c r="F156" s="23" t="str">
        <f aca="false">IF(OR($A156="",$B156="",N($C156)=0),"",$B156/$C156-N($D156))</f>
        <v/>
      </c>
      <c r="G156" s="24" t="str">
        <f aca="false">IF($A156="","",IF(OR($B156="",$C156=""),"Faltan datos","OK"))</f>
        <v/>
      </c>
    </row>
    <row r="157" customFormat="false" ht="15" hidden="false" customHeight="false" outlineLevel="0" collapsed="false">
      <c r="A157" s="18"/>
      <c r="B157" s="19"/>
      <c r="C157" s="20"/>
      <c r="D157" s="21"/>
      <c r="E157" s="22"/>
      <c r="F157" s="23" t="str">
        <f aca="false">IF(OR($A157="",$B157="",N($C157)=0),"",$B157/$C157-N($D157))</f>
        <v/>
      </c>
      <c r="G157" s="24" t="str">
        <f aca="false">IF($A157="","",IF(OR($B157="",$C157=""),"Faltan datos","OK"))</f>
        <v/>
      </c>
    </row>
    <row r="158" customFormat="false" ht="15" hidden="false" customHeight="false" outlineLevel="0" collapsed="false">
      <c r="A158" s="18"/>
      <c r="B158" s="19"/>
      <c r="C158" s="20"/>
      <c r="D158" s="21"/>
      <c r="E158" s="22"/>
      <c r="F158" s="23" t="str">
        <f aca="false">IF(OR($A158="",$B158="",N($C158)=0),"",$B158/$C158-N($D158))</f>
        <v/>
      </c>
      <c r="G158" s="24" t="str">
        <f aca="false">IF($A158="","",IF(OR($B158="",$C158=""),"Faltan datos","OK"))</f>
        <v/>
      </c>
    </row>
    <row r="159" customFormat="false" ht="15" hidden="false" customHeight="false" outlineLevel="0" collapsed="false">
      <c r="A159" s="18"/>
      <c r="B159" s="19"/>
      <c r="C159" s="20"/>
      <c r="D159" s="21"/>
      <c r="E159" s="22"/>
      <c r="F159" s="23" t="str">
        <f aca="false">IF(OR($A159="",$B159="",N($C159)=0),"",$B159/$C159-N($D159))</f>
        <v/>
      </c>
      <c r="G159" s="24" t="str">
        <f aca="false">IF($A159="","",IF(OR($B159="",$C159=""),"Faltan datos","OK"))</f>
        <v/>
      </c>
    </row>
    <row r="160" customFormat="false" ht="15" hidden="false" customHeight="false" outlineLevel="0" collapsed="false">
      <c r="A160" s="18"/>
      <c r="B160" s="19"/>
      <c r="C160" s="20"/>
      <c r="D160" s="21"/>
      <c r="E160" s="22"/>
      <c r="F160" s="23" t="str">
        <f aca="false">IF(OR($A160="",$B160="",N($C160)=0),"",$B160/$C160-N($D160))</f>
        <v/>
      </c>
      <c r="G160" s="24" t="str">
        <f aca="false">IF($A160="","",IF(OR($B160="",$C160=""),"Faltan datos","OK"))</f>
        <v/>
      </c>
    </row>
    <row r="161" customFormat="false" ht="15" hidden="false" customHeight="false" outlineLevel="0" collapsed="false">
      <c r="A161" s="18"/>
      <c r="B161" s="19"/>
      <c r="C161" s="20"/>
      <c r="D161" s="21"/>
      <c r="E161" s="22"/>
      <c r="F161" s="23" t="str">
        <f aca="false">IF(OR($A161="",$B161="",N($C161)=0),"",$B161/$C161-N($D161))</f>
        <v/>
      </c>
      <c r="G161" s="24" t="str">
        <f aca="false">IF($A161="","",IF(OR($B161="",$C161=""),"Faltan datos","OK"))</f>
        <v/>
      </c>
    </row>
    <row r="162" customFormat="false" ht="15" hidden="false" customHeight="false" outlineLevel="0" collapsed="false">
      <c r="A162" s="18"/>
      <c r="B162" s="19"/>
      <c r="C162" s="20"/>
      <c r="D162" s="21"/>
      <c r="E162" s="22"/>
      <c r="F162" s="23" t="str">
        <f aca="false">IF(OR($A162="",$B162="",N($C162)=0),"",$B162/$C162-N($D162))</f>
        <v/>
      </c>
      <c r="G162" s="24" t="str">
        <f aca="false">IF($A162="","",IF(OR($B162="",$C162=""),"Faltan datos","OK"))</f>
        <v/>
      </c>
    </row>
    <row r="163" customFormat="false" ht="15" hidden="false" customHeight="false" outlineLevel="0" collapsed="false">
      <c r="A163" s="18"/>
      <c r="B163" s="19"/>
      <c r="C163" s="20"/>
      <c r="D163" s="21"/>
      <c r="E163" s="22"/>
      <c r="F163" s="23" t="str">
        <f aca="false">IF(OR($A163="",$B163="",N($C163)=0),"",$B163/$C163-N($D163))</f>
        <v/>
      </c>
      <c r="G163" s="24" t="str">
        <f aca="false">IF($A163="","",IF(OR($B163="",$C163=""),"Faltan datos","OK"))</f>
        <v/>
      </c>
    </row>
    <row r="164" customFormat="false" ht="15" hidden="false" customHeight="false" outlineLevel="0" collapsed="false">
      <c r="A164" s="18"/>
      <c r="B164" s="19"/>
      <c r="C164" s="20"/>
      <c r="D164" s="21"/>
      <c r="E164" s="22"/>
      <c r="F164" s="23" t="str">
        <f aca="false">IF(OR($A164="",$B164="",N($C164)=0),"",$B164/$C164-N($D164))</f>
        <v/>
      </c>
      <c r="G164" s="24" t="str">
        <f aca="false">IF($A164="","",IF(OR($B164="",$C164=""),"Faltan datos","OK"))</f>
        <v/>
      </c>
    </row>
    <row r="165" customFormat="false" ht="15" hidden="false" customHeight="false" outlineLevel="0" collapsed="false">
      <c r="A165" s="18"/>
      <c r="B165" s="19"/>
      <c r="C165" s="20"/>
      <c r="D165" s="21"/>
      <c r="E165" s="22"/>
      <c r="F165" s="23" t="str">
        <f aca="false">IF(OR($A165="",$B165="",N($C165)=0),"",$B165/$C165-N($D165))</f>
        <v/>
      </c>
      <c r="G165" s="24" t="str">
        <f aca="false">IF($A165="","",IF(OR($B165="",$C165=""),"Faltan datos","OK"))</f>
        <v/>
      </c>
    </row>
    <row r="166" customFormat="false" ht="15" hidden="false" customHeight="false" outlineLevel="0" collapsed="false">
      <c r="A166" s="18"/>
      <c r="B166" s="19"/>
      <c r="C166" s="20"/>
      <c r="D166" s="21"/>
      <c r="E166" s="22"/>
      <c r="F166" s="23" t="str">
        <f aca="false">IF(OR($A166="",$B166="",N($C166)=0),"",$B166/$C166-N($D166))</f>
        <v/>
      </c>
      <c r="G166" s="24" t="str">
        <f aca="false">IF($A166="","",IF(OR($B166="",$C166=""),"Faltan datos","OK"))</f>
        <v/>
      </c>
    </row>
    <row r="167" customFormat="false" ht="15" hidden="false" customHeight="false" outlineLevel="0" collapsed="false">
      <c r="A167" s="18"/>
      <c r="B167" s="19"/>
      <c r="C167" s="20"/>
      <c r="D167" s="21"/>
      <c r="E167" s="22"/>
      <c r="F167" s="23" t="str">
        <f aca="false">IF(OR($A167="",$B167="",N($C167)=0),"",$B167/$C167-N($D167))</f>
        <v/>
      </c>
      <c r="G167" s="24" t="str">
        <f aca="false">IF($A167="","",IF(OR($B167="",$C167=""),"Faltan datos","OK"))</f>
        <v/>
      </c>
    </row>
    <row r="168" customFormat="false" ht="15" hidden="false" customHeight="false" outlineLevel="0" collapsed="false">
      <c r="A168" s="18"/>
      <c r="B168" s="19"/>
      <c r="C168" s="20"/>
      <c r="D168" s="21"/>
      <c r="E168" s="22"/>
      <c r="F168" s="23" t="str">
        <f aca="false">IF(OR($A168="",$B168="",N($C168)=0),"",$B168/$C168-N($D168))</f>
        <v/>
      </c>
      <c r="G168" s="24" t="str">
        <f aca="false">IF($A168="","",IF(OR($B168="",$C168=""),"Faltan datos","OK"))</f>
        <v/>
      </c>
    </row>
    <row r="169" customFormat="false" ht="15" hidden="false" customHeight="false" outlineLevel="0" collapsed="false">
      <c r="A169" s="18"/>
      <c r="B169" s="19"/>
      <c r="C169" s="20"/>
      <c r="D169" s="21"/>
      <c r="E169" s="22"/>
      <c r="F169" s="23" t="str">
        <f aca="false">IF(OR($A169="",$B169="",N($C169)=0),"",$B169/$C169-N($D169))</f>
        <v/>
      </c>
      <c r="G169" s="24" t="str">
        <f aca="false">IF($A169="","",IF(OR($B169="",$C169=""),"Faltan datos","OK"))</f>
        <v/>
      </c>
    </row>
    <row r="170" customFormat="false" ht="15" hidden="false" customHeight="false" outlineLevel="0" collapsed="false">
      <c r="A170" s="18"/>
      <c r="B170" s="19"/>
      <c r="C170" s="20"/>
      <c r="D170" s="21"/>
      <c r="E170" s="22"/>
      <c r="F170" s="23" t="str">
        <f aca="false">IF(OR($A170="",$B170="",N($C170)=0),"",$B170/$C170-N($D170))</f>
        <v/>
      </c>
      <c r="G170" s="24" t="str">
        <f aca="false">IF($A170="","",IF(OR($B170="",$C170=""),"Faltan datos","OK"))</f>
        <v/>
      </c>
    </row>
    <row r="171" customFormat="false" ht="15" hidden="false" customHeight="false" outlineLevel="0" collapsed="false">
      <c r="A171" s="18"/>
      <c r="B171" s="19"/>
      <c r="C171" s="20"/>
      <c r="D171" s="21"/>
      <c r="E171" s="22"/>
      <c r="F171" s="23" t="str">
        <f aca="false">IF(OR($A171="",$B171="",N($C171)=0),"",$B171/$C171-N($D171))</f>
        <v/>
      </c>
      <c r="G171" s="24" t="str">
        <f aca="false">IF($A171="","",IF(OR($B171="",$C171=""),"Faltan datos","OK"))</f>
        <v/>
      </c>
    </row>
    <row r="172" customFormat="false" ht="15" hidden="false" customHeight="false" outlineLevel="0" collapsed="false">
      <c r="A172" s="18"/>
      <c r="B172" s="19"/>
      <c r="C172" s="20"/>
      <c r="D172" s="21"/>
      <c r="E172" s="22"/>
      <c r="F172" s="23" t="str">
        <f aca="false">IF(OR($A172="",$B172="",N($C172)=0),"",$B172/$C172-N($D172))</f>
        <v/>
      </c>
      <c r="G172" s="24" t="str">
        <f aca="false">IF($A172="","",IF(OR($B172="",$C172=""),"Faltan datos","OK"))</f>
        <v/>
      </c>
    </row>
    <row r="173" customFormat="false" ht="15" hidden="false" customHeight="false" outlineLevel="0" collapsed="false">
      <c r="A173" s="18"/>
      <c r="B173" s="19"/>
      <c r="C173" s="20"/>
      <c r="D173" s="21"/>
      <c r="E173" s="22"/>
      <c r="F173" s="23" t="str">
        <f aca="false">IF(OR($A173="",$B173="",N($C173)=0),"",$B173/$C173-N($D173))</f>
        <v/>
      </c>
      <c r="G173" s="24" t="str">
        <f aca="false">IF($A173="","",IF(OR($B173="",$C173=""),"Faltan datos","OK"))</f>
        <v/>
      </c>
    </row>
    <row r="174" customFormat="false" ht="15" hidden="false" customHeight="false" outlineLevel="0" collapsed="false">
      <c r="A174" s="18"/>
      <c r="B174" s="19"/>
      <c r="C174" s="20"/>
      <c r="D174" s="21"/>
      <c r="E174" s="22"/>
      <c r="F174" s="23" t="str">
        <f aca="false">IF(OR($A174="",$B174="",N($C174)=0),"",$B174/$C174-N($D174))</f>
        <v/>
      </c>
      <c r="G174" s="24" t="str">
        <f aca="false">IF($A174="","",IF(OR($B174="",$C174=""),"Faltan datos","OK"))</f>
        <v/>
      </c>
    </row>
    <row r="175" customFormat="false" ht="15" hidden="false" customHeight="false" outlineLevel="0" collapsed="false">
      <c r="A175" s="18"/>
      <c r="B175" s="19"/>
      <c r="C175" s="20"/>
      <c r="D175" s="21"/>
      <c r="E175" s="22"/>
      <c r="F175" s="23" t="str">
        <f aca="false">IF(OR($A175="",$B175="",N($C175)=0),"",$B175/$C175-N($D175))</f>
        <v/>
      </c>
      <c r="G175" s="24" t="str">
        <f aca="false">IF($A175="","",IF(OR($B175="",$C175=""),"Faltan datos","OK"))</f>
        <v/>
      </c>
    </row>
    <row r="176" customFormat="false" ht="15" hidden="false" customHeight="false" outlineLevel="0" collapsed="false">
      <c r="A176" s="18"/>
      <c r="B176" s="19"/>
      <c r="C176" s="20"/>
      <c r="D176" s="21"/>
      <c r="E176" s="22"/>
      <c r="F176" s="23" t="str">
        <f aca="false">IF(OR($A176="",$B176="",N($C176)=0),"",$B176/$C176-N($D176))</f>
        <v/>
      </c>
      <c r="G176" s="24" t="str">
        <f aca="false">IF($A176="","",IF(OR($B176="",$C176=""),"Faltan datos","OK"))</f>
        <v/>
      </c>
    </row>
    <row r="177" customFormat="false" ht="15" hidden="false" customHeight="false" outlineLevel="0" collapsed="false">
      <c r="A177" s="18"/>
      <c r="B177" s="19"/>
      <c r="C177" s="20"/>
      <c r="D177" s="21"/>
      <c r="E177" s="22"/>
      <c r="F177" s="23" t="str">
        <f aca="false">IF(OR($A177="",$B177="",N($C177)=0),"",$B177/$C177-N($D177))</f>
        <v/>
      </c>
      <c r="G177" s="24" t="str">
        <f aca="false">IF($A177="","",IF(OR($B177="",$C177=""),"Faltan datos","OK"))</f>
        <v/>
      </c>
    </row>
    <row r="178" customFormat="false" ht="15" hidden="false" customHeight="false" outlineLevel="0" collapsed="false">
      <c r="A178" s="18"/>
      <c r="B178" s="19"/>
      <c r="C178" s="20"/>
      <c r="D178" s="21"/>
      <c r="E178" s="22"/>
      <c r="F178" s="23" t="str">
        <f aca="false">IF(OR($A178="",$B178="",N($C178)=0),"",$B178/$C178-N($D178))</f>
        <v/>
      </c>
      <c r="G178" s="24" t="str">
        <f aca="false">IF($A178="","",IF(OR($B178="",$C178=""),"Faltan datos","OK"))</f>
        <v/>
      </c>
    </row>
    <row r="179" customFormat="false" ht="15" hidden="false" customHeight="false" outlineLevel="0" collapsed="false">
      <c r="A179" s="18"/>
      <c r="B179" s="19"/>
      <c r="C179" s="20"/>
      <c r="D179" s="21"/>
      <c r="E179" s="22"/>
      <c r="F179" s="23" t="str">
        <f aca="false">IF(OR($A179="",$B179="",N($C179)=0),"",$B179/$C179-N($D179))</f>
        <v/>
      </c>
      <c r="G179" s="24" t="str">
        <f aca="false">IF($A179="","",IF(OR($B179="",$C179=""),"Faltan datos","OK"))</f>
        <v/>
      </c>
    </row>
    <row r="180" customFormat="false" ht="15" hidden="false" customHeight="false" outlineLevel="0" collapsed="false">
      <c r="A180" s="18"/>
      <c r="B180" s="19"/>
      <c r="C180" s="20"/>
      <c r="D180" s="21"/>
      <c r="E180" s="22"/>
      <c r="F180" s="23" t="str">
        <f aca="false">IF(OR($A180="",$B180="",N($C180)=0),"",$B180/$C180-N($D180))</f>
        <v/>
      </c>
      <c r="G180" s="24" t="str">
        <f aca="false">IF($A180="","",IF(OR($B180="",$C180=""),"Faltan datos","OK"))</f>
        <v/>
      </c>
    </row>
    <row r="181" customFormat="false" ht="15" hidden="false" customHeight="false" outlineLevel="0" collapsed="false">
      <c r="A181" s="18"/>
      <c r="B181" s="19"/>
      <c r="C181" s="20"/>
      <c r="D181" s="21"/>
      <c r="E181" s="22"/>
      <c r="F181" s="23" t="str">
        <f aca="false">IF(OR($A181="",$B181="",N($C181)=0),"",$B181/$C181-N($D181))</f>
        <v/>
      </c>
      <c r="G181" s="24" t="str">
        <f aca="false">IF($A181="","",IF(OR($B181="",$C181=""),"Faltan datos","OK"))</f>
        <v/>
      </c>
    </row>
    <row r="182" customFormat="false" ht="15" hidden="false" customHeight="false" outlineLevel="0" collapsed="false">
      <c r="A182" s="18"/>
      <c r="B182" s="19"/>
      <c r="C182" s="20"/>
      <c r="D182" s="21"/>
      <c r="E182" s="22"/>
      <c r="F182" s="23" t="str">
        <f aca="false">IF(OR($A182="",$B182="",N($C182)=0),"",$B182/$C182-N($D182))</f>
        <v/>
      </c>
      <c r="G182" s="24" t="str">
        <f aca="false">IF($A182="","",IF(OR($B182="",$C182=""),"Faltan datos","OK"))</f>
        <v/>
      </c>
    </row>
    <row r="183" customFormat="false" ht="15" hidden="false" customHeight="false" outlineLevel="0" collapsed="false">
      <c r="A183" s="18"/>
      <c r="B183" s="19"/>
      <c r="C183" s="20"/>
      <c r="D183" s="21"/>
      <c r="E183" s="22"/>
      <c r="F183" s="23" t="str">
        <f aca="false">IF(OR($A183="",$B183="",N($C183)=0),"",$B183/$C183-N($D183))</f>
        <v/>
      </c>
      <c r="G183" s="24" t="str">
        <f aca="false">IF($A183="","",IF(OR($B183="",$C183=""),"Faltan datos","OK"))</f>
        <v/>
      </c>
    </row>
    <row r="184" customFormat="false" ht="15" hidden="false" customHeight="false" outlineLevel="0" collapsed="false">
      <c r="A184" s="18"/>
      <c r="B184" s="19"/>
      <c r="C184" s="20"/>
      <c r="D184" s="21"/>
      <c r="E184" s="22"/>
      <c r="F184" s="23" t="str">
        <f aca="false">IF(OR($A184="",$B184="",N($C184)=0),"",$B184/$C184-N($D184))</f>
        <v/>
      </c>
      <c r="G184" s="24" t="str">
        <f aca="false">IF($A184="","",IF(OR($B184="",$C184=""),"Faltan datos","OK"))</f>
        <v/>
      </c>
    </row>
    <row r="185" customFormat="false" ht="15" hidden="false" customHeight="false" outlineLevel="0" collapsed="false">
      <c r="A185" s="18"/>
      <c r="B185" s="19"/>
      <c r="C185" s="20"/>
      <c r="D185" s="21"/>
      <c r="E185" s="22"/>
      <c r="F185" s="23" t="str">
        <f aca="false">IF(OR($A185="",$B185="",N($C185)=0),"",$B185/$C185-N($D185))</f>
        <v/>
      </c>
      <c r="G185" s="24" t="str">
        <f aca="false">IF($A185="","",IF(OR($B185="",$C185=""),"Faltan datos","OK"))</f>
        <v/>
      </c>
    </row>
    <row r="186" customFormat="false" ht="15" hidden="false" customHeight="false" outlineLevel="0" collapsed="false">
      <c r="A186" s="18"/>
      <c r="B186" s="19"/>
      <c r="C186" s="20"/>
      <c r="D186" s="21"/>
      <c r="E186" s="22"/>
      <c r="F186" s="23" t="str">
        <f aca="false">IF(OR($A186="",$B186="",N($C186)=0),"",$B186/$C186-N($D186))</f>
        <v/>
      </c>
      <c r="G186" s="24" t="str">
        <f aca="false">IF($A186="","",IF(OR($B186="",$C186=""),"Faltan datos","OK"))</f>
        <v/>
      </c>
    </row>
    <row r="187" customFormat="false" ht="15" hidden="false" customHeight="false" outlineLevel="0" collapsed="false">
      <c r="A187" s="18"/>
      <c r="B187" s="19"/>
      <c r="C187" s="20"/>
      <c r="D187" s="21"/>
      <c r="E187" s="22"/>
      <c r="F187" s="23" t="str">
        <f aca="false">IF(OR($A187="",$B187="",N($C187)=0),"",$B187/$C187-N($D187))</f>
        <v/>
      </c>
      <c r="G187" s="24" t="str">
        <f aca="false">IF($A187="","",IF(OR($B187="",$C187=""),"Faltan datos","OK"))</f>
        <v/>
      </c>
    </row>
    <row r="188" customFormat="false" ht="15" hidden="false" customHeight="false" outlineLevel="0" collapsed="false">
      <c r="A188" s="18"/>
      <c r="B188" s="19"/>
      <c r="C188" s="20"/>
      <c r="D188" s="21"/>
      <c r="E188" s="22"/>
      <c r="F188" s="23" t="str">
        <f aca="false">IF(OR($A188="",$B188="",N($C188)=0),"",$B188/$C188-N($D188))</f>
        <v/>
      </c>
      <c r="G188" s="24" t="str">
        <f aca="false">IF($A188="","",IF(OR($B188="",$C188=""),"Faltan datos","OK"))</f>
        <v/>
      </c>
    </row>
    <row r="189" customFormat="false" ht="15" hidden="false" customHeight="false" outlineLevel="0" collapsed="false">
      <c r="A189" s="18"/>
      <c r="B189" s="19"/>
      <c r="C189" s="20"/>
      <c r="D189" s="21"/>
      <c r="E189" s="22"/>
      <c r="F189" s="23" t="str">
        <f aca="false">IF(OR($A189="",$B189="",N($C189)=0),"",$B189/$C189-N($D189))</f>
        <v/>
      </c>
      <c r="G189" s="24" t="str">
        <f aca="false">IF($A189="","",IF(OR($B189="",$C189=""),"Faltan datos","OK"))</f>
        <v/>
      </c>
    </row>
    <row r="190" customFormat="false" ht="15" hidden="false" customHeight="false" outlineLevel="0" collapsed="false">
      <c r="A190" s="18"/>
      <c r="B190" s="19"/>
      <c r="C190" s="20"/>
      <c r="D190" s="21"/>
      <c r="E190" s="22"/>
      <c r="F190" s="23" t="str">
        <f aca="false">IF(OR($A190="",$B190="",N($C190)=0),"",$B190/$C190-N($D190))</f>
        <v/>
      </c>
      <c r="G190" s="24" t="str">
        <f aca="false">IF($A190="","",IF(OR($B190="",$C190=""),"Faltan datos","OK"))</f>
        <v/>
      </c>
    </row>
    <row r="191" customFormat="false" ht="15" hidden="false" customHeight="false" outlineLevel="0" collapsed="false">
      <c r="A191" s="18"/>
      <c r="B191" s="19"/>
      <c r="C191" s="20"/>
      <c r="D191" s="21"/>
      <c r="E191" s="22"/>
      <c r="F191" s="23" t="str">
        <f aca="false">IF(OR($A191="",$B191="",N($C191)=0),"",$B191/$C191-N($D191))</f>
        <v/>
      </c>
      <c r="G191" s="24" t="str">
        <f aca="false">IF($A191="","",IF(OR($B191="",$C191=""),"Faltan datos","OK"))</f>
        <v/>
      </c>
    </row>
    <row r="192" customFormat="false" ht="15" hidden="false" customHeight="false" outlineLevel="0" collapsed="false">
      <c r="A192" s="18"/>
      <c r="B192" s="19"/>
      <c r="C192" s="20"/>
      <c r="D192" s="21"/>
      <c r="E192" s="22"/>
      <c r="F192" s="23" t="str">
        <f aca="false">IF(OR($A192="",$B192="",N($C192)=0),"",$B192/$C192-N($D192))</f>
        <v/>
      </c>
      <c r="G192" s="24" t="str">
        <f aca="false">IF($A192="","",IF(OR($B192="",$C192=""),"Faltan datos","OK"))</f>
        <v/>
      </c>
    </row>
    <row r="193" customFormat="false" ht="15" hidden="false" customHeight="false" outlineLevel="0" collapsed="false">
      <c r="A193" s="18"/>
      <c r="B193" s="19"/>
      <c r="C193" s="20"/>
      <c r="D193" s="21"/>
      <c r="E193" s="22"/>
      <c r="F193" s="23" t="str">
        <f aca="false">IF(OR($A193="",$B193="",N($C193)=0),"",$B193/$C193-N($D193))</f>
        <v/>
      </c>
      <c r="G193" s="24" t="str">
        <f aca="false">IF($A193="","",IF(OR($B193="",$C193=""),"Faltan datos","OK"))</f>
        <v/>
      </c>
    </row>
    <row r="194" customFormat="false" ht="15" hidden="false" customHeight="false" outlineLevel="0" collapsed="false">
      <c r="A194" s="18"/>
      <c r="B194" s="19"/>
      <c r="C194" s="20"/>
      <c r="D194" s="21"/>
      <c r="E194" s="22"/>
      <c r="F194" s="23" t="str">
        <f aca="false">IF(OR($A194="",$B194="",N($C194)=0),"",$B194/$C194-N($D194))</f>
        <v/>
      </c>
      <c r="G194" s="24" t="str">
        <f aca="false">IF($A194="","",IF(OR($B194="",$C194=""),"Faltan datos","OK"))</f>
        <v/>
      </c>
    </row>
    <row r="195" customFormat="false" ht="15" hidden="false" customHeight="false" outlineLevel="0" collapsed="false">
      <c r="A195" s="18"/>
      <c r="B195" s="19"/>
      <c r="C195" s="20"/>
      <c r="D195" s="21"/>
      <c r="E195" s="22"/>
      <c r="F195" s="23" t="str">
        <f aca="false">IF(OR($A195="",$B195="",N($C195)=0),"",$B195/$C195-N($D195))</f>
        <v/>
      </c>
      <c r="G195" s="24" t="str">
        <f aca="false">IF($A195="","",IF(OR($B195="",$C195=""),"Faltan datos","OK"))</f>
        <v/>
      </c>
    </row>
    <row r="196" customFormat="false" ht="15" hidden="false" customHeight="false" outlineLevel="0" collapsed="false">
      <c r="A196" s="18"/>
      <c r="B196" s="19"/>
      <c r="C196" s="20"/>
      <c r="D196" s="21"/>
      <c r="E196" s="22"/>
      <c r="F196" s="23" t="str">
        <f aca="false">IF(OR($A196="",$B196="",N($C196)=0),"",$B196/$C196-N($D196))</f>
        <v/>
      </c>
      <c r="G196" s="24" t="str">
        <f aca="false">IF($A196="","",IF(OR($B196="",$C196=""),"Faltan datos","OK"))</f>
        <v/>
      </c>
    </row>
    <row r="197" customFormat="false" ht="15" hidden="false" customHeight="false" outlineLevel="0" collapsed="false">
      <c r="A197" s="18"/>
      <c r="B197" s="19"/>
      <c r="C197" s="20"/>
      <c r="D197" s="21"/>
      <c r="E197" s="22"/>
      <c r="F197" s="23" t="str">
        <f aca="false">IF(OR($A197="",$B197="",N($C197)=0),"",$B197/$C197-N($D197))</f>
        <v/>
      </c>
      <c r="G197" s="24" t="str">
        <f aca="false">IF($A197="","",IF(OR($B197="",$C197=""),"Faltan datos","OK"))</f>
        <v/>
      </c>
    </row>
    <row r="198" customFormat="false" ht="15" hidden="false" customHeight="false" outlineLevel="0" collapsed="false">
      <c r="A198" s="18"/>
      <c r="B198" s="19"/>
      <c r="C198" s="20"/>
      <c r="D198" s="21"/>
      <c r="E198" s="22"/>
      <c r="F198" s="23" t="str">
        <f aca="false">IF(OR($A198="",$B198="",N($C198)=0),"",$B198/$C198-N($D198))</f>
        <v/>
      </c>
      <c r="G198" s="24" t="str">
        <f aca="false">IF($A198="","",IF(OR($B198="",$C198=""),"Faltan datos","OK"))</f>
        <v/>
      </c>
    </row>
    <row r="199" customFormat="false" ht="15" hidden="false" customHeight="false" outlineLevel="0" collapsed="false">
      <c r="A199" s="18"/>
      <c r="B199" s="19"/>
      <c r="C199" s="20"/>
      <c r="D199" s="21"/>
      <c r="E199" s="22"/>
      <c r="F199" s="23" t="str">
        <f aca="false">IF(OR($A199="",$B199="",N($C199)=0),"",$B199/$C199-N($D199))</f>
        <v/>
      </c>
      <c r="G199" s="24" t="str">
        <f aca="false">IF($A199="","",IF(OR($B199="",$C199=""),"Faltan datos","OK"))</f>
        <v/>
      </c>
    </row>
    <row r="200" customFormat="false" ht="15" hidden="false" customHeight="false" outlineLevel="0" collapsed="false">
      <c r="A200" s="18"/>
      <c r="B200" s="19"/>
      <c r="C200" s="20"/>
      <c r="D200" s="21"/>
      <c r="E200" s="22"/>
      <c r="F200" s="23" t="str">
        <f aca="false">IF(OR($A200="",$B200="",N($C200)=0),"",$B200/$C200-N($D200))</f>
        <v/>
      </c>
      <c r="G200" s="24" t="str">
        <f aca="false">IF($A200="","",IF(OR($B200="",$C200=""),"Faltan datos","OK"))</f>
        <v/>
      </c>
    </row>
    <row r="201" customFormat="false" ht="15" hidden="false" customHeight="false" outlineLevel="0" collapsed="false">
      <c r="A201" s="18"/>
      <c r="B201" s="19"/>
      <c r="C201" s="20"/>
      <c r="D201" s="21"/>
      <c r="E201" s="22"/>
      <c r="F201" s="23" t="str">
        <f aca="false">IF(OR($A201="",$B201="",N($C201)=0),"",$B201/$C201-N($D201))</f>
        <v/>
      </c>
      <c r="G201" s="24" t="str">
        <f aca="false">IF($A201="","",IF(OR($B201="",$C201=""),"Faltan datos","OK"))</f>
        <v/>
      </c>
    </row>
  </sheetData>
  <dataValidations count="2">
    <dataValidation allowBlank="true" error="Introduce una fecha" errorStyle="stop" operator="greaterThan" showDropDown="false" showErrorMessage="true" showInputMessage="false" sqref="A2:A201" type="date">
      <formula1>36526</formula1>
      <formula2>0</formula2>
    </dataValidation>
    <dataValidation allowBlank="true" error="Número ≥ 0" errorStyle="stop" operator="greaterThanOrEqual" showDropDown="false" showErrorMessage="true" showInputMessage="false" sqref="B2:D2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20"/>
    <col collapsed="false" customWidth="true" hidden="false" outlineLevel="0" max="8" min="5" style="0" width="12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1"/>
  </cols>
  <sheetData>
    <row r="1" customFormat="false" ht="17.35" hidden="false" customHeight="false" outlineLevel="0" collapsed="false">
      <c r="A1" s="25" t="s">
        <v>89</v>
      </c>
    </row>
    <row r="2" customFormat="false" ht="15" hidden="false" customHeight="false" outlineLevel="0" collapsed="false">
      <c r="A2" s="26" t="s">
        <v>90</v>
      </c>
    </row>
    <row r="4" customFormat="false" ht="42" hidden="false" customHeight="true" outlineLevel="0" collapsed="false">
      <c r="A4" s="27" t="s">
        <v>91</v>
      </c>
      <c r="B4" s="27"/>
      <c r="D4" s="4" t="s">
        <v>92</v>
      </c>
      <c r="E4" s="4" t="s">
        <v>93</v>
      </c>
      <c r="F4" s="4" t="s">
        <v>94</v>
      </c>
      <c r="G4" s="4" t="s">
        <v>95</v>
      </c>
      <c r="H4" s="4" t="s">
        <v>96</v>
      </c>
      <c r="I4" s="4" t="s">
        <v>97</v>
      </c>
      <c r="J4" s="4" t="s">
        <v>98</v>
      </c>
      <c r="K4" s="4" t="s">
        <v>99</v>
      </c>
      <c r="L4" s="4" t="s">
        <v>100</v>
      </c>
      <c r="M4" s="4" t="s">
        <v>101</v>
      </c>
    </row>
    <row r="5" customFormat="false" ht="15" hidden="false" customHeight="false" outlineLevel="0" collapsed="false">
      <c r="A5" s="28" t="s">
        <v>102</v>
      </c>
      <c r="B5" s="29"/>
      <c r="D5" s="30" t="n">
        <f aca="false">DATE(YEAR($B$9),MONTH($B$9),1)</f>
        <v>46235</v>
      </c>
      <c r="E5" s="31" t="n">
        <f aca="true">IF($D5&gt;TODAY(),"",SUMIFS(Operaciones!$AE$2:$AE$1001,Operaciones!$N$2:$N$1001,"&gt;="&amp;$D5,Operaciones!$N$2:$N$1001,"&lt;"&amp;EDATE($D5,1)))</f>
        <v>0</v>
      </c>
      <c r="F5" s="31" t="n">
        <f aca="true">IF($D5&gt;TODAY(),"",SUMIFS(Acciones!$Q$2:$Q$201,Acciones!$J$2:$J$201,"&gt;="&amp;$D5,Acciones!$J$2:$J$201,"&lt;"&amp;EDATE($D5,1)))</f>
        <v>0</v>
      </c>
      <c r="G5" s="31" t="n">
        <f aca="true">IF($D5&gt;TODAY(),"",SUMIFS(Dividendos!$I$2:$I$301,Dividendos!$A$2:$A$301,"&gt;="&amp;$D5,Dividendos!$A$2:$A$301,"&lt;"&amp;EDATE($D5,1)))</f>
        <v>0</v>
      </c>
      <c r="H5" s="31" t="n">
        <f aca="true">IF($D5&gt;TODAY(),"",E5+F5+G5)</f>
        <v>0</v>
      </c>
      <c r="I5" s="32" t="n">
        <f aca="true">IF($D5&gt;TODAY(),"",COUNTIFS(Operaciones!$N$2:$N$1001,"&gt;="&amp;$D5,Operaciones!$N$2:$N$1001,"&lt;"&amp;EDATE($D5,1),Operaciones!$AL$2:$AL$1001,1))</f>
        <v>0</v>
      </c>
      <c r="J5" s="31" t="n">
        <f aca="true">IF($D5&gt;TODAY(),"",($B$6*$B$7)+H5)</f>
        <v>17550</v>
      </c>
      <c r="K5" s="33" t="n">
        <f aca="true">IF(OR($D5&gt;TODAY(),($B$6*$B$7)=0),"",H5/($B$6*$B$7))</f>
        <v>0</v>
      </c>
      <c r="L5" s="33" t="n">
        <f aca="true">IF(OR($D5&gt;TODAY(),($B$6*$B$7)=0),"",J5/($B$6*$B$7)-1)</f>
        <v>0</v>
      </c>
      <c r="M5" s="33" t="str">
        <f aca="true">IF(OR($D5&gt;TODAY(),I5=0),"",COUNTIFS(Operaciones!$N$2:$N$1001,"&gt;="&amp;$D5,Operaciones!$N$2:$N$1001,"&lt;"&amp;EDATE($D5,1),Operaciones!$AE$2:$AE$1001,"&gt;0")/I5)</f>
        <v/>
      </c>
    </row>
    <row r="6" customFormat="false" ht="15" hidden="false" customHeight="false" outlineLevel="0" collapsed="false">
      <c r="A6" s="28" t="s">
        <v>103</v>
      </c>
      <c r="B6" s="34" t="n">
        <v>15000</v>
      </c>
      <c r="D6" s="30" t="n">
        <f aca="false">EDATE(D5,1)</f>
        <v>46266</v>
      </c>
      <c r="E6" s="31" t="n">
        <f aca="true">IF($D6&gt;TODAY(),"",SUMIFS(Operaciones!$AE$2:$AE$1001,Operaciones!$N$2:$N$1001,"&gt;="&amp;$D6,Operaciones!$N$2:$N$1001,"&lt;"&amp;EDATE($D6,1)))</f>
        <v>160.85</v>
      </c>
      <c r="F6" s="31" t="n">
        <f aca="true">IF($D6&gt;TODAY(),"",SUMIFS(Acciones!$Q$2:$Q$201,Acciones!$J$2:$J$201,"&gt;="&amp;$D6,Acciones!$J$2:$J$201,"&lt;"&amp;EDATE($D6,1)))</f>
        <v>0</v>
      </c>
      <c r="G6" s="31" t="n">
        <f aca="true">IF($D6&gt;TODAY(),"",SUMIFS(Dividendos!$I$2:$I$301,Dividendos!$A$2:$A$301,"&gt;="&amp;$D6,Dividendos!$A$2:$A$301,"&lt;"&amp;EDATE($D6,1)))</f>
        <v>0</v>
      </c>
      <c r="H6" s="31" t="n">
        <f aca="true">IF($D6&gt;TODAY(),"",E6+F6+G6)</f>
        <v>160.85</v>
      </c>
      <c r="I6" s="32" t="n">
        <f aca="true">IF($D6&gt;TODAY(),"",COUNTIFS(Operaciones!$N$2:$N$1001,"&gt;="&amp;$D6,Operaciones!$N$2:$N$1001,"&lt;"&amp;EDATE($D6,1),Operaciones!$AL$2:$AL$1001,1))</f>
        <v>2</v>
      </c>
      <c r="J6" s="31" t="n">
        <f aca="true">IF($D6&gt;TODAY(),"",J5+H6)</f>
        <v>17710.85</v>
      </c>
      <c r="K6" s="33" t="n">
        <f aca="true">IF(OR($D6&gt;TODAY(),J5=0),"",H6/J5)</f>
        <v>0.00916524216524217</v>
      </c>
      <c r="L6" s="33" t="n">
        <f aca="true">IF(OR($D6&gt;TODAY(),($B$6*$B$7)=0),"",J6/($B$6*$B$7)-1)</f>
        <v>0.00916524216524217</v>
      </c>
      <c r="M6" s="33" t="n">
        <f aca="true">IF(OR($D6&gt;TODAY(),I6=0),"",COUNTIFS(Operaciones!$N$2:$N$1001,"&gt;="&amp;$D6,Operaciones!$N$2:$N$1001,"&lt;"&amp;EDATE($D6,1),Operaciones!$AE$2:$AE$1001,"&gt;0")/I6)</f>
        <v>1</v>
      </c>
    </row>
    <row r="7" customFormat="false" ht="15" hidden="false" customHeight="false" outlineLevel="0" collapsed="false">
      <c r="A7" s="28" t="s">
        <v>104</v>
      </c>
      <c r="B7" s="35" t="n">
        <v>1.17</v>
      </c>
      <c r="D7" s="30" t="n">
        <f aca="false">EDATE(D6,1)</f>
        <v>46296</v>
      </c>
      <c r="E7" s="31" t="n">
        <f aca="true">IF($D7&gt;TODAY(),"",SUMIFS(Operaciones!$AE$2:$AE$1001,Operaciones!$N$2:$N$1001,"&gt;="&amp;$D7,Operaciones!$N$2:$N$1001,"&lt;"&amp;EDATE($D7,1)))</f>
        <v>77.2</v>
      </c>
      <c r="F7" s="31" t="n">
        <f aca="true">IF($D7&gt;TODAY(),"",SUMIFS(Acciones!$Q$2:$Q$201,Acciones!$J$2:$J$201,"&gt;="&amp;$D7,Acciones!$J$2:$J$201,"&lt;"&amp;EDATE($D7,1)))</f>
        <v>0</v>
      </c>
      <c r="G7" s="31" t="n">
        <f aca="true">IF($D7&gt;TODAY(),"",SUMIFS(Dividendos!$I$2:$I$301,Dividendos!$A$2:$A$301,"&gt;="&amp;$D7,Dividendos!$A$2:$A$301,"&lt;"&amp;EDATE($D7,1)))</f>
        <v>43.35</v>
      </c>
      <c r="H7" s="31" t="n">
        <f aca="true">IF($D7&gt;TODAY(),"",E7+F7+G7)</f>
        <v>120.55</v>
      </c>
      <c r="I7" s="32" t="n">
        <f aca="true">IF($D7&gt;TODAY(),"",COUNTIFS(Operaciones!$N$2:$N$1001,"&gt;="&amp;$D7,Operaciones!$N$2:$N$1001,"&lt;"&amp;EDATE($D7,1),Operaciones!$AL$2:$AL$1001,1))</f>
        <v>1</v>
      </c>
      <c r="J7" s="31" t="n">
        <f aca="true">IF($D7&gt;TODAY(),"",J6+H7)</f>
        <v>17831.4</v>
      </c>
      <c r="K7" s="33" t="n">
        <f aca="true">IF(OR($D7&gt;TODAY(),J6=0),"",H7/J6)</f>
        <v>0.00680656207917745</v>
      </c>
      <c r="L7" s="33" t="n">
        <f aca="true">IF(OR($D7&gt;TODAY(),($B$6*$B$7)=0),"",J7/($B$6*$B$7)-1)</f>
        <v>0.0160341880341879</v>
      </c>
      <c r="M7" s="33" t="n">
        <f aca="true">IF(OR($D7&gt;TODAY(),I7=0),"",COUNTIFS(Operaciones!$N$2:$N$1001,"&gt;="&amp;$D7,Operaciones!$N$2:$N$1001,"&lt;"&amp;EDATE($D7,1),Operaciones!$AE$2:$AE$1001,"&gt;0")/I7)</f>
        <v>1</v>
      </c>
    </row>
    <row r="8" customFormat="false" ht="15" hidden="false" customHeight="false" outlineLevel="0" collapsed="false">
      <c r="A8" s="28" t="s">
        <v>105</v>
      </c>
      <c r="B8" s="36" t="n">
        <v>1.17</v>
      </c>
      <c r="D8" s="30" t="n">
        <f aca="false">EDATE(D7,1)</f>
        <v>46327</v>
      </c>
      <c r="E8" s="31" t="str">
        <f aca="true">IF($D8&gt;TODAY(),"",SUMIFS(Operaciones!$AE$2:$AE$1001,Operaciones!$N$2:$N$1001,"&gt;="&amp;$D8,Operaciones!$N$2:$N$1001,"&lt;"&amp;EDATE($D8,1)))</f>
        <v/>
      </c>
      <c r="F8" s="31" t="str">
        <f aca="true">IF($D8&gt;TODAY(),"",SUMIFS(Acciones!$Q$2:$Q$201,Acciones!$J$2:$J$201,"&gt;="&amp;$D8,Acciones!$J$2:$J$201,"&lt;"&amp;EDATE($D8,1)))</f>
        <v/>
      </c>
      <c r="G8" s="31" t="str">
        <f aca="true">IF($D8&gt;TODAY(),"",SUMIFS(Dividendos!$I$2:$I$301,Dividendos!$A$2:$A$301,"&gt;="&amp;$D8,Dividendos!$A$2:$A$301,"&lt;"&amp;EDATE($D8,1)))</f>
        <v/>
      </c>
      <c r="H8" s="31" t="str">
        <f aca="true">IF($D8&gt;TODAY(),"",E8+F8+G8)</f>
        <v/>
      </c>
      <c r="I8" s="32" t="str">
        <f aca="true">IF($D8&gt;TODAY(),"",COUNTIFS(Operaciones!$N$2:$N$1001,"&gt;="&amp;$D8,Operaciones!$N$2:$N$1001,"&lt;"&amp;EDATE($D8,1),Operaciones!$AL$2:$AL$1001,1))</f>
        <v/>
      </c>
      <c r="J8" s="31" t="str">
        <f aca="true">IF($D8&gt;TODAY(),"",J7+H8)</f>
        <v/>
      </c>
      <c r="K8" s="33" t="str">
        <f aca="true">IF(OR($D8&gt;TODAY(),J7=0),"",H8/J7)</f>
        <v/>
      </c>
      <c r="L8" s="33" t="str">
        <f aca="true">IF(OR($D8&gt;TODAY(),($B$6*$B$7)=0),"",J8/($B$6*$B$7)-1)</f>
        <v/>
      </c>
      <c r="M8" s="33" t="str">
        <f aca="true">IF(OR($D8&gt;TODAY(),I8=0),"",COUNTIFS(Operaciones!$N$2:$N$1001,"&gt;="&amp;$D8,Operaciones!$N$2:$N$1001,"&lt;"&amp;EDATE($D8,1),Operaciones!$AE$2:$AE$1001,"&gt;0")/I8)</f>
        <v/>
      </c>
    </row>
    <row r="9" customFormat="false" ht="15" hidden="false" customHeight="false" outlineLevel="0" collapsed="false">
      <c r="A9" s="28" t="s">
        <v>106</v>
      </c>
      <c r="B9" s="37" t="n">
        <f aca="true">IF(COUNT(Operaciones!$B$2:$B$1001)=0,TODAY(),MIN(Operaciones!$B$2:$B$1001))</f>
        <v>46259</v>
      </c>
      <c r="D9" s="30" t="n">
        <f aca="false">EDATE(D8,1)</f>
        <v>46357</v>
      </c>
      <c r="E9" s="31" t="str">
        <f aca="true">IF($D9&gt;TODAY(),"",SUMIFS(Operaciones!$AE$2:$AE$1001,Operaciones!$N$2:$N$1001,"&gt;="&amp;$D9,Operaciones!$N$2:$N$1001,"&lt;"&amp;EDATE($D9,1)))</f>
        <v/>
      </c>
      <c r="F9" s="31" t="str">
        <f aca="true">IF($D9&gt;TODAY(),"",SUMIFS(Acciones!$Q$2:$Q$201,Acciones!$J$2:$J$201,"&gt;="&amp;$D9,Acciones!$J$2:$J$201,"&lt;"&amp;EDATE($D9,1)))</f>
        <v/>
      </c>
      <c r="G9" s="31" t="str">
        <f aca="true">IF($D9&gt;TODAY(),"",SUMIFS(Dividendos!$I$2:$I$301,Dividendos!$A$2:$A$301,"&gt;="&amp;$D9,Dividendos!$A$2:$A$301,"&lt;"&amp;EDATE($D9,1)))</f>
        <v/>
      </c>
      <c r="H9" s="31" t="str">
        <f aca="true">IF($D9&gt;TODAY(),"",E9+F9+G9)</f>
        <v/>
      </c>
      <c r="I9" s="32" t="str">
        <f aca="true">IF($D9&gt;TODAY(),"",COUNTIFS(Operaciones!$N$2:$N$1001,"&gt;="&amp;$D9,Operaciones!$N$2:$N$1001,"&lt;"&amp;EDATE($D9,1),Operaciones!$AL$2:$AL$1001,1))</f>
        <v/>
      </c>
      <c r="J9" s="31" t="str">
        <f aca="true">IF($D9&gt;TODAY(),"",J8+H9)</f>
        <v/>
      </c>
      <c r="K9" s="33" t="str">
        <f aca="true">IF(OR($D9&gt;TODAY(),J8=0),"",H9/J8)</f>
        <v/>
      </c>
      <c r="L9" s="33" t="str">
        <f aca="true">IF(OR($D9&gt;TODAY(),($B$6*$B$7)=0),"",J9/($B$6*$B$7)-1)</f>
        <v/>
      </c>
      <c r="M9" s="33" t="str">
        <f aca="true">IF(OR($D9&gt;TODAY(),I9=0),"",COUNTIFS(Operaciones!$N$2:$N$1001,"&gt;="&amp;$D9,Operaciones!$N$2:$N$1001,"&lt;"&amp;EDATE($D9,1),Operaciones!$AE$2:$AE$1001,"&gt;0")/I9)</f>
        <v/>
      </c>
    </row>
    <row r="10" customFormat="false" ht="15" hidden="false" customHeight="false" outlineLevel="0" collapsed="false">
      <c r="A10" s="27" t="s">
        <v>107</v>
      </c>
      <c r="B10" s="27"/>
      <c r="D10" s="30" t="n">
        <f aca="false">EDATE(D9,1)</f>
        <v>46388</v>
      </c>
      <c r="E10" s="31" t="str">
        <f aca="true">IF($D10&gt;TODAY(),"",SUMIFS(Operaciones!$AE$2:$AE$1001,Operaciones!$N$2:$N$1001,"&gt;="&amp;$D10,Operaciones!$N$2:$N$1001,"&lt;"&amp;EDATE($D10,1)))</f>
        <v/>
      </c>
      <c r="F10" s="31" t="str">
        <f aca="true">IF($D10&gt;TODAY(),"",SUMIFS(Acciones!$Q$2:$Q$201,Acciones!$J$2:$J$201,"&gt;="&amp;$D10,Acciones!$J$2:$J$201,"&lt;"&amp;EDATE($D10,1)))</f>
        <v/>
      </c>
      <c r="G10" s="31" t="str">
        <f aca="true">IF($D10&gt;TODAY(),"",SUMIFS(Dividendos!$I$2:$I$301,Dividendos!$A$2:$A$301,"&gt;="&amp;$D10,Dividendos!$A$2:$A$301,"&lt;"&amp;EDATE($D10,1)))</f>
        <v/>
      </c>
      <c r="H10" s="31" t="str">
        <f aca="true">IF($D10&gt;TODAY(),"",E10+F10+G10)</f>
        <v/>
      </c>
      <c r="I10" s="32" t="str">
        <f aca="true">IF($D10&gt;TODAY(),"",COUNTIFS(Operaciones!$N$2:$N$1001,"&gt;="&amp;$D10,Operaciones!$N$2:$N$1001,"&lt;"&amp;EDATE($D10,1),Operaciones!$AL$2:$AL$1001,1))</f>
        <v/>
      </c>
      <c r="J10" s="31" t="str">
        <f aca="true">IF($D10&gt;TODAY(),"",J9+H10)</f>
        <v/>
      </c>
      <c r="K10" s="33" t="str">
        <f aca="true">IF(OR($D10&gt;TODAY(),J9=0),"",H10/J9)</f>
        <v/>
      </c>
      <c r="L10" s="33" t="str">
        <f aca="true">IF(OR($D10&gt;TODAY(),($B$6*$B$7)=0),"",J10/($B$6*$B$7)-1)</f>
        <v/>
      </c>
      <c r="M10" s="33" t="str">
        <f aca="true">IF(OR($D10&gt;TODAY(),I10=0),"",COUNTIFS(Operaciones!$N$2:$N$1001,"&gt;="&amp;$D10,Operaciones!$N$2:$N$1001,"&lt;"&amp;EDATE($D10,1),Operaciones!$AE$2:$AE$1001,"&gt;0")/I10)</f>
        <v/>
      </c>
    </row>
    <row r="11" customFormat="false" ht="15" hidden="false" customHeight="false" outlineLevel="0" collapsed="false">
      <c r="A11" s="28" t="s">
        <v>108</v>
      </c>
      <c r="B11" s="38" t="n">
        <f aca="false">$B$6+SUM(Divisa!$F$2:$F$201)</f>
        <v>15137.4786324786</v>
      </c>
      <c r="D11" s="30" t="n">
        <f aca="false">EDATE(D10,1)</f>
        <v>46419</v>
      </c>
      <c r="E11" s="31" t="str">
        <f aca="true">IF($D11&gt;TODAY(),"",SUMIFS(Operaciones!$AE$2:$AE$1001,Operaciones!$N$2:$N$1001,"&gt;="&amp;$D11,Operaciones!$N$2:$N$1001,"&lt;"&amp;EDATE($D11,1)))</f>
        <v/>
      </c>
      <c r="F11" s="31" t="str">
        <f aca="true">IF($D11&gt;TODAY(),"",SUMIFS(Acciones!$Q$2:$Q$201,Acciones!$J$2:$J$201,"&gt;="&amp;$D11,Acciones!$J$2:$J$201,"&lt;"&amp;EDATE($D11,1)))</f>
        <v/>
      </c>
      <c r="G11" s="31" t="str">
        <f aca="true">IF($D11&gt;TODAY(),"",SUMIFS(Dividendos!$I$2:$I$301,Dividendos!$A$2:$A$301,"&gt;="&amp;$D11,Dividendos!$A$2:$A$301,"&lt;"&amp;EDATE($D11,1)))</f>
        <v/>
      </c>
      <c r="H11" s="31" t="str">
        <f aca="true">IF($D11&gt;TODAY(),"",E11+F11+G11)</f>
        <v/>
      </c>
      <c r="I11" s="32" t="str">
        <f aca="true">IF($D11&gt;TODAY(),"",COUNTIFS(Operaciones!$N$2:$N$1001,"&gt;="&amp;$D11,Operaciones!$N$2:$N$1001,"&lt;"&amp;EDATE($D11,1),Operaciones!$AL$2:$AL$1001,1))</f>
        <v/>
      </c>
      <c r="J11" s="31" t="str">
        <f aca="true">IF($D11&gt;TODAY(),"",J10+H11)</f>
        <v/>
      </c>
      <c r="K11" s="33" t="str">
        <f aca="true">IF(OR($D11&gt;TODAY(),J10=0),"",H11/J10)</f>
        <v/>
      </c>
      <c r="L11" s="33" t="str">
        <f aca="true">IF(OR($D11&gt;TODAY(),($B$6*$B$7)=0),"",J11/($B$6*$B$7)-1)</f>
        <v/>
      </c>
      <c r="M11" s="33" t="str">
        <f aca="true">IF(OR($D11&gt;TODAY(),I11=0),"",COUNTIFS(Operaciones!$N$2:$N$1001,"&gt;="&amp;$D11,Operaciones!$N$2:$N$1001,"&lt;"&amp;EDATE($D11,1),Operaciones!$AE$2:$AE$1001,"&gt;0")/I11)</f>
        <v/>
      </c>
    </row>
    <row r="12" customFormat="false" ht="15" hidden="false" customHeight="false" outlineLevel="0" collapsed="false">
      <c r="A12" s="28" t="s">
        <v>109</v>
      </c>
      <c r="B12" s="31" t="n">
        <f aca="false">$B$22-SUM(Divisa!$B$2:$B$201)</f>
        <v>120.55</v>
      </c>
      <c r="D12" s="30" t="n">
        <f aca="false">EDATE(D11,1)</f>
        <v>46447</v>
      </c>
      <c r="E12" s="31" t="str">
        <f aca="true">IF($D12&gt;TODAY(),"",SUMIFS(Operaciones!$AE$2:$AE$1001,Operaciones!$N$2:$N$1001,"&gt;="&amp;$D12,Operaciones!$N$2:$N$1001,"&lt;"&amp;EDATE($D12,1)))</f>
        <v/>
      </c>
      <c r="F12" s="31" t="str">
        <f aca="true">IF($D12&gt;TODAY(),"",SUMIFS(Acciones!$Q$2:$Q$201,Acciones!$J$2:$J$201,"&gt;="&amp;$D12,Acciones!$J$2:$J$201,"&lt;"&amp;EDATE($D12,1)))</f>
        <v/>
      </c>
      <c r="G12" s="31" t="str">
        <f aca="true">IF($D12&gt;TODAY(),"",SUMIFS(Dividendos!$I$2:$I$301,Dividendos!$A$2:$A$301,"&gt;="&amp;$D12,Dividendos!$A$2:$A$301,"&lt;"&amp;EDATE($D12,1)))</f>
        <v/>
      </c>
      <c r="H12" s="31" t="str">
        <f aca="true">IF($D12&gt;TODAY(),"",E12+F12+G12)</f>
        <v/>
      </c>
      <c r="I12" s="32" t="str">
        <f aca="true">IF($D12&gt;TODAY(),"",COUNTIFS(Operaciones!$N$2:$N$1001,"&gt;="&amp;$D12,Operaciones!$N$2:$N$1001,"&lt;"&amp;EDATE($D12,1),Operaciones!$AL$2:$AL$1001,1))</f>
        <v/>
      </c>
      <c r="J12" s="31" t="str">
        <f aca="true">IF($D12&gt;TODAY(),"",J11+H12)</f>
        <v/>
      </c>
      <c r="K12" s="33" t="str">
        <f aca="true">IF(OR($D12&gt;TODAY(),J11=0),"",H12/J11)</f>
        <v/>
      </c>
      <c r="L12" s="33" t="str">
        <f aca="true">IF(OR($D12&gt;TODAY(),($B$6*$B$7)=0),"",J12/($B$6*$B$7)-1)</f>
        <v/>
      </c>
      <c r="M12" s="33" t="str">
        <f aca="true">IF(OR($D12&gt;TODAY(),I12=0),"",COUNTIFS(Operaciones!$N$2:$N$1001,"&gt;="&amp;$D12,Operaciones!$N$2:$N$1001,"&lt;"&amp;EDATE($D12,1),Operaciones!$AE$2:$AE$1001,"&gt;0")/I12)</f>
        <v/>
      </c>
    </row>
    <row r="13" customFormat="false" ht="15" hidden="false" customHeight="false" outlineLevel="0" collapsed="false">
      <c r="A13" s="28" t="s">
        <v>110</v>
      </c>
      <c r="B13" s="38" t="n">
        <f aca="false">IF($B$8&gt;0,$B$12/$B$8,0)</f>
        <v>103.034188034188</v>
      </c>
      <c r="D13" s="30" t="n">
        <f aca="false">EDATE(D12,1)</f>
        <v>46478</v>
      </c>
      <c r="E13" s="31" t="str">
        <f aca="true">IF($D13&gt;TODAY(),"",SUMIFS(Operaciones!$AE$2:$AE$1001,Operaciones!$N$2:$N$1001,"&gt;="&amp;$D13,Operaciones!$N$2:$N$1001,"&lt;"&amp;EDATE($D13,1)))</f>
        <v/>
      </c>
      <c r="F13" s="31" t="str">
        <f aca="true">IF($D13&gt;TODAY(),"",SUMIFS(Acciones!$Q$2:$Q$201,Acciones!$J$2:$J$201,"&gt;="&amp;$D13,Acciones!$J$2:$J$201,"&lt;"&amp;EDATE($D13,1)))</f>
        <v/>
      </c>
      <c r="G13" s="31" t="str">
        <f aca="true">IF($D13&gt;TODAY(),"",SUMIFS(Dividendos!$I$2:$I$301,Dividendos!$A$2:$A$301,"&gt;="&amp;$D13,Dividendos!$A$2:$A$301,"&lt;"&amp;EDATE($D13,1)))</f>
        <v/>
      </c>
      <c r="H13" s="31" t="str">
        <f aca="true">IF($D13&gt;TODAY(),"",E13+F13+G13)</f>
        <v/>
      </c>
      <c r="I13" s="32" t="str">
        <f aca="true">IF($D13&gt;TODAY(),"",COUNTIFS(Operaciones!$N$2:$N$1001,"&gt;="&amp;$D13,Operaciones!$N$2:$N$1001,"&lt;"&amp;EDATE($D13,1),Operaciones!$AL$2:$AL$1001,1))</f>
        <v/>
      </c>
      <c r="J13" s="31" t="str">
        <f aca="true">IF($D13&gt;TODAY(),"",J12+H13)</f>
        <v/>
      </c>
      <c r="K13" s="33" t="str">
        <f aca="true">IF(OR($D13&gt;TODAY(),J12=0),"",H13/J12)</f>
        <v/>
      </c>
      <c r="L13" s="33" t="str">
        <f aca="true">IF(OR($D13&gt;TODAY(),($B$6*$B$7)=0),"",J13/($B$6*$B$7)-1)</f>
        <v/>
      </c>
      <c r="M13" s="33" t="str">
        <f aca="true">IF(OR($D13&gt;TODAY(),I13=0),"",COUNTIFS(Operaciones!$N$2:$N$1001,"&gt;="&amp;$D13,Operaciones!$N$2:$N$1001,"&lt;"&amp;EDATE($D13,1),Operaciones!$AE$2:$AE$1001,"&gt;0")/I13)</f>
        <v/>
      </c>
    </row>
    <row r="14" customFormat="false" ht="15" hidden="false" customHeight="false" outlineLevel="0" collapsed="false">
      <c r="A14" s="28" t="s">
        <v>111</v>
      </c>
      <c r="B14" s="38" t="n">
        <f aca="false">$B$11+$B$13</f>
        <v>15240.5128205128</v>
      </c>
      <c r="D14" s="30" t="n">
        <f aca="false">EDATE(D13,1)</f>
        <v>46508</v>
      </c>
      <c r="E14" s="31" t="str">
        <f aca="true">IF($D14&gt;TODAY(),"",SUMIFS(Operaciones!$AE$2:$AE$1001,Operaciones!$N$2:$N$1001,"&gt;="&amp;$D14,Operaciones!$N$2:$N$1001,"&lt;"&amp;EDATE($D14,1)))</f>
        <v/>
      </c>
      <c r="F14" s="31" t="str">
        <f aca="true">IF($D14&gt;TODAY(),"",SUMIFS(Acciones!$Q$2:$Q$201,Acciones!$J$2:$J$201,"&gt;="&amp;$D14,Acciones!$J$2:$J$201,"&lt;"&amp;EDATE($D14,1)))</f>
        <v/>
      </c>
      <c r="G14" s="31" t="str">
        <f aca="true">IF($D14&gt;TODAY(),"",SUMIFS(Dividendos!$I$2:$I$301,Dividendos!$A$2:$A$301,"&gt;="&amp;$D14,Dividendos!$A$2:$A$301,"&lt;"&amp;EDATE($D14,1)))</f>
        <v/>
      </c>
      <c r="H14" s="31" t="str">
        <f aca="true">IF($D14&gt;TODAY(),"",E14+F14+G14)</f>
        <v/>
      </c>
      <c r="I14" s="32" t="str">
        <f aca="true">IF($D14&gt;TODAY(),"",COUNTIFS(Operaciones!$N$2:$N$1001,"&gt;="&amp;$D14,Operaciones!$N$2:$N$1001,"&lt;"&amp;EDATE($D14,1),Operaciones!$AL$2:$AL$1001,1))</f>
        <v/>
      </c>
      <c r="J14" s="31" t="str">
        <f aca="true">IF($D14&gt;TODAY(),"",J13+H14)</f>
        <v/>
      </c>
      <c r="K14" s="33" t="str">
        <f aca="true">IF(OR($D14&gt;TODAY(),J13=0),"",H14/J13)</f>
        <v/>
      </c>
      <c r="L14" s="33" t="str">
        <f aca="true">IF(OR($D14&gt;TODAY(),($B$6*$B$7)=0),"",J14/($B$6*$B$7)-1)</f>
        <v/>
      </c>
      <c r="M14" s="33" t="str">
        <f aca="true">IF(OR($D14&gt;TODAY(),I14=0),"",COUNTIFS(Operaciones!$N$2:$N$1001,"&gt;="&amp;$D14,Operaciones!$N$2:$N$1001,"&lt;"&amp;EDATE($D14,1),Operaciones!$AE$2:$AE$1001,"&gt;0")/I14)</f>
        <v/>
      </c>
    </row>
    <row r="15" customFormat="false" ht="15" hidden="false" customHeight="false" outlineLevel="0" collapsed="false">
      <c r="A15" s="28" t="s">
        <v>112</v>
      </c>
      <c r="B15" s="33" t="n">
        <f aca="false">IF($B$6=0,"",$B$14/$B$6-1)</f>
        <v>0.0160341880341881</v>
      </c>
      <c r="D15" s="30" t="n">
        <f aca="false">EDATE(D14,1)</f>
        <v>46539</v>
      </c>
      <c r="E15" s="31" t="str">
        <f aca="true">IF($D15&gt;TODAY(),"",SUMIFS(Operaciones!$AE$2:$AE$1001,Operaciones!$N$2:$N$1001,"&gt;="&amp;$D15,Operaciones!$N$2:$N$1001,"&lt;"&amp;EDATE($D15,1)))</f>
        <v/>
      </c>
      <c r="F15" s="31" t="str">
        <f aca="true">IF($D15&gt;TODAY(),"",SUMIFS(Acciones!$Q$2:$Q$201,Acciones!$J$2:$J$201,"&gt;="&amp;$D15,Acciones!$J$2:$J$201,"&lt;"&amp;EDATE($D15,1)))</f>
        <v/>
      </c>
      <c r="G15" s="31" t="str">
        <f aca="true">IF($D15&gt;TODAY(),"",SUMIFS(Dividendos!$I$2:$I$301,Dividendos!$A$2:$A$301,"&gt;="&amp;$D15,Dividendos!$A$2:$A$301,"&lt;"&amp;EDATE($D15,1)))</f>
        <v/>
      </c>
      <c r="H15" s="31" t="str">
        <f aca="true">IF($D15&gt;TODAY(),"",E15+F15+G15)</f>
        <v/>
      </c>
      <c r="I15" s="32" t="str">
        <f aca="true">IF($D15&gt;TODAY(),"",COUNTIFS(Operaciones!$N$2:$N$1001,"&gt;="&amp;$D15,Operaciones!$N$2:$N$1001,"&lt;"&amp;EDATE($D15,1),Operaciones!$AL$2:$AL$1001,1))</f>
        <v/>
      </c>
      <c r="J15" s="31" t="str">
        <f aca="true">IF($D15&gt;TODAY(),"",J14+H15)</f>
        <v/>
      </c>
      <c r="K15" s="33" t="str">
        <f aca="true">IF(OR($D15&gt;TODAY(),J14=0),"",H15/J14)</f>
        <v/>
      </c>
      <c r="L15" s="33" t="str">
        <f aca="true">IF(OR($D15&gt;TODAY(),($B$6*$B$7)=0),"",J15/($B$6*$B$7)-1)</f>
        <v/>
      </c>
      <c r="M15" s="33" t="str">
        <f aca="true">IF(OR($D15&gt;TODAY(),I15=0),"",COUNTIFS(Operaciones!$N$2:$N$1001,"&gt;="&amp;$D15,Operaciones!$N$2:$N$1001,"&lt;"&amp;EDATE($D15,1),Operaciones!$AE$2:$AE$1001,"&gt;0")/I15)</f>
        <v/>
      </c>
    </row>
    <row r="16" customFormat="false" ht="15" hidden="false" customHeight="false" outlineLevel="0" collapsed="false">
      <c r="A16" s="28" t="s">
        <v>113</v>
      </c>
      <c r="B16" s="33" t="n">
        <f aca="true">IF(OR($B$6=0,TODAY()-$B$9&lt;30),"",(1+$B$15)^(365/(TODAY()-$B$9))-1)</f>
        <v>0.125796635141519</v>
      </c>
      <c r="D16" s="30" t="n">
        <f aca="false">EDATE(D15,1)</f>
        <v>46569</v>
      </c>
      <c r="E16" s="31" t="str">
        <f aca="true">IF($D16&gt;TODAY(),"",SUMIFS(Operaciones!$AE$2:$AE$1001,Operaciones!$N$2:$N$1001,"&gt;="&amp;$D16,Operaciones!$N$2:$N$1001,"&lt;"&amp;EDATE($D16,1)))</f>
        <v/>
      </c>
      <c r="F16" s="31" t="str">
        <f aca="true">IF($D16&gt;TODAY(),"",SUMIFS(Acciones!$Q$2:$Q$201,Acciones!$J$2:$J$201,"&gt;="&amp;$D16,Acciones!$J$2:$J$201,"&lt;"&amp;EDATE($D16,1)))</f>
        <v/>
      </c>
      <c r="G16" s="31" t="str">
        <f aca="true">IF($D16&gt;TODAY(),"",SUMIFS(Dividendos!$I$2:$I$301,Dividendos!$A$2:$A$301,"&gt;="&amp;$D16,Dividendos!$A$2:$A$301,"&lt;"&amp;EDATE($D16,1)))</f>
        <v/>
      </c>
      <c r="H16" s="31" t="str">
        <f aca="true">IF($D16&gt;TODAY(),"",E16+F16+G16)</f>
        <v/>
      </c>
      <c r="I16" s="32" t="str">
        <f aca="true">IF($D16&gt;TODAY(),"",COUNTIFS(Operaciones!$N$2:$N$1001,"&gt;="&amp;$D16,Operaciones!$N$2:$N$1001,"&lt;"&amp;EDATE($D16,1),Operaciones!$AL$2:$AL$1001,1))</f>
        <v/>
      </c>
      <c r="J16" s="31" t="str">
        <f aca="true">IF($D16&gt;TODAY(),"",J15+H16)</f>
        <v/>
      </c>
      <c r="K16" s="33" t="str">
        <f aca="true">IF(OR($D16&gt;TODAY(),J15=0),"",H16/J15)</f>
        <v/>
      </c>
      <c r="L16" s="33" t="str">
        <f aca="true">IF(OR($D16&gt;TODAY(),($B$6*$B$7)=0),"",J16/($B$6*$B$7)-1)</f>
        <v/>
      </c>
      <c r="M16" s="33" t="str">
        <f aca="true">IF(OR($D16&gt;TODAY(),I16=0),"",COUNTIFS(Operaciones!$N$2:$N$1001,"&gt;="&amp;$D16,Operaciones!$N$2:$N$1001,"&lt;"&amp;EDATE($D16,1),Operaciones!$AE$2:$AE$1001,"&gt;0")/I16)</f>
        <v/>
      </c>
    </row>
    <row r="17" customFormat="false" ht="15" hidden="false" customHeight="false" outlineLevel="0" collapsed="false">
      <c r="A17" s="28" t="s">
        <v>114</v>
      </c>
      <c r="B17" s="37" t="n">
        <f aca="false">IF(COUNT(Divisa!$A$2:$A$201)=0,"",MAX(Divisa!$A$2:$A$201))</f>
        <v>46295</v>
      </c>
      <c r="D17" s="30" t="n">
        <f aca="false">EDATE(D16,1)</f>
        <v>46600</v>
      </c>
      <c r="E17" s="31" t="str">
        <f aca="true">IF($D17&gt;TODAY(),"",SUMIFS(Operaciones!$AE$2:$AE$1001,Operaciones!$N$2:$N$1001,"&gt;="&amp;$D17,Operaciones!$N$2:$N$1001,"&lt;"&amp;EDATE($D17,1)))</f>
        <v/>
      </c>
      <c r="F17" s="31" t="str">
        <f aca="true">IF($D17&gt;TODAY(),"",SUMIFS(Acciones!$Q$2:$Q$201,Acciones!$J$2:$J$201,"&gt;="&amp;$D17,Acciones!$J$2:$J$201,"&lt;"&amp;EDATE($D17,1)))</f>
        <v/>
      </c>
      <c r="G17" s="31" t="str">
        <f aca="true">IF($D17&gt;TODAY(),"",SUMIFS(Dividendos!$I$2:$I$301,Dividendos!$A$2:$A$301,"&gt;="&amp;$D17,Dividendos!$A$2:$A$301,"&lt;"&amp;EDATE($D17,1)))</f>
        <v/>
      </c>
      <c r="H17" s="31" t="str">
        <f aca="true">IF($D17&gt;TODAY(),"",E17+F17+G17)</f>
        <v/>
      </c>
      <c r="I17" s="32" t="str">
        <f aca="true">IF($D17&gt;TODAY(),"",COUNTIFS(Operaciones!$N$2:$N$1001,"&gt;="&amp;$D17,Operaciones!$N$2:$N$1001,"&lt;"&amp;EDATE($D17,1),Operaciones!$AL$2:$AL$1001,1))</f>
        <v/>
      </c>
      <c r="J17" s="31" t="str">
        <f aca="true">IF($D17&gt;TODAY(),"",J16+H17)</f>
        <v/>
      </c>
      <c r="K17" s="33" t="str">
        <f aca="true">IF(OR($D17&gt;TODAY(),J16=0),"",H17/J16)</f>
        <v/>
      </c>
      <c r="L17" s="33" t="str">
        <f aca="true">IF(OR($D17&gt;TODAY(),($B$6*$B$7)=0),"",J17/($B$6*$B$7)-1)</f>
        <v/>
      </c>
      <c r="M17" s="33" t="str">
        <f aca="true">IF(OR($D17&gt;TODAY(),I17=0),"",COUNTIFS(Operaciones!$N$2:$N$1001,"&gt;="&amp;$D17,Operaciones!$N$2:$N$1001,"&lt;"&amp;EDATE($D17,1),Operaciones!$AE$2:$AE$1001,"&gt;0")/I17)</f>
        <v/>
      </c>
    </row>
    <row r="18" customFormat="false" ht="15" hidden="false" customHeight="false" outlineLevel="0" collapsed="false">
      <c r="A18" s="27" t="s">
        <v>115</v>
      </c>
      <c r="B18" s="27"/>
      <c r="D18" s="30" t="n">
        <f aca="false">EDATE(D17,1)</f>
        <v>46631</v>
      </c>
      <c r="E18" s="31" t="str">
        <f aca="true">IF($D18&gt;TODAY(),"",SUMIFS(Operaciones!$AE$2:$AE$1001,Operaciones!$N$2:$N$1001,"&gt;="&amp;$D18,Operaciones!$N$2:$N$1001,"&lt;"&amp;EDATE($D18,1)))</f>
        <v/>
      </c>
      <c r="F18" s="31" t="str">
        <f aca="true">IF($D18&gt;TODAY(),"",SUMIFS(Acciones!$Q$2:$Q$201,Acciones!$J$2:$J$201,"&gt;="&amp;$D18,Acciones!$J$2:$J$201,"&lt;"&amp;EDATE($D18,1)))</f>
        <v/>
      </c>
      <c r="G18" s="31" t="str">
        <f aca="true">IF($D18&gt;TODAY(),"",SUMIFS(Dividendos!$I$2:$I$301,Dividendos!$A$2:$A$301,"&gt;="&amp;$D18,Dividendos!$A$2:$A$301,"&lt;"&amp;EDATE($D18,1)))</f>
        <v/>
      </c>
      <c r="H18" s="31" t="str">
        <f aca="true">IF($D18&gt;TODAY(),"",E18+F18+G18)</f>
        <v/>
      </c>
      <c r="I18" s="32" t="str">
        <f aca="true">IF($D18&gt;TODAY(),"",COUNTIFS(Operaciones!$N$2:$N$1001,"&gt;="&amp;$D18,Operaciones!$N$2:$N$1001,"&lt;"&amp;EDATE($D18,1),Operaciones!$AL$2:$AL$1001,1))</f>
        <v/>
      </c>
      <c r="J18" s="31" t="str">
        <f aca="true">IF($D18&gt;TODAY(),"",J17+H18)</f>
        <v/>
      </c>
      <c r="K18" s="33" t="str">
        <f aca="true">IF(OR($D18&gt;TODAY(),J17=0),"",H18/J17)</f>
        <v/>
      </c>
      <c r="L18" s="33" t="str">
        <f aca="true">IF(OR($D18&gt;TODAY(),($B$6*$B$7)=0),"",J18/($B$6*$B$7)-1)</f>
        <v/>
      </c>
      <c r="M18" s="33" t="str">
        <f aca="true">IF(OR($D18&gt;TODAY(),I18=0),"",COUNTIFS(Operaciones!$N$2:$N$1001,"&gt;="&amp;$D18,Operaciones!$N$2:$N$1001,"&lt;"&amp;EDATE($D18,1),Operaciones!$AE$2:$AE$1001,"&gt;0")/I18)</f>
        <v/>
      </c>
    </row>
    <row r="19" customFormat="false" ht="15" hidden="false" customHeight="false" outlineLevel="0" collapsed="false">
      <c r="A19" s="28" t="s">
        <v>116</v>
      </c>
      <c r="B19" s="31" t="n">
        <f aca="false">SUM(Operaciones!$AE$2:$AE$1001)</f>
        <v>238.05</v>
      </c>
      <c r="D19" s="30" t="n">
        <f aca="false">EDATE(D18,1)</f>
        <v>46661</v>
      </c>
      <c r="E19" s="31" t="str">
        <f aca="true">IF($D19&gt;TODAY(),"",SUMIFS(Operaciones!$AE$2:$AE$1001,Operaciones!$N$2:$N$1001,"&gt;="&amp;$D19,Operaciones!$N$2:$N$1001,"&lt;"&amp;EDATE($D19,1)))</f>
        <v/>
      </c>
      <c r="F19" s="31" t="str">
        <f aca="true">IF($D19&gt;TODAY(),"",SUMIFS(Acciones!$Q$2:$Q$201,Acciones!$J$2:$J$201,"&gt;="&amp;$D19,Acciones!$J$2:$J$201,"&lt;"&amp;EDATE($D19,1)))</f>
        <v/>
      </c>
      <c r="G19" s="31" t="str">
        <f aca="true">IF($D19&gt;TODAY(),"",SUMIFS(Dividendos!$I$2:$I$301,Dividendos!$A$2:$A$301,"&gt;="&amp;$D19,Dividendos!$A$2:$A$301,"&lt;"&amp;EDATE($D19,1)))</f>
        <v/>
      </c>
      <c r="H19" s="31" t="str">
        <f aca="true">IF($D19&gt;TODAY(),"",E19+F19+G19)</f>
        <v/>
      </c>
      <c r="I19" s="32" t="str">
        <f aca="true">IF($D19&gt;TODAY(),"",COUNTIFS(Operaciones!$N$2:$N$1001,"&gt;="&amp;$D19,Operaciones!$N$2:$N$1001,"&lt;"&amp;EDATE($D19,1),Operaciones!$AL$2:$AL$1001,1))</f>
        <v/>
      </c>
      <c r="J19" s="31" t="str">
        <f aca="true">IF($D19&gt;TODAY(),"",J18+H19)</f>
        <v/>
      </c>
      <c r="K19" s="33" t="str">
        <f aca="true">IF(OR($D19&gt;TODAY(),J18=0),"",H19/J18)</f>
        <v/>
      </c>
      <c r="L19" s="33" t="str">
        <f aca="true">IF(OR($D19&gt;TODAY(),($B$6*$B$7)=0),"",J19/($B$6*$B$7)-1)</f>
        <v/>
      </c>
      <c r="M19" s="33" t="str">
        <f aca="true">IF(OR($D19&gt;TODAY(),I19=0),"",COUNTIFS(Operaciones!$N$2:$N$1001,"&gt;="&amp;$D19,Operaciones!$N$2:$N$1001,"&lt;"&amp;EDATE($D19,1),Operaciones!$AE$2:$AE$1001,"&gt;0")/I19)</f>
        <v/>
      </c>
    </row>
    <row r="20" customFormat="false" ht="15" hidden="false" customHeight="false" outlineLevel="0" collapsed="false">
      <c r="A20" s="28" t="s">
        <v>117</v>
      </c>
      <c r="B20" s="31" t="n">
        <f aca="false">SUM(Acciones!$Q$2:$Q$201)</f>
        <v>0</v>
      </c>
      <c r="D20" s="30" t="n">
        <f aca="false">EDATE(D19,1)</f>
        <v>46692</v>
      </c>
      <c r="E20" s="31" t="str">
        <f aca="true">IF($D20&gt;TODAY(),"",SUMIFS(Operaciones!$AE$2:$AE$1001,Operaciones!$N$2:$N$1001,"&gt;="&amp;$D20,Operaciones!$N$2:$N$1001,"&lt;"&amp;EDATE($D20,1)))</f>
        <v/>
      </c>
      <c r="F20" s="31" t="str">
        <f aca="true">IF($D20&gt;TODAY(),"",SUMIFS(Acciones!$Q$2:$Q$201,Acciones!$J$2:$J$201,"&gt;="&amp;$D20,Acciones!$J$2:$J$201,"&lt;"&amp;EDATE($D20,1)))</f>
        <v/>
      </c>
      <c r="G20" s="31" t="str">
        <f aca="true">IF($D20&gt;TODAY(),"",SUMIFS(Dividendos!$I$2:$I$301,Dividendos!$A$2:$A$301,"&gt;="&amp;$D20,Dividendos!$A$2:$A$301,"&lt;"&amp;EDATE($D20,1)))</f>
        <v/>
      </c>
      <c r="H20" s="31" t="str">
        <f aca="true">IF($D20&gt;TODAY(),"",E20+F20+G20)</f>
        <v/>
      </c>
      <c r="I20" s="32" t="str">
        <f aca="true">IF($D20&gt;TODAY(),"",COUNTIFS(Operaciones!$N$2:$N$1001,"&gt;="&amp;$D20,Operaciones!$N$2:$N$1001,"&lt;"&amp;EDATE($D20,1),Operaciones!$AL$2:$AL$1001,1))</f>
        <v/>
      </c>
      <c r="J20" s="31" t="str">
        <f aca="true">IF($D20&gt;TODAY(),"",J19+H20)</f>
        <v/>
      </c>
      <c r="K20" s="33" t="str">
        <f aca="true">IF(OR($D20&gt;TODAY(),J19=0),"",H20/J19)</f>
        <v/>
      </c>
      <c r="L20" s="33" t="str">
        <f aca="true">IF(OR($D20&gt;TODAY(),($B$6*$B$7)=0),"",J20/($B$6*$B$7)-1)</f>
        <v/>
      </c>
      <c r="M20" s="33" t="str">
        <f aca="true">IF(OR($D20&gt;TODAY(),I20=0),"",COUNTIFS(Operaciones!$N$2:$N$1001,"&gt;="&amp;$D20,Operaciones!$N$2:$N$1001,"&lt;"&amp;EDATE($D20,1),Operaciones!$AE$2:$AE$1001,"&gt;0")/I20)</f>
        <v/>
      </c>
    </row>
    <row r="21" customFormat="false" ht="15" hidden="false" customHeight="false" outlineLevel="0" collapsed="false">
      <c r="A21" s="28" t="s">
        <v>70</v>
      </c>
      <c r="B21" s="31" t="n">
        <f aca="false">SUM(Dividendos!$I$2:$I$301)</f>
        <v>43.35</v>
      </c>
      <c r="D21" s="30" t="n">
        <f aca="false">EDATE(D20,1)</f>
        <v>46722</v>
      </c>
      <c r="E21" s="31" t="str">
        <f aca="true">IF($D21&gt;TODAY(),"",SUMIFS(Operaciones!$AE$2:$AE$1001,Operaciones!$N$2:$N$1001,"&gt;="&amp;$D21,Operaciones!$N$2:$N$1001,"&lt;"&amp;EDATE($D21,1)))</f>
        <v/>
      </c>
      <c r="F21" s="31" t="str">
        <f aca="true">IF($D21&gt;TODAY(),"",SUMIFS(Acciones!$Q$2:$Q$201,Acciones!$J$2:$J$201,"&gt;="&amp;$D21,Acciones!$J$2:$J$201,"&lt;"&amp;EDATE($D21,1)))</f>
        <v/>
      </c>
      <c r="G21" s="31" t="str">
        <f aca="true">IF($D21&gt;TODAY(),"",SUMIFS(Dividendos!$I$2:$I$301,Dividendos!$A$2:$A$301,"&gt;="&amp;$D21,Dividendos!$A$2:$A$301,"&lt;"&amp;EDATE($D21,1)))</f>
        <v/>
      </c>
      <c r="H21" s="31" t="str">
        <f aca="true">IF($D21&gt;TODAY(),"",E21+F21+G21)</f>
        <v/>
      </c>
      <c r="I21" s="32" t="str">
        <f aca="true">IF($D21&gt;TODAY(),"",COUNTIFS(Operaciones!$N$2:$N$1001,"&gt;="&amp;$D21,Operaciones!$N$2:$N$1001,"&lt;"&amp;EDATE($D21,1),Operaciones!$AL$2:$AL$1001,1))</f>
        <v/>
      </c>
      <c r="J21" s="31" t="str">
        <f aca="true">IF($D21&gt;TODAY(),"",J20+H21)</f>
        <v/>
      </c>
      <c r="K21" s="33" t="str">
        <f aca="true">IF(OR($D21&gt;TODAY(),J20=0),"",H21/J20)</f>
        <v/>
      </c>
      <c r="L21" s="33" t="str">
        <f aca="true">IF(OR($D21&gt;TODAY(),($B$6*$B$7)=0),"",J21/($B$6*$B$7)-1)</f>
        <v/>
      </c>
      <c r="M21" s="33" t="str">
        <f aca="true">IF(OR($D21&gt;TODAY(),I21=0),"",COUNTIFS(Operaciones!$N$2:$N$1001,"&gt;="&amp;$D21,Operaciones!$N$2:$N$1001,"&lt;"&amp;EDATE($D21,1),Operaciones!$AE$2:$AE$1001,"&gt;0")/I21)</f>
        <v/>
      </c>
    </row>
    <row r="22" customFormat="false" ht="15" hidden="false" customHeight="false" outlineLevel="0" collapsed="false">
      <c r="A22" s="28" t="s">
        <v>118</v>
      </c>
      <c r="B22" s="31" t="n">
        <f aca="false">$B$19+$B$20+$B$21</f>
        <v>281.4</v>
      </c>
      <c r="D22" s="30" t="n">
        <f aca="false">EDATE(D21,1)</f>
        <v>46753</v>
      </c>
      <c r="E22" s="31" t="str">
        <f aca="true">IF($D22&gt;TODAY(),"",SUMIFS(Operaciones!$AE$2:$AE$1001,Operaciones!$N$2:$N$1001,"&gt;="&amp;$D22,Operaciones!$N$2:$N$1001,"&lt;"&amp;EDATE($D22,1)))</f>
        <v/>
      </c>
      <c r="F22" s="31" t="str">
        <f aca="true">IF($D22&gt;TODAY(),"",SUMIFS(Acciones!$Q$2:$Q$201,Acciones!$J$2:$J$201,"&gt;="&amp;$D22,Acciones!$J$2:$J$201,"&lt;"&amp;EDATE($D22,1)))</f>
        <v/>
      </c>
      <c r="G22" s="31" t="str">
        <f aca="true">IF($D22&gt;TODAY(),"",SUMIFS(Dividendos!$I$2:$I$301,Dividendos!$A$2:$A$301,"&gt;="&amp;$D22,Dividendos!$A$2:$A$301,"&lt;"&amp;EDATE($D22,1)))</f>
        <v/>
      </c>
      <c r="H22" s="31" t="str">
        <f aca="true">IF($D22&gt;TODAY(),"",E22+F22+G22)</f>
        <v/>
      </c>
      <c r="I22" s="32" t="str">
        <f aca="true">IF($D22&gt;TODAY(),"",COUNTIFS(Operaciones!$N$2:$N$1001,"&gt;="&amp;$D22,Operaciones!$N$2:$N$1001,"&lt;"&amp;EDATE($D22,1),Operaciones!$AL$2:$AL$1001,1))</f>
        <v/>
      </c>
      <c r="J22" s="31" t="str">
        <f aca="true">IF($D22&gt;TODAY(),"",J21+H22)</f>
        <v/>
      </c>
      <c r="K22" s="33" t="str">
        <f aca="true">IF(OR($D22&gt;TODAY(),J21=0),"",H22/J21)</f>
        <v/>
      </c>
      <c r="L22" s="33" t="str">
        <f aca="true">IF(OR($D22&gt;TODAY(),($B$6*$B$7)=0),"",J22/($B$6*$B$7)-1)</f>
        <v/>
      </c>
      <c r="M22" s="33" t="str">
        <f aca="true">IF(OR($D22&gt;TODAY(),I22=0),"",COUNTIFS(Operaciones!$N$2:$N$1001,"&gt;="&amp;$D22,Operaciones!$N$2:$N$1001,"&lt;"&amp;EDATE($D22,1),Operaciones!$AE$2:$AE$1001,"&gt;0")/I22)</f>
        <v/>
      </c>
    </row>
    <row r="23" customFormat="false" ht="15" hidden="false" customHeight="false" outlineLevel="0" collapsed="false">
      <c r="A23" s="28" t="s">
        <v>119</v>
      </c>
      <c r="B23" s="33" t="n">
        <f aca="false">IF($B$6*$B$7=0,"",$B$22/($B$6*$B$7))</f>
        <v>0.016034188034188</v>
      </c>
      <c r="D23" s="30" t="n">
        <f aca="false">EDATE(D22,1)</f>
        <v>46784</v>
      </c>
      <c r="E23" s="31" t="str">
        <f aca="true">IF($D23&gt;TODAY(),"",SUMIFS(Operaciones!$AE$2:$AE$1001,Operaciones!$N$2:$N$1001,"&gt;="&amp;$D23,Operaciones!$N$2:$N$1001,"&lt;"&amp;EDATE($D23,1)))</f>
        <v/>
      </c>
      <c r="F23" s="31" t="str">
        <f aca="true">IF($D23&gt;TODAY(),"",SUMIFS(Acciones!$Q$2:$Q$201,Acciones!$J$2:$J$201,"&gt;="&amp;$D23,Acciones!$J$2:$J$201,"&lt;"&amp;EDATE($D23,1)))</f>
        <v/>
      </c>
      <c r="G23" s="31" t="str">
        <f aca="true">IF($D23&gt;TODAY(),"",SUMIFS(Dividendos!$I$2:$I$301,Dividendos!$A$2:$A$301,"&gt;="&amp;$D23,Dividendos!$A$2:$A$301,"&lt;"&amp;EDATE($D23,1)))</f>
        <v/>
      </c>
      <c r="H23" s="31" t="str">
        <f aca="true">IF($D23&gt;TODAY(),"",E23+F23+G23)</f>
        <v/>
      </c>
      <c r="I23" s="32" t="str">
        <f aca="true">IF($D23&gt;TODAY(),"",COUNTIFS(Operaciones!$N$2:$N$1001,"&gt;="&amp;$D23,Operaciones!$N$2:$N$1001,"&lt;"&amp;EDATE($D23,1),Operaciones!$AL$2:$AL$1001,1))</f>
        <v/>
      </c>
      <c r="J23" s="31" t="str">
        <f aca="true">IF($D23&gt;TODAY(),"",J22+H23)</f>
        <v/>
      </c>
      <c r="K23" s="33" t="str">
        <f aca="true">IF(OR($D23&gt;TODAY(),J22=0),"",H23/J22)</f>
        <v/>
      </c>
      <c r="L23" s="33" t="str">
        <f aca="true">IF(OR($D23&gt;TODAY(),($B$6*$B$7)=0),"",J23/($B$6*$B$7)-1)</f>
        <v/>
      </c>
      <c r="M23" s="33" t="str">
        <f aca="true">IF(OR($D23&gt;TODAY(),I23=0),"",COUNTIFS(Operaciones!$N$2:$N$1001,"&gt;="&amp;$D23,Operaciones!$N$2:$N$1001,"&lt;"&amp;EDATE($D23,1),Operaciones!$AE$2:$AE$1001,"&gt;0")/I23)</f>
        <v/>
      </c>
    </row>
    <row r="24" customFormat="false" ht="15" hidden="false" customHeight="false" outlineLevel="0" collapsed="false">
      <c r="A24" s="28" t="s">
        <v>120</v>
      </c>
      <c r="B24" s="33" t="n">
        <f aca="false">IF(OR($B$15="",$B$23=""),"",$B$15-$B$23)</f>
        <v>6.59194920871187E-017</v>
      </c>
      <c r="D24" s="30" t="n">
        <f aca="false">EDATE(D23,1)</f>
        <v>46813</v>
      </c>
      <c r="E24" s="31" t="str">
        <f aca="true">IF($D24&gt;TODAY(),"",SUMIFS(Operaciones!$AE$2:$AE$1001,Operaciones!$N$2:$N$1001,"&gt;="&amp;$D24,Operaciones!$N$2:$N$1001,"&lt;"&amp;EDATE($D24,1)))</f>
        <v/>
      </c>
      <c r="F24" s="31" t="str">
        <f aca="true">IF($D24&gt;TODAY(),"",SUMIFS(Acciones!$Q$2:$Q$201,Acciones!$J$2:$J$201,"&gt;="&amp;$D24,Acciones!$J$2:$J$201,"&lt;"&amp;EDATE($D24,1)))</f>
        <v/>
      </c>
      <c r="G24" s="31" t="str">
        <f aca="true">IF($D24&gt;TODAY(),"",SUMIFS(Dividendos!$I$2:$I$301,Dividendos!$A$2:$A$301,"&gt;="&amp;$D24,Dividendos!$A$2:$A$301,"&lt;"&amp;EDATE($D24,1)))</f>
        <v/>
      </c>
      <c r="H24" s="31" t="str">
        <f aca="true">IF($D24&gt;TODAY(),"",E24+F24+G24)</f>
        <v/>
      </c>
      <c r="I24" s="32" t="str">
        <f aca="true">IF($D24&gt;TODAY(),"",COUNTIFS(Operaciones!$N$2:$N$1001,"&gt;="&amp;$D24,Operaciones!$N$2:$N$1001,"&lt;"&amp;EDATE($D24,1),Operaciones!$AL$2:$AL$1001,1))</f>
        <v/>
      </c>
      <c r="J24" s="31" t="str">
        <f aca="true">IF($D24&gt;TODAY(),"",J23+H24)</f>
        <v/>
      </c>
      <c r="K24" s="33" t="str">
        <f aca="true">IF(OR($D24&gt;TODAY(),J23=0),"",H24/J23)</f>
        <v/>
      </c>
      <c r="L24" s="33" t="str">
        <f aca="true">IF(OR($D24&gt;TODAY(),($B$6*$B$7)=0),"",J24/($B$6*$B$7)-1)</f>
        <v/>
      </c>
      <c r="M24" s="33" t="str">
        <f aca="true">IF(OR($D24&gt;TODAY(),I24=0),"",COUNTIFS(Operaciones!$N$2:$N$1001,"&gt;="&amp;$D24,Operaciones!$N$2:$N$1001,"&lt;"&amp;EDATE($D24,1),Operaciones!$AE$2:$AE$1001,"&gt;0")/I24)</f>
        <v/>
      </c>
    </row>
    <row r="25" customFormat="false" ht="15" hidden="false" customHeight="false" outlineLevel="0" collapsed="false">
      <c r="A25" s="28" t="s">
        <v>121</v>
      </c>
      <c r="B25" s="33" t="n">
        <f aca="false">IF(SUM(Operaciones!$AM$2:$AM$1001)=0,"",SUMIFS(Operaciones!$AE$2:$AE$1001,Operaciones!$AM$2:$AM$1001,"&gt;0")/SUM(Operaciones!$AM$2:$AM$1001)*365)</f>
        <v>0.362253236330283</v>
      </c>
      <c r="D25" s="30" t="n">
        <f aca="false">EDATE(D24,1)</f>
        <v>46844</v>
      </c>
      <c r="E25" s="31" t="str">
        <f aca="true">IF($D25&gt;TODAY(),"",SUMIFS(Operaciones!$AE$2:$AE$1001,Operaciones!$N$2:$N$1001,"&gt;="&amp;$D25,Operaciones!$N$2:$N$1001,"&lt;"&amp;EDATE($D25,1)))</f>
        <v/>
      </c>
      <c r="F25" s="31" t="str">
        <f aca="true">IF($D25&gt;TODAY(),"",SUMIFS(Acciones!$Q$2:$Q$201,Acciones!$J$2:$J$201,"&gt;="&amp;$D25,Acciones!$J$2:$J$201,"&lt;"&amp;EDATE($D25,1)))</f>
        <v/>
      </c>
      <c r="G25" s="31" t="str">
        <f aca="true">IF($D25&gt;TODAY(),"",SUMIFS(Dividendos!$I$2:$I$301,Dividendos!$A$2:$A$301,"&gt;="&amp;$D25,Dividendos!$A$2:$A$301,"&lt;"&amp;EDATE($D25,1)))</f>
        <v/>
      </c>
      <c r="H25" s="31" t="str">
        <f aca="true">IF($D25&gt;TODAY(),"",E25+F25+G25)</f>
        <v/>
      </c>
      <c r="I25" s="32" t="str">
        <f aca="true">IF($D25&gt;TODAY(),"",COUNTIFS(Operaciones!$N$2:$N$1001,"&gt;="&amp;$D25,Operaciones!$N$2:$N$1001,"&lt;"&amp;EDATE($D25,1),Operaciones!$AL$2:$AL$1001,1))</f>
        <v/>
      </c>
      <c r="J25" s="31" t="str">
        <f aca="true">IF($D25&gt;TODAY(),"",J24+H25)</f>
        <v/>
      </c>
      <c r="K25" s="33" t="str">
        <f aca="true">IF(OR($D25&gt;TODAY(),J24=0),"",H25/J24)</f>
        <v/>
      </c>
      <c r="L25" s="33" t="str">
        <f aca="true">IF(OR($D25&gt;TODAY(),($B$6*$B$7)=0),"",J25/($B$6*$B$7)-1)</f>
        <v/>
      </c>
      <c r="M25" s="33" t="str">
        <f aca="true">IF(OR($D25&gt;TODAY(),I25=0),"",COUNTIFS(Operaciones!$N$2:$N$1001,"&gt;="&amp;$D25,Operaciones!$N$2:$N$1001,"&lt;"&amp;EDATE($D25,1),Operaciones!$AE$2:$AE$1001,"&gt;0")/I25)</f>
        <v/>
      </c>
    </row>
    <row r="26" customFormat="false" ht="15" hidden="false" customHeight="false" outlineLevel="0" collapsed="false">
      <c r="A26" s="28" t="s">
        <v>122</v>
      </c>
      <c r="B26" s="31" t="n">
        <f aca="false">SUMIFS(Operaciones!$Z$2:$Z$1001,Operaciones!$U$2:$U$1001,"Crédito")</f>
        <v>434</v>
      </c>
      <c r="D26" s="30" t="n">
        <f aca="false">EDATE(D25,1)</f>
        <v>46874</v>
      </c>
      <c r="E26" s="31" t="str">
        <f aca="true">IF($D26&gt;TODAY(),"",SUMIFS(Operaciones!$AE$2:$AE$1001,Operaciones!$N$2:$N$1001,"&gt;="&amp;$D26,Operaciones!$N$2:$N$1001,"&lt;"&amp;EDATE($D26,1)))</f>
        <v/>
      </c>
      <c r="F26" s="31" t="str">
        <f aca="true">IF($D26&gt;TODAY(),"",SUMIFS(Acciones!$Q$2:$Q$201,Acciones!$J$2:$J$201,"&gt;="&amp;$D26,Acciones!$J$2:$J$201,"&lt;"&amp;EDATE($D26,1)))</f>
        <v/>
      </c>
      <c r="G26" s="31" t="str">
        <f aca="true">IF($D26&gt;TODAY(),"",SUMIFS(Dividendos!$I$2:$I$301,Dividendos!$A$2:$A$301,"&gt;="&amp;$D26,Dividendos!$A$2:$A$301,"&lt;"&amp;EDATE($D26,1)))</f>
        <v/>
      </c>
      <c r="H26" s="31" t="str">
        <f aca="true">IF($D26&gt;TODAY(),"",E26+F26+G26)</f>
        <v/>
      </c>
      <c r="I26" s="32" t="str">
        <f aca="true">IF($D26&gt;TODAY(),"",COUNTIFS(Operaciones!$N$2:$N$1001,"&gt;="&amp;$D26,Operaciones!$N$2:$N$1001,"&lt;"&amp;EDATE($D26,1),Operaciones!$AL$2:$AL$1001,1))</f>
        <v/>
      </c>
      <c r="J26" s="31" t="str">
        <f aca="true">IF($D26&gt;TODAY(),"",J25+H26)</f>
        <v/>
      </c>
      <c r="K26" s="33" t="str">
        <f aca="true">IF(OR($D26&gt;TODAY(),J25=0),"",H26/J25)</f>
        <v/>
      </c>
      <c r="L26" s="33" t="str">
        <f aca="true">IF(OR($D26&gt;TODAY(),($B$6*$B$7)=0),"",J26/($B$6*$B$7)-1)</f>
        <v/>
      </c>
      <c r="M26" s="33" t="str">
        <f aca="true">IF(OR($D26&gt;TODAY(),I26=0),"",COUNTIFS(Operaciones!$N$2:$N$1001,"&gt;="&amp;$D26,Operaciones!$N$2:$N$1001,"&lt;"&amp;EDATE($D26,1),Operaciones!$AE$2:$AE$1001,"&gt;0")/I26)</f>
        <v/>
      </c>
    </row>
    <row r="27" customFormat="false" ht="15" hidden="false" customHeight="false" outlineLevel="0" collapsed="false">
      <c r="A27" s="28" t="s">
        <v>123</v>
      </c>
      <c r="B27" s="31" t="n">
        <f aca="false">SUMIFS(Operaciones!$L$2:$L$1001,Operaciones!$C$2:$C$1001,"&lt;&gt;")+SUMIFS(Operaciones!$P$2:$P$1001,Operaciones!$C$2:$C$1001,"&lt;&gt;")+SUMIFS(Acciones!$H$2:$H$201,Acciones!$B$2:$B$201,"&lt;&gt;")+SUMIFS(Acciones!$L$2:$L$201,Acciones!$B$2:$B$201,"&lt;&gt;")</f>
        <v>9.1</v>
      </c>
      <c r="D27" s="30" t="n">
        <f aca="false">EDATE(D26,1)</f>
        <v>46905</v>
      </c>
      <c r="E27" s="31" t="str">
        <f aca="true">IF($D27&gt;TODAY(),"",SUMIFS(Operaciones!$AE$2:$AE$1001,Operaciones!$N$2:$N$1001,"&gt;="&amp;$D27,Operaciones!$N$2:$N$1001,"&lt;"&amp;EDATE($D27,1)))</f>
        <v/>
      </c>
      <c r="F27" s="31" t="str">
        <f aca="true">IF($D27&gt;TODAY(),"",SUMIFS(Acciones!$Q$2:$Q$201,Acciones!$J$2:$J$201,"&gt;="&amp;$D27,Acciones!$J$2:$J$201,"&lt;"&amp;EDATE($D27,1)))</f>
        <v/>
      </c>
      <c r="G27" s="31" t="str">
        <f aca="true">IF($D27&gt;TODAY(),"",SUMIFS(Dividendos!$I$2:$I$301,Dividendos!$A$2:$A$301,"&gt;="&amp;$D27,Dividendos!$A$2:$A$301,"&lt;"&amp;EDATE($D27,1)))</f>
        <v/>
      </c>
      <c r="H27" s="31" t="str">
        <f aca="true">IF($D27&gt;TODAY(),"",E27+F27+G27)</f>
        <v/>
      </c>
      <c r="I27" s="32" t="str">
        <f aca="true">IF($D27&gt;TODAY(),"",COUNTIFS(Operaciones!$N$2:$N$1001,"&gt;="&amp;$D27,Operaciones!$N$2:$N$1001,"&lt;"&amp;EDATE($D27,1),Operaciones!$AL$2:$AL$1001,1))</f>
        <v/>
      </c>
      <c r="J27" s="31" t="str">
        <f aca="true">IF($D27&gt;TODAY(),"",J26+H27)</f>
        <v/>
      </c>
      <c r="K27" s="33" t="str">
        <f aca="true">IF(OR($D27&gt;TODAY(),J26=0),"",H27/J26)</f>
        <v/>
      </c>
      <c r="L27" s="33" t="str">
        <f aca="true">IF(OR($D27&gt;TODAY(),($B$6*$B$7)=0),"",J27/($B$6*$B$7)-1)</f>
        <v/>
      </c>
      <c r="M27" s="33" t="str">
        <f aca="true">IF(OR($D27&gt;TODAY(),I27=0),"",COUNTIFS(Operaciones!$N$2:$N$1001,"&gt;="&amp;$D27,Operaciones!$N$2:$N$1001,"&lt;"&amp;EDATE($D27,1),Operaciones!$AE$2:$AE$1001,"&gt;0")/I27)</f>
        <v/>
      </c>
    </row>
    <row r="28" customFormat="false" ht="15" hidden="false" customHeight="false" outlineLevel="0" collapsed="false">
      <c r="A28" s="27" t="s">
        <v>124</v>
      </c>
      <c r="B28" s="27"/>
      <c r="D28" s="30" t="n">
        <f aca="false">EDATE(D27,1)</f>
        <v>46935</v>
      </c>
      <c r="E28" s="31" t="str">
        <f aca="true">IF($D28&gt;TODAY(),"",SUMIFS(Operaciones!$AE$2:$AE$1001,Operaciones!$N$2:$N$1001,"&gt;="&amp;$D28,Operaciones!$N$2:$N$1001,"&lt;"&amp;EDATE($D28,1)))</f>
        <v/>
      </c>
      <c r="F28" s="31" t="str">
        <f aca="true">IF($D28&gt;TODAY(),"",SUMIFS(Acciones!$Q$2:$Q$201,Acciones!$J$2:$J$201,"&gt;="&amp;$D28,Acciones!$J$2:$J$201,"&lt;"&amp;EDATE($D28,1)))</f>
        <v/>
      </c>
      <c r="G28" s="31" t="str">
        <f aca="true">IF($D28&gt;TODAY(),"",SUMIFS(Dividendos!$I$2:$I$301,Dividendos!$A$2:$A$301,"&gt;="&amp;$D28,Dividendos!$A$2:$A$301,"&lt;"&amp;EDATE($D28,1)))</f>
        <v/>
      </c>
      <c r="H28" s="31" t="str">
        <f aca="true">IF($D28&gt;TODAY(),"",E28+F28+G28)</f>
        <v/>
      </c>
      <c r="I28" s="32" t="str">
        <f aca="true">IF($D28&gt;TODAY(),"",COUNTIFS(Operaciones!$N$2:$N$1001,"&gt;="&amp;$D28,Operaciones!$N$2:$N$1001,"&lt;"&amp;EDATE($D28,1),Operaciones!$AL$2:$AL$1001,1))</f>
        <v/>
      </c>
      <c r="J28" s="31" t="str">
        <f aca="true">IF($D28&gt;TODAY(),"",J27+H28)</f>
        <v/>
      </c>
      <c r="K28" s="33" t="str">
        <f aca="true">IF(OR($D28&gt;TODAY(),J27=0),"",H28/J27)</f>
        <v/>
      </c>
      <c r="L28" s="33" t="str">
        <f aca="true">IF(OR($D28&gt;TODAY(),($B$6*$B$7)=0),"",J28/($B$6*$B$7)-1)</f>
        <v/>
      </c>
      <c r="M28" s="33" t="str">
        <f aca="true">IF(OR($D28&gt;TODAY(),I28=0),"",COUNTIFS(Operaciones!$N$2:$N$1001,"&gt;="&amp;$D28,Operaciones!$N$2:$N$1001,"&lt;"&amp;EDATE($D28,1),Operaciones!$AE$2:$AE$1001,"&gt;0")/I28)</f>
        <v/>
      </c>
    </row>
    <row r="29" customFormat="false" ht="15" hidden="false" customHeight="false" outlineLevel="0" collapsed="false">
      <c r="A29" s="28" t="s">
        <v>125</v>
      </c>
      <c r="B29" s="32" t="n">
        <f aca="false">COUNTIF(Acciones!$I$2:$I$201,"En cartera")</f>
        <v>1</v>
      </c>
      <c r="D29" s="26" t="s">
        <v>126</v>
      </c>
    </row>
    <row r="30" customFormat="false" ht="15" hidden="false" customHeight="false" outlineLevel="0" collapsed="false">
      <c r="A30" s="28" t="s">
        <v>127</v>
      </c>
      <c r="B30" s="31" t="n">
        <f aca="false">SUMIFS(Acciones!$O$2:$O$201,Acciones!$I$2:$I$201,"En cartera")</f>
        <v>6500</v>
      </c>
    </row>
    <row r="31" customFormat="false" ht="15" hidden="false" customHeight="false" outlineLevel="0" collapsed="false">
      <c r="A31" s="28" t="s">
        <v>69</v>
      </c>
      <c r="B31" s="31" t="n">
        <f aca="false">SUM(Acciones!$R$2:$R$201)</f>
        <v>120</v>
      </c>
    </row>
    <row r="32" customFormat="false" ht="30" hidden="false" customHeight="true" outlineLevel="0" collapsed="false">
      <c r="A32" s="28" t="s">
        <v>128</v>
      </c>
      <c r="B32" s="38" t="n">
        <f aca="false">$B$14+IF($B$8&gt;0,$B$31/$B$8,0)</f>
        <v>15343.0769230769</v>
      </c>
      <c r="D32" s="4" t="s">
        <v>3</v>
      </c>
      <c r="E32" s="4" t="s">
        <v>129</v>
      </c>
      <c r="F32" s="4" t="s">
        <v>130</v>
      </c>
      <c r="G32" s="4" t="s">
        <v>131</v>
      </c>
      <c r="H32" s="4" t="s">
        <v>30</v>
      </c>
      <c r="I32" s="4" t="s">
        <v>132</v>
      </c>
      <c r="J32" s="4" t="s">
        <v>133</v>
      </c>
    </row>
    <row r="33" customFormat="false" ht="15" hidden="false" customHeight="false" outlineLevel="0" collapsed="false">
      <c r="A33" s="27" t="s">
        <v>134</v>
      </c>
      <c r="B33" s="27"/>
      <c r="D33" s="39" t="str">
        <f aca="false">Listas!A2</f>
        <v>Put vendida (CSP)</v>
      </c>
      <c r="E33" s="32" t="n">
        <f aca="false">COUNTIF(Operaciones!$D$2:$D$1001,$D33)</f>
        <v>3</v>
      </c>
      <c r="F33" s="32" t="n">
        <f aca="false">COUNTIFS(Operaciones!$D$2:$D$1001,$D33,Operaciones!$AL$2:$AL$1001,1)</f>
        <v>2</v>
      </c>
      <c r="G33" s="32" t="n">
        <f aca="false">COUNTIFS(Operaciones!$D$2:$D$1001,$D33,Operaciones!$M$2:$M$1001,"Asignada")</f>
        <v>1</v>
      </c>
      <c r="H33" s="31" t="n">
        <f aca="false">SUMIFS(Operaciones!$AE$2:$AE$1001,Operaciones!$D$2:$D$1001,$D33)</f>
        <v>160.85</v>
      </c>
      <c r="I33" s="33" t="n">
        <f aca="false">IF(F33=0,"",COUNTIFS(Operaciones!$D$2:$D$1001,$D33,Operaciones!$AE$2:$AE$1001,"&gt;0")/F33)</f>
        <v>1</v>
      </c>
      <c r="J33" s="33" t="n">
        <f aca="false">IF(SUMIFS(Operaciones!$AM$2:$AM$1001,Operaciones!$D$2:$D$1001,$D33)=0,"",SUMIFS(Operaciones!$AE$2:$AE$1001,Operaciones!$D$2:$D$1001,$D33,Operaciones!$AM$2:$AM$1001,"&gt;0")/SUMIFS(Operaciones!$AM$2:$AM$1001,Operaciones!$D$2:$D$1001,$D33)*365)</f>
        <v>0.254156926406926</v>
      </c>
    </row>
    <row r="34" customFormat="false" ht="15" hidden="false" customHeight="false" outlineLevel="0" collapsed="false">
      <c r="A34" s="28" t="s">
        <v>135</v>
      </c>
      <c r="B34" s="32" t="n">
        <f aca="false">COUNTIF(Operaciones!$C$2:$C$1001,"?*")</f>
        <v>5</v>
      </c>
      <c r="D34" s="39" t="str">
        <f aca="false">Listas!A3</f>
        <v>Call cubierta (CC)</v>
      </c>
      <c r="E34" s="32" t="n">
        <f aca="false">COUNTIF(Operaciones!$D$2:$D$1001,$D34)</f>
        <v>1</v>
      </c>
      <c r="F34" s="32" t="n">
        <f aca="false">COUNTIFS(Operaciones!$D$2:$D$1001,$D34,Operaciones!$AL$2:$AL$1001,1)</f>
        <v>0</v>
      </c>
      <c r="G34" s="32" t="n">
        <f aca="false">COUNTIFS(Operaciones!$D$2:$D$1001,$D34,Operaciones!$M$2:$M$1001,"Asignada")</f>
        <v>0</v>
      </c>
      <c r="H34" s="31" t="n">
        <f aca="false">SUMIFS(Operaciones!$AE$2:$AE$1001,Operaciones!$D$2:$D$1001,$D34)</f>
        <v>0</v>
      </c>
      <c r="I34" s="33" t="str">
        <f aca="false">IF(F34=0,"",COUNTIFS(Operaciones!$D$2:$D$1001,$D34,Operaciones!$AE$2:$AE$1001,"&gt;0")/F34)</f>
        <v/>
      </c>
      <c r="J34" s="33" t="str">
        <f aca="false">IF(SUMIFS(Operaciones!$AM$2:$AM$1001,Operaciones!$D$2:$D$1001,$D34)=0,"",SUMIFS(Operaciones!$AE$2:$AE$1001,Operaciones!$D$2:$D$1001,$D34,Operaciones!$AM$2:$AM$1001,"&gt;0")/SUMIFS(Operaciones!$AM$2:$AM$1001,Operaciones!$D$2:$D$1001,$D34)*365)</f>
        <v/>
      </c>
    </row>
    <row r="35" customFormat="false" ht="15" hidden="false" customHeight="false" outlineLevel="0" collapsed="false">
      <c r="A35" s="28" t="s">
        <v>136</v>
      </c>
      <c r="B35" s="32" t="n">
        <f aca="false">COUNTIF(Operaciones!$M$2:$M$1001,"Abierta")</f>
        <v>2</v>
      </c>
      <c r="D35" s="39" t="str">
        <f aca="false">Listas!A4</f>
        <v>Put Credit Spread</v>
      </c>
      <c r="E35" s="32" t="n">
        <f aca="false">COUNTIF(Operaciones!$D$2:$D$1001,$D35)</f>
        <v>1</v>
      </c>
      <c r="F35" s="32" t="n">
        <f aca="false">COUNTIFS(Operaciones!$D$2:$D$1001,$D35,Operaciones!$AL$2:$AL$1001,1)</f>
        <v>1</v>
      </c>
      <c r="G35" s="32" t="n">
        <f aca="false">COUNTIFS(Operaciones!$D$2:$D$1001,$D35,Operaciones!$M$2:$M$1001,"Asignada")</f>
        <v>0</v>
      </c>
      <c r="H35" s="31" t="n">
        <f aca="false">SUMIFS(Operaciones!$AE$2:$AE$1001,Operaciones!$D$2:$D$1001,$D35)</f>
        <v>77.2</v>
      </c>
      <c r="I35" s="33" t="n">
        <f aca="false">IF(F35=0,"",COUNTIFS(Operaciones!$D$2:$D$1001,$D35,Operaciones!$AE$2:$AE$1001,"&gt;0")/F35)</f>
        <v>1</v>
      </c>
      <c r="J35" s="33" t="n">
        <f aca="false">IF(SUMIFS(Operaciones!$AM$2:$AM$1001,Operaciones!$D$2:$D$1001,$D35)=0,"",SUMIFS(Operaciones!$AE$2:$AE$1001,Operaciones!$D$2:$D$1001,$D35,Operaciones!$AM$2:$AM$1001,"&gt;0")/SUMIFS(Operaciones!$AM$2:$AM$1001,Operaciones!$D$2:$D$1001,$D35)*365)</f>
        <v>3.18215697346132</v>
      </c>
    </row>
    <row r="36" customFormat="false" ht="15" hidden="false" customHeight="false" outlineLevel="0" collapsed="false">
      <c r="A36" s="28" t="s">
        <v>131</v>
      </c>
      <c r="B36" s="32" t="n">
        <f aca="false">COUNTIF(Operaciones!$M$2:$M$1001,"Asignada")</f>
        <v>1</v>
      </c>
      <c r="D36" s="39" t="str">
        <f aca="false">Listas!A5</f>
        <v>Call Credit Spread</v>
      </c>
      <c r="E36" s="32" t="n">
        <f aca="false">COUNTIF(Operaciones!$D$2:$D$1001,$D36)</f>
        <v>0</v>
      </c>
      <c r="F36" s="32" t="n">
        <f aca="false">COUNTIFS(Operaciones!$D$2:$D$1001,$D36,Operaciones!$AL$2:$AL$1001,1)</f>
        <v>0</v>
      </c>
      <c r="G36" s="32" t="n">
        <f aca="false">COUNTIFS(Operaciones!$D$2:$D$1001,$D36,Operaciones!$M$2:$M$1001,"Asignada")</f>
        <v>0</v>
      </c>
      <c r="H36" s="31" t="n">
        <f aca="false">SUMIFS(Operaciones!$AE$2:$AE$1001,Operaciones!$D$2:$D$1001,$D36)</f>
        <v>0</v>
      </c>
      <c r="I36" s="33" t="str">
        <f aca="false">IF(F36=0,"",COUNTIFS(Operaciones!$D$2:$D$1001,$D36,Operaciones!$AE$2:$AE$1001,"&gt;0")/F36)</f>
        <v/>
      </c>
      <c r="J36" s="33" t="str">
        <f aca="false">IF(SUMIFS(Operaciones!$AM$2:$AM$1001,Operaciones!$D$2:$D$1001,$D36)=0,"",SUMIFS(Operaciones!$AE$2:$AE$1001,Operaciones!$D$2:$D$1001,$D36,Operaciones!$AM$2:$AM$1001,"&gt;0")/SUMIFS(Operaciones!$AM$2:$AM$1001,Operaciones!$D$2:$D$1001,$D36)*365)</f>
        <v/>
      </c>
    </row>
    <row r="37" customFormat="false" ht="15" hidden="false" customHeight="false" outlineLevel="0" collapsed="false">
      <c r="A37" s="28" t="s">
        <v>130</v>
      </c>
      <c r="B37" s="32" t="n">
        <f aca="false">COUNTIF(Operaciones!$AL$2:$AL$1001,1)</f>
        <v>3</v>
      </c>
      <c r="D37" s="39" t="str">
        <f aca="false">Listas!A6</f>
        <v>Iron Condor</v>
      </c>
      <c r="E37" s="32" t="n">
        <f aca="false">COUNTIF(Operaciones!$D$2:$D$1001,$D37)</f>
        <v>0</v>
      </c>
      <c r="F37" s="32" t="n">
        <f aca="false">COUNTIFS(Operaciones!$D$2:$D$1001,$D37,Operaciones!$AL$2:$AL$1001,1)</f>
        <v>0</v>
      </c>
      <c r="G37" s="32" t="n">
        <f aca="false">COUNTIFS(Operaciones!$D$2:$D$1001,$D37,Operaciones!$M$2:$M$1001,"Asignada")</f>
        <v>0</v>
      </c>
      <c r="H37" s="31" t="n">
        <f aca="false">SUMIFS(Operaciones!$AE$2:$AE$1001,Operaciones!$D$2:$D$1001,$D37)</f>
        <v>0</v>
      </c>
      <c r="I37" s="33" t="str">
        <f aca="false">IF(F37=0,"",COUNTIFS(Operaciones!$D$2:$D$1001,$D37,Operaciones!$AE$2:$AE$1001,"&gt;0")/F37)</f>
        <v/>
      </c>
      <c r="J37" s="33" t="str">
        <f aca="false">IF(SUMIFS(Operaciones!$AM$2:$AM$1001,Operaciones!$D$2:$D$1001,$D37)=0,"",SUMIFS(Operaciones!$AE$2:$AE$1001,Operaciones!$D$2:$D$1001,$D37,Operaciones!$AM$2:$AM$1001,"&gt;0")/SUMIFS(Operaciones!$AM$2:$AM$1001,Operaciones!$D$2:$D$1001,$D37)*365)</f>
        <v/>
      </c>
    </row>
    <row r="38" customFormat="false" ht="15" hidden="false" customHeight="false" outlineLevel="0" collapsed="false">
      <c r="A38" s="28" t="s">
        <v>137</v>
      </c>
      <c r="B38" s="32" t="n">
        <f aca="false">COUNTIF(Operaciones!$AE$2:$AE$1001,"&gt;0")</f>
        <v>3</v>
      </c>
      <c r="D38" s="39" t="str">
        <f aca="false">Listas!A7</f>
        <v>Strangle vendido</v>
      </c>
      <c r="E38" s="32" t="n">
        <f aca="false">COUNTIF(Operaciones!$D$2:$D$1001,$D38)</f>
        <v>0</v>
      </c>
      <c r="F38" s="32" t="n">
        <f aca="false">COUNTIFS(Operaciones!$D$2:$D$1001,$D38,Operaciones!$AL$2:$AL$1001,1)</f>
        <v>0</v>
      </c>
      <c r="G38" s="32" t="n">
        <f aca="false">COUNTIFS(Operaciones!$D$2:$D$1001,$D38,Operaciones!$M$2:$M$1001,"Asignada")</f>
        <v>0</v>
      </c>
      <c r="H38" s="31" t="n">
        <f aca="false">SUMIFS(Operaciones!$AE$2:$AE$1001,Operaciones!$D$2:$D$1001,$D38)</f>
        <v>0</v>
      </c>
      <c r="I38" s="33" t="str">
        <f aca="false">IF(F38=0,"",COUNTIFS(Operaciones!$D$2:$D$1001,$D38,Operaciones!$AE$2:$AE$1001,"&gt;0")/F38)</f>
        <v/>
      </c>
      <c r="J38" s="33" t="str">
        <f aca="false">IF(SUMIFS(Operaciones!$AM$2:$AM$1001,Operaciones!$D$2:$D$1001,$D38)=0,"",SUMIFS(Operaciones!$AE$2:$AE$1001,Operaciones!$D$2:$D$1001,$D38,Operaciones!$AM$2:$AM$1001,"&gt;0")/SUMIFS(Operaciones!$AM$2:$AM$1001,Operaciones!$D$2:$D$1001,$D38)*365)</f>
        <v/>
      </c>
    </row>
    <row r="39" customFormat="false" ht="15" hidden="false" customHeight="false" outlineLevel="0" collapsed="false">
      <c r="A39" s="28" t="s">
        <v>132</v>
      </c>
      <c r="B39" s="33" t="n">
        <f aca="false">IF($B$37=0,"",$B$38/$B$37)</f>
        <v>1</v>
      </c>
      <c r="D39" s="39" t="str">
        <f aca="false">Listas!A8</f>
        <v>Straddle vendido</v>
      </c>
      <c r="E39" s="32" t="n">
        <f aca="false">COUNTIF(Operaciones!$D$2:$D$1001,$D39)</f>
        <v>0</v>
      </c>
      <c r="F39" s="32" t="n">
        <f aca="false">COUNTIFS(Operaciones!$D$2:$D$1001,$D39,Operaciones!$AL$2:$AL$1001,1)</f>
        <v>0</v>
      </c>
      <c r="G39" s="32" t="n">
        <f aca="false">COUNTIFS(Operaciones!$D$2:$D$1001,$D39,Operaciones!$M$2:$M$1001,"Asignada")</f>
        <v>0</v>
      </c>
      <c r="H39" s="31" t="n">
        <f aca="false">SUMIFS(Operaciones!$AE$2:$AE$1001,Operaciones!$D$2:$D$1001,$D39)</f>
        <v>0</v>
      </c>
      <c r="I39" s="33" t="str">
        <f aca="false">IF(F39=0,"",COUNTIFS(Operaciones!$D$2:$D$1001,$D39,Operaciones!$AE$2:$AE$1001,"&gt;0")/F39)</f>
        <v/>
      </c>
      <c r="J39" s="33" t="str">
        <f aca="false">IF(SUMIFS(Operaciones!$AM$2:$AM$1001,Operaciones!$D$2:$D$1001,$D39)=0,"",SUMIFS(Operaciones!$AE$2:$AE$1001,Operaciones!$D$2:$D$1001,$D39,Operaciones!$AM$2:$AM$1001,"&gt;0")/SUMIFS(Operaciones!$AM$2:$AM$1001,Operaciones!$D$2:$D$1001,$D39)*365)</f>
        <v/>
      </c>
    </row>
    <row r="40" customFormat="false" ht="15" hidden="false" customHeight="false" outlineLevel="0" collapsed="false">
      <c r="A40" s="28" t="s">
        <v>138</v>
      </c>
      <c r="B40" s="31" t="n">
        <f aca="false">IF($B$37=0,"",$B$19/$B$37)</f>
        <v>79.35</v>
      </c>
      <c r="D40" s="39" t="str">
        <f aca="false">Listas!A9</f>
        <v>Put comprada</v>
      </c>
      <c r="E40" s="32" t="n">
        <f aca="false">COUNTIF(Operaciones!$D$2:$D$1001,$D40)</f>
        <v>0</v>
      </c>
      <c r="F40" s="32" t="n">
        <f aca="false">COUNTIFS(Operaciones!$D$2:$D$1001,$D40,Operaciones!$AL$2:$AL$1001,1)</f>
        <v>0</v>
      </c>
      <c r="G40" s="32" t="n">
        <f aca="false">COUNTIFS(Operaciones!$D$2:$D$1001,$D40,Operaciones!$M$2:$M$1001,"Asignada")</f>
        <v>0</v>
      </c>
      <c r="H40" s="31" t="n">
        <f aca="false">SUMIFS(Operaciones!$AE$2:$AE$1001,Operaciones!$D$2:$D$1001,$D40)</f>
        <v>0</v>
      </c>
      <c r="I40" s="33" t="str">
        <f aca="false">IF(F40=0,"",COUNTIFS(Operaciones!$D$2:$D$1001,$D40,Operaciones!$AE$2:$AE$1001,"&gt;0")/F40)</f>
        <v/>
      </c>
      <c r="J40" s="33" t="str">
        <f aca="false">IF(SUMIFS(Operaciones!$AM$2:$AM$1001,Operaciones!$D$2:$D$1001,$D40)=0,"",SUMIFS(Operaciones!$AE$2:$AE$1001,Operaciones!$D$2:$D$1001,$D40,Operaciones!$AM$2:$AM$1001,"&gt;0")/SUMIFS(Operaciones!$AM$2:$AM$1001,Operaciones!$D$2:$D$1001,$D40)*365)</f>
        <v/>
      </c>
    </row>
    <row r="41" customFormat="false" ht="15" hidden="false" customHeight="false" outlineLevel="0" collapsed="false">
      <c r="A41" s="28" t="s">
        <v>139</v>
      </c>
      <c r="B41" s="31" t="n">
        <f aca="false">IF($B$37=0,"",MAX(Operaciones!$AE$2:$AE$1001))</f>
        <v>81.9</v>
      </c>
      <c r="D41" s="39" t="str">
        <f aca="false">Listas!A10</f>
        <v>Call comprada</v>
      </c>
      <c r="E41" s="32" t="n">
        <f aca="false">COUNTIF(Operaciones!$D$2:$D$1001,$D41)</f>
        <v>0</v>
      </c>
      <c r="F41" s="32" t="n">
        <f aca="false">COUNTIFS(Operaciones!$D$2:$D$1001,$D41,Operaciones!$AL$2:$AL$1001,1)</f>
        <v>0</v>
      </c>
      <c r="G41" s="32" t="n">
        <f aca="false">COUNTIFS(Operaciones!$D$2:$D$1001,$D41,Operaciones!$M$2:$M$1001,"Asignada")</f>
        <v>0</v>
      </c>
      <c r="H41" s="31" t="n">
        <f aca="false">SUMIFS(Operaciones!$AE$2:$AE$1001,Operaciones!$D$2:$D$1001,$D41)</f>
        <v>0</v>
      </c>
      <c r="I41" s="33" t="str">
        <f aca="false">IF(F41=0,"",COUNTIFS(Operaciones!$D$2:$D$1001,$D41,Operaciones!$AE$2:$AE$1001,"&gt;0")/F41)</f>
        <v/>
      </c>
      <c r="J41" s="33" t="str">
        <f aca="false">IF(SUMIFS(Operaciones!$AM$2:$AM$1001,Operaciones!$D$2:$D$1001,$D41)=0,"",SUMIFS(Operaciones!$AE$2:$AE$1001,Operaciones!$D$2:$D$1001,$D41,Operaciones!$AM$2:$AM$1001,"&gt;0")/SUMIFS(Operaciones!$AM$2:$AM$1001,Operaciones!$D$2:$D$1001,$D41)*365)</f>
        <v/>
      </c>
    </row>
    <row r="42" customFormat="false" ht="15" hidden="false" customHeight="false" outlineLevel="0" collapsed="false">
      <c r="A42" s="28" t="s">
        <v>140</v>
      </c>
      <c r="B42" s="31" t="n">
        <f aca="false">IF($B$37=0,"",MIN(Operaciones!$AE$2:$AE$1001))</f>
        <v>77.2</v>
      </c>
      <c r="D42" s="39" t="str">
        <f aca="false">Listas!A11</f>
        <v>Put Debit Spread</v>
      </c>
      <c r="E42" s="32" t="n">
        <f aca="false">COUNTIF(Operaciones!$D$2:$D$1001,$D42)</f>
        <v>0</v>
      </c>
      <c r="F42" s="32" t="n">
        <f aca="false">COUNTIFS(Operaciones!$D$2:$D$1001,$D42,Operaciones!$AL$2:$AL$1001,1)</f>
        <v>0</v>
      </c>
      <c r="G42" s="32" t="n">
        <f aca="false">COUNTIFS(Operaciones!$D$2:$D$1001,$D42,Operaciones!$M$2:$M$1001,"Asignada")</f>
        <v>0</v>
      </c>
      <c r="H42" s="31" t="n">
        <f aca="false">SUMIFS(Operaciones!$AE$2:$AE$1001,Operaciones!$D$2:$D$1001,$D42)</f>
        <v>0</v>
      </c>
      <c r="I42" s="33" t="str">
        <f aca="false">IF(F42=0,"",COUNTIFS(Operaciones!$D$2:$D$1001,$D42,Operaciones!$AE$2:$AE$1001,"&gt;0")/F42)</f>
        <v/>
      </c>
      <c r="J42" s="33" t="str">
        <f aca="false">IF(SUMIFS(Operaciones!$AM$2:$AM$1001,Operaciones!$D$2:$D$1001,$D42)=0,"",SUMIFS(Operaciones!$AE$2:$AE$1001,Operaciones!$D$2:$D$1001,$D42,Operaciones!$AM$2:$AM$1001,"&gt;0")/SUMIFS(Operaciones!$AM$2:$AM$1001,Operaciones!$D$2:$D$1001,$D42)*365)</f>
        <v/>
      </c>
    </row>
    <row r="43" customFormat="false" ht="15" hidden="false" customHeight="false" outlineLevel="0" collapsed="false">
      <c r="A43" s="28" t="s">
        <v>141</v>
      </c>
      <c r="B43" s="40" t="n">
        <f aca="false">IF($B$37=0,"",SUMIFS(Operaciones!$X$2:$X$1001,Operaciones!$AL$2:$AL$1001,1)/$B$37)</f>
        <v>24</v>
      </c>
      <c r="D43" s="39" t="str">
        <f aca="false">Listas!A12</f>
        <v>Call Debit Spread</v>
      </c>
      <c r="E43" s="32" t="n">
        <f aca="false">COUNTIF(Operaciones!$D$2:$D$1001,$D43)</f>
        <v>0</v>
      </c>
      <c r="F43" s="32" t="n">
        <f aca="false">COUNTIFS(Operaciones!$D$2:$D$1001,$D43,Operaciones!$AL$2:$AL$1001,1)</f>
        <v>0</v>
      </c>
      <c r="G43" s="32" t="n">
        <f aca="false">COUNTIFS(Operaciones!$D$2:$D$1001,$D43,Operaciones!$M$2:$M$1001,"Asignada")</f>
        <v>0</v>
      </c>
      <c r="H43" s="31" t="n">
        <f aca="false">SUMIFS(Operaciones!$AE$2:$AE$1001,Operaciones!$D$2:$D$1001,$D43)</f>
        <v>0</v>
      </c>
      <c r="I43" s="33" t="str">
        <f aca="false">IF(F43=0,"",COUNTIFS(Operaciones!$D$2:$D$1001,$D43,Operaciones!$AE$2:$AE$1001,"&gt;0")/F43)</f>
        <v/>
      </c>
      <c r="J43" s="33" t="str">
        <f aca="false">IF(SUMIFS(Operaciones!$AM$2:$AM$1001,Operaciones!$D$2:$D$1001,$D43)=0,"",SUMIFS(Operaciones!$AE$2:$AE$1001,Operaciones!$D$2:$D$1001,$D43,Operaciones!$AM$2:$AM$1001,"&gt;0")/SUMIFS(Operaciones!$AM$2:$AM$1001,Operaciones!$D$2:$D$1001,$D43)*365)</f>
        <v/>
      </c>
    </row>
    <row r="44" customFormat="false" ht="15" hidden="false" customHeight="false" outlineLevel="0" collapsed="false">
      <c r="A44" s="28" t="s">
        <v>142</v>
      </c>
      <c r="B44" s="33" t="n">
        <f aca="false">IFERROR(AVERAGE(Operaciones!$AJ$2:$AJ$1001),"")</f>
        <v>0.898550724637681</v>
      </c>
      <c r="D44" s="39" t="str">
        <f aca="false">Listas!A13</f>
        <v>Otra</v>
      </c>
      <c r="E44" s="32" t="n">
        <f aca="false">COUNTIF(Operaciones!$D$2:$D$1001,$D44)</f>
        <v>0</v>
      </c>
      <c r="F44" s="32" t="n">
        <f aca="false">COUNTIFS(Operaciones!$D$2:$D$1001,$D44,Operaciones!$AL$2:$AL$1001,1)</f>
        <v>0</v>
      </c>
      <c r="G44" s="32" t="n">
        <f aca="false">COUNTIFS(Operaciones!$D$2:$D$1001,$D44,Operaciones!$M$2:$M$1001,"Asignada")</f>
        <v>0</v>
      </c>
      <c r="H44" s="31" t="n">
        <f aca="false">SUMIFS(Operaciones!$AE$2:$AE$1001,Operaciones!$D$2:$D$1001,$D44)</f>
        <v>0</v>
      </c>
      <c r="I44" s="33" t="str">
        <f aca="false">IF(F44=0,"",COUNTIFS(Operaciones!$D$2:$D$1001,$D44,Operaciones!$AE$2:$AE$1001,"&gt;0")/F44)</f>
        <v/>
      </c>
      <c r="J44" s="33" t="str">
        <f aca="false">IF(SUMIFS(Operaciones!$AM$2:$AM$1001,Operaciones!$D$2:$D$1001,$D44)=0,"",SUMIFS(Operaciones!$AE$2:$AE$1001,Operaciones!$D$2:$D$1001,$D44,Operaciones!$AM$2:$AM$1001,"&gt;0")/SUMIFS(Operaciones!$AM$2:$AM$1001,Operaciones!$D$2:$D$1001,$D44)*365)</f>
        <v/>
      </c>
    </row>
    <row r="45" customFormat="false" ht="15" hidden="false" customHeight="false" outlineLevel="0" collapsed="false">
      <c r="A45" s="27" t="s">
        <v>143</v>
      </c>
      <c r="B45" s="27"/>
    </row>
    <row r="46" customFormat="false" ht="15" hidden="false" customHeight="false" outlineLevel="0" collapsed="false">
      <c r="A46" s="28" t="s">
        <v>144</v>
      </c>
      <c r="B46" s="31" t="n">
        <f aca="false">SUMIFS(Operaciones!$AD$2:$AD$1001,Operaciones!$M$2:$M$1001,"Abierta")-SUMIFS(Operaciones!$AD$2:$AD$1001,Operaciones!$M$2:$M$1001,"Abierta",Operaciones!$D$2:$D$1001,"Call cubierta (CC)",Operaciones!$R$2:$R$1001,"&lt;&gt;")</f>
        <v>4400</v>
      </c>
    </row>
    <row r="47" customFormat="false" ht="15" hidden="false" customHeight="false" outlineLevel="0" collapsed="false">
      <c r="A47" s="28" t="s">
        <v>127</v>
      </c>
      <c r="B47" s="31" t="n">
        <f aca="false">$B$30</f>
        <v>6500</v>
      </c>
    </row>
    <row r="48" customFormat="false" ht="15" hidden="false" customHeight="false" outlineLevel="0" collapsed="false">
      <c r="A48" s="28" t="s">
        <v>145</v>
      </c>
      <c r="B48" s="31" t="n">
        <f aca="false">$B$46+$B$47</f>
        <v>10900</v>
      </c>
    </row>
    <row r="49" customFormat="false" ht="15" hidden="false" customHeight="false" outlineLevel="0" collapsed="false">
      <c r="A49" s="28" t="s">
        <v>146</v>
      </c>
      <c r="B49" s="33" t="n">
        <f aca="false">IF($B$14*$B$8&lt;=0,"",$B$48/($B$14*$B$8))</f>
        <v>0.611281223011093</v>
      </c>
    </row>
    <row r="50" customFormat="false" ht="15" hidden="false" customHeight="false" outlineLevel="0" collapsed="false">
      <c r="A50" s="28" t="s">
        <v>147</v>
      </c>
      <c r="B50" s="31" t="n">
        <f aca="false">SUMIFS(Operaciones!$Z$2:$Z$1001,Operaciones!$M$2:$M$1001,"Abierta")</f>
        <v>155</v>
      </c>
    </row>
    <row r="51" customFormat="false" ht="15" hidden="false" customHeight="false" outlineLevel="0" collapsed="false">
      <c r="A51" s="28" t="s">
        <v>148</v>
      </c>
      <c r="B51" s="32" t="n">
        <f aca="false">COUNTIF(Operaciones!$C$2:$C$1001,"?*")-COUNTIF(Operaciones!$AN$2:$AN$1001,"OK")+COUNTIF(Acciones!$B$2:$B$201,"?*")-COUNTIF(Acciones!$Y$2:$Y$201,"OK*")+COUNTIF(Dividendos!$B$2:$B$301,"?*")-COUNTIF(Dividendos!$J$2:$J$301,"OK")+COUNT(Divisa!$A$2:$A$201)-COUNTIF(Divisa!$G$2:$G$201,"OK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5"/>
  </cols>
  <sheetData>
    <row r="1" customFormat="false" ht="17.25" hidden="false" customHeight="true" outlineLevel="0" collapsed="false">
      <c r="A1" s="41" t="s">
        <v>149</v>
      </c>
    </row>
    <row r="3" customFormat="false" ht="15" hidden="false" customHeight="true" outlineLevel="0" collapsed="false">
      <c r="A3" s="42" t="s">
        <v>150</v>
      </c>
      <c r="B3" s="43"/>
    </row>
    <row r="4" customFormat="false" ht="15" hidden="false" customHeight="true" outlineLevel="0" collapsed="false">
      <c r="A4" s="44" t="s">
        <v>151</v>
      </c>
      <c r="B4" s="45" t="s">
        <v>152</v>
      </c>
    </row>
    <row r="5" customFormat="false" ht="15" hidden="false" customHeight="true" outlineLevel="0" collapsed="false">
      <c r="A5" s="44" t="s">
        <v>153</v>
      </c>
      <c r="B5" s="45" t="s">
        <v>154</v>
      </c>
    </row>
    <row r="6" customFormat="false" ht="15" hidden="false" customHeight="true" outlineLevel="0" collapsed="false">
      <c r="A6" s="42" t="s">
        <v>155</v>
      </c>
      <c r="B6" s="43"/>
    </row>
    <row r="7" customFormat="false" ht="15" hidden="false" customHeight="true" outlineLevel="0" collapsed="false">
      <c r="A7" s="44" t="s">
        <v>156</v>
      </c>
      <c r="B7" s="45" t="s">
        <v>157</v>
      </c>
    </row>
    <row r="8" customFormat="false" ht="15" hidden="false" customHeight="true" outlineLevel="0" collapsed="false">
      <c r="A8" s="44" t="s">
        <v>158</v>
      </c>
      <c r="B8" s="45" t="s">
        <v>159</v>
      </c>
    </row>
    <row r="9" customFormat="false" ht="15" hidden="false" customHeight="true" outlineLevel="0" collapsed="false">
      <c r="A9" s="44" t="s">
        <v>160</v>
      </c>
      <c r="B9" s="45" t="s">
        <v>161</v>
      </c>
    </row>
    <row r="10" customFormat="false" ht="15" hidden="false" customHeight="true" outlineLevel="0" collapsed="false">
      <c r="A10" s="44" t="s">
        <v>162</v>
      </c>
      <c r="B10" s="45" t="s">
        <v>163</v>
      </c>
    </row>
    <row r="11" customFormat="false" ht="15" hidden="false" customHeight="true" outlineLevel="0" collapsed="false">
      <c r="A11" s="42" t="s">
        <v>164</v>
      </c>
      <c r="B11" s="43"/>
    </row>
    <row r="12" customFormat="false" ht="15" hidden="false" customHeight="true" outlineLevel="0" collapsed="false">
      <c r="A12" s="44" t="s">
        <v>151</v>
      </c>
      <c r="B12" s="45" t="s">
        <v>165</v>
      </c>
    </row>
    <row r="13" customFormat="false" ht="15" hidden="false" customHeight="true" outlineLevel="0" collapsed="false">
      <c r="A13" s="44" t="s">
        <v>153</v>
      </c>
      <c r="B13" s="45" t="s">
        <v>166</v>
      </c>
    </row>
    <row r="14" customFormat="false" ht="15" hidden="false" customHeight="true" outlineLevel="0" collapsed="false">
      <c r="A14" s="44" t="s">
        <v>167</v>
      </c>
      <c r="B14" s="45" t="s">
        <v>168</v>
      </c>
    </row>
    <row r="15" customFormat="false" ht="15" hidden="false" customHeight="true" outlineLevel="0" collapsed="false">
      <c r="A15" s="42" t="s">
        <v>169</v>
      </c>
      <c r="B15" s="43"/>
    </row>
    <row r="16" customFormat="false" ht="15" hidden="false" customHeight="true" outlineLevel="0" collapsed="false">
      <c r="A16" s="44" t="s">
        <v>151</v>
      </c>
      <c r="B16" s="45" t="s">
        <v>170</v>
      </c>
    </row>
    <row r="17" customFormat="false" ht="23.25" hidden="false" customHeight="true" outlineLevel="0" collapsed="false">
      <c r="A17" s="44" t="s">
        <v>153</v>
      </c>
      <c r="B17" s="45" t="s">
        <v>171</v>
      </c>
    </row>
    <row r="18" customFormat="false" ht="15" hidden="false" customHeight="true" outlineLevel="0" collapsed="false">
      <c r="A18" s="44" t="s">
        <v>167</v>
      </c>
      <c r="B18" s="45" t="s">
        <v>172</v>
      </c>
    </row>
    <row r="19" customFormat="false" ht="23.25" hidden="false" customHeight="true" outlineLevel="0" collapsed="false">
      <c r="A19" s="44" t="s">
        <v>173</v>
      </c>
      <c r="B19" s="45" t="s">
        <v>174</v>
      </c>
    </row>
    <row r="20" customFormat="false" ht="15" hidden="false" customHeight="true" outlineLevel="0" collapsed="false">
      <c r="A20" s="42" t="s">
        <v>175</v>
      </c>
      <c r="B20" s="43"/>
    </row>
    <row r="21" customFormat="false" ht="23.25" hidden="false" customHeight="true" outlineLevel="0" collapsed="false">
      <c r="A21" s="44" t="s">
        <v>151</v>
      </c>
      <c r="B21" s="45" t="s">
        <v>176</v>
      </c>
    </row>
    <row r="22" customFormat="false" ht="23.25" hidden="false" customHeight="true" outlineLevel="0" collapsed="false">
      <c r="A22" s="44" t="s">
        <v>153</v>
      </c>
      <c r="B22" s="45" t="s">
        <v>177</v>
      </c>
    </row>
    <row r="23" customFormat="false" ht="15" hidden="false" customHeight="true" outlineLevel="0" collapsed="false">
      <c r="A23" s="42" t="s">
        <v>178</v>
      </c>
      <c r="B23" s="43"/>
    </row>
    <row r="24" customFormat="false" ht="15" hidden="false" customHeight="true" outlineLevel="0" collapsed="false">
      <c r="A24" s="44" t="s">
        <v>151</v>
      </c>
      <c r="B24" s="45" t="s">
        <v>179</v>
      </c>
    </row>
    <row r="25" customFormat="false" ht="15" hidden="false" customHeight="true" outlineLevel="0" collapsed="false">
      <c r="A25" s="42" t="s">
        <v>160</v>
      </c>
      <c r="B25" s="43"/>
    </row>
    <row r="26" customFormat="false" ht="23.25" hidden="false" customHeight="true" outlineLevel="0" collapsed="false">
      <c r="A26" s="44" t="s">
        <v>151</v>
      </c>
      <c r="B26" s="45" t="s">
        <v>180</v>
      </c>
    </row>
    <row r="27" customFormat="false" ht="15" hidden="false" customHeight="true" outlineLevel="0" collapsed="false">
      <c r="A27" s="44" t="s">
        <v>153</v>
      </c>
      <c r="B27" s="45" t="s">
        <v>181</v>
      </c>
    </row>
    <row r="28" customFormat="false" ht="15" hidden="false" customHeight="true" outlineLevel="0" collapsed="false">
      <c r="A28" s="42" t="s">
        <v>182</v>
      </c>
      <c r="B28" s="43"/>
    </row>
    <row r="29" customFormat="false" ht="15" hidden="false" customHeight="true" outlineLevel="0" collapsed="false">
      <c r="A29" s="44" t="s">
        <v>183</v>
      </c>
      <c r="B29" s="45" t="s">
        <v>184</v>
      </c>
    </row>
    <row r="30" customFormat="false" ht="23.25" hidden="false" customHeight="true" outlineLevel="0" collapsed="false">
      <c r="A30" s="44" t="s">
        <v>158</v>
      </c>
      <c r="B30" s="45" t="s">
        <v>185</v>
      </c>
    </row>
    <row r="31" customFormat="false" ht="15" hidden="false" customHeight="true" outlineLevel="0" collapsed="false">
      <c r="A31" s="44" t="s">
        <v>160</v>
      </c>
      <c r="B31" s="45" t="s">
        <v>186</v>
      </c>
    </row>
    <row r="32" customFormat="false" ht="15" hidden="false" customHeight="true" outlineLevel="0" collapsed="false">
      <c r="A32" s="44" t="s">
        <v>187</v>
      </c>
      <c r="B32" s="45" t="s">
        <v>188</v>
      </c>
    </row>
    <row r="33" customFormat="false" ht="15" hidden="false" customHeight="true" outlineLevel="0" collapsed="false">
      <c r="A33" s="44" t="s">
        <v>189</v>
      </c>
      <c r="B33" s="45" t="s">
        <v>190</v>
      </c>
    </row>
    <row r="34" customFormat="false" ht="15" hidden="false" customHeight="true" outlineLevel="0" collapsed="false">
      <c r="A34" s="42" t="s">
        <v>191</v>
      </c>
      <c r="B34" s="43"/>
    </row>
    <row r="35" customFormat="false" ht="23.25" hidden="false" customHeight="true" outlineLevel="0" collapsed="false">
      <c r="A35" s="44" t="s">
        <v>192</v>
      </c>
      <c r="B35" s="45" t="s">
        <v>193</v>
      </c>
    </row>
    <row r="36" customFormat="false" ht="15" hidden="false" customHeight="true" outlineLevel="0" collapsed="false">
      <c r="A36" s="44" t="s">
        <v>32</v>
      </c>
      <c r="B36" s="45" t="s">
        <v>194</v>
      </c>
    </row>
    <row r="37" customFormat="false" ht="15" hidden="false" customHeight="true" outlineLevel="0" collapsed="false">
      <c r="A37" s="44" t="s">
        <v>195</v>
      </c>
      <c r="B37" s="45" t="s">
        <v>196</v>
      </c>
    </row>
    <row r="38" customFormat="false" ht="15" hidden="false" customHeight="true" outlineLevel="0" collapsed="false">
      <c r="A38" s="44" t="s">
        <v>35</v>
      </c>
      <c r="B38" s="45" t="s">
        <v>197</v>
      </c>
    </row>
    <row r="39" customFormat="false" ht="15" hidden="false" customHeight="true" outlineLevel="0" collapsed="false">
      <c r="A39" s="44" t="s">
        <v>198</v>
      </c>
      <c r="B39" s="45" t="s">
        <v>199</v>
      </c>
    </row>
    <row r="40" customFormat="false" ht="15" hidden="false" customHeight="true" outlineLevel="0" collapsed="false">
      <c r="A40" s="44" t="s">
        <v>200</v>
      </c>
      <c r="B40" s="45" t="s">
        <v>201</v>
      </c>
    </row>
    <row r="41" customFormat="false" ht="15" hidden="false" customHeight="true" outlineLevel="0" collapsed="false">
      <c r="A41" s="42" t="s">
        <v>202</v>
      </c>
      <c r="B41" s="43"/>
    </row>
    <row r="42" customFormat="false" ht="15" hidden="false" customHeight="true" outlineLevel="0" collapsed="false">
      <c r="A42" s="44" t="s">
        <v>203</v>
      </c>
      <c r="B42" s="45" t="s">
        <v>204</v>
      </c>
    </row>
    <row r="43" customFormat="false" ht="15" hidden="false" customHeight="true" outlineLevel="0" collapsed="false">
      <c r="A43" s="44" t="s">
        <v>205</v>
      </c>
      <c r="B43" s="45" t="s">
        <v>206</v>
      </c>
    </row>
    <row r="44" customFormat="false" ht="15" hidden="false" customHeight="true" outlineLevel="0" collapsed="false">
      <c r="A44" s="44" t="s">
        <v>39</v>
      </c>
      <c r="B44" s="45" t="s">
        <v>207</v>
      </c>
    </row>
    <row r="45" customFormat="false" ht="15" hidden="false" customHeight="true" outlineLevel="0" collapsed="false">
      <c r="A45" s="44" t="s">
        <v>208</v>
      </c>
      <c r="B45" s="45" t="s">
        <v>209</v>
      </c>
    </row>
    <row r="46" customFormat="false" ht="15" hidden="false" customHeight="true" outlineLevel="0" collapsed="false">
      <c r="A46" s="44" t="s">
        <v>210</v>
      </c>
      <c r="B46" s="45" t="s">
        <v>211</v>
      </c>
    </row>
    <row r="47" customFormat="false" ht="15" hidden="false" customHeight="false" outlineLevel="0" collapsed="false">
      <c r="A47" s="27" t="s">
        <v>212</v>
      </c>
      <c r="B47" s="46"/>
    </row>
    <row r="48" customFormat="false" ht="15" hidden="false" customHeight="false" outlineLevel="0" collapsed="false">
      <c r="A48" s="47" t="s">
        <v>151</v>
      </c>
      <c r="B48" s="45" t="s">
        <v>213</v>
      </c>
    </row>
    <row r="49" customFormat="false" ht="15" hidden="false" customHeight="false" outlineLevel="0" collapsed="false">
      <c r="A49" s="47" t="s">
        <v>153</v>
      </c>
      <c r="B49" s="45" t="s">
        <v>214</v>
      </c>
    </row>
    <row r="50" customFormat="false" ht="15" hidden="false" customHeight="false" outlineLevel="0" collapsed="false">
      <c r="A50" s="47" t="s">
        <v>167</v>
      </c>
      <c r="B50" s="45" t="s">
        <v>215</v>
      </c>
    </row>
    <row r="51" customFormat="false" ht="15" hidden="false" customHeight="false" outlineLevel="0" collapsed="false">
      <c r="A51" s="47" t="s">
        <v>216</v>
      </c>
      <c r="B51" s="45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  <col collapsed="false" customWidth="true" hidden="false" outlineLevel="0" max="3" min="3" style="1" width="15"/>
    <col collapsed="false" customWidth="true" hidden="false" outlineLevel="0" max="4" min="4" style="1" width="24"/>
    <col collapsed="false" customWidth="true" hidden="false" outlineLevel="0" max="5" min="5" style="1" width="3"/>
    <col collapsed="false" customWidth="true" hidden="false" outlineLevel="0" max="6" min="6" style="1" width="12"/>
    <col collapsed="false" customWidth="true" hidden="false" outlineLevel="0" max="7" min="7" style="1" width="3"/>
    <col collapsed="false" customWidth="true" hidden="false" outlineLevel="0" max="8" min="8" style="1" width="18"/>
    <col collapsed="false" customWidth="true" hidden="false" outlineLevel="0" max="9" min="9" style="1" width="3"/>
    <col collapsed="false" customWidth="true" hidden="false" outlineLevel="0" max="10" min="10" style="1" width="18"/>
  </cols>
  <sheetData>
    <row r="1" customFormat="false" ht="23.25" hidden="false" customHeight="true" outlineLevel="0" collapsed="false">
      <c r="A1" s="48" t="s">
        <v>3</v>
      </c>
      <c r="B1" s="48" t="s">
        <v>19</v>
      </c>
      <c r="C1" s="48" t="s">
        <v>218</v>
      </c>
      <c r="D1" s="48" t="s">
        <v>219</v>
      </c>
      <c r="F1" s="48" t="s">
        <v>12</v>
      </c>
      <c r="H1" s="48" t="s">
        <v>220</v>
      </c>
      <c r="J1" s="48" t="s">
        <v>221</v>
      </c>
    </row>
    <row r="2" customFormat="false" ht="15" hidden="false" customHeight="true" outlineLevel="0" collapsed="false">
      <c r="A2" s="7" t="s">
        <v>41</v>
      </c>
      <c r="B2" s="7" t="s">
        <v>222</v>
      </c>
      <c r="C2" s="7" t="s">
        <v>223</v>
      </c>
      <c r="D2" s="7" t="s">
        <v>224</v>
      </c>
      <c r="F2" s="7" t="s">
        <v>48</v>
      </c>
      <c r="H2" s="7" t="s">
        <v>77</v>
      </c>
      <c r="J2" s="7" t="s">
        <v>76</v>
      </c>
    </row>
    <row r="3" customFormat="false" ht="15" hidden="false" customHeight="true" outlineLevel="0" collapsed="false">
      <c r="A3" s="7" t="s">
        <v>53</v>
      </c>
      <c r="B3" s="7" t="s">
        <v>225</v>
      </c>
      <c r="C3" s="7" t="s">
        <v>223</v>
      </c>
      <c r="D3" s="7" t="s">
        <v>226</v>
      </c>
      <c r="F3" s="7" t="s">
        <v>46</v>
      </c>
      <c r="H3" s="7" t="s">
        <v>227</v>
      </c>
      <c r="J3" s="7" t="s">
        <v>228</v>
      </c>
    </row>
    <row r="4" customFormat="false" ht="15" hidden="false" customHeight="true" outlineLevel="0" collapsed="false">
      <c r="A4" s="7" t="s">
        <v>45</v>
      </c>
      <c r="B4" s="7" t="s">
        <v>222</v>
      </c>
      <c r="C4" s="7" t="s">
        <v>223</v>
      </c>
      <c r="D4" s="7" t="s">
        <v>229</v>
      </c>
      <c r="F4" s="7" t="s">
        <v>230</v>
      </c>
      <c r="H4" s="7" t="s">
        <v>231</v>
      </c>
    </row>
    <row r="5" customFormat="false" ht="15" hidden="false" customHeight="true" outlineLevel="0" collapsed="false">
      <c r="A5" s="7" t="s">
        <v>232</v>
      </c>
      <c r="B5" s="7" t="s">
        <v>225</v>
      </c>
      <c r="C5" s="7" t="s">
        <v>223</v>
      </c>
      <c r="D5" s="7" t="s">
        <v>229</v>
      </c>
      <c r="F5" s="7" t="s">
        <v>42</v>
      </c>
    </row>
    <row r="6" customFormat="false" ht="15" hidden="false" customHeight="true" outlineLevel="0" collapsed="false">
      <c r="A6" s="7" t="s">
        <v>200</v>
      </c>
      <c r="B6" s="7" t="s">
        <v>233</v>
      </c>
      <c r="C6" s="7" t="s">
        <v>223</v>
      </c>
      <c r="D6" s="7" t="s">
        <v>229</v>
      </c>
      <c r="F6" s="7" t="s">
        <v>50</v>
      </c>
    </row>
    <row r="7" customFormat="false" ht="15" hidden="false" customHeight="true" outlineLevel="0" collapsed="false">
      <c r="A7" s="7" t="s">
        <v>234</v>
      </c>
      <c r="B7" s="7" t="s">
        <v>233</v>
      </c>
      <c r="C7" s="7" t="s">
        <v>223</v>
      </c>
      <c r="D7" s="7" t="s">
        <v>235</v>
      </c>
    </row>
    <row r="8" customFormat="false" ht="15" hidden="false" customHeight="true" outlineLevel="0" collapsed="false">
      <c r="A8" s="7" t="s">
        <v>236</v>
      </c>
      <c r="B8" s="7" t="s">
        <v>233</v>
      </c>
      <c r="C8" s="7" t="s">
        <v>223</v>
      </c>
      <c r="D8" s="7" t="s">
        <v>235</v>
      </c>
    </row>
    <row r="9" customFormat="false" ht="15" hidden="false" customHeight="true" outlineLevel="0" collapsed="false">
      <c r="A9" s="7" t="s">
        <v>237</v>
      </c>
      <c r="B9" s="7" t="s">
        <v>222</v>
      </c>
      <c r="C9" s="7" t="s">
        <v>238</v>
      </c>
      <c r="D9" s="7" t="s">
        <v>239</v>
      </c>
    </row>
    <row r="10" customFormat="false" ht="15" hidden="false" customHeight="true" outlineLevel="0" collapsed="false">
      <c r="A10" s="7" t="s">
        <v>240</v>
      </c>
      <c r="B10" s="7" t="s">
        <v>225</v>
      </c>
      <c r="C10" s="7" t="s">
        <v>238</v>
      </c>
      <c r="D10" s="7" t="s">
        <v>239</v>
      </c>
    </row>
    <row r="11" customFormat="false" ht="15" hidden="false" customHeight="true" outlineLevel="0" collapsed="false">
      <c r="A11" s="7" t="s">
        <v>241</v>
      </c>
      <c r="B11" s="7" t="s">
        <v>222</v>
      </c>
      <c r="C11" s="7" t="s">
        <v>238</v>
      </c>
      <c r="D11" s="7" t="s">
        <v>239</v>
      </c>
    </row>
    <row r="12" customFormat="false" ht="15" hidden="false" customHeight="true" outlineLevel="0" collapsed="false">
      <c r="A12" s="7" t="s">
        <v>242</v>
      </c>
      <c r="B12" s="7" t="s">
        <v>225</v>
      </c>
      <c r="C12" s="7" t="s">
        <v>238</v>
      </c>
      <c r="D12" s="7" t="s">
        <v>239</v>
      </c>
    </row>
    <row r="13" customFormat="false" ht="15" hidden="false" customHeight="true" outlineLevel="0" collapsed="false">
      <c r="A13" s="7" t="s">
        <v>243</v>
      </c>
      <c r="B13" s="7" t="s">
        <v>233</v>
      </c>
      <c r="C13" s="7" t="s">
        <v>223</v>
      </c>
      <c r="D13" s="7" t="s">
        <v>235</v>
      </c>
    </row>
    <row r="16" customFormat="false" ht="15" hidden="false" customHeight="true" outlineLevel="0" collapsed="false">
      <c r="A16" s="49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2026-10-11T18:41:46Z</dcterms:created>
  <dc:creator>openpyxl</dc:creator>
  <dc:description/>
  <dc:language>en-US</dc:language>
  <cp:lastModifiedBy/>
  <dcterms:modified xsi:type="dcterms:W3CDTF">2026-10-13T14:27:38Z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